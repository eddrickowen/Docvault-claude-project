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PT. AGRI PRIMA INDOTAMA\IMPROVEMENT\"/>
    </mc:Choice>
  </mc:AlternateContent>
  <xr:revisionPtr revIDLastSave="0" documentId="13_ncr:1_{7B02CFD4-2686-421E-996C-28C3C8D5324F}" xr6:coauthVersionLast="47" xr6:coauthVersionMax="47" xr10:uidLastSave="{00000000-0000-0000-0000-000000000000}"/>
  <bookViews>
    <workbookView xWindow="-120" yWindow="-120" windowWidth="20730" windowHeight="11760" xr2:uid="{00000000-000D-0000-FFFF-FFFF00000000}"/>
  </bookViews>
  <sheets>
    <sheet name="DO" sheetId="1" r:id="rId1"/>
    <sheet name="DAFTAR NO DO" sheetId="2" r:id="rId2"/>
    <sheet name="Daftar PT" sheetId="3" r:id="rId3"/>
    <sheet name="info ekspedisi agro" sheetId="4" r:id="rId4"/>
    <sheet name="DAFTAR" sheetId="6" r:id="rId5"/>
    <sheet name="DO LAMA" sheetId="7" r:id="rId6"/>
    <sheet name="Sheet1" sheetId="8" r:id="rId7"/>
    <sheet name="Sheet2"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7" l="1"/>
  <c r="A3" i="7"/>
  <c r="B24" i="1"/>
  <c r="A8" i="1"/>
  <c r="D6" i="1"/>
  <c r="D5" i="1"/>
  <c r="D4" i="1" s="1"/>
  <c r="A4" i="1"/>
  <c r="A3" i="1"/>
  <c r="G2" i="1"/>
  <c r="K252" i="4" l="1"/>
  <c r="H233" i="4" l="1"/>
  <c r="H234" i="4"/>
  <c r="H232" i="4"/>
  <c r="H229" i="4"/>
  <c r="H235" i="4" l="1"/>
  <c r="G214" i="4"/>
  <c r="G216" i="4" s="1"/>
  <c r="G209" i="4"/>
  <c r="G223" i="4"/>
  <c r="G202" i="4" l="1"/>
  <c r="G190" i="4" l="1"/>
  <c r="G195" i="4" s="1"/>
  <c r="G185" i="4" l="1"/>
  <c r="I163" i="4"/>
  <c r="K158" i="4"/>
  <c r="F14" i="7" l="1"/>
  <c r="D4" i="7"/>
  <c r="G2" i="7"/>
  <c r="K5680" i="6"/>
  <c r="K5681" i="6" s="1"/>
  <c r="K5682" i="6" s="1"/>
  <c r="K5683" i="6" s="1"/>
  <c r="F5680" i="6"/>
  <c r="F5681" i="6" s="1"/>
  <c r="K5674" i="6"/>
  <c r="F5674" i="6"/>
  <c r="K5673" i="6"/>
  <c r="F5673" i="6"/>
  <c r="K5672" i="6"/>
  <c r="F5672" i="6"/>
  <c r="K5666" i="6"/>
  <c r="K5667" i="6" s="1"/>
  <c r="K5668" i="6" s="1"/>
  <c r="K5669" i="6" s="1"/>
  <c r="F5666" i="6"/>
  <c r="F5667" i="6" s="1"/>
  <c r="F5668" i="6" s="1"/>
  <c r="F5669" i="6" s="1"/>
  <c r="K5660" i="6"/>
  <c r="K5661" i="6" s="1"/>
  <c r="K5662" i="6" s="1"/>
  <c r="K5663" i="6" s="1"/>
  <c r="F5660" i="6"/>
  <c r="F5661" i="6" s="1"/>
  <c r="F5662" i="6" s="1"/>
  <c r="F5663" i="6" s="1"/>
  <c r="K5654" i="6"/>
  <c r="K5655" i="6" s="1"/>
  <c r="K5656" i="6" s="1"/>
  <c r="K5657" i="6" s="1"/>
  <c r="F5654" i="6"/>
  <c r="F5655" i="6" s="1"/>
  <c r="F5656" i="6" s="1"/>
  <c r="F5657" i="6" s="1"/>
  <c r="K5647" i="6"/>
  <c r="F5647" i="6"/>
  <c r="K5646" i="6"/>
  <c r="F5646" i="6"/>
  <c r="K5645" i="6"/>
  <c r="F5645" i="6"/>
  <c r="K5644" i="6"/>
  <c r="F5644" i="6"/>
  <c r="K5643" i="6"/>
  <c r="F5643" i="6"/>
  <c r="K5642" i="6"/>
  <c r="F5642" i="6"/>
  <c r="K5636" i="6"/>
  <c r="F5636" i="6"/>
  <c r="K5635" i="6"/>
  <c r="F5635" i="6"/>
  <c r="K5634" i="6"/>
  <c r="F5634" i="6"/>
  <c r="K5633" i="6"/>
  <c r="F5633" i="6"/>
  <c r="K5632" i="6"/>
  <c r="F5632" i="6"/>
  <c r="K5631" i="6"/>
  <c r="F5631" i="6"/>
  <c r="K5630" i="6"/>
  <c r="F5630" i="6"/>
  <c r="K5629" i="6"/>
  <c r="F5629" i="6"/>
  <c r="K5628" i="6"/>
  <c r="F5628" i="6"/>
  <c r="K5627" i="6"/>
  <c r="F5627" i="6"/>
  <c r="F5620" i="6"/>
  <c r="F5619" i="6"/>
  <c r="K5613" i="6"/>
  <c r="K5614" i="6" s="1"/>
  <c r="K5615" i="6" s="1"/>
  <c r="K5616" i="6" s="1"/>
  <c r="F5613" i="6"/>
  <c r="F5614" i="6" s="1"/>
  <c r="F5615" i="6" s="1"/>
  <c r="F5616" i="6" s="1"/>
  <c r="K5607" i="6"/>
  <c r="K5608" i="6" s="1"/>
  <c r="K5609" i="6" s="1"/>
  <c r="J5606" i="6"/>
  <c r="F5606" i="6"/>
  <c r="F5607" i="6" s="1"/>
  <c r="F5608" i="6" s="1"/>
  <c r="F5609" i="6" s="1"/>
  <c r="K5598" i="6"/>
  <c r="K5599" i="6" s="1"/>
  <c r="K5600" i="6" s="1"/>
  <c r="K5601" i="6" s="1"/>
  <c r="F5598" i="6"/>
  <c r="F5599" i="6" s="1"/>
  <c r="F5600" i="6" s="1"/>
  <c r="F5591" i="6"/>
  <c r="F5590" i="6"/>
  <c r="F5589" i="6"/>
  <c r="K5583" i="6"/>
  <c r="F5583" i="6"/>
  <c r="K5582" i="6"/>
  <c r="F5582" i="6"/>
  <c r="F5576" i="6"/>
  <c r="F5575" i="6"/>
  <c r="F5574" i="6"/>
  <c r="F5569" i="6"/>
  <c r="F5570" i="6" s="1"/>
  <c r="K5568" i="6"/>
  <c r="K5569" i="6" s="1"/>
  <c r="K5570" i="6" s="1"/>
  <c r="K5571" i="6" s="1"/>
  <c r="K5562" i="6"/>
  <c r="K5563" i="6" s="1"/>
  <c r="K5564" i="6" s="1"/>
  <c r="K5565" i="6" s="1"/>
  <c r="F5562" i="6"/>
  <c r="F5563" i="6" s="1"/>
  <c r="K5556" i="6"/>
  <c r="K5557" i="6" s="1"/>
  <c r="K5558" i="6" s="1"/>
  <c r="K5559" i="6" s="1"/>
  <c r="F5556" i="6"/>
  <c r="F5557" i="6" s="1"/>
  <c r="K5550" i="6"/>
  <c r="K5551" i="6" s="1"/>
  <c r="K5552" i="6" s="1"/>
  <c r="K5553" i="6" s="1"/>
  <c r="K5544" i="6"/>
  <c r="F5544" i="6"/>
  <c r="K5543" i="6"/>
  <c r="F5543" i="6"/>
  <c r="K5536" i="6"/>
  <c r="K5537" i="6" s="1"/>
  <c r="K5538" i="6" s="1"/>
  <c r="K5539" i="6" s="1"/>
  <c r="F5536" i="6"/>
  <c r="F5537" i="6" s="1"/>
  <c r="F5538" i="6" s="1"/>
  <c r="F5539" i="6" s="1"/>
  <c r="K5520" i="6"/>
  <c r="K5521" i="6" s="1"/>
  <c r="K5522" i="6" s="1"/>
  <c r="K5523" i="6" s="1"/>
  <c r="F5520" i="6"/>
  <c r="F5521" i="6" s="1"/>
  <c r="F5522" i="6" s="1"/>
  <c r="F5523" i="6" s="1"/>
  <c r="K5514" i="6"/>
  <c r="K5515" i="6" s="1"/>
  <c r="K5516" i="6" s="1"/>
  <c r="K5517" i="6" s="1"/>
  <c r="K5498" i="6"/>
  <c r="K5499" i="6" s="1"/>
  <c r="K5500" i="6" s="1"/>
  <c r="K5501" i="6" s="1"/>
  <c r="F5498" i="6"/>
  <c r="F5499" i="6" s="1"/>
  <c r="F5500" i="6" s="1"/>
  <c r="F5501" i="6" s="1"/>
  <c r="K5491" i="6"/>
  <c r="K5492" i="6" s="1"/>
  <c r="K5493" i="6" s="1"/>
  <c r="K5494" i="6" s="1"/>
  <c r="F5491" i="6"/>
  <c r="F5492" i="6" s="1"/>
  <c r="F5493" i="6" s="1"/>
  <c r="F5494" i="6" s="1"/>
  <c r="K5485" i="6"/>
  <c r="K5486" i="6" s="1"/>
  <c r="K5487" i="6" s="1"/>
  <c r="K5488" i="6" s="1"/>
  <c r="F5485" i="6"/>
  <c r="F5486" i="6" s="1"/>
  <c r="F5487" i="6" s="1"/>
  <c r="F5488" i="6" s="1"/>
  <c r="K5479" i="6"/>
  <c r="K5480" i="6" s="1"/>
  <c r="K5481" i="6" s="1"/>
  <c r="K5482" i="6" s="1"/>
  <c r="F5479" i="6"/>
  <c r="J5478" i="6"/>
  <c r="F5478" i="6"/>
  <c r="F5472" i="6"/>
  <c r="F5471" i="6"/>
  <c r="F5470" i="6"/>
  <c r="F5464" i="6"/>
  <c r="F5463" i="6"/>
  <c r="F5462" i="6"/>
  <c r="F5461" i="6"/>
  <c r="F5460" i="6"/>
  <c r="F5459" i="6"/>
  <c r="F5453" i="6"/>
  <c r="F5454" i="6" s="1"/>
  <c r="F5455" i="6" s="1"/>
  <c r="F5456" i="6" s="1"/>
  <c r="F5447" i="6"/>
  <c r="F5448" i="6" s="1"/>
  <c r="F5449" i="6" s="1"/>
  <c r="F5450" i="6" s="1"/>
  <c r="F5440" i="6"/>
  <c r="F5439" i="6"/>
  <c r="F5433" i="6"/>
  <c r="F5432" i="6"/>
  <c r="F5431" i="6"/>
  <c r="F5425" i="6"/>
  <c r="F5424" i="6"/>
  <c r="F5418" i="6"/>
  <c r="F5419" i="6" s="1"/>
  <c r="F5420" i="6" s="1"/>
  <c r="F5421" i="6" s="1"/>
  <c r="F5412" i="6"/>
  <c r="F5413" i="6" s="1"/>
  <c r="F5414" i="6" s="1"/>
  <c r="F5415" i="6" s="1"/>
  <c r="F5406" i="6"/>
  <c r="F5407" i="6" s="1"/>
  <c r="F5408" i="6" s="1"/>
  <c r="F5409" i="6" s="1"/>
  <c r="F5400" i="6"/>
  <c r="F5401" i="6" s="1"/>
  <c r="F5402" i="6" s="1"/>
  <c r="F5403" i="6" s="1"/>
  <c r="F5394" i="6"/>
  <c r="F5395" i="6" s="1"/>
  <c r="F5396" i="6" s="1"/>
  <c r="F5397" i="6" s="1"/>
  <c r="F5388" i="6"/>
  <c r="F5387" i="6"/>
  <c r="F5386" i="6"/>
  <c r="F5380" i="6"/>
  <c r="F5381" i="6" s="1"/>
  <c r="F5382" i="6" s="1"/>
  <c r="F5383" i="6" s="1"/>
  <c r="F5374" i="6"/>
  <c r="F5375" i="6" s="1"/>
  <c r="F5376" i="6" s="1"/>
  <c r="F5377" i="6" s="1"/>
  <c r="F5368" i="6"/>
  <c r="F5367" i="6"/>
  <c r="F5366" i="6"/>
  <c r="F5365" i="6"/>
  <c r="F5364" i="6"/>
  <c r="F5363" i="6"/>
  <c r="F5362" i="6"/>
  <c r="F5361" i="6"/>
  <c r="F5360" i="6"/>
  <c r="F5359" i="6"/>
  <c r="F5353" i="6"/>
  <c r="F5354" i="6" s="1"/>
  <c r="F5355" i="6" s="1"/>
  <c r="F5356" i="6" s="1"/>
  <c r="F5347" i="6"/>
  <c r="F5348" i="6" s="1"/>
  <c r="F5349" i="6" s="1"/>
  <c r="F5350" i="6" s="1"/>
  <c r="F5341" i="6"/>
  <c r="F5340" i="6"/>
  <c r="F5339" i="6"/>
  <c r="F5333" i="6"/>
  <c r="F5332" i="6"/>
  <c r="F5331" i="6"/>
  <c r="F5325" i="6"/>
  <c r="F5326" i="6" s="1"/>
  <c r="F5327" i="6" s="1"/>
  <c r="F5328" i="6" s="1"/>
  <c r="F5318" i="6"/>
  <c r="F5317" i="6"/>
  <c r="F5316" i="6"/>
  <c r="F5315" i="6"/>
  <c r="F5314" i="6"/>
  <c r="F5313" i="6"/>
  <c r="F5307" i="6"/>
  <c r="F5306" i="6"/>
  <c r="F5305" i="6"/>
  <c r="F5304" i="6"/>
  <c r="F5303" i="6"/>
  <c r="F5302" i="6"/>
  <c r="F5295" i="6"/>
  <c r="F5294" i="6"/>
  <c r="F5287" i="6"/>
  <c r="F5288" i="6" s="1"/>
  <c r="F5289" i="6" s="1"/>
  <c r="F5290" i="6" s="1"/>
  <c r="F5280" i="6"/>
  <c r="F5281" i="6" s="1"/>
  <c r="F5282" i="6" s="1"/>
  <c r="F5283" i="6" s="1"/>
  <c r="F5273" i="6"/>
  <c r="F5274" i="6" s="1"/>
  <c r="F5275" i="6" s="1"/>
  <c r="F5276" i="6" s="1"/>
  <c r="F5267" i="6"/>
  <c r="F5266" i="6"/>
  <c r="F5265" i="6"/>
  <c r="F5259" i="6"/>
  <c r="F5260" i="6" s="1"/>
  <c r="F5261" i="6" s="1"/>
  <c r="F5262" i="6" s="1"/>
  <c r="F5252" i="6"/>
  <c r="F5251" i="6"/>
  <c r="F5250" i="6"/>
  <c r="F5249" i="6"/>
  <c r="F5242" i="6"/>
  <c r="F5241" i="6"/>
  <c r="F5234" i="6"/>
  <c r="F5235" i="6" s="1"/>
  <c r="F5236" i="6" s="1"/>
  <c r="F5237" i="6" s="1"/>
  <c r="F5228" i="6"/>
  <c r="F5229" i="6" s="1"/>
  <c r="F5230" i="6" s="1"/>
  <c r="F5231" i="6" s="1"/>
  <c r="F5222" i="6"/>
  <c r="F5223" i="6" s="1"/>
  <c r="F5224" i="6" s="1"/>
  <c r="F5225" i="6" s="1"/>
  <c r="F5215" i="6"/>
  <c r="F5214" i="6"/>
  <c r="F5208" i="6"/>
  <c r="F5209" i="6" s="1"/>
  <c r="F5210" i="6" s="1"/>
  <c r="F5211" i="6" s="1"/>
  <c r="F5202" i="6"/>
  <c r="F5203" i="6" s="1"/>
  <c r="F5204" i="6" s="1"/>
  <c r="F5205" i="6" s="1"/>
  <c r="F5196" i="6"/>
  <c r="F5195" i="6"/>
  <c r="F5194" i="6"/>
  <c r="F5187" i="6"/>
  <c r="F5186" i="6"/>
  <c r="F5185" i="6"/>
  <c r="F5179" i="6"/>
  <c r="F5180" i="6" s="1"/>
  <c r="F5181" i="6" s="1"/>
  <c r="F5182" i="6" s="1"/>
  <c r="F5172" i="6"/>
  <c r="F5171" i="6"/>
  <c r="F5170" i="6"/>
  <c r="F5169" i="6"/>
  <c r="F5168" i="6"/>
  <c r="F5161" i="6"/>
  <c r="F5160" i="6"/>
  <c r="F5154" i="6"/>
  <c r="F5153" i="6"/>
  <c r="F5152" i="6"/>
  <c r="F5151" i="6"/>
  <c r="F5150" i="6"/>
  <c r="F5149" i="6"/>
  <c r="F5148" i="6"/>
  <c r="F5147" i="6"/>
  <c r="F5146" i="6"/>
  <c r="F5145" i="6"/>
  <c r="F5144" i="6"/>
  <c r="F5143" i="6"/>
  <c r="F5142" i="6"/>
  <c r="F5141" i="6"/>
  <c r="F5134" i="6"/>
  <c r="F5133" i="6"/>
  <c r="F5132" i="6"/>
  <c r="F5131" i="6"/>
  <c r="F5130" i="6"/>
  <c r="F5129" i="6"/>
  <c r="F5122" i="6"/>
  <c r="F5121" i="6"/>
  <c r="F5114" i="6"/>
  <c r="F5113" i="6"/>
  <c r="F5112" i="6"/>
  <c r="F5111" i="6"/>
  <c r="F5104" i="6"/>
  <c r="F5105" i="6" s="1"/>
  <c r="F5098" i="6"/>
  <c r="F5097" i="6"/>
  <c r="F5090" i="6"/>
  <c r="F5091" i="6" s="1"/>
  <c r="F5083" i="6"/>
  <c r="F5082" i="6"/>
  <c r="F5081" i="6"/>
  <c r="F5080" i="6"/>
  <c r="F5079" i="6"/>
  <c r="F5078" i="6"/>
  <c r="F5070" i="6"/>
  <c r="F5069" i="6"/>
  <c r="F5063" i="6"/>
  <c r="F5064" i="6" s="1"/>
  <c r="F5055" i="6"/>
  <c r="F5054" i="6"/>
  <c r="F5053" i="6"/>
  <c r="F5044" i="6"/>
  <c r="F5045" i="6" s="1"/>
  <c r="F5047" i="6" s="1"/>
  <c r="F5048" i="6" s="1"/>
  <c r="F5037" i="6"/>
  <c r="F5038" i="6" s="1"/>
  <c r="F5040" i="6" s="1"/>
  <c r="F5041" i="6" s="1"/>
  <c r="F5030" i="6"/>
  <c r="F5029" i="6"/>
  <c r="F5028" i="6"/>
  <c r="F5027" i="6"/>
  <c r="F5021" i="6"/>
  <c r="F5022" i="6" s="1"/>
  <c r="F5023" i="6" s="1"/>
  <c r="F5015" i="6"/>
  <c r="F5014" i="6"/>
  <c r="F5006" i="6"/>
  <c r="F5005" i="6"/>
  <c r="F5004" i="6"/>
  <c r="F4997" i="6"/>
  <c r="F4998" i="6" s="1"/>
  <c r="F4991" i="6"/>
  <c r="F4992" i="6" s="1"/>
  <c r="F4983" i="6"/>
  <c r="F4982" i="6"/>
  <c r="F4975" i="6"/>
  <c r="F4976" i="6" s="1"/>
  <c r="F4969" i="6"/>
  <c r="F4968" i="6"/>
  <c r="F4960" i="6"/>
  <c r="F4959" i="6"/>
  <c r="F4958" i="6"/>
  <c r="H4951" i="6"/>
  <c r="H4950" i="6"/>
  <c r="F4950" i="6"/>
  <c r="F4951" i="6" s="1"/>
  <c r="F4944" i="6"/>
  <c r="F4945" i="6" s="1"/>
  <c r="F4938" i="6"/>
  <c r="F4937" i="6"/>
  <c r="F4930" i="6"/>
  <c r="F4931" i="6" s="1"/>
  <c r="F4922" i="6"/>
  <c r="F4921" i="6"/>
  <c r="F4914" i="6"/>
  <c r="F4913" i="6"/>
  <c r="F4912" i="6"/>
  <c r="F4911" i="6"/>
  <c r="F4910" i="6"/>
  <c r="F4909" i="6"/>
  <c r="F4908" i="6"/>
  <c r="F4907" i="6"/>
  <c r="F4906" i="6"/>
  <c r="F4905" i="6"/>
  <c r="F4904" i="6"/>
  <c r="F4903" i="6"/>
  <c r="F4902" i="6"/>
  <c r="F4901" i="6"/>
  <c r="F4900" i="6"/>
  <c r="F4899" i="6"/>
  <c r="F4898" i="6"/>
  <c r="F4897" i="6"/>
  <c r="F4896" i="6"/>
  <c r="F4895" i="6"/>
  <c r="F4894" i="6"/>
  <c r="F4893" i="6"/>
  <c r="F4887" i="6"/>
  <c r="F4886" i="6"/>
  <c r="F4885" i="6"/>
  <c r="F4884" i="6"/>
  <c r="F4883" i="6"/>
  <c r="F4882" i="6"/>
  <c r="F4881" i="6"/>
  <c r="F4880" i="6"/>
  <c r="F4879" i="6"/>
  <c r="F4878" i="6"/>
  <c r="F4877" i="6"/>
  <c r="F4876" i="6"/>
  <c r="F4868" i="6"/>
  <c r="F4867" i="6"/>
  <c r="F4860" i="6"/>
  <c r="F4859" i="6"/>
  <c r="F4858" i="6"/>
  <c r="F4852" i="6"/>
  <c r="F4853" i="6" s="1"/>
  <c r="F4854" i="6" s="1"/>
  <c r="F4845" i="6"/>
  <c r="F4846" i="6" s="1"/>
  <c r="F4847" i="6" s="1"/>
  <c r="F4839" i="6"/>
  <c r="F4840" i="6" s="1"/>
  <c r="F4832" i="6"/>
  <c r="F4831" i="6"/>
  <c r="F4825" i="6"/>
  <c r="F4824" i="6"/>
  <c r="F4823" i="6"/>
  <c r="F4822" i="6"/>
  <c r="F4816" i="6"/>
  <c r="F4817" i="6" s="1"/>
  <c r="F4818" i="6" s="1"/>
  <c r="F4810" i="6"/>
  <c r="F4811" i="6" s="1"/>
  <c r="F4812" i="6" s="1"/>
  <c r="F4803" i="6"/>
  <c r="F4804" i="6" s="1"/>
  <c r="F4795" i="6"/>
  <c r="F4796" i="6" s="1"/>
  <c r="F4797" i="6" s="1"/>
  <c r="F4788" i="6"/>
  <c r="F4789" i="6" s="1"/>
  <c r="F4790" i="6" s="1"/>
  <c r="F4782" i="6"/>
  <c r="F4781" i="6"/>
  <c r="F4774" i="6"/>
  <c r="F4775" i="6" s="1"/>
  <c r="F4768" i="6"/>
  <c r="F4767" i="6"/>
  <c r="F4758" i="6"/>
  <c r="F4757" i="6"/>
  <c r="F4750" i="6"/>
  <c r="F4749" i="6"/>
  <c r="F4748" i="6"/>
  <c r="F4747" i="6"/>
  <c r="F4741" i="6"/>
  <c r="F4740" i="6"/>
  <c r="F4739" i="6"/>
  <c r="F4738" i="6"/>
  <c r="F4737" i="6"/>
  <c r="F4736" i="6"/>
  <c r="F4735" i="6"/>
  <c r="F4729" i="6"/>
  <c r="F4728" i="6"/>
  <c r="F4727" i="6"/>
  <c r="F4726" i="6"/>
  <c r="F4719" i="6"/>
  <c r="F4718" i="6"/>
  <c r="F4717" i="6"/>
  <c r="F4711" i="6"/>
  <c r="F4710" i="6"/>
  <c r="F4709" i="6"/>
  <c r="F4708" i="6"/>
  <c r="F4707" i="6"/>
  <c r="F4699" i="6"/>
  <c r="F4700" i="6" s="1"/>
  <c r="F4701" i="6" s="1"/>
  <c r="F4692" i="6"/>
  <c r="F4691" i="6"/>
  <c r="F4690" i="6"/>
  <c r="F4689" i="6"/>
  <c r="F4688" i="6"/>
  <c r="F4687" i="6"/>
  <c r="F4686" i="6"/>
  <c r="F4685" i="6"/>
  <c r="F4684" i="6"/>
  <c r="F4683" i="6"/>
  <c r="F4682" i="6"/>
  <c r="F4681" i="6"/>
  <c r="F4680" i="6"/>
  <c r="F4679" i="6"/>
  <c r="F4678" i="6"/>
  <c r="F4677" i="6"/>
  <c r="F4669" i="6"/>
  <c r="F4670" i="6" s="1"/>
  <c r="F4662" i="6"/>
  <c r="F4663" i="6" s="1"/>
  <c r="F4664" i="6" s="1"/>
  <c r="F4656" i="6"/>
  <c r="F4655" i="6"/>
  <c r="F4654" i="6"/>
  <c r="F4645" i="6"/>
  <c r="F4646" i="6" s="1"/>
  <c r="F4638" i="6"/>
  <c r="F4639" i="6" s="1"/>
  <c r="F4631" i="6"/>
  <c r="F4630" i="6"/>
  <c r="F4629" i="6"/>
  <c r="F4628" i="6"/>
  <c r="F4627" i="6"/>
  <c r="F4626" i="6"/>
  <c r="F4625" i="6"/>
  <c r="F4617" i="6"/>
  <c r="F4618" i="6" s="1"/>
  <c r="F4609" i="6"/>
  <c r="F4608" i="6"/>
  <c r="F4607" i="6"/>
  <c r="F4601" i="6"/>
  <c r="F4600" i="6"/>
  <c r="F4599" i="6"/>
  <c r="F4591" i="6"/>
  <c r="F4590" i="6"/>
  <c r="F4584" i="6"/>
  <c r="F4583" i="6"/>
  <c r="F4577" i="6"/>
  <c r="F4578" i="6" s="1"/>
  <c r="F4579" i="6" s="1"/>
  <c r="F4570" i="6"/>
  <c r="F4571" i="6" s="1"/>
  <c r="F4561" i="6"/>
  <c r="F4560" i="6"/>
  <c r="F4559" i="6"/>
  <c r="F4558" i="6"/>
  <c r="F4550" i="6"/>
  <c r="F4551" i="6" s="1"/>
  <c r="F4544" i="6"/>
  <c r="F4545" i="6" s="1"/>
  <c r="F4546" i="6" s="1"/>
  <c r="F4537" i="6"/>
  <c r="F4536" i="6"/>
  <c r="F4529" i="6"/>
  <c r="F4528" i="6"/>
  <c r="F4527" i="6"/>
  <c r="F4521" i="6"/>
  <c r="F4520" i="6"/>
  <c r="F4519" i="6"/>
  <c r="F4512" i="6"/>
  <c r="F4513" i="6" s="1"/>
  <c r="F4514" i="6" s="1"/>
  <c r="F4506" i="6"/>
  <c r="F4507" i="6" s="1"/>
  <c r="F4508" i="6" s="1"/>
  <c r="F4500" i="6"/>
  <c r="F4501" i="6" s="1"/>
  <c r="F4494" i="6"/>
  <c r="F4495" i="6" s="1"/>
  <c r="F4496" i="6" s="1"/>
  <c r="F4488" i="6"/>
  <c r="F4487" i="6"/>
  <c r="F4481" i="6"/>
  <c r="F4480" i="6"/>
  <c r="F4474" i="6"/>
  <c r="F4473" i="6"/>
  <c r="F4467" i="6"/>
  <c r="F4468" i="6" s="1"/>
  <c r="F4470" i="6" s="1"/>
  <c r="F4461" i="6"/>
  <c r="F4462" i="6" s="1"/>
  <c r="F4455" i="6"/>
  <c r="F4456" i="6" s="1"/>
  <c r="F4449" i="6"/>
  <c r="F4448" i="6"/>
  <c r="F4445" i="6"/>
  <c r="F4441" i="6"/>
  <c r="F4440" i="6"/>
  <c r="F4434" i="6"/>
  <c r="F4435" i="6" s="1"/>
  <c r="F4437" i="6" s="1"/>
  <c r="F4421" i="6"/>
  <c r="F4420" i="6"/>
  <c r="F4419" i="6"/>
  <c r="F4418" i="6"/>
  <c r="F4417" i="6"/>
  <c r="F4416" i="6"/>
  <c r="F4415" i="6"/>
  <c r="F4414" i="6"/>
  <c r="F4413" i="6"/>
  <c r="F4412" i="6"/>
  <c r="F4411" i="6"/>
  <c r="F4410" i="6"/>
  <c r="F4406" i="6"/>
  <c r="F4402" i="6"/>
  <c r="F4401" i="6"/>
  <c r="F4395" i="6"/>
  <c r="F4396" i="6" s="1"/>
  <c r="F4398" i="6" s="1"/>
  <c r="F4389" i="6"/>
  <c r="F4390" i="6" s="1"/>
  <c r="F4392" i="6" s="1"/>
  <c r="F4381" i="6"/>
  <c r="F4382" i="6" s="1"/>
  <c r="F4384" i="6" s="1"/>
  <c r="F4386" i="6" s="1"/>
  <c r="F4375" i="6"/>
  <c r="F4374" i="6"/>
  <c r="F4373" i="6"/>
  <c r="F4367" i="6"/>
  <c r="F4366" i="6"/>
  <c r="F4365" i="6"/>
  <c r="F4364" i="6"/>
  <c r="F4363" i="6"/>
  <c r="F4362" i="6"/>
  <c r="F4361" i="6"/>
  <c r="F4355" i="6"/>
  <c r="F4354" i="6"/>
  <c r="F4353" i="6"/>
  <c r="F4352" i="6"/>
  <c r="F4351" i="6"/>
  <c r="F4350" i="6"/>
  <c r="F4349" i="6"/>
  <c r="F4348" i="6"/>
  <c r="F4347" i="6"/>
  <c r="F4341" i="6"/>
  <c r="F4342" i="6" s="1"/>
  <c r="F4344" i="6" s="1"/>
  <c r="F4335" i="6"/>
  <c r="F4334" i="6"/>
  <c r="F4328" i="6"/>
  <c r="F4327" i="6"/>
  <c r="F4326" i="6"/>
  <c r="F4325" i="6"/>
  <c r="F4324" i="6"/>
  <c r="F4318" i="6"/>
  <c r="F4317" i="6"/>
  <c r="F4311" i="6"/>
  <c r="F4310" i="6"/>
  <c r="F4309" i="6"/>
  <c r="F4308" i="6"/>
  <c r="F4307" i="6"/>
  <c r="F4306" i="6"/>
  <c r="F4300" i="6"/>
  <c r="F4299" i="6"/>
  <c r="F4298" i="6"/>
  <c r="F4297" i="6"/>
  <c r="F4296" i="6"/>
  <c r="F4295" i="6"/>
  <c r="F4289" i="6"/>
  <c r="F4290" i="6" s="1"/>
  <c r="F4292" i="6" s="1"/>
  <c r="F4283" i="6"/>
  <c r="F4282" i="6"/>
  <c r="F4276" i="6"/>
  <c r="F4277" i="6" s="1"/>
  <c r="F4279" i="6" s="1"/>
  <c r="F4268" i="6"/>
  <c r="F4267" i="6"/>
  <c r="F4266" i="6"/>
  <c r="F4265" i="6"/>
  <c r="F4259" i="6"/>
  <c r="F4260" i="6" s="1"/>
  <c r="F4262" i="6" s="1"/>
  <c r="F4253" i="6"/>
  <c r="F4252" i="6"/>
  <c r="F4251" i="6"/>
  <c r="F4245" i="6"/>
  <c r="F4244" i="6"/>
  <c r="F4243" i="6"/>
  <c r="F4242" i="6"/>
  <c r="F4241" i="6"/>
  <c r="F4240" i="6"/>
  <c r="F4239" i="6"/>
  <c r="F4238" i="6"/>
  <c r="F4237" i="6"/>
  <c r="F4236" i="6"/>
  <c r="F4235" i="6"/>
  <c r="F4234" i="6"/>
  <c r="F4226" i="6"/>
  <c r="F4225" i="6"/>
  <c r="F4224" i="6"/>
  <c r="F4218" i="6"/>
  <c r="F4217" i="6"/>
  <c r="F4216" i="6"/>
  <c r="F4210" i="6"/>
  <c r="F4209" i="6"/>
  <c r="F4208" i="6"/>
  <c r="F4207" i="6"/>
  <c r="F4206" i="6"/>
  <c r="F4205" i="6"/>
  <c r="F4204" i="6"/>
  <c r="F4203" i="6"/>
  <c r="F4202" i="6"/>
  <c r="F4201" i="6"/>
  <c r="F4200" i="6"/>
  <c r="F4199" i="6"/>
  <c r="F4198" i="6"/>
  <c r="F4197" i="6"/>
  <c r="F4191" i="6"/>
  <c r="F4192" i="6" s="1"/>
  <c r="F4194" i="6" s="1"/>
  <c r="F4185" i="6"/>
  <c r="F4184" i="6"/>
  <c r="F4178" i="6"/>
  <c r="F4179" i="6" s="1"/>
  <c r="F4181" i="6" s="1"/>
  <c r="F4170" i="6"/>
  <c r="F4169" i="6"/>
  <c r="F4163" i="6"/>
  <c r="F4164" i="6" s="1"/>
  <c r="F4166" i="6" s="1"/>
  <c r="F4157" i="6"/>
  <c r="F4158" i="6" s="1"/>
  <c r="F4160" i="6" s="1"/>
  <c r="F4151" i="6"/>
  <c r="F4150" i="6"/>
  <c r="F4149" i="6"/>
  <c r="F4143" i="6"/>
  <c r="F4142" i="6"/>
  <c r="F4136" i="6"/>
  <c r="F4137" i="6" s="1"/>
  <c r="F4139" i="6" s="1"/>
  <c r="F4130" i="6"/>
  <c r="F4129" i="6"/>
  <c r="F4123" i="6"/>
  <c r="F4122" i="6"/>
  <c r="F4121" i="6"/>
  <c r="F4120" i="6"/>
  <c r="F4119" i="6"/>
  <c r="F4113" i="6"/>
  <c r="F4114" i="6" s="1"/>
  <c r="F4116" i="6" s="1"/>
  <c r="F4107" i="6"/>
  <c r="F4106" i="6"/>
  <c r="F4100" i="6"/>
  <c r="F4101" i="6" s="1"/>
  <c r="F4103" i="6" s="1"/>
  <c r="F4094" i="6"/>
  <c r="F4095" i="6" s="1"/>
  <c r="F4097" i="6" s="1"/>
  <c r="F4088" i="6"/>
  <c r="F4089" i="6" s="1"/>
  <c r="F4091" i="6" s="1"/>
  <c r="F4082" i="6"/>
  <c r="F4081" i="6"/>
  <c r="F4080" i="6"/>
  <c r="F4079" i="6"/>
  <c r="F4078" i="6"/>
  <c r="F4072" i="6"/>
  <c r="F4071" i="6"/>
  <c r="F4065" i="6"/>
  <c r="F4066" i="6" s="1"/>
  <c r="F4068" i="6" s="1"/>
  <c r="F4059" i="6"/>
  <c r="F4058" i="6"/>
  <c r="F4057" i="6"/>
  <c r="F4056" i="6"/>
  <c r="F4055" i="6"/>
  <c r="F4054" i="6"/>
  <c r="F4053" i="6"/>
  <c r="F4047" i="6"/>
  <c r="F4048" i="6" s="1"/>
  <c r="F4050" i="6" s="1"/>
  <c r="F4041" i="6"/>
  <c r="F4040" i="6"/>
  <c r="F4034" i="6"/>
  <c r="F4033" i="6"/>
  <c r="F4032" i="6"/>
  <c r="F4026" i="6"/>
  <c r="F4027" i="6" s="1"/>
  <c r="F4029" i="6" s="1"/>
  <c r="F4020" i="6"/>
  <c r="F4021" i="6" s="1"/>
  <c r="F4023" i="6" s="1"/>
  <c r="F4014" i="6"/>
  <c r="F4015" i="6" s="1"/>
  <c r="F4017" i="6" s="1"/>
  <c r="F4008" i="6"/>
  <c r="F4007" i="6"/>
  <c r="F4001" i="6"/>
  <c r="F4002" i="6" s="1"/>
  <c r="F4004" i="6" s="1"/>
  <c r="F3995" i="6"/>
  <c r="F3996" i="6" s="1"/>
  <c r="F3998" i="6" s="1"/>
  <c r="F3989" i="6"/>
  <c r="F3988" i="6"/>
  <c r="F3987" i="6"/>
  <c r="F3986" i="6"/>
  <c r="F3985" i="6"/>
  <c r="F3979" i="6"/>
  <c r="F3980" i="6" s="1"/>
  <c r="F3982" i="6" s="1"/>
  <c r="F3973" i="6"/>
  <c r="F3974" i="6" s="1"/>
  <c r="F3976" i="6" s="1"/>
  <c r="F3967" i="6"/>
  <c r="F3968" i="6" s="1"/>
  <c r="F3970" i="6" s="1"/>
  <c r="F3961" i="6"/>
  <c r="F3962" i="6" s="1"/>
  <c r="F3964" i="6" s="1"/>
  <c r="F3955" i="6"/>
  <c r="F3956" i="6" s="1"/>
  <c r="F3958" i="6" s="1"/>
  <c r="F3949" i="6"/>
  <c r="F3948" i="6"/>
  <c r="F3947" i="6"/>
  <c r="F3946" i="6"/>
  <c r="F3940" i="6"/>
  <c r="F3941" i="6" s="1"/>
  <c r="F3943" i="6" s="1"/>
  <c r="F3934" i="6"/>
  <c r="F3933" i="6"/>
  <c r="F3930" i="6"/>
  <c r="F3924" i="6"/>
  <c r="F3923" i="6"/>
  <c r="F3922" i="6"/>
  <c r="F3921" i="6"/>
  <c r="F3920" i="6"/>
  <c r="F3919" i="6"/>
  <c r="F3918" i="6"/>
  <c r="F3915" i="6"/>
  <c r="F3911" i="6"/>
  <c r="F3910" i="6"/>
  <c r="F3909" i="6"/>
  <c r="F3908" i="6"/>
  <c r="F3907" i="6"/>
  <c r="F3906" i="6"/>
  <c r="F3905" i="6"/>
  <c r="F3904" i="6"/>
  <c r="F3903" i="6"/>
  <c r="F3902" i="6"/>
  <c r="F3901" i="6"/>
  <c r="F3900" i="6"/>
  <c r="F3899" i="6"/>
  <c r="F3898" i="6"/>
  <c r="F3897" i="6"/>
  <c r="F3896" i="6"/>
  <c r="F3890" i="6"/>
  <c r="F3891" i="6" s="1"/>
  <c r="F3893" i="6" s="1"/>
  <c r="F3884" i="6"/>
  <c r="F3885" i="6" s="1"/>
  <c r="F3887" i="6" s="1"/>
  <c r="F3878" i="6"/>
  <c r="F3877" i="6"/>
  <c r="F3876" i="6"/>
  <c r="F3870" i="6"/>
  <c r="F3869" i="6"/>
  <c r="F3868" i="6"/>
  <c r="F3862" i="6"/>
  <c r="F3861" i="6"/>
  <c r="F3855" i="6"/>
  <c r="F3856" i="6" s="1"/>
  <c r="F3858" i="6" s="1"/>
  <c r="F3849" i="6"/>
  <c r="F3850" i="6" s="1"/>
  <c r="F3852" i="6" s="1"/>
  <c r="F3843" i="6"/>
  <c r="F3844" i="6" s="1"/>
  <c r="F3846" i="6" s="1"/>
  <c r="F3837" i="6"/>
  <c r="F3838" i="6" s="1"/>
  <c r="F3840" i="6" s="1"/>
  <c r="F3831" i="6"/>
  <c r="F3830" i="6"/>
  <c r="F3829" i="6"/>
  <c r="F3823" i="6"/>
  <c r="F3824" i="6" s="1"/>
  <c r="F3826" i="6" s="1"/>
  <c r="F3817" i="6"/>
  <c r="F3818" i="6" s="1"/>
  <c r="F3820" i="6" s="1"/>
  <c r="F3811" i="6"/>
  <c r="F3812" i="6" s="1"/>
  <c r="F3814" i="6" s="1"/>
  <c r="F3805" i="6"/>
  <c r="F3804" i="6"/>
  <c r="F3798" i="6"/>
  <c r="F3797" i="6"/>
  <c r="F3796" i="6"/>
  <c r="F3790" i="6"/>
  <c r="F3791" i="6" s="1"/>
  <c r="F3793" i="6" s="1"/>
  <c r="F3784" i="6"/>
  <c r="F3785" i="6" s="1"/>
  <c r="F3787" i="6" s="1"/>
  <c r="F3781" i="6"/>
  <c r="F3777" i="6"/>
  <c r="F3776" i="6"/>
  <c r="F3775" i="6"/>
  <c r="F3774" i="6"/>
  <c r="F3773" i="6"/>
  <c r="F3772" i="6"/>
  <c r="F3769" i="6"/>
  <c r="F3765" i="6"/>
  <c r="F3764" i="6"/>
  <c r="F3763" i="6"/>
  <c r="F3762" i="6"/>
  <c r="F3761" i="6"/>
  <c r="F3758" i="6"/>
  <c r="F3754" i="6"/>
  <c r="F3753" i="6"/>
  <c r="F3752" i="6"/>
  <c r="F3746" i="6"/>
  <c r="F3747" i="6" s="1"/>
  <c r="F3749" i="6" s="1"/>
  <c r="F3740" i="6"/>
  <c r="F3739" i="6"/>
  <c r="F3733" i="6"/>
  <c r="F3734" i="6" s="1"/>
  <c r="F3736" i="6" s="1"/>
  <c r="F3727" i="6"/>
  <c r="F3726" i="6"/>
  <c r="F3725" i="6"/>
  <c r="F3719" i="6"/>
  <c r="F3720" i="6" s="1"/>
  <c r="F3722" i="6" s="1"/>
  <c r="F3713" i="6"/>
  <c r="F3712" i="6"/>
  <c r="F3711" i="6"/>
  <c r="F3705" i="6"/>
  <c r="F3706" i="6" s="1"/>
  <c r="F3708" i="6" s="1"/>
  <c r="F3699" i="6"/>
  <c r="F3698" i="6"/>
  <c r="F3692" i="6"/>
  <c r="F3691" i="6"/>
  <c r="F3685" i="6"/>
  <c r="F3684" i="6"/>
  <c r="F3683" i="6"/>
  <c r="F3682" i="6"/>
  <c r="F3676" i="6"/>
  <c r="F3677" i="6" s="1"/>
  <c r="F3679" i="6" s="1"/>
  <c r="F3670" i="6"/>
  <c r="F3671" i="6" s="1"/>
  <c r="F3673" i="6" s="1"/>
  <c r="F3664" i="6"/>
  <c r="F3663" i="6"/>
  <c r="F3657" i="6"/>
  <c r="F3656" i="6"/>
  <c r="F3655" i="6"/>
  <c r="F3654" i="6"/>
  <c r="F3648" i="6"/>
  <c r="F3649" i="6" s="1"/>
  <c r="F3651" i="6" s="1"/>
  <c r="F3642" i="6"/>
  <c r="F3641" i="6"/>
  <c r="F3640" i="6"/>
  <c r="F3639" i="6"/>
  <c r="F3638" i="6"/>
  <c r="F3632" i="6"/>
  <c r="F3631" i="6"/>
  <c r="F3625" i="6"/>
  <c r="F3626" i="6" s="1"/>
  <c r="F3628" i="6" s="1"/>
  <c r="F3619" i="6"/>
  <c r="F3620" i="6" s="1"/>
  <c r="F3622" i="6" s="1"/>
  <c r="F3611" i="6"/>
  <c r="F3610" i="6"/>
  <c r="F3609" i="6"/>
  <c r="F3603" i="6"/>
  <c r="F3604" i="6" s="1"/>
  <c r="F3606" i="6" s="1"/>
  <c r="F3597" i="6"/>
  <c r="F3598" i="6" s="1"/>
  <c r="F3600" i="6" s="1"/>
  <c r="F3591" i="6"/>
  <c r="F3590" i="6"/>
  <c r="F3589" i="6"/>
  <c r="F3583" i="6"/>
  <c r="F3582" i="6"/>
  <c r="F3576" i="6"/>
  <c r="F3575" i="6"/>
  <c r="F3574" i="6"/>
  <c r="F3568" i="6"/>
  <c r="F3569" i="6" s="1"/>
  <c r="F3571" i="6" s="1"/>
  <c r="F3562" i="6"/>
  <c r="F3563" i="6" s="1"/>
  <c r="F3565" i="6" s="1"/>
  <c r="F3556" i="6"/>
  <c r="F3555" i="6"/>
  <c r="F3554" i="6"/>
  <c r="F3553" i="6"/>
  <c r="F3550" i="6"/>
  <c r="F3546" i="6"/>
  <c r="F3545" i="6"/>
  <c r="F3544" i="6"/>
  <c r="F3543" i="6"/>
  <c r="F3542" i="6"/>
  <c r="F3541" i="6"/>
  <c r="F3538" i="6"/>
  <c r="F3534" i="6"/>
  <c r="F3533" i="6"/>
  <c r="F3532" i="6"/>
  <c r="F3531" i="6"/>
  <c r="F3530" i="6"/>
  <c r="F3524" i="6"/>
  <c r="F3523" i="6"/>
  <c r="F3515" i="6"/>
  <c r="F3514" i="6"/>
  <c r="F3513" i="6"/>
  <c r="F3507" i="6"/>
  <c r="F3506" i="6"/>
  <c r="F3505" i="6"/>
  <c r="F3504" i="6"/>
  <c r="F3503" i="6"/>
  <c r="F3502" i="6"/>
  <c r="F3501" i="6"/>
  <c r="F3500" i="6"/>
  <c r="F3499" i="6"/>
  <c r="F3498" i="6"/>
  <c r="F3492" i="6"/>
  <c r="F3491" i="6"/>
  <c r="F3490" i="6"/>
  <c r="F3489" i="6"/>
  <c r="F3488" i="6"/>
  <c r="F3482" i="6"/>
  <c r="F3483" i="6" s="1"/>
  <c r="F3485" i="6" s="1"/>
  <c r="F3476" i="6"/>
  <c r="F3475" i="6"/>
  <c r="F3474" i="6"/>
  <c r="F3468" i="6"/>
  <c r="F3469" i="6" s="1"/>
  <c r="F3471" i="6" s="1"/>
  <c r="F3462" i="6"/>
  <c r="F3463" i="6" s="1"/>
  <c r="F3465" i="6" s="1"/>
  <c r="F3456" i="6"/>
  <c r="F3455" i="6"/>
  <c r="F3449" i="6"/>
  <c r="F3448" i="6"/>
  <c r="F3447" i="6"/>
  <c r="F3441" i="6"/>
  <c r="F3442" i="6" s="1"/>
  <c r="F3444" i="6" s="1"/>
  <c r="F3435" i="6"/>
  <c r="F3434" i="6"/>
  <c r="F3428" i="6"/>
  <c r="F3429" i="6" s="1"/>
  <c r="F3431" i="6" s="1"/>
  <c r="F3422" i="6"/>
  <c r="F3421" i="6"/>
  <c r="F3415" i="6"/>
  <c r="F3414" i="6"/>
  <c r="F3413" i="6"/>
  <c r="F3412" i="6"/>
  <c r="F3411" i="6"/>
  <c r="F3410" i="6"/>
  <c r="F3409" i="6"/>
  <c r="F3403" i="6"/>
  <c r="F3402" i="6"/>
  <c r="F3401" i="6"/>
  <c r="F3395" i="6"/>
  <c r="F3394" i="6"/>
  <c r="F3393" i="6"/>
  <c r="F3387" i="6"/>
  <c r="F3386" i="6"/>
  <c r="F3385" i="6"/>
  <c r="F3379" i="6"/>
  <c r="F3378" i="6"/>
  <c r="F3377" i="6"/>
  <c r="F3371" i="6"/>
  <c r="F3370" i="6"/>
  <c r="F3364" i="6"/>
  <c r="F3363" i="6"/>
  <c r="F3357" i="6"/>
  <c r="F3358" i="6" s="1"/>
  <c r="F3360" i="6" s="1"/>
  <c r="F3354" i="6"/>
  <c r="F3350" i="6"/>
  <c r="F3349" i="6"/>
  <c r="F3348" i="6"/>
  <c r="F3347" i="6"/>
  <c r="F3346" i="6"/>
  <c r="F3345" i="6"/>
  <c r="F3344" i="6"/>
  <c r="F3343" i="6"/>
  <c r="F3342" i="6"/>
  <c r="F3341" i="6"/>
  <c r="F3340" i="6"/>
  <c r="F3339" i="6"/>
  <c r="F3338" i="6"/>
  <c r="F3332" i="6"/>
  <c r="F3331" i="6"/>
  <c r="F3325" i="6"/>
  <c r="F3326" i="6" s="1"/>
  <c r="F3328" i="6" s="1"/>
  <c r="F3319" i="6"/>
  <c r="F3320" i="6" s="1"/>
  <c r="F3322" i="6" s="1"/>
  <c r="F3313" i="6"/>
  <c r="F3312" i="6"/>
  <c r="F3306" i="6"/>
  <c r="F3307" i="6" s="1"/>
  <c r="F3309" i="6" s="1"/>
  <c r="F3298" i="6"/>
  <c r="F3297" i="6"/>
  <c r="F3291" i="6"/>
  <c r="F3292" i="6" s="1"/>
  <c r="F3294" i="6" s="1"/>
  <c r="F3285" i="6"/>
  <c r="F3286" i="6" s="1"/>
  <c r="F3288" i="6" s="1"/>
  <c r="F3279" i="6"/>
  <c r="F3280" i="6" s="1"/>
  <c r="F3282" i="6" s="1"/>
  <c r="F3273" i="6"/>
  <c r="F3274" i="6" s="1"/>
  <c r="F3276" i="6" s="1"/>
  <c r="F3265" i="6"/>
  <c r="F3264" i="6"/>
  <c r="F3263" i="6"/>
  <c r="F3262" i="6"/>
  <c r="F3261" i="6"/>
  <c r="F3260" i="6"/>
  <c r="F3259" i="6"/>
  <c r="F3258" i="6"/>
  <c r="F3252" i="6"/>
  <c r="F3253" i="6" s="1"/>
  <c r="F3255" i="6" s="1"/>
  <c r="F3249" i="6"/>
  <c r="F3245" i="6"/>
  <c r="F3244" i="6"/>
  <c r="F3243" i="6"/>
  <c r="F3242" i="6"/>
  <c r="F3241" i="6"/>
  <c r="F3240" i="6"/>
  <c r="F3239" i="6"/>
  <c r="F3238" i="6"/>
  <c r="F3237" i="6"/>
  <c r="F3236" i="6"/>
  <c r="F3235" i="6"/>
  <c r="F3234" i="6"/>
  <c r="F3233" i="6"/>
  <c r="F3230" i="6"/>
  <c r="F3226" i="6"/>
  <c r="F3225" i="6"/>
  <c r="F3224" i="6"/>
  <c r="F3221" i="6"/>
  <c r="F3217" i="6"/>
  <c r="F3216" i="6"/>
  <c r="F3215" i="6"/>
  <c r="F3214" i="6"/>
  <c r="F3208" i="6"/>
  <c r="F3207" i="6"/>
  <c r="F3206" i="6"/>
  <c r="F3205" i="6"/>
  <c r="F3204" i="6"/>
  <c r="F3198" i="6"/>
  <c r="F3197" i="6"/>
  <c r="F3191" i="6"/>
  <c r="F3190" i="6"/>
  <c r="F3189" i="6"/>
  <c r="F3188" i="6"/>
  <c r="F3182" i="6"/>
  <c r="F3183" i="6" s="1"/>
  <c r="F3185" i="6" s="1"/>
  <c r="F3176" i="6"/>
  <c r="F3177" i="6" s="1"/>
  <c r="F3179" i="6" s="1"/>
  <c r="F3170" i="6"/>
  <c r="F3169" i="6"/>
  <c r="F3168" i="6"/>
  <c r="F3167" i="6"/>
  <c r="F3166" i="6"/>
  <c r="F3165" i="6"/>
  <c r="F3164" i="6"/>
  <c r="F3163" i="6"/>
  <c r="F3162" i="6"/>
  <c r="F3156" i="6"/>
  <c r="F3157" i="6" s="1"/>
  <c r="F3159" i="6" s="1"/>
  <c r="F3150" i="6"/>
  <c r="F3151" i="6" s="1"/>
  <c r="F3153" i="6" s="1"/>
  <c r="F3144" i="6"/>
  <c r="F3143" i="6"/>
  <c r="F3142" i="6"/>
  <c r="F3141" i="6"/>
  <c r="F3140" i="6"/>
  <c r="F3139" i="6"/>
  <c r="F3138" i="6"/>
  <c r="F3137" i="6"/>
  <c r="F3136" i="6"/>
  <c r="F3130" i="6"/>
  <c r="F3129" i="6"/>
  <c r="F3123" i="6"/>
  <c r="F3122" i="6"/>
  <c r="F3121" i="6"/>
  <c r="F3120" i="6"/>
  <c r="F3119" i="6"/>
  <c r="F3118" i="6"/>
  <c r="F3117" i="6"/>
  <c r="F3111" i="6"/>
  <c r="F3112" i="6" s="1"/>
  <c r="F3114" i="6" s="1"/>
  <c r="F3105" i="6"/>
  <c r="F3104" i="6"/>
  <c r="F3103" i="6"/>
  <c r="F3102" i="6"/>
  <c r="F3101" i="6"/>
  <c r="F3100" i="6"/>
  <c r="F3094" i="6"/>
  <c r="F3095" i="6" s="1"/>
  <c r="F3097" i="6" s="1"/>
  <c r="F3088" i="6"/>
  <c r="F3089" i="6" s="1"/>
  <c r="F3091" i="6" s="1"/>
  <c r="F3082" i="6"/>
  <c r="F3081" i="6"/>
  <c r="F3078" i="6"/>
  <c r="F3072" i="6"/>
  <c r="F3071" i="6"/>
  <c r="F3070" i="6"/>
  <c r="F3069" i="6"/>
  <c r="F3068" i="6"/>
  <c r="F3067" i="6"/>
  <c r="F3066" i="6"/>
  <c r="F3065" i="6"/>
  <c r="F3064" i="6"/>
  <c r="F3063" i="6"/>
  <c r="F3062" i="6"/>
  <c r="F3061" i="6"/>
  <c r="F3055" i="6"/>
  <c r="F3054" i="6"/>
  <c r="F3046" i="6"/>
  <c r="F3047" i="6" s="1"/>
  <c r="F3049" i="6" s="1"/>
  <c r="F3051" i="6" s="1"/>
  <c r="F3040" i="6"/>
  <c r="F3039" i="6"/>
  <c r="F3033" i="6"/>
  <c r="F3034" i="6" s="1"/>
  <c r="F3036" i="6" s="1"/>
  <c r="F3027" i="6"/>
  <c r="F3028" i="6" s="1"/>
  <c r="F3030" i="6" s="1"/>
  <c r="F3021" i="6"/>
  <c r="F3022" i="6" s="1"/>
  <c r="F3024" i="6" s="1"/>
  <c r="F3015" i="6"/>
  <c r="F3016" i="6" s="1"/>
  <c r="F3018" i="6" s="1"/>
  <c r="F3009" i="6"/>
  <c r="F3008" i="6"/>
  <c r="F3005" i="6"/>
  <c r="F2999" i="6"/>
  <c r="F2998" i="6"/>
  <c r="F2997" i="6"/>
  <c r="F2996" i="6"/>
  <c r="F2995" i="6"/>
  <c r="F2994" i="6"/>
  <c r="F2993" i="6"/>
  <c r="F2992" i="6"/>
  <c r="F2991" i="6"/>
  <c r="F2988" i="6"/>
  <c r="F2982" i="6"/>
  <c r="F2981" i="6"/>
  <c r="F2980" i="6"/>
  <c r="F2979" i="6"/>
  <c r="F2978" i="6"/>
  <c r="F2977" i="6"/>
  <c r="F2976" i="6"/>
  <c r="F2970" i="6"/>
  <c r="F2969" i="6"/>
  <c r="F2968" i="6"/>
  <c r="F2962" i="6"/>
  <c r="F2963" i="6" s="1"/>
  <c r="F2965" i="6" s="1"/>
  <c r="F2956" i="6"/>
  <c r="F2955" i="6"/>
  <c r="F2949" i="6"/>
  <c r="F2950" i="6" s="1"/>
  <c r="F2952" i="6" s="1"/>
  <c r="F2943" i="6"/>
  <c r="F2944" i="6" s="1"/>
  <c r="F2946" i="6" s="1"/>
  <c r="F2937" i="6"/>
  <c r="F2936" i="6"/>
  <c r="F2935" i="6"/>
  <c r="F2934" i="6"/>
  <c r="F2928" i="6"/>
  <c r="F2929" i="6" s="1"/>
  <c r="F2931" i="6" s="1"/>
  <c r="F2922" i="6"/>
  <c r="F2921" i="6"/>
  <c r="F2915" i="6"/>
  <c r="F2914" i="6"/>
  <c r="F2913" i="6"/>
  <c r="F2912" i="6"/>
  <c r="F2906" i="6"/>
  <c r="F2905" i="6"/>
  <c r="F2904" i="6"/>
  <c r="F2898" i="6"/>
  <c r="F2897" i="6"/>
  <c r="F2896" i="6"/>
  <c r="F2890" i="6"/>
  <c r="F2889" i="6"/>
  <c r="F2888" i="6"/>
  <c r="F2887" i="6"/>
  <c r="F2881" i="6"/>
  <c r="F2880" i="6"/>
  <c r="F2879" i="6"/>
  <c r="F2878" i="6"/>
  <c r="F2872" i="6"/>
  <c r="F2873" i="6" s="1"/>
  <c r="F2875" i="6" s="1"/>
  <c r="F2866" i="6"/>
  <c r="F2865" i="6"/>
  <c r="F2864" i="6"/>
  <c r="F2858" i="6"/>
  <c r="F2857" i="6"/>
  <c r="F2851" i="6"/>
  <c r="F2852" i="6" s="1"/>
  <c r="F2854" i="6" s="1"/>
  <c r="F2845" i="6"/>
  <c r="F2846" i="6" s="1"/>
  <c r="F2848" i="6" s="1"/>
  <c r="F2839" i="6"/>
  <c r="F2840" i="6" s="1"/>
  <c r="F2842" i="6" s="1"/>
  <c r="F2833" i="6"/>
  <c r="F2832" i="6"/>
  <c r="F2824" i="6"/>
  <c r="F2823" i="6"/>
  <c r="F2817" i="6"/>
  <c r="F2816" i="6"/>
  <c r="F2810" i="6"/>
  <c r="F2809" i="6"/>
  <c r="F2803" i="6"/>
  <c r="F2804" i="6" s="1"/>
  <c r="F2806" i="6" s="1"/>
  <c r="F2797" i="6"/>
  <c r="F2798" i="6" s="1"/>
  <c r="F2800" i="6" s="1"/>
  <c r="F2791" i="6"/>
  <c r="F2792" i="6" s="1"/>
  <c r="F2794" i="6" s="1"/>
  <c r="F2785" i="6"/>
  <c r="F2786" i="6" s="1"/>
  <c r="F2788" i="6" s="1"/>
  <c r="F2779" i="6"/>
  <c r="F2780" i="6" s="1"/>
  <c r="F2782" i="6" s="1"/>
  <c r="F2773" i="6"/>
  <c r="F2774" i="6" s="1"/>
  <c r="F2776" i="6" s="1"/>
  <c r="F2767" i="6"/>
  <c r="F2768" i="6" s="1"/>
  <c r="F2770" i="6" s="1"/>
  <c r="F2761" i="6"/>
  <c r="F2762" i="6" s="1"/>
  <c r="F2764" i="6" s="1"/>
  <c r="F2755" i="6"/>
  <c r="F2756" i="6" s="1"/>
  <c r="F2758" i="6" s="1"/>
  <c r="F2749" i="6"/>
  <c r="F2750" i="6" s="1"/>
  <c r="F2752" i="6" s="1"/>
  <c r="F2743" i="6"/>
  <c r="F2744" i="6" s="1"/>
  <c r="F2746" i="6" s="1"/>
  <c r="F2737" i="6"/>
  <c r="F2738" i="6" s="1"/>
  <c r="F2740" i="6" s="1"/>
  <c r="F2731" i="6"/>
  <c r="F2732" i="6" s="1"/>
  <c r="F2734" i="6" s="1"/>
  <c r="F2725" i="6"/>
  <c r="F2724" i="6"/>
  <c r="F2718" i="6"/>
  <c r="F2717" i="6"/>
  <c r="F2716" i="6"/>
  <c r="F2715" i="6"/>
  <c r="F2714" i="6"/>
  <c r="F2713" i="6"/>
  <c r="F2712" i="6"/>
  <c r="F2711" i="6"/>
  <c r="F2705" i="6"/>
  <c r="F2706" i="6" s="1"/>
  <c r="F2708" i="6" s="1"/>
  <c r="F2699" i="6"/>
  <c r="F2698" i="6"/>
  <c r="F2692" i="6"/>
  <c r="F2693" i="6" s="1"/>
  <c r="F2695" i="6" s="1"/>
  <c r="F2686" i="6"/>
  <c r="F2687" i="6" s="1"/>
  <c r="F2689" i="6" s="1"/>
  <c r="F2680" i="6"/>
  <c r="F2681" i="6" s="1"/>
  <c r="F2683" i="6" s="1"/>
  <c r="F2674" i="6"/>
  <c r="F2675" i="6" s="1"/>
  <c r="F2677" i="6" s="1"/>
  <c r="F2671" i="6"/>
  <c r="F2665" i="6"/>
  <c r="F2664" i="6"/>
  <c r="F2663" i="6"/>
  <c r="F2662" i="6"/>
  <c r="F2661" i="6"/>
  <c r="F2660" i="6"/>
  <c r="F2659" i="6"/>
  <c r="F2656" i="6"/>
  <c r="F2652" i="6"/>
  <c r="F2651" i="6"/>
  <c r="F2650" i="6"/>
  <c r="F2649" i="6"/>
  <c r="F2648" i="6"/>
  <c r="F2647" i="6"/>
  <c r="F2646" i="6"/>
  <c r="F2645" i="6"/>
  <c r="F2644" i="6"/>
  <c r="F2643" i="6"/>
  <c r="F2642" i="6"/>
  <c r="F2641" i="6"/>
  <c r="F2640" i="6"/>
  <c r="F2639" i="6"/>
  <c r="F2638" i="6"/>
  <c r="F2637" i="6"/>
  <c r="F2634" i="6"/>
  <c r="F2628" i="6"/>
  <c r="F2627" i="6"/>
  <c r="F2626" i="6"/>
  <c r="F2625" i="6"/>
  <c r="F2624" i="6"/>
  <c r="F2623" i="6"/>
  <c r="F2622" i="6"/>
  <c r="F2621" i="6"/>
  <c r="F2620" i="6"/>
  <c r="F2619" i="6"/>
  <c r="F2618" i="6"/>
  <c r="F2617" i="6"/>
  <c r="F2614" i="6"/>
  <c r="F2608" i="6"/>
  <c r="F2607" i="6"/>
  <c r="F2606" i="6"/>
  <c r="F2605" i="6"/>
  <c r="F2604" i="6"/>
  <c r="F2603" i="6"/>
  <c r="F2602" i="6"/>
  <c r="F2601" i="6"/>
  <c r="F2600" i="6"/>
  <c r="F2594" i="6"/>
  <c r="F2595" i="6" s="1"/>
  <c r="F2597" i="6" s="1"/>
  <c r="F2591" i="6"/>
  <c r="F2585" i="6"/>
  <c r="F2584" i="6"/>
  <c r="F2583" i="6"/>
  <c r="F2582" i="6"/>
  <c r="F2581" i="6"/>
  <c r="F2580" i="6"/>
  <c r="F2579" i="6"/>
  <c r="F2573" i="6"/>
  <c r="F2572" i="6"/>
  <c r="F2566" i="6"/>
  <c r="F2567" i="6" s="1"/>
  <c r="F2569" i="6" s="1"/>
  <c r="F2560" i="6"/>
  <c r="F2561" i="6" s="1"/>
  <c r="F2563" i="6" s="1"/>
  <c r="F2554" i="6"/>
  <c r="F2553" i="6"/>
  <c r="F2547" i="6"/>
  <c r="F2546" i="6"/>
  <c r="F2545" i="6"/>
  <c r="F2544" i="6"/>
  <c r="F2543" i="6"/>
  <c r="F2537" i="6"/>
  <c r="F2536" i="6"/>
  <c r="F2535" i="6"/>
  <c r="F2534" i="6"/>
  <c r="F2528" i="6"/>
  <c r="F2529" i="6" s="1"/>
  <c r="F2531" i="6" s="1"/>
  <c r="F2522" i="6"/>
  <c r="F2523" i="6" s="1"/>
  <c r="F2525" i="6" s="1"/>
  <c r="F2516" i="6"/>
  <c r="F2517" i="6" s="1"/>
  <c r="F2519" i="6" s="1"/>
  <c r="F2510" i="6"/>
  <c r="F2511" i="6" s="1"/>
  <c r="F2513" i="6" s="1"/>
  <c r="F2504" i="6"/>
  <c r="F2505" i="6" s="1"/>
  <c r="F2507" i="6" s="1"/>
  <c r="F2498" i="6"/>
  <c r="F2497" i="6"/>
  <c r="F2496" i="6"/>
  <c r="F2490" i="6"/>
  <c r="F2489" i="6"/>
  <c r="F2488" i="6"/>
  <c r="F2487" i="6"/>
  <c r="F2486" i="6"/>
  <c r="F2485" i="6"/>
  <c r="F2484" i="6"/>
  <c r="F2483" i="6"/>
  <c r="F2482" i="6"/>
  <c r="F2481" i="6"/>
  <c r="F2480" i="6"/>
  <c r="F2479" i="6"/>
  <c r="F2478" i="6"/>
  <c r="F2477" i="6"/>
  <c r="F2476" i="6"/>
  <c r="F2470" i="6"/>
  <c r="F2471" i="6" s="1"/>
  <c r="F2473" i="6" s="1"/>
  <c r="F2464" i="6"/>
  <c r="F2463" i="6"/>
  <c r="F2462" i="6"/>
  <c r="F2456" i="6"/>
  <c r="F2455" i="6"/>
  <c r="F2454" i="6"/>
  <c r="F2448" i="6"/>
  <c r="F2449" i="6" s="1"/>
  <c r="F2451" i="6" s="1"/>
  <c r="F2442" i="6"/>
  <c r="F2443" i="6" s="1"/>
  <c r="F2445" i="6" s="1"/>
  <c r="F2436" i="6"/>
  <c r="F2435" i="6"/>
  <c r="F2434" i="6"/>
  <c r="F2433" i="6"/>
  <c r="F2432" i="6"/>
  <c r="F2431" i="6"/>
  <c r="F2425" i="6"/>
  <c r="F2424" i="6"/>
  <c r="F2423" i="6"/>
  <c r="F2417" i="6"/>
  <c r="F2418" i="6" s="1"/>
  <c r="F2420" i="6" s="1"/>
  <c r="F2411" i="6"/>
  <c r="F2410" i="6"/>
  <c r="F2404" i="6"/>
  <c r="F2405" i="6" s="1"/>
  <c r="F2407" i="6" s="1"/>
  <c r="F2398" i="6"/>
  <c r="F2397" i="6"/>
  <c r="F2396" i="6"/>
  <c r="F2390" i="6"/>
  <c r="F2389" i="6"/>
  <c r="F2388" i="6"/>
  <c r="F2387" i="6"/>
  <c r="F2386" i="6"/>
  <c r="F2380" i="6"/>
  <c r="F2379" i="6"/>
  <c r="F2373" i="6"/>
  <c r="F2374" i="6" s="1"/>
  <c r="F2376" i="6" s="1"/>
  <c r="F2367" i="6"/>
  <c r="F2366" i="6"/>
  <c r="F2360" i="6"/>
  <c r="F2361" i="6" s="1"/>
  <c r="F2363" i="6" s="1"/>
  <c r="F2354" i="6"/>
  <c r="F2355" i="6" s="1"/>
  <c r="F2357" i="6" s="1"/>
  <c r="F2348" i="6"/>
  <c r="F2349" i="6" s="1"/>
  <c r="F2351" i="6" s="1"/>
  <c r="F2342" i="6"/>
  <c r="F2343" i="6" s="1"/>
  <c r="F2345" i="6" s="1"/>
  <c r="F2336" i="6"/>
  <c r="F2335" i="6"/>
  <c r="F2329" i="6"/>
  <c r="F2328" i="6"/>
  <c r="F2322" i="6"/>
  <c r="F2323" i="6" s="1"/>
  <c r="F2325" i="6" s="1"/>
  <c r="F2319" i="6"/>
  <c r="F2313" i="6"/>
  <c r="F2312" i="6"/>
  <c r="F2304" i="6"/>
  <c r="F2305" i="6" s="1"/>
  <c r="F2307" i="6" s="1"/>
  <c r="F2309" i="6" s="1"/>
  <c r="F2298" i="6"/>
  <c r="F2297" i="6"/>
  <c r="F2296" i="6"/>
  <c r="F2288" i="6"/>
  <c r="F2287" i="6"/>
  <c r="F2286" i="6"/>
  <c r="F2278" i="6"/>
  <c r="F2279" i="6" s="1"/>
  <c r="F2281" i="6" s="1"/>
  <c r="F2283" i="6" s="1"/>
  <c r="F2272" i="6"/>
  <c r="F2273" i="6" s="1"/>
  <c r="F2275" i="6" s="1"/>
  <c r="F2266" i="6"/>
  <c r="F2267" i="6" s="1"/>
  <c r="F2269" i="6" s="1"/>
  <c r="F2260" i="6"/>
  <c r="F2259" i="6"/>
  <c r="F2253" i="6"/>
  <c r="F2254" i="6" s="1"/>
  <c r="F2256" i="6" s="1"/>
  <c r="F2247" i="6"/>
  <c r="F2246" i="6"/>
  <c r="F2238" i="6"/>
  <c r="F2237" i="6"/>
  <c r="F2234" i="6"/>
  <c r="F2230" i="6"/>
  <c r="F2231" i="6" s="1"/>
  <c r="F2224" i="6"/>
  <c r="F2223" i="6"/>
  <c r="F2217" i="6"/>
  <c r="F2218" i="6" s="1"/>
  <c r="F2220" i="6" s="1"/>
  <c r="F2211" i="6"/>
  <c r="F2212" i="6" s="1"/>
  <c r="F2214" i="6" s="1"/>
  <c r="F2205" i="6"/>
  <c r="F2206" i="6" s="1"/>
  <c r="F2208" i="6" s="1"/>
  <c r="F2199" i="6"/>
  <c r="F2198" i="6"/>
  <c r="F2197" i="6"/>
  <c r="F2191" i="6"/>
  <c r="F2192" i="6" s="1"/>
  <c r="F2194" i="6" s="1"/>
  <c r="F2185" i="6"/>
  <c r="F2186" i="6" s="1"/>
  <c r="F2188" i="6" s="1"/>
  <c r="F2179" i="6"/>
  <c r="F2178" i="6"/>
  <c r="F2172" i="6"/>
  <c r="F2173" i="6" s="1"/>
  <c r="F2175" i="6" s="1"/>
  <c r="F2164" i="6"/>
  <c r="F2165" i="6" s="1"/>
  <c r="F2167" i="6" s="1"/>
  <c r="F2169" i="6" s="1"/>
  <c r="F2158" i="6"/>
  <c r="F2157" i="6"/>
  <c r="F2156" i="6"/>
  <c r="F2155" i="6"/>
  <c r="F2154" i="6"/>
  <c r="F2153" i="6"/>
  <c r="F2152" i="6"/>
  <c r="F2151" i="6"/>
  <c r="F2150" i="6"/>
  <c r="F2144" i="6"/>
  <c r="F2143" i="6"/>
  <c r="F2137" i="6"/>
  <c r="F2136" i="6"/>
  <c r="F2135" i="6"/>
  <c r="F2129" i="6"/>
  <c r="F2128" i="6"/>
  <c r="F2127" i="6"/>
  <c r="F2126" i="6"/>
  <c r="F2120" i="6"/>
  <c r="F2119" i="6"/>
  <c r="F2118" i="6"/>
  <c r="F2117" i="6"/>
  <c r="F2116" i="6"/>
  <c r="F2115" i="6"/>
  <c r="F2114" i="6"/>
  <c r="F2111" i="6"/>
  <c r="F2107" i="6"/>
  <c r="F2106" i="6"/>
  <c r="F2098" i="6"/>
  <c r="F2097" i="6"/>
  <c r="F2096" i="6"/>
  <c r="F2095" i="6"/>
  <c r="F2094" i="6"/>
  <c r="F2093" i="6"/>
  <c r="F2092" i="6"/>
  <c r="F2091" i="6"/>
  <c r="F2090" i="6"/>
  <c r="F2089" i="6"/>
  <c r="F2088" i="6"/>
  <c r="F2087" i="6"/>
  <c r="F2086" i="6"/>
  <c r="F2080" i="6"/>
  <c r="F2081" i="6" s="1"/>
  <c r="F2083" i="6" s="1"/>
  <c r="F2074" i="6"/>
  <c r="F2075" i="6" s="1"/>
  <c r="F2077" i="6" s="1"/>
  <c r="F2068" i="6"/>
  <c r="F2067" i="6"/>
  <c r="F2061" i="6"/>
  <c r="F2060" i="6"/>
  <c r="F2054" i="6"/>
  <c r="F2053" i="6"/>
  <c r="F2052" i="6"/>
  <c r="F2051" i="6"/>
  <c r="F2050" i="6"/>
  <c r="F2044" i="6"/>
  <c r="F2045" i="6" s="1"/>
  <c r="F2047" i="6" s="1"/>
  <c r="F2041" i="6"/>
  <c r="F2037" i="6"/>
  <c r="F2038" i="6" s="1"/>
  <c r="F2034" i="6"/>
  <c r="F2028" i="6"/>
  <c r="F2027" i="6"/>
  <c r="F2026" i="6"/>
  <c r="F2025" i="6"/>
  <c r="F2024" i="6"/>
  <c r="F2023" i="6"/>
  <c r="F2022" i="6"/>
  <c r="F2021" i="6"/>
  <c r="F2020" i="6"/>
  <c r="F2019" i="6"/>
  <c r="F2018" i="6"/>
  <c r="F2017" i="6"/>
  <c r="F2016" i="6"/>
  <c r="F2015" i="6"/>
  <c r="F2014" i="6"/>
  <c r="F2013" i="6"/>
  <c r="F2012" i="6"/>
  <c r="F2011" i="6"/>
  <c r="F2010" i="6"/>
  <c r="F2009" i="6"/>
  <c r="F2008" i="6"/>
  <c r="F2007" i="6"/>
  <c r="F2006" i="6"/>
  <c r="F2005" i="6"/>
  <c r="F2004" i="6"/>
  <c r="F2003" i="6"/>
  <c r="F2002" i="6"/>
  <c r="F2001" i="6"/>
  <c r="F2000" i="6"/>
  <c r="F1999" i="6"/>
  <c r="F1998" i="6"/>
  <c r="F1997" i="6"/>
  <c r="F1996" i="6"/>
  <c r="F1995" i="6"/>
  <c r="F1994" i="6"/>
  <c r="F1993" i="6"/>
  <c r="F1992" i="6"/>
  <c r="F1991" i="6"/>
  <c r="F1990" i="6"/>
  <c r="F1989" i="6"/>
  <c r="F1988" i="6"/>
  <c r="F1987" i="6"/>
  <c r="F1981" i="6"/>
  <c r="F1980" i="6"/>
  <c r="F1974" i="6"/>
  <c r="F1973" i="6"/>
  <c r="F1972" i="6"/>
  <c r="F1971" i="6"/>
  <c r="F1970" i="6"/>
  <c r="F1964" i="6"/>
  <c r="F1963" i="6"/>
  <c r="F1962" i="6"/>
  <c r="F1956" i="6"/>
  <c r="F1957" i="6" s="1"/>
  <c r="F1959" i="6" s="1"/>
  <c r="F1950" i="6"/>
  <c r="F1951" i="6" s="1"/>
  <c r="F1953" i="6" s="1"/>
  <c r="F1944" i="6"/>
  <c r="F1943" i="6"/>
  <c r="F1942" i="6"/>
  <c r="F1936" i="6"/>
  <c r="F1935" i="6"/>
  <c r="F1929" i="6"/>
  <c r="F1928" i="6"/>
  <c r="F1927" i="6"/>
  <c r="F1926" i="6"/>
  <c r="F1925" i="6"/>
  <c r="F1919" i="6"/>
  <c r="F1920" i="6" s="1"/>
  <c r="F1922" i="6" s="1"/>
  <c r="F1913" i="6"/>
  <c r="F1914" i="6" s="1"/>
  <c r="F1916" i="6" s="1"/>
  <c r="F1907" i="6"/>
  <c r="F1908" i="6" s="1"/>
  <c r="F1910" i="6" s="1"/>
  <c r="F1901" i="6"/>
  <c r="F1900" i="6"/>
  <c r="F1894" i="6"/>
  <c r="F1893" i="6"/>
  <c r="F1892" i="6"/>
  <c r="F1886" i="6"/>
  <c r="F1885" i="6"/>
  <c r="F1879" i="6"/>
  <c r="F1880" i="6" s="1"/>
  <c r="F1882" i="6" s="1"/>
  <c r="F1873" i="6"/>
  <c r="F1872" i="6"/>
  <c r="F1871" i="6"/>
  <c r="F1865" i="6"/>
  <c r="F1864" i="6"/>
  <c r="F1858" i="6"/>
  <c r="F1859" i="6" s="1"/>
  <c r="F1861" i="6" s="1"/>
  <c r="F1852" i="6"/>
  <c r="F1853" i="6" s="1"/>
  <c r="F1855" i="6" s="1"/>
  <c r="F1846" i="6"/>
  <c r="F1845" i="6"/>
  <c r="F1844" i="6"/>
  <c r="F1843" i="6"/>
  <c r="F1842" i="6"/>
  <c r="F1836" i="6"/>
  <c r="F1837" i="6" s="1"/>
  <c r="F1839" i="6" s="1"/>
  <c r="F1830" i="6"/>
  <c r="F1831" i="6" s="1"/>
  <c r="F1833" i="6" s="1"/>
  <c r="F1824" i="6"/>
  <c r="F1823" i="6"/>
  <c r="F1822" i="6"/>
  <c r="F1816" i="6"/>
  <c r="F1815" i="6"/>
  <c r="F1814" i="6"/>
  <c r="F1808" i="6"/>
  <c r="F1807" i="6"/>
  <c r="F1806" i="6"/>
  <c r="F1805" i="6"/>
  <c r="F1804" i="6"/>
  <c r="F1803" i="6"/>
  <c r="F1802" i="6"/>
  <c r="F1801" i="6"/>
  <c r="F1800" i="6"/>
  <c r="F1799" i="6"/>
  <c r="F1798" i="6"/>
  <c r="F1792" i="6"/>
  <c r="F1791" i="6"/>
  <c r="F1790" i="6"/>
  <c r="F1789" i="6"/>
  <c r="F1788" i="6"/>
  <c r="F1787" i="6"/>
  <c r="F1786" i="6"/>
  <c r="F1785" i="6"/>
  <c r="F1784" i="6"/>
  <c r="F1783" i="6"/>
  <c r="F1777" i="6"/>
  <c r="F1776" i="6"/>
  <c r="F1775" i="6"/>
  <c r="F1774" i="6"/>
  <c r="F1773" i="6"/>
  <c r="F1772" i="6"/>
  <c r="F1771" i="6"/>
  <c r="F1770" i="6"/>
  <c r="F1769" i="6"/>
  <c r="F1768" i="6"/>
  <c r="F1767" i="6"/>
  <c r="F1761" i="6"/>
  <c r="F1760" i="6"/>
  <c r="F1759" i="6"/>
  <c r="F1753" i="6"/>
  <c r="F1752" i="6"/>
  <c r="F1746" i="6"/>
  <c r="F1745" i="6"/>
  <c r="F1739" i="6"/>
  <c r="F1740" i="6" s="1"/>
  <c r="F1742" i="6" s="1"/>
  <c r="F1733" i="6"/>
  <c r="F1732" i="6"/>
  <c r="F1731" i="6"/>
  <c r="F1725" i="6"/>
  <c r="F1726" i="6" s="1"/>
  <c r="F1728" i="6" s="1"/>
  <c r="F1719" i="6"/>
  <c r="F1720" i="6" s="1"/>
  <c r="F1722" i="6" s="1"/>
  <c r="F1713" i="6"/>
  <c r="F1714" i="6" s="1"/>
  <c r="F1716" i="6" s="1"/>
  <c r="F1707" i="6"/>
  <c r="F1708" i="6" s="1"/>
  <c r="F1710" i="6" s="1"/>
  <c r="F1701" i="6"/>
  <c r="F1700" i="6"/>
  <c r="F1699" i="6"/>
  <c r="F1693" i="6"/>
  <c r="F1694" i="6" s="1"/>
  <c r="F1696" i="6" s="1"/>
  <c r="F1687" i="6"/>
  <c r="F1686" i="6"/>
  <c r="F1685" i="6"/>
  <c r="F1679" i="6"/>
  <c r="F1680" i="6" s="1"/>
  <c r="F1682" i="6" s="1"/>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4" i="6"/>
  <c r="F1643" i="6"/>
  <c r="F1637" i="6"/>
  <c r="F1636" i="6"/>
  <c r="F1635" i="6"/>
  <c r="F1634" i="6"/>
  <c r="F1633" i="6"/>
  <c r="F1632" i="6"/>
  <c r="F1631" i="6"/>
  <c r="F1625" i="6"/>
  <c r="F1626" i="6" s="1"/>
  <c r="F1628" i="6" s="1"/>
  <c r="F1619" i="6"/>
  <c r="F1618" i="6"/>
  <c r="F1617" i="6"/>
  <c r="F1616" i="6"/>
  <c r="F1615" i="6"/>
  <c r="F1614" i="6"/>
  <c r="F1613" i="6"/>
  <c r="F1612" i="6"/>
  <c r="F1611" i="6"/>
  <c r="F1610" i="6"/>
  <c r="F1609" i="6"/>
  <c r="F1608" i="6"/>
  <c r="F1607" i="6"/>
  <c r="F1606" i="6"/>
  <c r="F1605" i="6"/>
  <c r="F1604" i="6"/>
  <c r="F1603" i="6"/>
  <c r="F1597" i="6"/>
  <c r="F1598" i="6" s="1"/>
  <c r="F1600" i="6" s="1"/>
  <c r="F1591" i="6"/>
  <c r="F1590" i="6"/>
  <c r="F1589" i="6"/>
  <c r="F1583" i="6"/>
  <c r="F1584" i="6" s="1"/>
  <c r="F1586" i="6" s="1"/>
  <c r="F1577" i="6"/>
  <c r="F1576" i="6"/>
  <c r="F1575" i="6"/>
  <c r="F1569" i="6"/>
  <c r="F1570" i="6" s="1"/>
  <c r="F1572" i="6" s="1"/>
  <c r="F1563" i="6"/>
  <c r="F1564" i="6" s="1"/>
  <c r="F1566" i="6" s="1"/>
  <c r="F1557" i="6"/>
  <c r="F1558" i="6" s="1"/>
  <c r="F1560" i="6" s="1"/>
  <c r="F1551" i="6"/>
  <c r="F1552" i="6" s="1"/>
  <c r="F1554" i="6" s="1"/>
  <c r="F1545" i="6"/>
  <c r="F1546" i="6" s="1"/>
  <c r="F1548" i="6" s="1"/>
  <c r="F1539" i="6"/>
  <c r="F1540" i="6" s="1"/>
  <c r="F1542" i="6" s="1"/>
  <c r="F1533" i="6"/>
  <c r="F1534" i="6" s="1"/>
  <c r="F1536" i="6" s="1"/>
  <c r="F1527" i="6"/>
  <c r="F1526" i="6"/>
  <c r="F1520" i="6"/>
  <c r="F1519" i="6"/>
  <c r="F1518" i="6"/>
  <c r="F1517" i="6"/>
  <c r="F1516" i="6"/>
  <c r="F1510" i="6"/>
  <c r="F1511" i="6" s="1"/>
  <c r="F1513" i="6" s="1"/>
  <c r="F1504" i="6"/>
  <c r="F1505" i="6" s="1"/>
  <c r="F1507" i="6" s="1"/>
  <c r="F1498" i="6"/>
  <c r="F1497" i="6"/>
  <c r="F1491" i="6"/>
  <c r="F1492" i="6" s="1"/>
  <c r="F1494" i="6" s="1"/>
  <c r="F1485" i="6"/>
  <c r="F1486" i="6" s="1"/>
  <c r="F1488" i="6" s="1"/>
  <c r="F1479" i="6"/>
  <c r="F1480" i="6" s="1"/>
  <c r="F1482" i="6" s="1"/>
  <c r="F1473" i="6"/>
  <c r="F1474" i="6" s="1"/>
  <c r="F1476" i="6" s="1"/>
  <c r="F1467" i="6"/>
  <c r="F1466" i="6"/>
  <c r="F1460" i="6"/>
  <c r="F1459" i="6"/>
  <c r="F1453" i="6"/>
  <c r="F1452" i="6"/>
  <c r="F1451" i="6"/>
  <c r="F1450" i="6"/>
  <c r="F1449" i="6"/>
  <c r="F1443" i="6"/>
  <c r="F1442" i="6"/>
  <c r="F1436" i="6"/>
  <c r="F1435" i="6"/>
  <c r="F1434" i="6"/>
  <c r="F1433" i="6"/>
  <c r="F1432" i="6"/>
  <c r="F1431" i="6"/>
  <c r="F1425" i="6"/>
  <c r="F1426" i="6" s="1"/>
  <c r="F1428" i="6" s="1"/>
  <c r="F1419" i="6"/>
  <c r="F1418" i="6"/>
  <c r="F1417" i="6"/>
  <c r="F1416" i="6"/>
  <c r="F1410" i="6"/>
  <c r="F1411" i="6" s="1"/>
  <c r="F1413" i="6" s="1"/>
  <c r="F1404" i="6"/>
  <c r="F1405" i="6" s="1"/>
  <c r="F1407" i="6" s="1"/>
  <c r="F1398" i="6"/>
  <c r="F1399" i="6" s="1"/>
  <c r="F1401" i="6" s="1"/>
  <c r="F1392" i="6"/>
  <c r="F1391" i="6"/>
  <c r="F1390" i="6"/>
  <c r="F1384" i="6"/>
  <c r="F1385" i="6" s="1"/>
  <c r="F1387" i="6" s="1"/>
  <c r="F1378" i="6"/>
  <c r="F1377" i="6"/>
  <c r="F1376" i="6"/>
  <c r="F1370" i="6"/>
  <c r="F1371" i="6" s="1"/>
  <c r="F1373" i="6" s="1"/>
  <c r="F1364" i="6"/>
  <c r="F1365" i="6" s="1"/>
  <c r="F1367" i="6" s="1"/>
  <c r="F1358" i="6"/>
  <c r="F1359" i="6" s="1"/>
  <c r="F1361" i="6" s="1"/>
  <c r="F1354" i="6"/>
  <c r="F1355" i="6" s="1"/>
  <c r="F1348" i="6"/>
  <c r="F1349" i="6" s="1"/>
  <c r="F1351" i="6" s="1"/>
  <c r="F1342" i="6"/>
  <c r="F1343" i="6" s="1"/>
  <c r="F1345" i="6" s="1"/>
  <c r="F1336" i="6"/>
  <c r="F1337" i="6" s="1"/>
  <c r="F1339" i="6" s="1"/>
  <c r="F1330" i="6"/>
  <c r="F1329" i="6"/>
  <c r="F1328" i="6"/>
  <c r="F1327" i="6"/>
  <c r="F1326" i="6"/>
  <c r="F1325" i="6"/>
  <c r="F1324" i="6"/>
  <c r="F1323" i="6"/>
  <c r="F1322" i="6"/>
  <c r="F1321" i="6"/>
  <c r="F1315" i="6"/>
  <c r="F1314" i="6"/>
  <c r="F1308" i="6"/>
  <c r="F1309" i="6" s="1"/>
  <c r="F1311" i="6" s="1"/>
  <c r="F1302" i="6"/>
  <c r="F1303" i="6" s="1"/>
  <c r="F1305" i="6" s="1"/>
  <c r="F1296" i="6"/>
  <c r="F1297" i="6" s="1"/>
  <c r="F1299" i="6" s="1"/>
  <c r="F1290" i="6"/>
  <c r="F1289" i="6"/>
  <c r="F1283" i="6"/>
  <c r="F1282" i="6"/>
  <c r="F1276" i="6"/>
  <c r="F1275" i="6"/>
  <c r="F1274" i="6"/>
  <c r="F1273" i="6"/>
  <c r="F1267" i="6"/>
  <c r="F1268" i="6" s="1"/>
  <c r="F1270" i="6" s="1"/>
  <c r="F1261" i="6"/>
  <c r="F1262" i="6" s="1"/>
  <c r="F1264" i="6" s="1"/>
  <c r="F1255" i="6"/>
  <c r="F1256" i="6" s="1"/>
  <c r="F1258" i="6" s="1"/>
  <c r="F1249" i="6"/>
  <c r="F1250" i="6" s="1"/>
  <c r="F1252" i="6" s="1"/>
  <c r="F1243" i="6"/>
  <c r="F1242" i="6"/>
  <c r="F1241" i="6"/>
  <c r="F1240" i="6"/>
  <c r="F1234" i="6"/>
  <c r="F1233" i="6"/>
  <c r="F1227" i="6"/>
  <c r="F1228" i="6" s="1"/>
  <c r="F1230" i="6" s="1"/>
  <c r="F1221" i="6"/>
  <c r="F1222" i="6" s="1"/>
  <c r="F1224" i="6" s="1"/>
  <c r="F1215" i="6"/>
  <c r="F1216" i="6" s="1"/>
  <c r="F1218" i="6" s="1"/>
  <c r="F1207" i="6"/>
  <c r="F1206" i="6"/>
  <c r="F1205" i="6"/>
  <c r="F1204" i="6"/>
  <c r="F1203" i="6"/>
  <c r="F1202" i="6"/>
  <c r="F1201" i="6"/>
  <c r="F1200" i="6"/>
  <c r="F1199" i="6"/>
  <c r="F1193" i="6"/>
  <c r="F1192" i="6"/>
  <c r="F1186" i="6"/>
  <c r="F1185" i="6"/>
  <c r="F1179" i="6"/>
  <c r="F1180" i="6" s="1"/>
  <c r="F1182" i="6" s="1"/>
  <c r="F1173" i="6"/>
  <c r="F1172" i="6"/>
  <c r="F1171" i="6"/>
  <c r="F1170" i="6"/>
  <c r="F1164" i="6"/>
  <c r="F1163" i="6"/>
  <c r="F1162" i="6"/>
  <c r="F1161" i="6"/>
  <c r="F1160" i="6"/>
  <c r="F1159" i="6"/>
  <c r="F1153" i="6"/>
  <c r="F1152" i="6"/>
  <c r="F1151" i="6"/>
  <c r="F1145" i="6"/>
  <c r="F1146" i="6" s="1"/>
  <c r="F1148" i="6" s="1"/>
  <c r="F1139" i="6"/>
  <c r="F1140" i="6" s="1"/>
  <c r="F1142" i="6" s="1"/>
  <c r="F1133" i="6"/>
  <c r="F1134" i="6" s="1"/>
  <c r="F1136" i="6" s="1"/>
  <c r="F1127" i="6"/>
  <c r="F1126" i="6"/>
  <c r="F1120" i="6"/>
  <c r="F1121" i="6" s="1"/>
  <c r="F1123" i="6" s="1"/>
  <c r="F1114" i="6"/>
  <c r="F1115" i="6" s="1"/>
  <c r="F1117" i="6" s="1"/>
  <c r="F1108" i="6"/>
  <c r="F1107" i="6"/>
  <c r="F1106" i="6"/>
  <c r="F1105" i="6"/>
  <c r="F1099" i="6"/>
  <c r="F1100" i="6" s="1"/>
  <c r="F1102" i="6" s="1"/>
  <c r="F1093" i="6"/>
  <c r="F1092" i="6"/>
  <c r="F1091" i="6"/>
  <c r="F1090" i="6"/>
  <c r="F1089" i="6"/>
  <c r="F1088" i="6"/>
  <c r="F1082" i="6"/>
  <c r="F1083" i="6" s="1"/>
  <c r="F1085" i="6" s="1"/>
  <c r="F1076" i="6"/>
  <c r="F1077" i="6" s="1"/>
  <c r="F1079" i="6" s="1"/>
  <c r="F1070" i="6"/>
  <c r="F1071" i="6" s="1"/>
  <c r="F1073" i="6" s="1"/>
  <c r="F1064" i="6"/>
  <c r="F1063" i="6"/>
  <c r="F1057" i="6"/>
  <c r="F1058" i="6" s="1"/>
  <c r="F1060" i="6" s="1"/>
  <c r="F1051" i="6"/>
  <c r="F1050" i="6"/>
  <c r="F1049" i="6"/>
  <c r="F1048" i="6"/>
  <c r="F1042" i="6"/>
  <c r="F1041" i="6"/>
  <c r="F1035" i="6"/>
  <c r="F1034" i="6"/>
  <c r="F1028" i="6"/>
  <c r="F1029" i="6" s="1"/>
  <c r="F1031" i="6" s="1"/>
  <c r="F1022" i="6"/>
  <c r="F1021" i="6"/>
  <c r="F1020" i="6"/>
  <c r="F1008" i="6"/>
  <c r="F1015" i="6" s="1"/>
  <c r="F1017" i="6" s="1"/>
  <c r="F1002" i="6"/>
  <c r="F1003" i="6" s="1"/>
  <c r="F1005" i="6" s="1"/>
  <c r="F996" i="6"/>
  <c r="F995" i="6"/>
  <c r="F994" i="6"/>
  <c r="F988" i="6"/>
  <c r="F989" i="6" s="1"/>
  <c r="F991" i="6" s="1"/>
  <c r="F980" i="6"/>
  <c r="F979" i="6"/>
  <c r="F978" i="6"/>
  <c r="F977" i="6"/>
  <c r="F976" i="6"/>
  <c r="F970" i="6"/>
  <c r="F969" i="6"/>
  <c r="F963" i="6"/>
  <c r="F964" i="6" s="1"/>
  <c r="F966" i="6" s="1"/>
  <c r="F957" i="6"/>
  <c r="F956" i="6"/>
  <c r="F950" i="6"/>
  <c r="F951" i="6" s="1"/>
  <c r="F953" i="6" s="1"/>
  <c r="F944" i="6"/>
  <c r="F945" i="6" s="1"/>
  <c r="F947" i="6" s="1"/>
  <c r="F938" i="6"/>
  <c r="F939" i="6" s="1"/>
  <c r="F941" i="6" s="1"/>
  <c r="F932" i="6"/>
  <c r="F933" i="6" s="1"/>
  <c r="F935" i="6" s="1"/>
  <c r="F926" i="6"/>
  <c r="F925" i="6"/>
  <c r="F919" i="6"/>
  <c r="F918" i="6"/>
  <c r="F917" i="6"/>
  <c r="F916" i="6"/>
  <c r="F910" i="6"/>
  <c r="F911" i="6" s="1"/>
  <c r="F913" i="6" s="1"/>
  <c r="F904" i="6"/>
  <c r="F905" i="6" s="1"/>
  <c r="F907" i="6" s="1"/>
  <c r="F898" i="6"/>
  <c r="F897" i="6"/>
  <c r="F891" i="6"/>
  <c r="F892" i="6" s="1"/>
  <c r="F894" i="6" s="1"/>
  <c r="F885" i="6"/>
  <c r="F886" i="6" s="1"/>
  <c r="F888" i="6" s="1"/>
  <c r="F879" i="6"/>
  <c r="F880" i="6" s="1"/>
  <c r="F882" i="6" s="1"/>
  <c r="F873" i="6"/>
  <c r="F872" i="6"/>
  <c r="F866" i="6"/>
  <c r="F867" i="6" s="1"/>
  <c r="F869" i="6" s="1"/>
  <c r="F860" i="6"/>
  <c r="F859" i="6"/>
  <c r="F858" i="6"/>
  <c r="F857" i="6"/>
  <c r="F856" i="6"/>
  <c r="F850" i="6"/>
  <c r="F849" i="6"/>
  <c r="F843" i="6"/>
  <c r="F844" i="6" s="1"/>
  <c r="F846" i="6" s="1"/>
  <c r="F831" i="6"/>
  <c r="F838" i="6" s="1"/>
  <c r="F840" i="6" s="1"/>
  <c r="F825" i="6"/>
  <c r="F824" i="6"/>
  <c r="F823" i="6"/>
  <c r="F817" i="6"/>
  <c r="F818" i="6" s="1"/>
  <c r="F820" i="6" s="1"/>
  <c r="F811" i="6"/>
  <c r="F812" i="6" s="1"/>
  <c r="F814" i="6" s="1"/>
  <c r="F805" i="6"/>
  <c r="F806" i="6" s="1"/>
  <c r="F808" i="6" s="1"/>
  <c r="F799" i="6"/>
  <c r="F798" i="6"/>
  <c r="F797" i="6"/>
  <c r="F796" i="6"/>
  <c r="F790" i="6"/>
  <c r="F789" i="6"/>
  <c r="F783" i="6"/>
  <c r="F782" i="6"/>
  <c r="F776" i="6"/>
  <c r="F775" i="6"/>
  <c r="F769" i="6"/>
  <c r="F768" i="6"/>
  <c r="F762" i="6"/>
  <c r="F763" i="6" s="1"/>
  <c r="F765" i="6" s="1"/>
  <c r="F756" i="6"/>
  <c r="F757" i="6" s="1"/>
  <c r="F759" i="6" s="1"/>
  <c r="F748" i="6"/>
  <c r="F749" i="6" s="1"/>
  <c r="F751" i="6" s="1"/>
  <c r="F753" i="6" s="1"/>
  <c r="F740" i="6"/>
  <c r="F739" i="6"/>
  <c r="F738" i="6"/>
  <c r="F737" i="6"/>
  <c r="F729" i="6"/>
  <c r="F728" i="6"/>
  <c r="F727" i="6"/>
  <c r="F726" i="6"/>
  <c r="F720" i="6"/>
  <c r="F719" i="6"/>
  <c r="F713" i="6"/>
  <c r="F712" i="6"/>
  <c r="F706" i="6"/>
  <c r="F705" i="6"/>
  <c r="F704" i="6"/>
  <c r="F703" i="6"/>
  <c r="F702" i="6"/>
  <c r="F701" i="6"/>
  <c r="F695" i="6"/>
  <c r="F694" i="6"/>
  <c r="F693" i="6"/>
  <c r="F692" i="6"/>
  <c r="F691" i="6"/>
  <c r="F685" i="6"/>
  <c r="F684" i="6"/>
  <c r="F678" i="6"/>
  <c r="F677" i="6"/>
  <c r="F671" i="6"/>
  <c r="F670" i="6"/>
  <c r="F669" i="6"/>
  <c r="F663" i="6"/>
  <c r="F662" i="6"/>
  <c r="F656" i="6"/>
  <c r="F655" i="6"/>
  <c r="F649" i="6"/>
  <c r="F650" i="6" s="1"/>
  <c r="F652" i="6" s="1"/>
  <c r="F643" i="6"/>
  <c r="F642" i="6"/>
  <c r="F636" i="6"/>
  <c r="F637" i="6" s="1"/>
  <c r="F639" i="6" s="1"/>
  <c r="F630" i="6"/>
  <c r="F629" i="6"/>
  <c r="F628" i="6"/>
  <c r="F627" i="6"/>
  <c r="F626" i="6"/>
  <c r="F625" i="6"/>
  <c r="F624" i="6"/>
  <c r="F623" i="6"/>
  <c r="F622" i="6"/>
  <c r="F621" i="6"/>
  <c r="F620" i="6"/>
  <c r="F619" i="6"/>
  <c r="F618" i="6"/>
  <c r="F617" i="6"/>
  <c r="F616" i="6"/>
  <c r="F610" i="6"/>
  <c r="F611" i="6" s="1"/>
  <c r="F613" i="6" s="1"/>
  <c r="F604" i="6"/>
  <c r="F605" i="6" s="1"/>
  <c r="F607" i="6" s="1"/>
  <c r="F598" i="6"/>
  <c r="F599" i="6" s="1"/>
  <c r="F601" i="6" s="1"/>
  <c r="F592" i="6"/>
  <c r="F593" i="6" s="1"/>
  <c r="F595" i="6" s="1"/>
  <c r="F586" i="6"/>
  <c r="F587" i="6" s="1"/>
  <c r="F589" i="6" s="1"/>
  <c r="F580" i="6"/>
  <c r="F581" i="6" s="1"/>
  <c r="F583" i="6" s="1"/>
  <c r="F574" i="6"/>
  <c r="F573" i="6"/>
  <c r="F567" i="6"/>
  <c r="F568" i="6" s="1"/>
  <c r="F570" i="6" s="1"/>
  <c r="F561" i="6"/>
  <c r="F562" i="6" s="1"/>
  <c r="F564" i="6" s="1"/>
  <c r="F555" i="6"/>
  <c r="F556" i="6" s="1"/>
  <c r="F558" i="6" s="1"/>
  <c r="F549" i="6"/>
  <c r="F550" i="6" s="1"/>
  <c r="F552" i="6" s="1"/>
  <c r="F543" i="6"/>
  <c r="F542" i="6"/>
  <c r="F541" i="6"/>
  <c r="F535" i="6"/>
  <c r="F536" i="6" s="1"/>
  <c r="F538" i="6" s="1"/>
  <c r="F529" i="6"/>
  <c r="F530" i="6" s="1"/>
  <c r="F532" i="6" s="1"/>
  <c r="F523" i="6"/>
  <c r="F524" i="6" s="1"/>
  <c r="F526" i="6" s="1"/>
  <c r="F517" i="6"/>
  <c r="F516" i="6"/>
  <c r="F510" i="6"/>
  <c r="F509" i="6"/>
  <c r="F503" i="6"/>
  <c r="F504" i="6" s="1"/>
  <c r="F506" i="6" s="1"/>
  <c r="F497" i="6"/>
  <c r="F498" i="6" s="1"/>
  <c r="F500" i="6" s="1"/>
  <c r="F491" i="6"/>
  <c r="F492" i="6" s="1"/>
  <c r="F494" i="6" s="1"/>
  <c r="F485" i="6"/>
  <c r="F484" i="6"/>
  <c r="F483" i="6"/>
  <c r="F477" i="6"/>
  <c r="F478" i="6" s="1"/>
  <c r="F480" i="6" s="1"/>
  <c r="F471" i="6"/>
  <c r="F472" i="6" s="1"/>
  <c r="F474" i="6" s="1"/>
  <c r="F465" i="6"/>
  <c r="F466" i="6" s="1"/>
  <c r="F468" i="6" s="1"/>
  <c r="F459" i="6"/>
  <c r="F460" i="6" s="1"/>
  <c r="F462" i="6" s="1"/>
  <c r="F453" i="6"/>
  <c r="F454" i="6" s="1"/>
  <c r="F456" i="6" s="1"/>
  <c r="F447" i="6"/>
  <c r="F446" i="6"/>
  <c r="F445" i="6"/>
  <c r="F444" i="6"/>
  <c r="F438" i="6"/>
  <c r="F437" i="6"/>
  <c r="F431" i="6"/>
  <c r="F430" i="6"/>
  <c r="F424" i="6"/>
  <c r="F425" i="6" s="1"/>
  <c r="F427" i="6" s="1"/>
  <c r="F418" i="6"/>
  <c r="F419" i="6" s="1"/>
  <c r="F421" i="6" s="1"/>
  <c r="F412" i="6"/>
  <c r="F411" i="6"/>
  <c r="F405" i="6"/>
  <c r="F406" i="6" s="1"/>
  <c r="F408" i="6" s="1"/>
  <c r="F399" i="6"/>
  <c r="F398" i="6"/>
  <c r="F397" i="6"/>
  <c r="F391" i="6"/>
  <c r="F392" i="6" s="1"/>
  <c r="F394" i="6" s="1"/>
  <c r="F385" i="6"/>
  <c r="F386" i="6" s="1"/>
  <c r="F388" i="6" s="1"/>
  <c r="F379" i="6"/>
  <c r="F380" i="6" s="1"/>
  <c r="F382" i="6" s="1"/>
  <c r="F373" i="6"/>
  <c r="F374" i="6" s="1"/>
  <c r="F376" i="6" s="1"/>
  <c r="F367" i="6"/>
  <c r="F368" i="6" s="1"/>
  <c r="F370" i="6" s="1"/>
  <c r="F361" i="6"/>
  <c r="F362" i="6" s="1"/>
  <c r="F364" i="6" s="1"/>
  <c r="F355" i="6"/>
  <c r="F356" i="6" s="1"/>
  <c r="F358" i="6" s="1"/>
  <c r="F349" i="6"/>
  <c r="F350" i="6" s="1"/>
  <c r="F352" i="6" s="1"/>
  <c r="F343" i="6"/>
  <c r="F344" i="6" s="1"/>
  <c r="F346" i="6" s="1"/>
  <c r="F337" i="6"/>
  <c r="F335" i="6"/>
  <c r="F334" i="6"/>
  <c r="F333" i="6"/>
  <c r="F332" i="6"/>
  <c r="F330" i="6"/>
  <c r="F329" i="6"/>
  <c r="F328" i="6"/>
  <c r="F327" i="6"/>
  <c r="F326" i="6"/>
  <c r="F325" i="6"/>
  <c r="F323" i="6"/>
  <c r="F322" i="6"/>
  <c r="F321" i="6"/>
  <c r="F320" i="6"/>
  <c r="F319" i="6"/>
  <c r="F318" i="6"/>
  <c r="F317" i="6"/>
  <c r="F310" i="6"/>
  <c r="F311" i="6" s="1"/>
  <c r="F313" i="6" s="1"/>
  <c r="F305" i="6"/>
  <c r="F307" i="6" s="1"/>
  <c r="F303" i="6"/>
  <c r="F297" i="6"/>
  <c r="F298" i="6" s="1"/>
  <c r="F300" i="6" s="1"/>
  <c r="F291" i="6"/>
  <c r="F292" i="6" s="1"/>
  <c r="F294" i="6" s="1"/>
  <c r="F285" i="6"/>
  <c r="F284" i="6"/>
  <c r="F278" i="6"/>
  <c r="F279" i="6" s="1"/>
  <c r="F281" i="6" s="1"/>
  <c r="F275" i="6"/>
  <c r="F272" i="6"/>
  <c r="F266" i="6"/>
  <c r="F267" i="6" s="1"/>
  <c r="F269" i="6" s="1"/>
  <c r="F260" i="6"/>
  <c r="F261" i="6" s="1"/>
  <c r="F263" i="6" s="1"/>
  <c r="F254" i="6"/>
  <c r="F253" i="6"/>
  <c r="F252" i="6"/>
  <c r="F246" i="6"/>
  <c r="F245" i="6"/>
  <c r="F239" i="6"/>
  <c r="F240" i="6" s="1"/>
  <c r="F242" i="6" s="1"/>
  <c r="F233" i="6"/>
  <c r="F232" i="6"/>
  <c r="F226" i="6"/>
  <c r="F227" i="6" s="1"/>
  <c r="F229" i="6" s="1"/>
  <c r="F220" i="6"/>
  <c r="F221" i="6" s="1"/>
  <c r="F223" i="6" s="1"/>
  <c r="F214" i="6"/>
  <c r="F215" i="6" s="1"/>
  <c r="F217" i="6" s="1"/>
  <c r="F208" i="6"/>
  <c r="F207" i="6"/>
  <c r="F201" i="6"/>
  <c r="F200" i="6"/>
  <c r="F199" i="6"/>
  <c r="F198" i="6"/>
  <c r="F197" i="6"/>
  <c r="F191" i="6"/>
  <c r="F190" i="6"/>
  <c r="F184" i="6"/>
  <c r="F183" i="6"/>
  <c r="F182" i="6"/>
  <c r="F176" i="6"/>
  <c r="F177" i="6" s="1"/>
  <c r="F179" i="6" s="1"/>
  <c r="F170" i="6"/>
  <c r="F169" i="6"/>
  <c r="F163" i="6"/>
  <c r="F162" i="6"/>
  <c r="F156" i="6"/>
  <c r="F157" i="6" s="1"/>
  <c r="F159" i="6" s="1"/>
  <c r="F150" i="6"/>
  <c r="F149" i="6"/>
  <c r="F143" i="6"/>
  <c r="F144" i="6" s="1"/>
  <c r="F146" i="6" s="1"/>
  <c r="F137" i="6"/>
  <c r="F138" i="6" s="1"/>
  <c r="F140" i="6" s="1"/>
  <c r="F131" i="6"/>
  <c r="F130" i="6"/>
  <c r="F129" i="6"/>
  <c r="F128" i="6"/>
  <c r="F122" i="6"/>
  <c r="F123" i="6" s="1"/>
  <c r="F125" i="6" s="1"/>
  <c r="F116" i="6"/>
  <c r="F117" i="6" s="1"/>
  <c r="F119" i="6" s="1"/>
  <c r="F110" i="6"/>
  <c r="F111" i="6" s="1"/>
  <c r="F113" i="6" s="1"/>
  <c r="F104" i="6"/>
  <c r="F105" i="6" s="1"/>
  <c r="F107" i="6" s="1"/>
  <c r="F98" i="6"/>
  <c r="F99" i="6" s="1"/>
  <c r="F101" i="6" s="1"/>
  <c r="G93" i="6"/>
  <c r="G95" i="6" s="1"/>
  <c r="F86" i="6"/>
  <c r="F87" i="6" s="1"/>
  <c r="F89" i="6" s="1"/>
  <c r="F80" i="6"/>
  <c r="F81" i="6" s="1"/>
  <c r="F83" i="6" s="1"/>
  <c r="F74" i="6"/>
  <c r="F73" i="6"/>
  <c r="F72" i="6"/>
  <c r="F66" i="6"/>
  <c r="F67" i="6" s="1"/>
  <c r="F69" i="6" s="1"/>
  <c r="F60" i="6"/>
  <c r="F61" i="6" s="1"/>
  <c r="F63" i="6" s="1"/>
  <c r="F54" i="6"/>
  <c r="F55" i="6" s="1"/>
  <c r="F57" i="6" s="1"/>
  <c r="F48" i="6"/>
  <c r="F47" i="6"/>
  <c r="F46" i="6"/>
  <c r="F45" i="6"/>
  <c r="F44" i="6"/>
  <c r="F38" i="6"/>
  <c r="F37" i="6"/>
  <c r="F36" i="6"/>
  <c r="F35" i="6"/>
  <c r="F29" i="6"/>
  <c r="F28" i="6"/>
  <c r="F27" i="6"/>
  <c r="F21" i="6"/>
  <c r="F20" i="6"/>
  <c r="F14" i="6"/>
  <c r="F15" i="6" s="1"/>
  <c r="F17" i="6" s="1"/>
  <c r="F8" i="6"/>
  <c r="F9" i="6" s="1"/>
  <c r="F11" i="6" s="1"/>
  <c r="F2" i="6"/>
  <c r="F3" i="6" s="1"/>
  <c r="F5" i="6" s="1"/>
  <c r="G170" i="4"/>
  <c r="G178" i="4" s="1"/>
  <c r="G163" i="4"/>
  <c r="G165" i="4" s="1"/>
  <c r="G156" i="4"/>
  <c r="G158" i="4" s="1"/>
  <c r="G151" i="4"/>
  <c r="K145" i="4"/>
  <c r="G135" i="4"/>
  <c r="K130" i="4"/>
  <c r="K127" i="4"/>
  <c r="K116" i="4"/>
  <c r="L116" i="4" s="1"/>
  <c r="L111" i="4"/>
  <c r="G111" i="4"/>
  <c r="L108" i="4"/>
  <c r="L102" i="4"/>
  <c r="L99" i="4"/>
  <c r="G99" i="4"/>
  <c r="L96" i="4"/>
  <c r="G96" i="4"/>
  <c r="L93" i="4"/>
  <c r="G93" i="4"/>
  <c r="G90" i="4"/>
  <c r="G83" i="4"/>
  <c r="G70" i="4"/>
  <c r="G59" i="4"/>
  <c r="G65" i="4" s="1"/>
  <c r="G50" i="4"/>
  <c r="G46" i="4"/>
  <c r="G35" i="4"/>
  <c r="G37" i="4" s="1"/>
  <c r="G32" i="4"/>
  <c r="P8" i="4"/>
  <c r="K8" i="4"/>
  <c r="P7" i="4"/>
  <c r="K7" i="4"/>
  <c r="P6" i="4"/>
  <c r="K6" i="4"/>
  <c r="P5" i="4"/>
  <c r="K5" i="4"/>
  <c r="P4" i="4"/>
  <c r="K4" i="4"/>
  <c r="P3" i="4"/>
  <c r="K3" i="4"/>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 r="F4475" i="6" l="1"/>
  <c r="F4477" i="6" s="1"/>
  <c r="F1499" i="6"/>
  <c r="F1501" i="6" s="1"/>
  <c r="F4702" i="6"/>
  <c r="F1461" i="6"/>
  <c r="F1463" i="6" s="1"/>
  <c r="F4585" i="6"/>
  <c r="F4586" i="6" s="1"/>
  <c r="F4587" i="6" s="1"/>
  <c r="F3584" i="6"/>
  <c r="F3586" i="6" s="1"/>
  <c r="K5545" i="6"/>
  <c r="K5546" i="6" s="1"/>
  <c r="K5547" i="6" s="1"/>
  <c r="F679" i="6"/>
  <c r="F681" i="6" s="1"/>
  <c r="F4538" i="6"/>
  <c r="F4539" i="6" s="1"/>
  <c r="F4540" i="6" s="1"/>
  <c r="F2145" i="6"/>
  <c r="F2147" i="6" s="1"/>
  <c r="F2368" i="6"/>
  <c r="F2370" i="6" s="1"/>
  <c r="F4131" i="6"/>
  <c r="F4133" i="6" s="1"/>
  <c r="F4319" i="6"/>
  <c r="F4321" i="6" s="1"/>
  <c r="F4403" i="6"/>
  <c r="F4442" i="6"/>
  <c r="F413" i="6"/>
  <c r="F415" i="6" s="1"/>
  <c r="F1747" i="6"/>
  <c r="F1749" i="6" s="1"/>
  <c r="F1887" i="6"/>
  <c r="F1889" i="6" s="1"/>
  <c r="F3372" i="6"/>
  <c r="F3374" i="6" s="1"/>
  <c r="F75" i="6"/>
  <c r="F77" i="6" s="1"/>
  <c r="F518" i="6"/>
  <c r="F520" i="6" s="1"/>
  <c r="F1578" i="6"/>
  <c r="F1580" i="6" s="1"/>
  <c r="F1592" i="6"/>
  <c r="F1594" i="6" s="1"/>
  <c r="F3314" i="6"/>
  <c r="F3316" i="6" s="1"/>
  <c r="F4152" i="6"/>
  <c r="F4154" i="6" s="1"/>
  <c r="F4171" i="6"/>
  <c r="F4173" i="6" s="1"/>
  <c r="F4175" i="6" s="1"/>
  <c r="F4284" i="6"/>
  <c r="F4286" i="6" s="1"/>
  <c r="F4522" i="6"/>
  <c r="F4523" i="6" s="1"/>
  <c r="F4524" i="6" s="1"/>
  <c r="F5056" i="6"/>
  <c r="F5058" i="6" s="1"/>
  <c r="F5059" i="6" s="1"/>
  <c r="F5675" i="6"/>
  <c r="F5676" i="6" s="1"/>
  <c r="F5677" i="6" s="1"/>
  <c r="F286" i="6"/>
  <c r="F288" i="6" s="1"/>
  <c r="F686" i="6"/>
  <c r="F688" i="6" s="1"/>
  <c r="F899" i="6"/>
  <c r="F901" i="6" s="1"/>
  <c r="F1754" i="6"/>
  <c r="F1756" i="6" s="1"/>
  <c r="F2412" i="6"/>
  <c r="F2414" i="6" s="1"/>
  <c r="F2957" i="6"/>
  <c r="F2959" i="6" s="1"/>
  <c r="F4073" i="6"/>
  <c r="F4075" i="6" s="1"/>
  <c r="F4783" i="6"/>
  <c r="F4784" i="6" s="1"/>
  <c r="F4826" i="6"/>
  <c r="F4827" i="6" s="1"/>
  <c r="F4833" i="6"/>
  <c r="F4834" i="6" s="1"/>
  <c r="F5016" i="6"/>
  <c r="F5017" i="6" s="1"/>
  <c r="F5018" i="6" s="1"/>
  <c r="F5441" i="6"/>
  <c r="F5442" i="6" s="1"/>
  <c r="F5443" i="6" s="1"/>
  <c r="F5444" i="6" s="1"/>
  <c r="F696" i="6"/>
  <c r="F698" i="6" s="1"/>
  <c r="F4060" i="6"/>
  <c r="F4062" i="6" s="1"/>
  <c r="F4211" i="6"/>
  <c r="F4213" i="6" s="1"/>
  <c r="F5473" i="6"/>
  <c r="F5474" i="6" s="1"/>
  <c r="F5475" i="6" s="1"/>
  <c r="F338" i="6"/>
  <c r="F340" i="6" s="1"/>
  <c r="F777" i="6"/>
  <c r="F779" i="6" s="1"/>
  <c r="F791" i="6"/>
  <c r="F793" i="6" s="1"/>
  <c r="F997" i="6"/>
  <c r="F999" i="6" s="1"/>
  <c r="F1187" i="6"/>
  <c r="F1189" i="6" s="1"/>
  <c r="F1393" i="6"/>
  <c r="F1395" i="6" s="1"/>
  <c r="F2726" i="6"/>
  <c r="F2728" i="6" s="1"/>
  <c r="F2882" i="6"/>
  <c r="F2884" i="6" s="1"/>
  <c r="F2891" i="6"/>
  <c r="F2893" i="6" s="1"/>
  <c r="F4482" i="6"/>
  <c r="F4484" i="6" s="1"/>
  <c r="F4515" i="6"/>
  <c r="F5099" i="6"/>
  <c r="F5162" i="6"/>
  <c r="F5163" i="6" s="1"/>
  <c r="F5164" i="6" s="1"/>
  <c r="F192" i="6"/>
  <c r="F194" i="6" s="1"/>
  <c r="F1094" i="6"/>
  <c r="F1096" i="6" s="1"/>
  <c r="F3525" i="6"/>
  <c r="F3527" i="6" s="1"/>
  <c r="F209" i="6"/>
  <c r="F211" i="6" s="1"/>
  <c r="F247" i="6"/>
  <c r="F249" i="6" s="1"/>
  <c r="F511" i="6"/>
  <c r="F513" i="6" s="1"/>
  <c r="F644" i="6"/>
  <c r="F646" i="6" s="1"/>
  <c r="F958" i="6"/>
  <c r="F960" i="6" s="1"/>
  <c r="F1036" i="6"/>
  <c r="F1038" i="6" s="1"/>
  <c r="F1895" i="6"/>
  <c r="F1897" i="6" s="1"/>
  <c r="F2062" i="6"/>
  <c r="F2064" i="6" s="1"/>
  <c r="F2108" i="6"/>
  <c r="F2426" i="6"/>
  <c r="F2428" i="6" s="1"/>
  <c r="F3124" i="6"/>
  <c r="F3126" i="6" s="1"/>
  <c r="F3199" i="6"/>
  <c r="F3201" i="6" s="1"/>
  <c r="F3227" i="6"/>
  <c r="F3404" i="6"/>
  <c r="F3406" i="6" s="1"/>
  <c r="F4751" i="6"/>
  <c r="F4752" i="6" s="1"/>
  <c r="F4753" i="6" s="1"/>
  <c r="F4759" i="6"/>
  <c r="F4760" i="6" s="1"/>
  <c r="F4761" i="6" s="1"/>
  <c r="F5545" i="6"/>
  <c r="F5546" i="6" s="1"/>
  <c r="F5547" i="6" s="1"/>
  <c r="F49" i="6"/>
  <c r="F51" i="6" s="1"/>
  <c r="K135" i="4"/>
  <c r="F400" i="6"/>
  <c r="F402" i="6" s="1"/>
  <c r="F1930" i="6"/>
  <c r="F1932" i="6" s="1"/>
  <c r="F2138" i="6"/>
  <c r="F2140" i="6" s="1"/>
  <c r="F2491" i="6"/>
  <c r="F2493" i="6" s="1"/>
  <c r="F4720" i="6"/>
  <c r="F4721" i="6" s="1"/>
  <c r="F4722" i="6" s="1"/>
  <c r="F5197" i="6"/>
  <c r="F5198" i="6" s="1"/>
  <c r="F5199" i="6" s="1"/>
  <c r="F5571" i="6"/>
  <c r="F5584" i="6"/>
  <c r="F5585" i="6" s="1"/>
  <c r="F5586" i="6" s="1"/>
  <c r="F4776" i="6"/>
  <c r="F4777" i="6" s="1"/>
  <c r="F39" i="6"/>
  <c r="F41" i="6" s="1"/>
  <c r="F826" i="6"/>
  <c r="F828" i="6" s="1"/>
  <c r="F861" i="6"/>
  <c r="F863" i="6" s="1"/>
  <c r="F1165" i="6"/>
  <c r="F1167" i="6" s="1"/>
  <c r="F2653" i="6"/>
  <c r="F3990" i="6"/>
  <c r="F3992" i="6" s="1"/>
  <c r="F4970" i="6"/>
  <c r="F4971" i="6" s="1"/>
  <c r="F4972" i="6" s="1"/>
  <c r="F5495" i="6"/>
  <c r="F439" i="6"/>
  <c r="F441" i="6" s="1"/>
  <c r="F1154" i="6"/>
  <c r="F1156" i="6" s="1"/>
  <c r="F1817" i="6"/>
  <c r="F1819" i="6" s="1"/>
  <c r="F1866" i="6"/>
  <c r="F1868" i="6" s="1"/>
  <c r="F2225" i="6"/>
  <c r="F2227" i="6" s="1"/>
  <c r="F2337" i="6"/>
  <c r="F2339" i="6" s="1"/>
  <c r="F2574" i="6"/>
  <c r="F2576" i="6" s="1"/>
  <c r="F2923" i="6"/>
  <c r="F2925" i="6" s="1"/>
  <c r="F3083" i="6"/>
  <c r="F3085" i="6" s="1"/>
  <c r="F3333" i="6"/>
  <c r="F3335" i="6" s="1"/>
  <c r="F3457" i="6"/>
  <c r="F3459" i="6" s="1"/>
  <c r="F3477" i="6"/>
  <c r="F3479" i="6" s="1"/>
  <c r="F3493" i="6"/>
  <c r="F3495" i="6" s="1"/>
  <c r="F3643" i="6"/>
  <c r="F3645" i="6" s="1"/>
  <c r="F3714" i="6"/>
  <c r="F3716" i="6" s="1"/>
  <c r="F3728" i="6"/>
  <c r="F3730" i="6" s="1"/>
  <c r="F3741" i="6"/>
  <c r="F3743" i="6" s="1"/>
  <c r="F3755" i="6"/>
  <c r="F3778" i="6"/>
  <c r="F3806" i="6"/>
  <c r="F3808" i="6" s="1"/>
  <c r="F5216" i="6"/>
  <c r="F5217" i="6" s="1"/>
  <c r="F5218" i="6" s="1"/>
  <c r="F5369" i="6"/>
  <c r="F5370" i="6" s="1"/>
  <c r="F5371" i="6" s="1"/>
  <c r="L114" i="4"/>
  <c r="F30" i="6"/>
  <c r="F32" i="6" s="1"/>
  <c r="F164" i="6"/>
  <c r="F166" i="6" s="1"/>
  <c r="F664" i="6"/>
  <c r="F666" i="6" s="1"/>
  <c r="F721" i="6"/>
  <c r="F723" i="6" s="1"/>
  <c r="F874" i="6"/>
  <c r="F876" i="6" s="1"/>
  <c r="F920" i="6"/>
  <c r="F922" i="6" s="1"/>
  <c r="F927" i="6"/>
  <c r="F929" i="6" s="1"/>
  <c r="F1043" i="6"/>
  <c r="F1045" i="6" s="1"/>
  <c r="F1109" i="6"/>
  <c r="F1111" i="6" s="1"/>
  <c r="F1379" i="6"/>
  <c r="F1381" i="6" s="1"/>
  <c r="F1468" i="6"/>
  <c r="F1470" i="6" s="1"/>
  <c r="F1688" i="6"/>
  <c r="F1690" i="6" s="1"/>
  <c r="F1734" i="6"/>
  <c r="F1736" i="6" s="1"/>
  <c r="F1762" i="6"/>
  <c r="F1764" i="6" s="1"/>
  <c r="F1874" i="6"/>
  <c r="F1876" i="6" s="1"/>
  <c r="F1982" i="6"/>
  <c r="F1984" i="6" s="1"/>
  <c r="F2055" i="6"/>
  <c r="F2057" i="6" s="1"/>
  <c r="F2121" i="6"/>
  <c r="F2123" i="6" s="1"/>
  <c r="F2465" i="6"/>
  <c r="F2467" i="6" s="1"/>
  <c r="F2811" i="6"/>
  <c r="F2813" i="6" s="1"/>
  <c r="F3010" i="6"/>
  <c r="F3012" i="6" s="1"/>
  <c r="F3218" i="6"/>
  <c r="F3450" i="6"/>
  <c r="F3452" i="6" s="1"/>
  <c r="F3592" i="6"/>
  <c r="F3594" i="6" s="1"/>
  <c r="F4035" i="6"/>
  <c r="F4037" i="6" s="1"/>
  <c r="F4042" i="6"/>
  <c r="F4044" i="6" s="1"/>
  <c r="F4301" i="6"/>
  <c r="F4303" i="6" s="1"/>
  <c r="F4562" i="6"/>
  <c r="F4610" i="6"/>
  <c r="F4611" i="6" s="1"/>
  <c r="F4612" i="6" s="1"/>
  <c r="F4657" i="6"/>
  <c r="F4658" i="6" s="1"/>
  <c r="F4869" i="6"/>
  <c r="F4870" i="6" s="1"/>
  <c r="F4923" i="6"/>
  <c r="F4924" i="6" s="1"/>
  <c r="F5135" i="6"/>
  <c r="F5137" i="6" s="1"/>
  <c r="F5319" i="6"/>
  <c r="F5320" i="6" s="1"/>
  <c r="F5321" i="6" s="1"/>
  <c r="F5389" i="6"/>
  <c r="F5390" i="6" s="1"/>
  <c r="F5391" i="6" s="1"/>
  <c r="F5577" i="6"/>
  <c r="F5578" i="6" s="1"/>
  <c r="F5579" i="6" s="1"/>
  <c r="K5637" i="6"/>
  <c r="K5638" i="6" s="1"/>
  <c r="K5639" i="6" s="1"/>
  <c r="G54" i="4"/>
  <c r="F22" i="6"/>
  <c r="F24" i="6" s="1"/>
  <c r="F151" i="6"/>
  <c r="F153" i="6" s="1"/>
  <c r="F672" i="6"/>
  <c r="F674" i="6" s="1"/>
  <c r="F4805" i="6"/>
  <c r="F4806" i="6" s="1"/>
  <c r="F132" i="6"/>
  <c r="F134" i="6" s="1"/>
  <c r="F171" i="6"/>
  <c r="F173" i="6" s="1"/>
  <c r="F234" i="6"/>
  <c r="F236" i="6" s="1"/>
  <c r="F255" i="6"/>
  <c r="F257" i="6" s="1"/>
  <c r="F448" i="6"/>
  <c r="F450" i="6" s="1"/>
  <c r="F707" i="6"/>
  <c r="F709" i="6" s="1"/>
  <c r="F1194" i="6"/>
  <c r="F1196" i="6" s="1"/>
  <c r="F1638" i="6"/>
  <c r="F1640" i="6" s="1"/>
  <c r="F1825" i="6"/>
  <c r="F1827" i="6" s="1"/>
  <c r="F1975" i="6"/>
  <c r="F1977" i="6" s="1"/>
  <c r="F2130" i="6"/>
  <c r="F2132" i="6" s="1"/>
  <c r="F2239" i="6"/>
  <c r="F2241" i="6" s="1"/>
  <c r="F2243" i="6" s="1"/>
  <c r="F2437" i="6"/>
  <c r="F2439" i="6" s="1"/>
  <c r="F2555" i="6"/>
  <c r="F2557" i="6" s="1"/>
  <c r="F2609" i="6"/>
  <c r="F2611" i="6" s="1"/>
  <c r="F2859" i="6"/>
  <c r="F2861" i="6" s="1"/>
  <c r="F3106" i="6"/>
  <c r="F3108" i="6" s="1"/>
  <c r="F3145" i="6"/>
  <c r="F3147" i="6" s="1"/>
  <c r="F3266" i="6"/>
  <c r="F3268" i="6" s="1"/>
  <c r="F3270" i="6" s="1"/>
  <c r="F3365" i="6"/>
  <c r="F3367" i="6" s="1"/>
  <c r="F3693" i="6"/>
  <c r="F3695" i="6" s="1"/>
  <c r="F3912" i="6"/>
  <c r="F3925" i="6"/>
  <c r="F3927" i="6" s="1"/>
  <c r="F4269" i="6"/>
  <c r="F4271" i="6" s="1"/>
  <c r="F4273" i="6" s="1"/>
  <c r="F4356" i="6"/>
  <c r="F4358" i="6" s="1"/>
  <c r="F185" i="6"/>
  <c r="F187" i="6" s="1"/>
  <c r="F202" i="6"/>
  <c r="F204" i="6" s="1"/>
  <c r="F432" i="6"/>
  <c r="F434" i="6" s="1"/>
  <c r="F657" i="6"/>
  <c r="F659" i="6" s="1"/>
  <c r="F770" i="6"/>
  <c r="F772" i="6" s="1"/>
  <c r="F784" i="6"/>
  <c r="F786" i="6" s="1"/>
  <c r="F800" i="6"/>
  <c r="F802" i="6" s="1"/>
  <c r="F851" i="6"/>
  <c r="F853" i="6" s="1"/>
  <c r="F1065" i="6"/>
  <c r="F1067" i="6" s="1"/>
  <c r="F1128" i="6"/>
  <c r="F1130" i="6" s="1"/>
  <c r="F1244" i="6"/>
  <c r="F1246" i="6" s="1"/>
  <c r="F1437" i="6"/>
  <c r="F1439" i="6" s="1"/>
  <c r="F1454" i="6"/>
  <c r="F1456" i="6" s="1"/>
  <c r="F1674" i="6"/>
  <c r="F1676" i="6" s="1"/>
  <c r="F1702" i="6"/>
  <c r="F1704" i="6" s="1"/>
  <c r="F1778" i="6"/>
  <c r="F1780" i="6" s="1"/>
  <c r="F1847" i="6"/>
  <c r="F1849" i="6" s="1"/>
  <c r="F4572" i="6"/>
  <c r="F4573" i="6" s="1"/>
  <c r="F4671" i="6"/>
  <c r="F4672" i="6" s="1"/>
  <c r="F4841" i="6"/>
  <c r="F4842" i="6" s="1"/>
  <c r="F4855" i="6"/>
  <c r="F4933" i="6"/>
  <c r="F4934" i="6" s="1"/>
  <c r="F4984" i="6"/>
  <c r="F4986" i="6" s="1"/>
  <c r="F5426" i="6"/>
  <c r="F5427" i="6" s="1"/>
  <c r="F5428" i="6" s="1"/>
  <c r="F486" i="6"/>
  <c r="F488" i="6" s="1"/>
  <c r="F544" i="6"/>
  <c r="F546" i="6" s="1"/>
  <c r="F575" i="6"/>
  <c r="F577" i="6" s="1"/>
  <c r="F631" i="6"/>
  <c r="F633" i="6" s="1"/>
  <c r="F714" i="6"/>
  <c r="F716" i="6" s="1"/>
  <c r="F730" i="6"/>
  <c r="F732" i="6" s="1"/>
  <c r="F734" i="6" s="1"/>
  <c r="F741" i="6"/>
  <c r="F743" i="6" s="1"/>
  <c r="F745" i="6" s="1"/>
  <c r="F971" i="6"/>
  <c r="F973" i="6" s="1"/>
  <c r="F1023" i="6"/>
  <c r="F1025" i="6" s="1"/>
  <c r="F1208" i="6"/>
  <c r="F1210" i="6" s="1"/>
  <c r="F1212" i="6" s="1"/>
  <c r="F1291" i="6"/>
  <c r="F1293" i="6" s="1"/>
  <c r="F1316" i="6"/>
  <c r="F1318" i="6" s="1"/>
  <c r="F1809" i="6"/>
  <c r="F1811" i="6" s="1"/>
  <c r="F1965" i="6"/>
  <c r="F1967" i="6" s="1"/>
  <c r="F2029" i="6"/>
  <c r="F2031" i="6" s="1"/>
  <c r="F2289" i="6"/>
  <c r="F2291" i="6" s="1"/>
  <c r="F2293" i="6" s="1"/>
  <c r="F2381" i="6"/>
  <c r="F2383" i="6" s="1"/>
  <c r="F2399" i="6"/>
  <c r="F2401" i="6" s="1"/>
  <c r="F2818" i="6"/>
  <c r="F2820" i="6" s="1"/>
  <c r="F2834" i="6"/>
  <c r="F2836" i="6" s="1"/>
  <c r="F2983" i="6"/>
  <c r="F2985" i="6" s="1"/>
  <c r="F3246" i="6"/>
  <c r="F3396" i="6"/>
  <c r="F3398" i="6" s="1"/>
  <c r="F3436" i="6"/>
  <c r="F3438" i="6" s="1"/>
  <c r="F3508" i="6"/>
  <c r="F3510" i="6" s="1"/>
  <c r="F4083" i="6"/>
  <c r="F4085" i="6" s="1"/>
  <c r="F4592" i="6"/>
  <c r="F4593" i="6" s="1"/>
  <c r="F4594" i="6" s="1"/>
  <c r="F4939" i="6"/>
  <c r="F4940" i="6" s="1"/>
  <c r="F4941" i="6" s="1"/>
  <c r="F5031" i="6"/>
  <c r="F5032" i="6" s="1"/>
  <c r="F5033" i="6" s="1"/>
  <c r="F5115" i="6"/>
  <c r="F5116" i="6" s="1"/>
  <c r="F5117" i="6" s="1"/>
  <c r="F5123" i="6"/>
  <c r="F5124" i="6" s="1"/>
  <c r="F5125" i="6" s="1"/>
  <c r="F5155" i="6"/>
  <c r="F5156" i="6" s="1"/>
  <c r="F5157" i="6" s="1"/>
  <c r="F5296" i="6"/>
  <c r="F5297" i="6" s="1"/>
  <c r="F5298" i="6" s="1"/>
  <c r="F5308" i="6"/>
  <c r="F5309" i="6" s="1"/>
  <c r="F5310" i="6" s="1"/>
  <c r="F5342" i="6"/>
  <c r="F5343" i="6" s="1"/>
  <c r="F5344" i="6" s="1"/>
  <c r="F1902" i="6"/>
  <c r="F1904" i="6" s="1"/>
  <c r="F1937" i="6"/>
  <c r="F1939" i="6" s="1"/>
  <c r="F2200" i="6"/>
  <c r="F2202" i="6" s="1"/>
  <c r="F2248" i="6"/>
  <c r="F2250" i="6" s="1"/>
  <c r="F2261" i="6"/>
  <c r="F2263" i="6" s="1"/>
  <c r="F2825" i="6"/>
  <c r="F2827" i="6" s="1"/>
  <c r="F2829" i="6" s="1"/>
  <c r="F2916" i="6"/>
  <c r="F2918" i="6" s="1"/>
  <c r="F3073" i="6"/>
  <c r="F3075" i="6" s="1"/>
  <c r="F3557" i="6"/>
  <c r="F3559" i="6" s="1"/>
  <c r="F3577" i="6"/>
  <c r="F3579" i="6" s="1"/>
  <c r="F3612" i="6"/>
  <c r="F3614" i="6" s="1"/>
  <c r="F3616" i="6" s="1"/>
  <c r="F3633" i="6"/>
  <c r="F3635" i="6" s="1"/>
  <c r="F3700" i="6"/>
  <c r="F3702" i="6" s="1"/>
  <c r="F3766" i="6"/>
  <c r="F3799" i="6"/>
  <c r="F3801" i="6" s="1"/>
  <c r="F3879" i="6"/>
  <c r="F3881" i="6" s="1"/>
  <c r="F3935" i="6"/>
  <c r="F3937" i="6" s="1"/>
  <c r="F4186" i="6"/>
  <c r="F4188" i="6" s="1"/>
  <c r="F4312" i="6"/>
  <c r="F4314" i="6" s="1"/>
  <c r="F4336" i="6"/>
  <c r="F4338" i="6" s="1"/>
  <c r="F4509" i="6"/>
  <c r="F4693" i="6"/>
  <c r="F4694" i="6" s="1"/>
  <c r="F4769" i="6"/>
  <c r="F4770" i="6" s="1"/>
  <c r="F4771" i="6" s="1"/>
  <c r="F5007" i="6"/>
  <c r="F5009" i="6" s="1"/>
  <c r="F5173" i="6"/>
  <c r="F5174" i="6" s="1"/>
  <c r="F5175" i="6" s="1"/>
  <c r="F5243" i="6"/>
  <c r="F5244" i="6" s="1"/>
  <c r="F5245" i="6" s="1"/>
  <c r="F5268" i="6"/>
  <c r="F5269" i="6" s="1"/>
  <c r="F5270" i="6" s="1"/>
  <c r="F5434" i="6"/>
  <c r="F5435" i="6" s="1"/>
  <c r="F5436" i="6" s="1"/>
  <c r="F5480" i="6"/>
  <c r="F5482" i="6" s="1"/>
  <c r="K5584" i="6"/>
  <c r="K5585" i="6" s="1"/>
  <c r="K5586" i="6" s="1"/>
  <c r="F5637" i="6"/>
  <c r="G5637" i="6" s="1"/>
  <c r="F5648" i="6"/>
  <c r="F5649" i="6" s="1"/>
  <c r="F5650" i="6" s="1"/>
  <c r="F2314" i="6"/>
  <c r="F2316" i="6" s="1"/>
  <c r="F2330" i="6"/>
  <c r="F2332" i="6" s="1"/>
  <c r="F2391" i="6"/>
  <c r="F2393" i="6" s="1"/>
  <c r="F2499" i="6"/>
  <c r="F2501" i="6" s="1"/>
  <c r="F2548" i="6"/>
  <c r="F2550" i="6" s="1"/>
  <c r="F2586" i="6"/>
  <c r="F2588" i="6" s="1"/>
  <c r="F2700" i="6"/>
  <c r="F2702" i="6" s="1"/>
  <c r="F2719" i="6"/>
  <c r="F2721" i="6" s="1"/>
  <c r="F2867" i="6"/>
  <c r="F2869" i="6" s="1"/>
  <c r="F2971" i="6"/>
  <c r="F2973" i="6" s="1"/>
  <c r="F3000" i="6"/>
  <c r="F3002" i="6" s="1"/>
  <c r="F3131" i="6"/>
  <c r="F3133" i="6" s="1"/>
  <c r="F3299" i="6"/>
  <c r="F3301" i="6" s="1"/>
  <c r="F3303" i="6" s="1"/>
  <c r="F3665" i="6"/>
  <c r="F3667" i="6" s="1"/>
  <c r="F3871" i="6"/>
  <c r="F3873" i="6" s="1"/>
  <c r="F4009" i="6"/>
  <c r="F4011" i="6" s="1"/>
  <c r="F4108" i="6"/>
  <c r="F4110" i="6" s="1"/>
  <c r="F4227" i="6"/>
  <c r="F4229" i="6" s="1"/>
  <c r="F4231" i="6" s="1"/>
  <c r="F4254" i="6"/>
  <c r="F4256" i="6" s="1"/>
  <c r="F4497" i="6"/>
  <c r="F4580" i="6"/>
  <c r="F4791" i="6"/>
  <c r="F4819" i="6"/>
  <c r="F4888" i="6"/>
  <c r="F4889" i="6" s="1"/>
  <c r="F4890" i="6" s="1"/>
  <c r="F4915" i="6"/>
  <c r="F4916" i="6" s="1"/>
  <c r="F4917" i="6" s="1"/>
  <c r="F5188" i="6"/>
  <c r="F5189" i="6" s="1"/>
  <c r="F5190" i="6" s="1"/>
  <c r="F5253" i="6"/>
  <c r="F5254" i="6" s="1"/>
  <c r="F5255" i="6" s="1"/>
  <c r="F5334" i="6"/>
  <c r="F5335" i="6" s="1"/>
  <c r="F5336" i="6" s="1"/>
  <c r="F5465" i="6"/>
  <c r="F5466" i="6" s="1"/>
  <c r="F5467" i="6" s="1"/>
  <c r="F5592" i="6"/>
  <c r="F5594" i="6" s="1"/>
  <c r="F5621" i="6"/>
  <c r="F5622" i="6" s="1"/>
  <c r="F5623" i="6" s="1"/>
  <c r="K5648" i="6"/>
  <c r="K5649" i="6" s="1"/>
  <c r="K5650" i="6" s="1"/>
  <c r="K5675" i="6"/>
  <c r="K5676" i="6" s="1"/>
  <c r="K5677" i="6" s="1"/>
  <c r="F1331" i="6"/>
  <c r="F1333" i="6" s="1"/>
  <c r="F1521" i="6"/>
  <c r="F1523" i="6" s="1"/>
  <c r="F1620" i="6"/>
  <c r="F1622" i="6" s="1"/>
  <c r="F2099" i="6"/>
  <c r="F2101" i="6" s="1"/>
  <c r="F2103" i="6" s="1"/>
  <c r="F2938" i="6"/>
  <c r="F2940" i="6" s="1"/>
  <c r="F3171" i="6"/>
  <c r="F3173" i="6" s="1"/>
  <c r="F3351" i="6"/>
  <c r="F3547" i="6"/>
  <c r="F5000" i="6"/>
  <c r="F5001" i="6" s="1"/>
  <c r="F5065" i="6"/>
  <c r="F5066" i="6" s="1"/>
  <c r="F981" i="6"/>
  <c r="F983" i="6" s="1"/>
  <c r="F985" i="6" s="1"/>
  <c r="F1174" i="6"/>
  <c r="F1176" i="6" s="1"/>
  <c r="F1528" i="6"/>
  <c r="F1530" i="6" s="1"/>
  <c r="F1945" i="6"/>
  <c r="F1947" i="6" s="1"/>
  <c r="F2069" i="6"/>
  <c r="F2071" i="6" s="1"/>
  <c r="F2159" i="6"/>
  <c r="F2161" i="6" s="1"/>
  <c r="F2538" i="6"/>
  <c r="F2540" i="6" s="1"/>
  <c r="F2666" i="6"/>
  <c r="F2668" i="6" s="1"/>
  <c r="F2907" i="6"/>
  <c r="F2909" i="6" s="1"/>
  <c r="F3192" i="6"/>
  <c r="F3194" i="6" s="1"/>
  <c r="F3209" i="6"/>
  <c r="F3211" i="6" s="1"/>
  <c r="F4502" i="6"/>
  <c r="F4503" i="6" s="1"/>
  <c r="F4619" i="6"/>
  <c r="F4620" i="6" s="1"/>
  <c r="F4640" i="6"/>
  <c r="F4641" i="6" s="1"/>
  <c r="F1052" i="6"/>
  <c r="F1054" i="6" s="1"/>
  <c r="F1235" i="6"/>
  <c r="F1237" i="6" s="1"/>
  <c r="F1277" i="6"/>
  <c r="F1279" i="6" s="1"/>
  <c r="F1284" i="6"/>
  <c r="F1286" i="6" s="1"/>
  <c r="F1420" i="6"/>
  <c r="F1422" i="6" s="1"/>
  <c r="F1444" i="6"/>
  <c r="F1446" i="6" s="1"/>
  <c r="F1645" i="6"/>
  <c r="F1647" i="6" s="1"/>
  <c r="F1793" i="6"/>
  <c r="F1795" i="6" s="1"/>
  <c r="F2180" i="6"/>
  <c r="F2182" i="6" s="1"/>
  <c r="F2299" i="6"/>
  <c r="F2301" i="6" s="1"/>
  <c r="F2457" i="6"/>
  <c r="F2459" i="6" s="1"/>
  <c r="F2629" i="6"/>
  <c r="F2631" i="6" s="1"/>
  <c r="F2899" i="6"/>
  <c r="F2901" i="6" s="1"/>
  <c r="F3041" i="6"/>
  <c r="F3043" i="6" s="1"/>
  <c r="F3056" i="6"/>
  <c r="F3058" i="6" s="1"/>
  <c r="F3388" i="6"/>
  <c r="F3390" i="6" s="1"/>
  <c r="F3423" i="6"/>
  <c r="F3425" i="6" s="1"/>
  <c r="F3516" i="6"/>
  <c r="F3518" i="6" s="1"/>
  <c r="F3520" i="6" s="1"/>
  <c r="F3658" i="6"/>
  <c r="F3660" i="6" s="1"/>
  <c r="F3950" i="6"/>
  <c r="F3952" i="6" s="1"/>
  <c r="F4124" i="6"/>
  <c r="F4126" i="6" s="1"/>
  <c r="I4950" i="6"/>
  <c r="H4953" i="6" s="1"/>
  <c r="H4952" i="6"/>
  <c r="F3380" i="6"/>
  <c r="F3382" i="6" s="1"/>
  <c r="F3416" i="6"/>
  <c r="F3418" i="6" s="1"/>
  <c r="F3535" i="6"/>
  <c r="F3686" i="6"/>
  <c r="F3688" i="6" s="1"/>
  <c r="F3832" i="6"/>
  <c r="F3834" i="6" s="1"/>
  <c r="F3863" i="6"/>
  <c r="F3865" i="6" s="1"/>
  <c r="F4464" i="6"/>
  <c r="G4463" i="6"/>
  <c r="F4246" i="6"/>
  <c r="F4376" i="6"/>
  <c r="F4378" i="6" s="1"/>
  <c r="G4489" i="6"/>
  <c r="F4489" i="6"/>
  <c r="F4530" i="6"/>
  <c r="F4632" i="6"/>
  <c r="F4634" i="6" s="1"/>
  <c r="F4647" i="6"/>
  <c r="F4648" i="6" s="1"/>
  <c r="F4730" i="6"/>
  <c r="F4798" i="6"/>
  <c r="F4848" i="6"/>
  <c r="F4144" i="6"/>
  <c r="F4146" i="6" s="1"/>
  <c r="F4219" i="6"/>
  <c r="F4221" i="6" s="1"/>
  <c r="F4329" i="6"/>
  <c r="F4331" i="6" s="1"/>
  <c r="F4422" i="6"/>
  <c r="F4424" i="6" s="1"/>
  <c r="F4458" i="6"/>
  <c r="G4457" i="6"/>
  <c r="F4946" i="6"/>
  <c r="F4947" i="6" s="1"/>
  <c r="F4977" i="6"/>
  <c r="F4978" i="6" s="1"/>
  <c r="F4993" i="6"/>
  <c r="F4994" i="6" s="1"/>
  <c r="F4368" i="6"/>
  <c r="F4370" i="6" s="1"/>
  <c r="F4450" i="6"/>
  <c r="F4452" i="6" s="1"/>
  <c r="F4547" i="6"/>
  <c r="F4552" i="6"/>
  <c r="F4553" i="6" s="1"/>
  <c r="F4602" i="6"/>
  <c r="F4665" i="6"/>
  <c r="F4712" i="6"/>
  <c r="F4742" i="6"/>
  <c r="F4813" i="6"/>
  <c r="F4861" i="6"/>
  <c r="F4953" i="6"/>
  <c r="F4954" i="6" s="1"/>
  <c r="F5100" i="6"/>
  <c r="F5101" i="6" s="1"/>
  <c r="F4961" i="6"/>
  <c r="F5084" i="6"/>
  <c r="F5092" i="6"/>
  <c r="F5093" i="6" s="1"/>
  <c r="G5600" i="6"/>
  <c r="G5601" i="6" s="1"/>
  <c r="G5602" i="6" s="1"/>
  <c r="F5601" i="6"/>
  <c r="F5602" i="6" s="1"/>
  <c r="F5024" i="6"/>
  <c r="F5071" i="6"/>
  <c r="F5106" i="6"/>
  <c r="F5107" i="6" s="1"/>
  <c r="F5558" i="6"/>
  <c r="F5559" i="6" s="1"/>
  <c r="F5564" i="6"/>
  <c r="F5565" i="6" s="1"/>
  <c r="F5683" i="6"/>
  <c r="F5684" i="6" s="1"/>
  <c r="F4785" i="6" l="1"/>
  <c r="F4835" i="6"/>
  <c r="F4871" i="6"/>
  <c r="G4483" i="6"/>
  <c r="F4828" i="6"/>
  <c r="F4659" i="6"/>
  <c r="F4563" i="6"/>
  <c r="F4564" i="6" s="1"/>
  <c r="F4925" i="6"/>
  <c r="F5138" i="6"/>
  <c r="F5010" i="6"/>
  <c r="F5638" i="6"/>
  <c r="F5639" i="6" s="1"/>
  <c r="F4987" i="6"/>
  <c r="F5595" i="6"/>
  <c r="F4695" i="6"/>
  <c r="F4603" i="6"/>
  <c r="F4604" i="6" s="1"/>
  <c r="F4862" i="6"/>
  <c r="F4863" i="6" s="1"/>
  <c r="F4743" i="6"/>
  <c r="F4744" i="6" s="1"/>
  <c r="F4713" i="6"/>
  <c r="F4714" i="6" s="1"/>
  <c r="F4490" i="6"/>
  <c r="F4491" i="6" s="1"/>
  <c r="F4962" i="6"/>
  <c r="F4963" i="6" s="1"/>
  <c r="F5073" i="6"/>
  <c r="F5074" i="6" s="1"/>
  <c r="F5085" i="6"/>
  <c r="F5086" i="6" s="1"/>
  <c r="F4731" i="6"/>
  <c r="F4732" i="6" s="1"/>
  <c r="F4531" i="6"/>
  <c r="F4532" i="6" s="1"/>
  <c r="F4247" i="6"/>
  <c r="F4248" i="6" s="1"/>
</calcChain>
</file>

<file path=xl/sharedStrings.xml><?xml version="1.0" encoding="utf-8"?>
<sst xmlns="http://schemas.openxmlformats.org/spreadsheetml/2006/main" count="16022" uniqueCount="4008">
  <si>
    <t>To :</t>
  </si>
  <si>
    <t>PT. AGRI PRIMA INDOTAMA</t>
  </si>
  <si>
    <t>NO DO</t>
  </si>
  <si>
    <t>KONDISI DO</t>
  </si>
  <si>
    <t>PT. AGRO MURNI</t>
  </si>
  <si>
    <t>JL.Rotan Baru No. A-9 Petisah Tengah</t>
  </si>
  <si>
    <t>Medan, Indonesia</t>
  </si>
  <si>
    <t xml:space="preserve">DO No  : </t>
  </si>
  <si>
    <t>DATE</t>
  </si>
  <si>
    <t>PO NO</t>
  </si>
  <si>
    <t>Date      :</t>
  </si>
  <si>
    <t>PTAM/PO/NT/24/00503</t>
  </si>
  <si>
    <t>PO No   :</t>
  </si>
  <si>
    <t>REMARKS</t>
  </si>
  <si>
    <t>NO</t>
  </si>
  <si>
    <t>DESCRIPTION</t>
  </si>
  <si>
    <t>QTY</t>
  </si>
  <si>
    <t>UOM</t>
  </si>
  <si>
    <t>ITEM NO13 BASED ON PO 24/00503</t>
  </si>
  <si>
    <t>PCS</t>
  </si>
  <si>
    <t>REVISI KE  :</t>
  </si>
  <si>
    <t>DESKRIPSI FILE :</t>
  </si>
  <si>
    <t>remarks :</t>
  </si>
  <si>
    <t>DITERIMA OLEH</t>
  </si>
  <si>
    <t xml:space="preserve">PT. AGRI PRIMA INDOTAMA </t>
  </si>
  <si>
    <t>EDDRICK OWEN SUSANTEO</t>
  </si>
  <si>
    <t>TANGGAL DO</t>
  </si>
  <si>
    <t>NAMA PT</t>
  </si>
  <si>
    <t>NO PO</t>
  </si>
  <si>
    <t>VERSION</t>
  </si>
  <si>
    <t>LINK</t>
  </si>
  <si>
    <t>DESKRIPSI</t>
  </si>
  <si>
    <t>DESKRIPSI2</t>
  </si>
  <si>
    <t>PTAM/PO/NT/24/00449</t>
  </si>
  <si>
    <t>PT. AGRO M DO 794 (PO  24 00449) REVISI NAMA DO.xlsm</t>
  </si>
  <si>
    <t>REVISI NAMA DO</t>
  </si>
  <si>
    <t>Revisi DO title</t>
  </si>
  <si>
    <t>PTAM/PO/NT/24/00164</t>
  </si>
  <si>
    <t>PT. AGRO M DO 799 (PO  24 00164) PENGIRIMAN ULANG.xlsm</t>
  </si>
  <si>
    <t>PENGIRIMAN ULANG</t>
  </si>
  <si>
    <t>PENGIRIMAN ULANG ITEM 1-3 BASED ON PO24/00164</t>
  </si>
  <si>
    <t xml:space="preserve">PT. ABLE COMMODITIES INDONESIA </t>
  </si>
  <si>
    <t>PT. ABLE DO 800 (PO  24900507) .xlsm</t>
  </si>
  <si>
    <t>PT. ABLE DO 801 (PO  24900522) .xlsm</t>
  </si>
  <si>
    <t xml:space="preserve">PT. PACIFIC PALMINDO INDUSTRI </t>
  </si>
  <si>
    <t>PT. PPI DO 802 (PO  4714042580) .xlsm</t>
  </si>
  <si>
    <t>PT. PPI DO 803 (PO  4714042575) .xlsm</t>
  </si>
  <si>
    <t>PT. ABLE DO 804 (PO  24900501) .xlsm</t>
  </si>
  <si>
    <t>PTAM/PO/NT/24/00461</t>
  </si>
  <si>
    <t>PT. AGRO M DO 805 (PO  24 00461) .xlsm</t>
  </si>
  <si>
    <t>PT. ABLE DO 806 (PO  24900510) .xlsm</t>
  </si>
  <si>
    <t>PTAM/PO/NT/24/00512</t>
  </si>
  <si>
    <t>PT. AGRO M DO 807 (PO  24 00512) .xlsm</t>
  </si>
  <si>
    <t xml:space="preserve"> </t>
  </si>
  <si>
    <t>PT. AGRO M DO 808 (PO   ) NO PO KOSONG.xlsm</t>
  </si>
  <si>
    <t>NO PO KOSONG</t>
  </si>
  <si>
    <t>BELUM ADA NOMOR PO</t>
  </si>
  <si>
    <t>PIPE THREAD</t>
  </si>
  <si>
    <t>PTAM/PO/NT/24/00530</t>
  </si>
  <si>
    <t>PT. AGRO M DO 808 (PO  24 00530) .xlsm</t>
  </si>
  <si>
    <t>PT. PPI DO 809 (PO  4714042575) item kemarin yang blm di kirim.xlsm</t>
  </si>
  <si>
    <t>item kemarin yang blm di kirim</t>
  </si>
  <si>
    <t>PT. ABLE DO 810 (PO  24900514) .xlsm</t>
  </si>
  <si>
    <t xml:space="preserve">PT. KENCANA INTI PERKASA </t>
  </si>
  <si>
    <t>KIP/PO/NT/24/00399</t>
  </si>
  <si>
    <t>PT. KIP DO 811 (PO  24 00399) .xlsm</t>
  </si>
  <si>
    <t>PT. SIMPANG KANAN LESTARINDO</t>
  </si>
  <si>
    <t>SKL/PO/NT/24/00454</t>
  </si>
  <si>
    <t>PT. SKL DO 812 (PO  24 00454) .xlsm</t>
  </si>
  <si>
    <t>SKL/PO/NT/24/00463</t>
  </si>
  <si>
    <t>PT. SKL DO 813 (PO  24 00463) .xlsm</t>
  </si>
  <si>
    <t>KIP/PO/NT/24/00402</t>
  </si>
  <si>
    <t>PT. KIP DO 814 (PO  24 00402) .xlsm</t>
  </si>
  <si>
    <t>KIP/PO/NT/24/00407</t>
  </si>
  <si>
    <t>PT. KIP DO 815 (PO  24 00407) .xlsm</t>
  </si>
  <si>
    <t>PTAM/PO/NT/24/00538</t>
  </si>
  <si>
    <t>PT. AGRO M DO 816 (PO 24 00538) .xlsm</t>
  </si>
  <si>
    <t>N2-3</t>
  </si>
  <si>
    <t>ITEM N2-3 BASED ON PO24/00538</t>
  </si>
  <si>
    <t>PTAM/PO/NT/24/00517</t>
  </si>
  <si>
    <t>PT. AGRO M DO 817 (PO  24 00517) .xlsm</t>
  </si>
  <si>
    <t>ITEM N1-2 BASED ON PO24/00517</t>
  </si>
  <si>
    <t>PTAM/PO/NT/24/00479</t>
  </si>
  <si>
    <t>PT. AGRO M DO 818 (PO  24 00479) .xlsm</t>
  </si>
  <si>
    <t>PTAM/PO/NT/24/00536</t>
  </si>
  <si>
    <t>PT. AGRO M DO 819 (PO  24 00536) .xlsm</t>
  </si>
  <si>
    <t>PT. AGRO M DO 820 (PO  24 00503) N4-5 07.xlsm</t>
  </si>
  <si>
    <t>N4-5 07</t>
  </si>
  <si>
    <t>ITEM NO4-5 BASED ON PO24/00504</t>
  </si>
  <si>
    <t>PTAM/PO/NT/24/00554</t>
  </si>
  <si>
    <t>PT. AGRO M DO 821 (PO  24 00554) .xlsm</t>
  </si>
  <si>
    <t>PT. ABLE DO 822 (PO  24900544) NO2-4, 9-12.xlsm</t>
  </si>
  <si>
    <t>NO1-4, 9-12</t>
  </si>
  <si>
    <t>ITEM NO1-4, 9-12 BASED ON PO 24900544</t>
  </si>
  <si>
    <t>PT. ABLE DO 823 (PO  24900553) .xlsm</t>
  </si>
  <si>
    <t>1ROLL FROM 3ROLL</t>
  </si>
  <si>
    <t>SKL/PO/NT/24/00461</t>
  </si>
  <si>
    <t>PT. SKL DO 824 (PO  24 00461) .xlsm</t>
  </si>
  <si>
    <t>SKL/PO/NT/24/00467</t>
  </si>
  <si>
    <t>PT. SKL DO 825 (PO  24 00467) .xlsm</t>
  </si>
  <si>
    <t>PT. ABLE DO 826 (PO  24900544) N5-8 07.xlsm</t>
  </si>
  <si>
    <t>N5-8 07</t>
  </si>
  <si>
    <t>ITEM N5-8 BASED ON PO24900544</t>
  </si>
  <si>
    <t>PT. ABLE DO 827 (PO  24900543) .xlsm</t>
  </si>
  <si>
    <t>PT. AGRO M DO 828 (PO  24 00503) N2-3.xlsm</t>
  </si>
  <si>
    <t>ITEM NO2-3 BASED ON PO24/00503</t>
  </si>
  <si>
    <t>PTAM/PO/NT/24/00522</t>
  </si>
  <si>
    <t>PT. AGRO M DO 829 (PO  24 00522) N1 &amp; 3 07.xlsm</t>
  </si>
  <si>
    <t>N1 &amp; 3 07</t>
  </si>
  <si>
    <t>ITEM NO1 &amp; 3 BASED ON PO24/00522</t>
  </si>
  <si>
    <t>KIP/PO/NT/24/00427</t>
  </si>
  <si>
    <t>PT. KIP DO 830 (PO  24 00427) .xlsm</t>
  </si>
  <si>
    <t>PT. PPI DO 831 (PO  4714042780) .xlsm</t>
  </si>
  <si>
    <t>SKL/PO/NT/24/00491</t>
  </si>
  <si>
    <t>PT. SKL DO 832 (PO  24 00491) .xlsm</t>
  </si>
  <si>
    <t>SKL/PO/NT/24/00478</t>
  </si>
  <si>
    <t>PT. SKL DO 833 (PO  24 00478) .xlsm</t>
  </si>
  <si>
    <t>KIP/PO/NT/24/00424</t>
  </si>
  <si>
    <t>PT. KIP DO 834 (PO  24 00424) .xlsm</t>
  </si>
  <si>
    <t>PTAM/PO/NT/24/00553</t>
  </si>
  <si>
    <t>PT. AGRO M DO 835 (PO  24 00553) .xlsm</t>
  </si>
  <si>
    <t>PT. AGRO M DO 836 (PO  24 00517) .xlsm</t>
  </si>
  <si>
    <t>ITEM N3 BASED ON PO 24/00517 (COMPLETE)</t>
  </si>
  <si>
    <t>PTAM/PO/NT/24/00581</t>
  </si>
  <si>
    <t>PT. AGRO M DO 837 (PO  24 00581) N2-4 07 REV1 .xlsm</t>
  </si>
  <si>
    <t>N2-4</t>
  </si>
  <si>
    <t>ITEM N2-4 BASED ON PO 24/00581</t>
  </si>
  <si>
    <t>PT. KIP DO 838 (PO  0) PUTIH.xlsm</t>
  </si>
  <si>
    <t>PUTIH</t>
  </si>
  <si>
    <t>DO SEMENTARA</t>
  </si>
  <si>
    <t>KABEL NYA</t>
  </si>
  <si>
    <t>KIP/PO/NT/24/00477</t>
  </si>
  <si>
    <t>PT. KIP DO 838 (PO  24 00477) .xlsm</t>
  </si>
  <si>
    <t>PT. AGRO M DO 839 (PO  24 00522) N2 07.xlsm</t>
  </si>
  <si>
    <t>N2 07</t>
  </si>
  <si>
    <t>ITEM NO2 BASED ON PO 24/00522</t>
  </si>
  <si>
    <t>PTAM/PO/NT/24/00539</t>
  </si>
  <si>
    <t>PT. AGRO M DO 840 (PO  24 00539) N1,3&amp;4 07.xlsm</t>
  </si>
  <si>
    <t>N1,3&amp;4 07</t>
  </si>
  <si>
    <t>ITEM NO 1,3&amp;4 BASED ON 24/00539</t>
  </si>
  <si>
    <t>PT. AGRO M DO 841 (PO  24 00503) N6&amp;8.xlsm</t>
  </si>
  <si>
    <t>N6&amp;8</t>
  </si>
  <si>
    <t>ITEM NO 6&amp;8 BASED ON PO 24/00503</t>
  </si>
  <si>
    <t>PT. PPI DO 842 (PO  4714042629) .xlsm</t>
  </si>
  <si>
    <t>SKL/PO/NT/24/00498</t>
  </si>
  <si>
    <t>PT. SKL DO 843 (PO  24 00498) .xlsm</t>
  </si>
  <si>
    <t>SKL/PO/NT/24/00505</t>
  </si>
  <si>
    <t>PT. SKL DO 844 (PO  24 00505) .xlsm</t>
  </si>
  <si>
    <t>PTAM/PO/NT/24/00573</t>
  </si>
  <si>
    <t>PT. AGRO M DO 845 (PO  24 00573) N1&amp;3.xlsm</t>
  </si>
  <si>
    <t>N1&amp;3</t>
  </si>
  <si>
    <t>ITEM NO 1 &amp; 3 BASED ON PO 24/00573</t>
  </si>
  <si>
    <t>PT. AGRO M DO 846 (PO  24 00581) N1.xlsm</t>
  </si>
  <si>
    <t>N1</t>
  </si>
  <si>
    <t>ITEM NO 1 BASED ON PO 24/00581</t>
  </si>
  <si>
    <t>PTAM/PO/NT/24/00513</t>
  </si>
  <si>
    <t>PT. AGRO M DO 847 (PO  24 00513) N2&amp;3.xlsm</t>
  </si>
  <si>
    <t>N2&amp;3</t>
  </si>
  <si>
    <t>ITEM NO2&amp;3 BASED ON PO 24/00513</t>
  </si>
  <si>
    <t>PT. PPI DO 848 (PO  4714042796) .xlsm</t>
  </si>
  <si>
    <t xml:space="preserve">PT. INNO-WANGSA OILS &amp; FATS </t>
  </si>
  <si>
    <t>459/IW-PO/V/2024</t>
  </si>
  <si>
    <t xml:space="preserve"> DO 849 (PO  ) .xlsm</t>
  </si>
  <si>
    <t>link not working</t>
  </si>
  <si>
    <t>PTAM/PO/NT/24/00495</t>
  </si>
  <si>
    <t>PT. AGRO M DO 850 (PO  24 00495) N3.xlsm</t>
  </si>
  <si>
    <t>N3</t>
  </si>
  <si>
    <t>ITEM N3 BASED ON 24/00495</t>
  </si>
  <si>
    <t>PTAM/PO/NT/24/00546</t>
  </si>
  <si>
    <t>PT. AGRO M DO 851 (PO  24 00546) N15.xlsm</t>
  </si>
  <si>
    <t>N15</t>
  </si>
  <si>
    <t>ITEM NO15 BASED ON PO 24/00546</t>
  </si>
  <si>
    <t>PT. ABLE DO 852 (PO  24900546) .xlsm</t>
  </si>
  <si>
    <t>PT. ABLE DO 853 (PO  24900553) .xlsm</t>
  </si>
  <si>
    <t>SISA 2 ROLL DARI PO 24900553
1 ROLL TELAH DIKIRMKAN DO 823</t>
  </si>
  <si>
    <t>PT. ABLE DO 854 (PO  24900604) .xlsm</t>
  </si>
  <si>
    <t>PTAM/PO/NT/24/00462</t>
  </si>
  <si>
    <t>PT. AGRO M DO 855 (PO  24 00462) .xlsm</t>
  </si>
  <si>
    <t>PT. AGRO M DO 856 (PO  24 00495) N1&amp;2.xlsm</t>
  </si>
  <si>
    <t>N1&amp;2</t>
  </si>
  <si>
    <t>ITEM NO1&amp;2 BASED ON PO 24/00495</t>
  </si>
  <si>
    <t>PTAM/PO/NT/24/00501</t>
  </si>
  <si>
    <t>PT. AGRO M DO 857 (PO  24 00501) .xlsm</t>
  </si>
  <si>
    <t>PT. AGRO M DO 858 (PO  24 00546) N1, 2, 3, 4, 16, 17, 19, 20, 23, 26. 07.xlsm</t>
  </si>
  <si>
    <t>N1, 2, 3, 4, 16, 17, 19, 20, 23, 26. 07</t>
  </si>
  <si>
    <t>LIST ITEM NUMBER BASED ON PO 24/00546,
1, 2, 3, 4, 16, 17, 19, 20, 23, 26</t>
  </si>
  <si>
    <t>PT. AGRO M DO 859 (PO  24 00538) N1 01.xlsm</t>
  </si>
  <si>
    <t>N1 01</t>
  </si>
  <si>
    <t>ITEM N1 BASED ON PO 24/00538 (01)</t>
  </si>
  <si>
    <t>PT. AGRO M DO 860 (PO  24 00513) N1, 4&amp;5 07.xlsm</t>
  </si>
  <si>
    <t>N1, 4&amp;5 07</t>
  </si>
  <si>
    <t>ITEM N1, 4&amp;5 BASED ON PO 24/00513</t>
  </si>
  <si>
    <t>PT. AGRO M DO 861 (PO  24 00573) N2.xlsm</t>
  </si>
  <si>
    <t>N2</t>
  </si>
  <si>
    <t>ITEM N2 BASED ON PO 24/00573</t>
  </si>
  <si>
    <t>PT. AGRO M DO 862 (PO  24 00503) N6, 7, 8, 9,10 ,11, 12.xlsm</t>
  </si>
  <si>
    <t>N6, 7, 8, 9,10 ,11, 12</t>
  </si>
  <si>
    <t>ITEM N6 ,7 , 8, 9,10 ,11, 12 BASED ON PO 24/00503</t>
  </si>
  <si>
    <t>PT. AGRO M DO 863 (PO  24 00539) .xlsm</t>
  </si>
  <si>
    <t>PTAM/PO/NT/24/00497</t>
  </si>
  <si>
    <t>PT. AGRO M DO 864 (PO  24 00497) .xlsm</t>
  </si>
  <si>
    <t>LGFP 2/1 BASED ON QUOTE</t>
  </si>
  <si>
    <t>PTAM/PO/NT/24/00577</t>
  </si>
  <si>
    <t>PT. AGRO M DO 865 (PO  24 00577) N5-8 07.xlsm</t>
  </si>
  <si>
    <t>ITEM N5-8 BASED ON PO 24/00577</t>
  </si>
  <si>
    <t>PT. AGRO M DO 866 (PO  24 00546) .xlsm</t>
  </si>
  <si>
    <t>ITEM NO 10-14 BASED ON PO 24/00546</t>
  </si>
  <si>
    <t>PTAM/PO/NT/24/00572</t>
  </si>
  <si>
    <t>PT. AGRO M DO 867 (PO  24 00572) .xlsm</t>
  </si>
  <si>
    <t>no 9 medan</t>
  </si>
  <si>
    <t>KIP/PO/NT/24/00462</t>
  </si>
  <si>
    <t>PT. KIP DO 868 (PO  24 00462) .xlsm</t>
  </si>
  <si>
    <t>KIP/PO/NT/24/00466</t>
  </si>
  <si>
    <t>PT. KIP DO 869 (PO  24 00466) .xlsm</t>
  </si>
  <si>
    <t>KIP/PO/NT/24/00480</t>
  </si>
  <si>
    <t>PT. KIP DO 870 (PO  24 00480) .xlsm</t>
  </si>
  <si>
    <t>PT. AGRO M DO 871 (PO  24 00503) .xlsm</t>
  </si>
  <si>
    <t>ALAMAT 1</t>
  </si>
  <si>
    <t>ALAMAT 2</t>
  </si>
  <si>
    <t>Jl. Kapt Ilyas. No 20 Sei Mati</t>
  </si>
  <si>
    <t>Medan - Indonesia</t>
  </si>
  <si>
    <t>Jl. Pulau Bawean, KIM II Kec.Percut Sei Tuan</t>
  </si>
  <si>
    <t>Simpang Milano Pinang Awan Simpang Kanan, Simpang Kanan</t>
  </si>
  <si>
    <t>Kec. Simpang Kanan, Kabupaten Rokan Hilir, Riau</t>
  </si>
  <si>
    <t xml:space="preserve">Bangun Rejo,Kec. Na IX-X </t>
  </si>
  <si>
    <t>Labuhanbatu Utara - SUMUT</t>
  </si>
  <si>
    <t>Jalan Ketam Putih, Kel. Lubuk Gaung</t>
  </si>
  <si>
    <t>Kec. Sungai Sembila, Dumai</t>
  </si>
  <si>
    <t>PT. SAWIT ASAHAN TETAP UTUH</t>
  </si>
  <si>
    <t>Pulai Maria - Kec Teluk Dalam - Kab Asahan 21272</t>
  </si>
  <si>
    <t>Sumatera Utara, Indonesia</t>
  </si>
  <si>
    <t>Jl. M.G. Manurung No.12, Timbang Deli</t>
  </si>
  <si>
    <t>Medan Amplas</t>
  </si>
  <si>
    <t>TANGGAL</t>
  </si>
  <si>
    <t xml:space="preserve">DESCRIPTION </t>
  </si>
  <si>
    <t>PRICE (IDR)</t>
  </si>
  <si>
    <t>AMOUNT (IDR)</t>
  </si>
  <si>
    <t>PT. SATU</t>
  </si>
  <si>
    <t>PO DISC %</t>
  </si>
  <si>
    <t>BUY PRICE (IDR)</t>
  </si>
  <si>
    <t>BUY AMOUNT (IDR)</t>
  </si>
  <si>
    <t>DISTRIBUTOR</t>
  </si>
  <si>
    <t>SHM TURBINE DIGITAL FLOW METER DN100 (4 INCHI)</t>
  </si>
  <si>
    <t>UNIT</t>
  </si>
  <si>
    <t>PO 3 APRIL 2024</t>
  </si>
  <si>
    <t>PT. PPI</t>
  </si>
  <si>
    <t>1408001916-CUTTING WHEEL 4IN DURACUT ABRASIVE</t>
  </si>
  <si>
    <t>EA</t>
  </si>
  <si>
    <t>PO 20 APRIL 2024</t>
  </si>
  <si>
    <t>BUDI JAYA / BJ</t>
  </si>
  <si>
    <t>1408001959-METRIC &amp; IMPERIAL GREASE 
NIPPLES (NEPEL M10)</t>
  </si>
  <si>
    <t>SET</t>
  </si>
  <si>
    <t>PO No     : 4714042306</t>
  </si>
  <si>
    <t>CAHAYA MAS</t>
  </si>
  <si>
    <t>GREASE NEPEL M10</t>
  </si>
  <si>
    <t>1408000553-SELANG PISPOT TANGAN FLEXIBLE</t>
  </si>
  <si>
    <t>SELANG PISPOT</t>
  </si>
  <si>
    <t>PT.KIP</t>
  </si>
  <si>
    <t>24/00334</t>
  </si>
  <si>
    <t>CAIRAN FOGGING</t>
  </si>
  <si>
    <t>PIECES</t>
  </si>
  <si>
    <t>PO No :24/00334</t>
  </si>
  <si>
    <t>24/00333</t>
  </si>
  <si>
    <t xml:space="preserve">KAMPAK </t>
  </si>
  <si>
    <t>PO No 24/00333</t>
  </si>
  <si>
    <t>PPN</t>
  </si>
  <si>
    <t>REMARKS(REFERENSI)</t>
  </si>
  <si>
    <t xml:space="preserve">NON BONED ZONE (01)
</t>
  </si>
  <si>
    <t>LIST ITEM NUMBER BASED ON PO 24/00546,
1, 2, 3, 4, 16, 17, 19, 20, 23, 26 (01) -FROM 07 TO 01</t>
  </si>
  <si>
    <t>NON BONED ZONE (01)</t>
  </si>
  <si>
    <t>BONED ZONE (07)</t>
  </si>
  <si>
    <t>NETT WEIGHT : 16KG</t>
  </si>
  <si>
    <t>DELIVERY BY ENRPI</t>
  </si>
  <si>
    <t>QTY : 1 (GONI/PACK/COLI)</t>
  </si>
  <si>
    <t>1.</t>
  </si>
  <si>
    <t>NET WEIGHT -+:</t>
  </si>
  <si>
    <t>GROSS WEIGHT : 16 KG</t>
  </si>
  <si>
    <t>KEMASAN :</t>
  </si>
  <si>
    <t>BOX/KARDUS</t>
  </si>
  <si>
    <t>NET WEIGHT: -+</t>
  </si>
  <si>
    <t>GROSS WEIGHT -+:</t>
  </si>
  <si>
    <t>GONI/PACK/COLI</t>
  </si>
  <si>
    <t>GROSS WEIGHT -+ :</t>
  </si>
  <si>
    <t>NONE</t>
  </si>
  <si>
    <t>NONE/COLY</t>
  </si>
  <si>
    <t>PACK</t>
  </si>
  <si>
    <t>BOX/KARBUS</t>
  </si>
  <si>
    <t xml:space="preserve">NET WEIGHT: -+ </t>
  </si>
  <si>
    <t xml:space="preserve">KEMASAN : </t>
  </si>
  <si>
    <t>1 PACK</t>
  </si>
  <si>
    <t>1 BOX</t>
  </si>
  <si>
    <t xml:space="preserve">GROSS WEIGHT -+: </t>
  </si>
  <si>
    <t xml:space="preserve">QTY: </t>
  </si>
  <si>
    <t>1 BOX BESAR</t>
  </si>
  <si>
    <t>BOLT &amp; NUT HT M12 x 50 - (HS CODE : 73181590)</t>
  </si>
  <si>
    <t>S/S SPATULA PANJANG 20CM - (HS CODE : 73269099)</t>
  </si>
  <si>
    <t xml:space="preserve">KEMASAN : -+ </t>
  </si>
  <si>
    <t>4 BOX /1 GONI</t>
  </si>
  <si>
    <t>BOLT &amp; NUT HT 8.8 GI M16 x 125MM - (HS CODE : 73181590)</t>
  </si>
  <si>
    <t>WASH BOTTLE FOR DISTILLED WATER 250ML  - (HS CODE : 70179000)</t>
  </si>
  <si>
    <t>BOLT &amp; NUT HT 8.8 GI M16 X 135MM 
C/W O-RING WASHER - (HS CODE : 73181590)</t>
  </si>
  <si>
    <t>GLASS MEASURING CYLINDER 1000ML BOMEX  - (HS CODE : 70179000)</t>
  </si>
  <si>
    <t>SEPARATING FUNNEL 500ML MBL KACA  - (HS CODE : 70179000)</t>
  </si>
  <si>
    <t>ELBOW CS SCH40 90 DEG LR 1" - (HS CODE : 73071900)</t>
  </si>
  <si>
    <t>FILTER FLASK, 1000ML  - (HS CODE : 70179000)</t>
  </si>
  <si>
    <t>1 GONI</t>
  </si>
  <si>
    <t>END PIPE THREADED CS SCH40 NTP 1/2" - DN15 - (HS CODE : 73071900)</t>
  </si>
  <si>
    <t>PIPETTE STAND SIWALE ROTARY VERTICAL 44 LUBANG - (HS CODE : 90278990)</t>
  </si>
  <si>
    <t>1 PACK/GONI</t>
  </si>
  <si>
    <t>BOLT &amp; NUT GI 145 MM - M20 - (HS CODE : 73181590)</t>
  </si>
  <si>
    <t>BURETTE 50ML (SUB DIVISION 0.1) PYREX - (HS CODE : 70172000)</t>
  </si>
  <si>
    <t>BOLT &amp; NUT GI 90 MM - M12 - (HS CODE : 73181590)</t>
  </si>
  <si>
    <t>BURETTE 25ML (SUB DIVISION 0.05) PYREX - (HS CODE : 70172000)</t>
  </si>
  <si>
    <t>PIPE THREAD SS304 SCH10 1/2" BSP - (HS CODE : 73071900)</t>
  </si>
  <si>
    <t>CLAIM &amp; STATIF STATIF+KLEM 
BURRET DOUBLE PANJANG 60 CM - (HS CODE : 90230000)</t>
  </si>
  <si>
    <t>UNION CONNECTOR TITON BRASS 3/8" P/N: #6206 - (HS CODE : 73071900)</t>
  </si>
  <si>
    <t>GROSS WEIGHT</t>
  </si>
  <si>
    <t>KISARAN QTY</t>
  </si>
  <si>
    <t>TOTAL QTY</t>
  </si>
  <si>
    <t>7 GONI 3 BOX</t>
  </si>
  <si>
    <t>c</t>
  </si>
  <si>
    <t>FLANGE MS PN16 3" - (HS CODE : 73079190)</t>
  </si>
  <si>
    <t>LAP JOIN STUB END SS316 SCH10 - 
4" - DN100 - (HS CODE : 73071900)</t>
  </si>
  <si>
    <t>FLANGE MS PN16 2-1/2" - (HS CODE : 73079190)</t>
  </si>
  <si>
    <t>STUD END SS316 SCH10 MSS-B 8" - (HS CODE : 73071900)</t>
  </si>
  <si>
    <t>REDUCER CON GI SGP B 4" X 2" - (HS CODE : 73071900)</t>
  </si>
  <si>
    <t>STUD END SS316 SCH10 MSSB 3" - (HS CODE : 73071900)</t>
  </si>
  <si>
    <t>PTAM/PO/NT/24/00614</t>
  </si>
  <si>
    <t>GASKET NON ASBESTOS - TOMBO
1995 SIZE ID 623 X OD 648 X THK. 3
MM - (HS CODE : 68129940)</t>
  </si>
  <si>
    <t>BOX</t>
  </si>
  <si>
    <t>END PIPE THREADED SS316 SCH40
1/2" - DN15 - (HS CODE : 73071900)</t>
  </si>
  <si>
    <t>PACK/BOX/KARTON</t>
  </si>
  <si>
    <t>PTAM/PO/NT/24/00524</t>
  </si>
  <si>
    <t>MANN OIL FILTER W11 102 - (HS CODE : 84212391)</t>
  </si>
  <si>
    <t>COPPER TUBE BENDER 5/8 INCH - (HS CODE : 82055900)</t>
  </si>
  <si>
    <t>2 BOX/KARBUS</t>
  </si>
  <si>
    <t>2 BOX</t>
  </si>
  <si>
    <t>PTAM/PO/NT/24/00683</t>
  </si>
  <si>
    <t>FLANGE MS ANSI 150 2" SORF
FLANGE - (HS CODE : 73079190)</t>
  </si>
  <si>
    <t>BOLT &amp; NUT GALV LG M16 x 65mm - (HS CODE : 73181590)</t>
  </si>
  <si>
    <t>PIPE THREAD CS SCH40 1" X 8"
BSPT - (HS CODE : 73071900)</t>
  </si>
  <si>
    <t>Tyre Flex Coupling F60</t>
  </si>
  <si>
    <t>Grand Total</t>
  </si>
  <si>
    <t>PPN 11%</t>
  </si>
  <si>
    <t>TOTAL AMOUNT</t>
  </si>
  <si>
    <t>Ladder 8 Steps  On Both Side "Ingco" Use At Shortening  Plant Perfector / Pin Rotor Area</t>
  </si>
  <si>
    <t>Kawat Duri Galvanis 1.8MM X 100MTR X 7.5KG</t>
  </si>
  <si>
    <t>ROLL</t>
  </si>
  <si>
    <t>Silicone Sealing Tape 3M, Size 25mm x 10 Meter Bersih 9.1 Meter</t>
  </si>
  <si>
    <t>Isolasi Teflon Tape PTFE Tahan Panas, Size 65mm X 10 Meter</t>
  </si>
  <si>
    <t>Total Amount</t>
  </si>
  <si>
    <t xml:space="preserve">NO </t>
  </si>
  <si>
    <t xml:space="preserve">Kaca Las Hitam </t>
  </si>
  <si>
    <t xml:space="preserve">PC </t>
  </si>
  <si>
    <t>Kertas Pasir Size 150</t>
  </si>
  <si>
    <t>LBR</t>
  </si>
  <si>
    <t>Kertas Pasir Size 1000</t>
  </si>
  <si>
    <t xml:space="preserve">UOM </t>
  </si>
  <si>
    <t>Baut Mur M5*60 Full Drat Galvanis</t>
  </si>
  <si>
    <t>Baut Mur M16*65 Full Drat Galvanis</t>
  </si>
  <si>
    <t>Baut Mur M16*75 Full Drat Galvanis</t>
  </si>
  <si>
    <t>Baut Mur M16*150 Full Drat Galvanis</t>
  </si>
  <si>
    <t>Push In Fitting 8MM X 3/4"</t>
  </si>
  <si>
    <t>PC</t>
  </si>
  <si>
    <t>Push In Fitting 14MM X 3/4"</t>
  </si>
  <si>
    <t>Push In Fitting T Connector 4MM</t>
  </si>
  <si>
    <t>Push In Fitting 4MM X 4MM</t>
  </si>
  <si>
    <t>Brass Reduce Male Connector 3/4" X 1/4"</t>
  </si>
  <si>
    <t xml:space="preserve">Total Amount </t>
  </si>
  <si>
    <t>Water Hose 3/4" Tebal Merk Dan Jenis Bebas @1Roll=50Mtr</t>
  </si>
  <si>
    <t>MTR</t>
  </si>
  <si>
    <t xml:space="preserve">Kabel Ties Ukuran 10cm </t>
  </si>
  <si>
    <t>BKS</t>
  </si>
  <si>
    <t>Kabel Tie Putih 250MM</t>
  </si>
  <si>
    <t>Gembok 60 MM Model Leher Panjang</t>
  </si>
  <si>
    <t xml:space="preserve">Tali Tambang Diameter 7MM </t>
  </si>
  <si>
    <t xml:space="preserve">Kuas Lukis 1CM </t>
  </si>
  <si>
    <t>Portable LED Soplight 50 W</t>
  </si>
  <si>
    <t>Tangga Segitiga 12 Step Denco</t>
  </si>
  <si>
    <t>TOTAL DISCOUNT</t>
  </si>
  <si>
    <t>Rubber Insulation Mat Thickness: 5 mm, Wide 1000 mm; Length 1000 mm ASTM D149-97A to KV @10 Mtr/roll</t>
  </si>
  <si>
    <t>METRE</t>
  </si>
  <si>
    <t>Obeng Plus 1"</t>
  </si>
  <si>
    <t xml:space="preserve">Dynabolt M10 x 50mm </t>
  </si>
  <si>
    <t>Kaca Las Putih</t>
  </si>
  <si>
    <t>Acrylic Bening (Tebal 8mm)</t>
  </si>
  <si>
    <t>Plump Bob R - Deer RT - C06</t>
  </si>
  <si>
    <t>O-Ring ID: 55 MM OD: 75 MM THINKNESS: 5 MM Material  VITON</t>
  </si>
  <si>
    <t>O-Ring ID: 43 MM OD: 51 MM THINKNESS: 4 MM Material  VITON</t>
  </si>
  <si>
    <t>O-Ring ID: 50 MM OD: 60 MM THINKNESS: 5 MM Material VITON</t>
  </si>
  <si>
    <t>O-Ring ID: 23 MM OD: 53 MM THINKNESS: 5 MM Material VITON</t>
  </si>
  <si>
    <t>COMPRESSOR COPELAND SCROLL, (MERK: EMERSON, MODEL: ZR114KCE-TFD-522) FREON 407, 3 PHASE</t>
  </si>
  <si>
    <t>GV2 ME32 SCHNEIDER, RANGE 24 - 32A</t>
  </si>
  <si>
    <t>Tube Assembly &amp; Installation Charge</t>
  </si>
  <si>
    <t>AU</t>
  </si>
  <si>
    <t>Comisioning (Vacum Pump) Charge</t>
  </si>
  <si>
    <t>TERPAL 6 x 8M A5</t>
  </si>
  <si>
    <t>Gland Packing Graphite PTFE 10x10mm</t>
  </si>
  <si>
    <t>Float Switch Oto Level</t>
  </si>
  <si>
    <t>METERAN ROL PANJANG 7.5 METERS</t>
  </si>
  <si>
    <t>GEMBOK HONA 50 MM</t>
  </si>
  <si>
    <t>MDF 2.2MM GRADE A UKURAN 4x8</t>
  </si>
  <si>
    <t>CONTACTOR LC1-D25 M7 / 220V SC</t>
  </si>
  <si>
    <t>CONTACTOR LC1-D38 M7 / 220V SC</t>
  </si>
  <si>
    <t>CONTACTOR LC1-D65 M7 / 220V SC</t>
  </si>
  <si>
    <t>CABLE TRAY 100 x 50 x 3000</t>
  </si>
  <si>
    <t>BTG</t>
  </si>
  <si>
    <t>SOCKET E25</t>
  </si>
  <si>
    <t>BOX PUSH BOTTON 1 LUBANG</t>
  </si>
  <si>
    <t>CABLE TIE CV 200</t>
  </si>
  <si>
    <t>CABLE TIE CV 300</t>
  </si>
  <si>
    <t>JASA SERVICE</t>
  </si>
  <si>
    <t>LOT</t>
  </si>
  <si>
    <t>JASA TRANSPORTASI</t>
  </si>
  <si>
    <t>DIRECTIONAL CONTROL CPDG-06 YUKEN CPDG-06-E-20-50</t>
  </si>
  <si>
    <t xml:space="preserve">FEELER GAUGE TEKIRO </t>
  </si>
  <si>
    <t>RUMAH KUNCI SET</t>
  </si>
  <si>
    <t>SEAL UHS 18 x 26 x 5</t>
  </si>
  <si>
    <t xml:space="preserve">OIL SEAL 1616754800                                                                   METRIAL: PTFE + SS ROTARY LIP SEAL                                            SHAFT DIA: 32MM                                                                                        HOUSING DIA: 46MM                                                                          EIDH 1: 10MM </t>
  </si>
  <si>
    <t>Seal Rubber Cover Niagara Filter Size: 0.5' x 527CM</t>
  </si>
  <si>
    <t>CNP 150 x 50 x 6000 T 2mm</t>
  </si>
  <si>
    <t>SENG GALVALIUM 0.35mm x 6 Meter</t>
  </si>
  <si>
    <t>PIPA CARBON 1 1/2" SCH 40</t>
  </si>
  <si>
    <t>PIPA CARBON SCH 40 1/2"</t>
  </si>
  <si>
    <t>BESI SIKU 50x50x6 OFFER 50x50x5x6mtr</t>
  </si>
  <si>
    <t>BAUT SENG 5CM</t>
  </si>
  <si>
    <t>KTK</t>
  </si>
  <si>
    <t>VITON OIL SEAL 120 x 180 x 15</t>
  </si>
  <si>
    <t>GEAR PUMP KCB 2500 150m3/hr 75kw YUEMA MAT: CAST IRON                                                                          TEMP: 60 deg/50mpas                                                               FLOW: 150 m3/hr</t>
  </si>
  <si>
    <t>DP 40%</t>
  </si>
  <si>
    <t>SELANG FLEKSIBEL 4" X 6MTR INCLUDE DOUBLE NOZZLE S/S 304</t>
  </si>
  <si>
    <t>BAUT L SS                                                                                   DIAM L : 2.30MM                                                                        DIAM DRAT : 2.90                                                                 PANJANG : 19.55MM</t>
  </si>
  <si>
    <t>BAUT L BAJA FULL DRAT                                                                        DIAM DRAT : 9.90MM                                                   DIAM L : 8MM                                                                     PANJANG : 100MM</t>
  </si>
  <si>
    <t>BAUT L S/S M14 x 40MM FULL DRAAT + MUR</t>
  </si>
  <si>
    <t>VALVE SEAT FOR BUTTERFLY VALVE DN600 ISORIA-10 IN NH - S MATER</t>
  </si>
  <si>
    <t>Full Payment (60%)</t>
  </si>
  <si>
    <t>LEM DEXTONE</t>
  </si>
  <si>
    <t>I</t>
  </si>
  <si>
    <t xml:space="preserve">FOR PERFECTOR 150 MACHINE </t>
  </si>
  <si>
    <t>O-RING 75.80 ID x 3.53 NBR70</t>
  </si>
  <si>
    <t>O-RING 69.52 ID x 2.62 NBR70</t>
  </si>
  <si>
    <t>O-RING 66.40 ID x 1.78 NBR70</t>
  </si>
  <si>
    <t>O-RING 64.39 ID x 1.78 NBR70</t>
  </si>
  <si>
    <t>O-RING 58.74 ID x 3.53 NBR70</t>
  </si>
  <si>
    <t>O-RING 74.50 ID x 3.00 NBR70</t>
  </si>
  <si>
    <t>O-RING 67.95 ID x 2.62 NBR70</t>
  </si>
  <si>
    <t>II</t>
  </si>
  <si>
    <t>FOR PIN ROTOR MACHINE</t>
  </si>
  <si>
    <t>III</t>
  </si>
  <si>
    <t xml:space="preserve">FOR PLASTICATOR MACHINE </t>
  </si>
  <si>
    <t>O-RING 69.44 ID x 3.53 NBR70</t>
  </si>
  <si>
    <t>O-RING 68.26 ID x 3.53 NBR70</t>
  </si>
  <si>
    <t>O-RING 60.32 ID x 3.53 NBR70</t>
  </si>
  <si>
    <t>O-RING 69.85 ID x 3.53 NBR70</t>
  </si>
  <si>
    <t>IV</t>
  </si>
  <si>
    <t xml:space="preserve">FOR CM WEIGHING MACHINE </t>
  </si>
  <si>
    <t>VITON O-RING SIZE: 160MM ID x 3MM</t>
  </si>
  <si>
    <t>SELENOID VALVE                                                                  Parker Solenoid Valve 483510S6                                        Model 4818653D 220V-230V 50HZ</t>
  </si>
  <si>
    <t xml:space="preserve">DIAPHRAGM PUMP TR20 PTT-7SV TAPFLO </t>
  </si>
  <si>
    <t>TRANSFORMER LCP-CL-1000360</t>
  </si>
  <si>
    <t>SEAL CYLINDER HYDRAULIC FORKLIFT TOYOTA MODEL 62-8FD25</t>
  </si>
  <si>
    <t>POMPA OLI MANUAL BAHAN ALUMUNIUM</t>
  </si>
  <si>
    <t>MECHANICAL SEAL NOK EA560N-M24</t>
  </si>
  <si>
    <t xml:space="preserve">POMPA OLI MANUAL BAHAN ALUMUNIUM </t>
  </si>
  <si>
    <t>METAL PUMP E4PA5F5T9 VERSAMATIC</t>
  </si>
  <si>
    <t>CONTACTOR LC1-D95/220V SC</t>
  </si>
  <si>
    <t>CONTACTOR LC1-D80/220V SC</t>
  </si>
  <si>
    <t>TIME DELAY CONTACT SCHNEIDER LAD-T2 (0-30S)</t>
  </si>
  <si>
    <t xml:space="preserve">NABAKEM PENETRANT MEGA CHECK </t>
  </si>
  <si>
    <t>GOAT GLUE 500 GR</t>
  </si>
  <si>
    <t>SCRAP 4"</t>
  </si>
  <si>
    <t>BAUT L M6*30MM</t>
  </si>
  <si>
    <t>LIP SEAL VITON FOR DOME VALVE (OD:180MM x ID:160MM x CS:10MM x TINGGI/TEBAL: 3MM)</t>
  </si>
  <si>
    <t>OIL SEAL VTON 25 x 37 x 7</t>
  </si>
  <si>
    <t>OIL SEAL VTON 30 x 40 x 7</t>
  </si>
  <si>
    <t>ROMPI SAFETY SIZE L / ALL SIZE</t>
  </si>
  <si>
    <t>DOUBLE TIP BUSA / HIJAU NACHI ADDHESIVE FOAM TAPE 24MM x 5 MTR</t>
  </si>
  <si>
    <t>PUSH IN FITTING REDUCER 10MM x 8MM</t>
  </si>
  <si>
    <t>PUSH IN FITTING REDUCER 12MM x 10MM</t>
  </si>
  <si>
    <t>PUSH IN FITTING Y 10MM</t>
  </si>
  <si>
    <t>PUSH IN FITTING Y 8MM</t>
  </si>
  <si>
    <t>RING GELOMBANG UNTUK BEARING 6202</t>
  </si>
  <si>
    <t>TERPAL 6 x 8 M A5</t>
  </si>
  <si>
    <t>MEMBRANE PROMNCAT PUMP</t>
  </si>
  <si>
    <t xml:space="preserve">GEAR PUMP YCB 40-06 40m3/hr 15kw YCB                                                                            IN/OUTLET                 : 125 MM (5")                                                                   MATERIAL                  : CI/CI/CS                                                                         SEALING                      : MECH SEAL                                                             FLOW &amp; PRESSURE : 40 M3/HR @ 0.6 Mpa                                          POWER MOTOR      : 15KW/20HP/970RPM/380V/50HZ C/W MOTOR, BASEPLATE UNP + COUPING     </t>
  </si>
  <si>
    <t>FUSE HODLER TFBR - 101</t>
  </si>
  <si>
    <t>HEAT SHRINK 2MM PANJANG 10M</t>
  </si>
  <si>
    <t>HEAT SHRINK 7MM PANJANG 10M</t>
  </si>
  <si>
    <t>HEAT SHRINK 10MM PANJANG 10M</t>
  </si>
  <si>
    <t xml:space="preserve">SUPPLY FUEL DISPENSER (Pertamini) GOLDEN </t>
  </si>
  <si>
    <t>FILTER CLOTH FOR MEMBRANE                                          MATERIAL : POLYAMIDE, AIR PERM : 400LT/DM2/MIN, PLATE DIMENTION : 1500 x 1500MM</t>
  </si>
  <si>
    <t xml:space="preserve">KAPUR BESI </t>
  </si>
  <si>
    <t>KAWAT LAS CIA - 1</t>
  </si>
  <si>
    <t>MATA BOR BOBOK BETON LANCIP DAN PIPIH 14x250MM</t>
  </si>
  <si>
    <t>HAND VACUM CLEANER SEPERTI PENGHISAP DEBU MOBIL</t>
  </si>
  <si>
    <t>GAS PORTABLE SPARE UNTUK PORTABLE GAS TORCH</t>
  </si>
  <si>
    <t>PRESSURE SWITCH RADARORI RD-88 3/8"</t>
  </si>
  <si>
    <t xml:space="preserve">JASA SERVICE PERBAIKAN SEALING SISTEM PIG LAUNCHER </t>
  </si>
  <si>
    <t>FILTER CLOTH MEMBRANE INTRSONI MATERIAL : POLYMADE, AIR PERM : 400LT/DM2/MIN</t>
  </si>
  <si>
    <t>PANEL ELECTRIC 50X60X30 OUTDOOR</t>
  </si>
  <si>
    <t xml:space="preserve">MCCB NS100N/100A 3P M.GERIN </t>
  </si>
  <si>
    <t>SELECTOR SWITCH 3 POS, 2NO, 1OFF, E25</t>
  </si>
  <si>
    <t>ROD END BEARING (M12 DRAAT KANAN)</t>
  </si>
  <si>
    <t>SHIMIZU POMPA AIR JET PUMP PC 260 BIT (OTOMATIS)</t>
  </si>
  <si>
    <t>STOP KONTAK 4 LUBANG + KABEL BRAND : UTICON</t>
  </si>
  <si>
    <t xml:space="preserve">MECHANICAL SEAL STEP WAVE SPRING SEAL SIC/TC/KALREZ, SIZE 43 BRAND : TRISUN </t>
  </si>
  <si>
    <t>JUFAN AIR CYLINDER GJ 26 T</t>
  </si>
  <si>
    <t>SELENOID VALVE MAC MODEL 56C-17-121JJ     UNTUK  MESIN 5L</t>
  </si>
  <si>
    <t>ISOLASI TEFLON TAPE PTFE TAHAN PANAS, SIZE 65MM x 10 METER THICKNESS 0.13MM</t>
  </si>
  <si>
    <t>WATER COOLANT/AIR RADIATOR PRESTONE PRECISION BLEND(ANTIFREEZE/COOLANT) 3.78 LITER/1GALON</t>
  </si>
  <si>
    <t>BTL</t>
  </si>
  <si>
    <t>STEAM TRAP SARCO 3/4" DRAT SS TYPE THERMODYNAMIC STEAM TRAP</t>
  </si>
  <si>
    <t>MINYAK REM / BRAKE OIL WAGNER 946 ML/BTL</t>
  </si>
  <si>
    <t>GV3-P65 RANGE 48-65A</t>
  </si>
  <si>
    <t>SEALNG FLEKSIBEL 4" x 6MTR INCLUDE DOUBLE NOZZLE S/S 304 INNER SPRING GALVANISH 4x6" METER  CAMLOCK ALUMUNIUM PRESSURE 10 BAR</t>
  </si>
  <si>
    <t>THERMAL OVERLOAD RELAY LRD 05 RANGE 0.63-1A</t>
  </si>
  <si>
    <t>GV2ME08 RANGE 2.5-4A</t>
  </si>
  <si>
    <t>GV2ME10 RANGE 4-6.3A</t>
  </si>
  <si>
    <t>GV2ME20 RANGE 13-18A</t>
  </si>
  <si>
    <t>GV3-P50 RANGE 37-50A</t>
  </si>
  <si>
    <t>GV2ME22 RANGE 20-25A</t>
  </si>
  <si>
    <t>GV2ME32 RANGE 24-32A</t>
  </si>
  <si>
    <t>GV2ME14 RANGE 6-10A</t>
  </si>
  <si>
    <t>GV3-P40 RANGE 30-40A</t>
  </si>
  <si>
    <t>CONTACTOR LC1D09M7, 220VAC</t>
  </si>
  <si>
    <t>CONTACTOR LC1D25M7, 220VAC</t>
  </si>
  <si>
    <t>CONTACTOR LC1D12M7, 220VAC</t>
  </si>
  <si>
    <t>CONTACTOR LC1D50AM7, 220VAC</t>
  </si>
  <si>
    <t>CONTACTOR LC1D40AM7, 220VAC</t>
  </si>
  <si>
    <t>CONTACTOR LC1D18M7, 220VAC</t>
  </si>
  <si>
    <t>SOLENOID "SMC/SY5120-5LZD-01</t>
  </si>
  <si>
    <t>MCB 1 PHASE 6A</t>
  </si>
  <si>
    <t>COUPLING TYPE NM 128</t>
  </si>
  <si>
    <t>FESTO PROXIMITY SENSOR SME-8M-DS-24V</t>
  </si>
  <si>
    <t>FLEXIBE HOSE COMPLETE WITH FEMALE CAMLOCK &amp; FLANGE 4" COMPOTECH TIPE 800 HD ZZ 4" x 2.5 MTR</t>
  </si>
  <si>
    <t>CAMPLOCK COUPLING TYPE F 4"</t>
  </si>
  <si>
    <t>FLEXIBLE HOSE 2" x 15M C/W FEMALE</t>
  </si>
  <si>
    <t>MALE CONNECTOR 2" U/ NO 1</t>
  </si>
  <si>
    <t>KOBE LB 52 x 3.2 MM WELDING ELECTRODE</t>
  </si>
  <si>
    <t>KG</t>
  </si>
  <si>
    <t xml:space="preserve">KOBE LB 52 x 4 MM WELDING ELECTRODE </t>
  </si>
  <si>
    <t xml:space="preserve">KOBE RB 26 x 3.2 MM WELDING ELECTRODE </t>
  </si>
  <si>
    <t>GENERAL CHECK UP CHILLER SHUANGLIANG MODEL: 113112H</t>
  </si>
  <si>
    <t>LS</t>
  </si>
  <si>
    <t>ACOMODATION/TRANSPORTATION</t>
  </si>
  <si>
    <t>ACRILIC 5MM x 122CM x 244CM</t>
  </si>
  <si>
    <t>CONTACTOR SCHNEIDER LC1-D65AM7</t>
  </si>
  <si>
    <t>CONTACTOR SCHNEIDER LC1-D50M7</t>
  </si>
  <si>
    <t>SENG GALVALIUM 0.354MM x 6 METER</t>
  </si>
  <si>
    <t>LEM PVC</t>
  </si>
  <si>
    <t>KLG</t>
  </si>
  <si>
    <t>INSULASI PIPA PROFLEX (TEBAL 1/2" UKURAN PIPA 2")</t>
  </si>
  <si>
    <t xml:space="preserve">TRUNCKING CABLE GALVANISH 200 x 100 x 3000MM C/W COVER </t>
  </si>
  <si>
    <t>TRUNCKING CABLE GALVANISH 100 x 100 x 3000MM C/W COVER</t>
  </si>
  <si>
    <t>OUTSIDE ELBOW TRUNCKING CABLE GALVANISH 200 x 100 C/W COVER</t>
  </si>
  <si>
    <t>OUTSITE ELBOW TRUNCKING CABLE GALVANISH 100 x 100MM C/W COVER</t>
  </si>
  <si>
    <t>BESI SIKU 40x40x6</t>
  </si>
  <si>
    <t>MCCB 3 PHASE 250A</t>
  </si>
  <si>
    <t>FLEXIBE HOSE COMPLETE WITH FEMALE CAMLOCK &amp; FLANGE 4" COMPOTECH TIPE 800 HD ZZ 4" x 2.5MTR</t>
  </si>
  <si>
    <t>KUNCI SHOCK 36 MM</t>
  </si>
  <si>
    <t>KUNCI SHOCK 38 MM</t>
  </si>
  <si>
    <t xml:space="preserve">V-BELT C 65 GREEN SEAL (MITSUBOSHI) </t>
  </si>
  <si>
    <t>V-BELT B 65 GREEN SEAL (MITSUBOSHI)</t>
  </si>
  <si>
    <t>V-BELT B 63 GREEN SEAL (MITSUBOSHI)</t>
  </si>
  <si>
    <t>V-BELT B 78 (MITSUBOSHI)</t>
  </si>
  <si>
    <t>DISC</t>
  </si>
  <si>
    <t xml:space="preserve">V-BELT B 57 GREEN SEAL (MITSUBOSHI) </t>
  </si>
  <si>
    <t>V-BELT SPA 2332 (MITSUBOSHI)</t>
  </si>
  <si>
    <t>V-BELT B 60 GREEN SEAL (MITSUBOSHI)</t>
  </si>
  <si>
    <t>V-BELT SPB 2500 (MITSUBOSHI)</t>
  </si>
  <si>
    <t>GSH11E MESIN BOR DEMOLITION BREAKER HAMMER MODEL 10KG BOSCH GSH 11 E</t>
  </si>
  <si>
    <t>THERMOMETER SONDING STICK 0 - 15 deg. C (SELLERY 56-100)</t>
  </si>
  <si>
    <t>GENUINE MANN+HUMMELDIFFERENTIAL PRESSURE SWITCH CONNECTOR 39 050 70 902 (50 Mbar)</t>
  </si>
  <si>
    <t xml:space="preserve">SILICONE SEALENT NETRAL </t>
  </si>
  <si>
    <t>STARTER LAMPU LED TL 8 WATT</t>
  </si>
  <si>
    <t>RODA TEFLON 3" HIDUP</t>
  </si>
  <si>
    <t>RODA TEFLON 3" MATI</t>
  </si>
  <si>
    <t>CABLE SCUN RING 2,5MM RED: 100; YELLOW: 100; BLUE: 100; BLACK: 100</t>
  </si>
  <si>
    <t>BAUT KUPU KUPU M16 SS FULL DRAAT</t>
  </si>
  <si>
    <t>KAWAT LAS SS 308/2.6</t>
  </si>
  <si>
    <t>BATU GERINDA POTONG 4" TEBAL 1MM</t>
  </si>
  <si>
    <t>SELECTOR SWITCH YW1S-2E 10 22MM</t>
  </si>
  <si>
    <t>SELECTOR SWITCH YW1S-33E20 22MM</t>
  </si>
  <si>
    <t>SOLID STATE RELAY SSR-40 OA-H FUTEK</t>
  </si>
  <si>
    <t>SCOTH RUBBER 3M</t>
  </si>
  <si>
    <t>PROXIMITY SENSOR PND 04-NP BRAND RIKO</t>
  </si>
  <si>
    <t>PITA ASBESTOS 2" x 15 METER</t>
  </si>
  <si>
    <t>KABEL TEE 25 x 150MM</t>
  </si>
  <si>
    <t xml:space="preserve">OBENG PLUS  </t>
  </si>
  <si>
    <t>OBENG MINUS</t>
  </si>
  <si>
    <t xml:space="preserve"> PIPING SYTEM AND INSTRUMENT DRAWING OSBL</t>
  </si>
  <si>
    <t>A. PIPING &amp; INSTRUMENT DIAGRAM UNLOADING AREA</t>
  </si>
  <si>
    <t>B. PIPING &amp; INSTRUMENT DIAGRAM LOADING AREA</t>
  </si>
  <si>
    <t>C. PIPING &amp; INSTRUMENT DIAGRAM STEAM DISTRIBUTION</t>
  </si>
  <si>
    <t>D. PIPING &amp; INSTRUMENT DIAGRAM WATER DISTRIBUTION</t>
  </si>
  <si>
    <t>E. PIPING &amp; INSTRUMENT DIAGRAM COOLING WATER</t>
  </si>
  <si>
    <t>F. PIPING &amp; INSTRUMENT DIAGRAM WASTE WATER SYSTEM</t>
  </si>
  <si>
    <t>TRANSFORMER CAP : 36VA INPUT 1-2 415V</t>
  </si>
  <si>
    <t xml:space="preserve">OIL SEAL VITON 25 x 37 x 7 </t>
  </si>
  <si>
    <t xml:space="preserve">OIL SEAL VITON 30 x 40 x 7 </t>
  </si>
  <si>
    <t>KAPUR LILIN</t>
  </si>
  <si>
    <r>
      <rPr>
        <sz val="12"/>
        <color rgb="FF000000"/>
        <rFont val="Calibri"/>
        <family val="2"/>
      </rPr>
      <t xml:space="preserve">KAWAT LAS KOBELCO LB 52 </t>
    </r>
    <r>
      <rPr>
        <sz val="12"/>
        <color rgb="FF000000"/>
        <rFont val="Calibri"/>
        <family val="2"/>
      </rPr>
      <t>ø x 3.2 MM</t>
    </r>
  </si>
  <si>
    <t>KGS</t>
  </si>
  <si>
    <t xml:space="preserve">KAWAT LAS KOBELCO LB 52 ø x 4 MM </t>
  </si>
  <si>
    <t>NIPPLE GREASE 3/8" UNF</t>
  </si>
  <si>
    <t>SKUN CABLE ø 16 MM</t>
  </si>
  <si>
    <t>OMBRO METER (Material S/Stell)</t>
  </si>
  <si>
    <t xml:space="preserve">ACOMODATION / TRANSPORTAION </t>
  </si>
  <si>
    <t>WATER MUR SANITARY SIZE 3" SS316</t>
  </si>
  <si>
    <t>SELANG SPIRAL/FLEXIBLE HOSE 4" C/W FLANGE &amp; CAMLOCK @ 1 METER 1 SELANG PANJANG MASING-MASING 1 METER</t>
  </si>
  <si>
    <t>PUSH IN FITTING FEMALE 1/4 x 8MM</t>
  </si>
  <si>
    <t>BALL VALVE WATER MU 1 1/2"</t>
  </si>
  <si>
    <t>WATER MUR ROTO MOTOR 1 1/2"</t>
  </si>
  <si>
    <t>MECHANICAL SEAL STEP WAVE SPRING SEAL SIC/TC/KALREZ, SIZE 43</t>
  </si>
  <si>
    <t>ELBOW STEAM SCH 40 8"</t>
  </si>
  <si>
    <t>KUNCI L SET 2 -10 MM MERK TEKIRO</t>
  </si>
  <si>
    <t>KUNCI L 12 MM MERK TEKIRO</t>
  </si>
  <si>
    <t xml:space="preserve">KUNCI L 14 MM MERK TEKIRO </t>
  </si>
  <si>
    <t>KUNCI RING PAS 28 MM MERK TEKIRO</t>
  </si>
  <si>
    <t>OXYGEN REGULATOR YAMATO SANGYO</t>
  </si>
  <si>
    <t xml:space="preserve">REGULATOR LPG YAMATO SANGYO </t>
  </si>
  <si>
    <t xml:space="preserve">BORAK BUBUK LAS </t>
  </si>
  <si>
    <t>PRESSURE GAUGE 4" DRAT 1/2" RANGE 0-10BAR MERK: WIKA, FRONT MOUNTED</t>
  </si>
  <si>
    <t>FLANGE PVC 1" AW</t>
  </si>
  <si>
    <t>DOWNLIGHT LED 14W DN027B G2 PHILIPS</t>
  </si>
  <si>
    <t>KAWAT LAS RB 2.6</t>
  </si>
  <si>
    <t xml:space="preserve">DOUBLE NIPPLE MALE SS 304 1/2" FOR HYDROLIC </t>
  </si>
  <si>
    <t>1" CAF PRE-CUT GASKET, PN16, 3MM THK. (BRAND: KINGLER C4400)</t>
  </si>
  <si>
    <t>2" CAF PRE-CUT GASKET, PN16, 3MM THK. (BRAND: KINGLER C4400)</t>
  </si>
  <si>
    <t>VIBRATION METER LUTRON VB-8206SD</t>
  </si>
  <si>
    <t>THICKNESS GAUGE SNDWAY SW - 6520</t>
  </si>
  <si>
    <t>MASTECH MS2203 THREE PHASE DIGITAL POWER CLAMP METER</t>
  </si>
  <si>
    <t xml:space="preserve">AIR VELOCITY METER TENMARS TM - 404 </t>
  </si>
  <si>
    <t>KRISBOW THERMOMETER IR DUAL LASER - 50 TO 550 DEG C, KW0600559</t>
  </si>
  <si>
    <t>DISCOUNT</t>
  </si>
  <si>
    <t>BAUT MUR BAJA M18 x 65 MM C/W RING PER</t>
  </si>
  <si>
    <t>DIFFUSE REFLECTION SENSOR IMF OGT 102</t>
  </si>
  <si>
    <t>POWER SUPPLY 24 V / 10 A</t>
  </si>
  <si>
    <t>SELENOID 4V210-08 AIRTAG</t>
  </si>
  <si>
    <t>LEVEL SWITCH (STAINLESS STEEL 24VDC POWERED CONTACT SWITCH (LEVEL SWITCH MOUTING 1/2 INC) COLOR: SILVER MATERIAL: SS SUS MAX CONTACT RATING: 10W MAX SWITCHING VOLTAGE: 100V DC MAX SWITCHING CURRENT: 0.5A MAX BREAKDOWN VOLTAGE: 220V DC MAX CARRY CURRENT: 1A MAX CONTACT RESISTANCE: 100M MAX TEMP: -30 DERAJAD -+ 125 DERAJAD THREAD DIA (APPROX): 21 MM, 1/2" PT THREAD LENGHT: 15MM/0.59" SWITCH TOTAL LENGHT: 1 15/4.5" CABLE LENGHT: 38 CM/15" 40 CM/15.7"</t>
  </si>
  <si>
    <t>CONTACTOR LC1-D80/220C SC</t>
  </si>
  <si>
    <t>ENGSEL PINTU PORI 4"</t>
  </si>
  <si>
    <t>FLOWMETER FILL-RITE TUTHILL SERI 800 INLET OUTLET 1"</t>
  </si>
  <si>
    <t>FLOWMETER FILL-RITE TUTHILL SERI 900 INLET OUTLET 1 1/2"</t>
  </si>
  <si>
    <t>RUBBER COUPLING NM 97</t>
  </si>
  <si>
    <t>RUBBER COUPLING NM 128</t>
  </si>
  <si>
    <t>GRAFIK BOILER 9/D/124/X</t>
  </si>
  <si>
    <t>KERTAS GRAFIK REBUSAN</t>
  </si>
  <si>
    <t>TINTA GRAFIK ROTOTHERM (MERAH) PANJANG</t>
  </si>
  <si>
    <t>KERTAS GRAFIK BOILER 9/D/132/X</t>
  </si>
  <si>
    <t>TROUBLE SHOOT DISPLAYCONTROL HPB, HTI REF           DELIVERY DATE : 29. 01. 2023        QTY: 1,00 PC                           PR NO : 1069879229                                                                             PR DATE : 04 . 01 . 2023                                                                       ORDER NO : 357303008303</t>
  </si>
  <si>
    <t>BLANKO SURAT PENGANTAR TBS (KEBUN MANDIRI)</t>
  </si>
  <si>
    <t>BLOCK</t>
  </si>
  <si>
    <t>BLANKO SORTASI</t>
  </si>
  <si>
    <t>TERPAL 6 x 14 MTR</t>
  </si>
  <si>
    <t>PUMP, VACUUM, ROTARY, OIL SEALED, PVD-N360 U/PUMP CHILLER (DRY FRACT.) DF1204</t>
  </si>
  <si>
    <t>BAUT MUR M16 x 85 MM CARBON</t>
  </si>
  <si>
    <t>PRESSURE GAUGE 4" DRAT 1/2" RANGE -760 SD 0 BARG MERK WIKA, EN 837-1, FRONT MOUNTING, C/W GLYCERINE</t>
  </si>
  <si>
    <t>PRESSURE GAUGE 4" DRAT 1/2" RANGE -1 SD 15 BARG MERK WIKA, EN 837-1, FRONT MOUNTING, C/W GLYCERINE</t>
  </si>
  <si>
    <t>PRESSURE GAUGE 4" DRAT 1/2" RANGE -1 SD 4 BARG MERK WIKA, EN 837-1, FRONT MOUNTING, C/W GLYCERINE</t>
  </si>
  <si>
    <t>PRESSURE GAUGE 4" DRAT 1/2" RANGE 0 SD 10 BARG MERK WIKA, EN 837-1, FRONT MOUNTING, C/W GLYCERINE</t>
  </si>
  <si>
    <t>PRESSURE GAUGE 4" DRAT 1/2" RANGE 0 SD 7 BARG MERK WIKA, EN 837-1, FRONT MOUNTING, C/W GLYCERINE</t>
  </si>
  <si>
    <t>THERMOMETER GAUGE 4" DRAT 1/2" RANGE 0 SD 400 CELCIUS MERK WIKA, EN 13190, HYBRID MOUNTING, PANJANG SENSOR 13 CM</t>
  </si>
  <si>
    <t>BESI SIKU 50 x 50 x 6000 MM</t>
  </si>
  <si>
    <t>BESI HOLLOW S/S 304 20 x 20 x 2 MM</t>
  </si>
  <si>
    <t>BESI HOLLOW S/S 304 30 x 30 x 2 MM</t>
  </si>
  <si>
    <t>BESI SIKU S/S 304 20 x 20 x 6000 MM</t>
  </si>
  <si>
    <t>ACRILYC 1200 x 2400 x 3 MM</t>
  </si>
  <si>
    <t>PRESSURE GAUGE 4" DRAT 1/2" RANGE 0-40 BAR MERK WIKA</t>
  </si>
  <si>
    <t>MECH SEAL SIZE 33MM BRAND PUMP : AQUAPANE KSB: TYPE : A100 - 260/B S/N: 0834852</t>
  </si>
  <si>
    <t>KAWAT LAS RB 260 3.2MM</t>
  </si>
  <si>
    <t>KAWAT LAS LB 52 3.2MM</t>
  </si>
  <si>
    <t>KALKULATOR</t>
  </si>
  <si>
    <t>METERAN SOUNDING @20MTR</t>
  </si>
  <si>
    <t xml:space="preserve">KACA MATA PLASTIK PUTIH </t>
  </si>
  <si>
    <t xml:space="preserve">BAN LUAR DT 750 -16 </t>
  </si>
  <si>
    <t>SELENDANG BAN DALAM DUMP TRUCK</t>
  </si>
  <si>
    <t>BAN DALAM DT Uk. 750</t>
  </si>
  <si>
    <t>CONTACTOR LC1 D3201M7 TELE</t>
  </si>
  <si>
    <t>CONTACTOR LC1 D25M7 TELE</t>
  </si>
  <si>
    <t>CONTACTOR LC1 D18M7 7.5KW TELE</t>
  </si>
  <si>
    <t>MCB GV3P65 48-65A SCHNEIDER</t>
  </si>
  <si>
    <t>GV2 M32 24-32A TELE</t>
  </si>
  <si>
    <t>MCB GV2ME20 13-18A SCHNEIDER</t>
  </si>
  <si>
    <t>ISOLATOR 16 AMP (TYPE UKF, 3P 40A 240V/415VAC)</t>
  </si>
  <si>
    <t>24 VDC POWER SUPPLY</t>
  </si>
  <si>
    <t xml:space="preserve">PILOT LAMP 24VDC (GREEN) SIZE 22MM </t>
  </si>
  <si>
    <t>AUTO/MAN SWITCH</t>
  </si>
  <si>
    <t>NABAKEM PENETRANT MEGA CHECK</t>
  </si>
  <si>
    <t>STIKER TRANSPARAN BENING</t>
  </si>
  <si>
    <t>GEL PEMBERSIH STAINLESS NS-STAINCLEAN KEMASAN @1KG</t>
  </si>
  <si>
    <t>SIKAT KAWAT S/S</t>
  </si>
  <si>
    <t>MATA BOR S/S 8.5MM</t>
  </si>
  <si>
    <t>PRESSURE GAUGE 4" DIAL (OIL FILLED), RANGE : 0 TO 10 BAR, 1/2" BSPT THREADED BOTTOM WIKA</t>
  </si>
  <si>
    <t>SIPHON GAUGE TYPE "O" 1/2" SCH40 BSPT MALE THREAD AT BOTH END (MATERIAL CARBON)</t>
  </si>
  <si>
    <t>NEEDLE VALVE 1/2" FEMALE BSPT, 6000PSI, SS304, VMX/VTV</t>
  </si>
  <si>
    <t>PRESSURE GAUGE 4" DIAL (OIL FILLED), RANGE : 0 TO 20 BAR, 1/2" BSPT THREADED BOTTOM (WIKA 0-25 BAR)</t>
  </si>
  <si>
    <t>BELLOW SEAL GLOBE VALVE DN 150, DIN FALNGE DN150 PN40 CS MATING FLANGE X 2PCS/C/W FREE CUT GASKET, BOLT, NUT, WASHERS, 12 BAR FOR STEAM (ARI FABA)</t>
  </si>
  <si>
    <t>BOLT, NUT, WASHERS HT 8.8 GI M16 x 60MM BOLT AND NUT C/W WASHER (MATERIAL C/S)</t>
  </si>
  <si>
    <t>PRE-CUT GASKET DN 150, 6" PN40, 3MM THICKNESS - KLINGER CAF C4400</t>
  </si>
  <si>
    <t>Disc 5%</t>
  </si>
  <si>
    <t>SELANG ANGIN 8MM @ROLL: 50M</t>
  </si>
  <si>
    <t>STANG LAS 800 A ELEPHANT</t>
  </si>
  <si>
    <t>CABLE TAHAN PANAS 2.5 SQM</t>
  </si>
  <si>
    <t>MCB GV2ME14 6-10 A SCHNEIDER</t>
  </si>
  <si>
    <t>CONTACTOR LC1 D0901M7 TELE</t>
  </si>
  <si>
    <t>MCCB NS100H/100A 3P M.GERIN FOR BBI</t>
  </si>
  <si>
    <t>CAPACITOR 65 uF FOR JET PUMP TANK FARM</t>
  </si>
  <si>
    <t>CAPAITOR 65 uF FENERAL ELECTRIC &amp; INSTRUMENT</t>
  </si>
  <si>
    <t>TIG WELD PLASMA CUTTING WELDCRAFT - ADAPTO</t>
  </si>
  <si>
    <t>PRESSURE TRANSMITER IFM PL 2652 U/SENSOR MEMBRAN FILTER PRESS (DF1001)</t>
  </si>
  <si>
    <t>CABLE TRAY TYPE U 100 X 50 C/W TUTUP CABLE TRAY GALVANISH TYPE U SPHC 1.2 MM X 100 X 50 X 3000 C/W COVER</t>
  </si>
  <si>
    <t>OIL COMPRESSOR ATLAS COCO PN 2901 1701 00 KEMASAN 20 LITER</t>
  </si>
  <si>
    <t>GLN</t>
  </si>
  <si>
    <t>TIMING BELT 225L, LEBAR 13MM</t>
  </si>
  <si>
    <t xml:space="preserve">SELANG ANGIN 10 MM </t>
  </si>
  <si>
    <t>SELANG ANGIN 8 MM</t>
  </si>
  <si>
    <t xml:space="preserve">SELANG ANGIN 6 MM </t>
  </si>
  <si>
    <t xml:space="preserve">SELANG ANGIN 12 MM </t>
  </si>
  <si>
    <t>OPTIBELT ZR 240L</t>
  </si>
  <si>
    <t>V-BELT POWERGRID HTD 720-8M</t>
  </si>
  <si>
    <t>BATU GERINDA POTONG 4" TEBAL 1 MM</t>
  </si>
  <si>
    <t xml:space="preserve">BATU GERINDA POTONG 14" </t>
  </si>
  <si>
    <t xml:space="preserve">AIR FITTING 6MM WITH CONTOLLER </t>
  </si>
  <si>
    <t>V-BELT 160XL L2121</t>
  </si>
  <si>
    <t xml:space="preserve">ADJUSTABLE OIL FILTER WRENCH MERK: TEKIRO RANGE: 50 S/D 110 MM  </t>
  </si>
  <si>
    <t xml:space="preserve">WATERPASS 60 CM - MAGNET </t>
  </si>
  <si>
    <t xml:space="preserve">MESIN KETAM MAKITA M1901B </t>
  </si>
  <si>
    <t>NEPLE HOSE DRAT 1 1/2" CARBON</t>
  </si>
  <si>
    <t xml:space="preserve">NEPLE HOSE DRAT LUAR 1" CARBON </t>
  </si>
  <si>
    <t>SELANG NYLON SPRING 1 1/2"</t>
  </si>
  <si>
    <t>SELANG NYLON SPRING 1"</t>
  </si>
  <si>
    <t xml:space="preserve">BALL VALVE PVC 2" ZUKI </t>
  </si>
  <si>
    <t>BALL VALVE PVC 1 1/2" ZUKI</t>
  </si>
  <si>
    <t>INSULASI PIPA PROFLEX (TEBAL 1/2", UKURAN PIPA 2") 1 BTG = 1.8 MTR</t>
  </si>
  <si>
    <t>INSULASI PIPA PROFLEX (TEBAL 1/2", UKURAN PIPA 1 1/2") 1 BTG = 1.8 MTR</t>
  </si>
  <si>
    <t>DUCT TAPE AC KARET / PEMBUNGKUSAN PIPA AC</t>
  </si>
  <si>
    <t>VALVE AIR CUCI PIRING LEHER PANJANG TYPE SAN-EI A 10 JPR UNTUK AIR PANAS</t>
  </si>
  <si>
    <t>TOYO SPRING HOSE 3/4 @ROLL = 50M</t>
  </si>
  <si>
    <t>PABRIKASI MANIPOLD DAN ORING SEAL FILTER :                        - MANIPOLD               : 1 UNIT                                                                                    - EMERGENCY PLUG : 22 PCS                                                                   - ORING                        : 750 PCS</t>
  </si>
  <si>
    <t>BRAND RACH                                                                                            HORIZONTAL LEVEL SWITCH                                                            CONNECTION 2" JIS 10K SS304.                                                      OUTPUT SPDT (NO.NC.COM)                                                                       RATING 40va                                                                                          ENCLOUSURE ALUMUNIUM HEAD IP 65                                         MAX TEMP 300C                                                                                    MAX PRESS 16 BAR                                                                                  GARANSI 1 TAHUN</t>
  </si>
  <si>
    <t>REPAIR CONTROLLER HPB TYPE 930T93                                               DELIVERY DATE: 16.03.2023      QTY: 1,00 PC                                   PR NO : 1071202471                                                                                      PR DATE : 22.02.2023                                                                                           ORDER NO : 357303008303</t>
  </si>
  <si>
    <t>OIL SEAL VITON TC 33 x 47 x 8</t>
  </si>
  <si>
    <t>THERMOMETER SOUNDING / THERMOMETER TANGKI 120 C</t>
  </si>
  <si>
    <t>OMRON MINIATURE TIMER H3Y</t>
  </si>
  <si>
    <t>SELECTOR SWITCH AMMETER 4 POSISI</t>
  </si>
  <si>
    <t>THERMAL OVERLOAD RELAY SCHNEIDER LRD -43 (180-104A)</t>
  </si>
  <si>
    <t>DISPENSER SANKEN HWD - C5201C</t>
  </si>
  <si>
    <t>CRANKSHAFT PN. 3304025</t>
  </si>
  <si>
    <t>CRANK ROD BUSH PN.2316001-B</t>
  </si>
  <si>
    <t>PACKING SET PK5HP</t>
  </si>
  <si>
    <t>SOLENOID VALVE CAMOZZI 358-015-02-A70</t>
  </si>
  <si>
    <t>AC MOTOR CONTROLLER RM6, 3HP 400V, 18.5KW RHYEMBUS</t>
  </si>
  <si>
    <t>HYDRAULIC VANE PUMP BRAND : YUKEN TYPE : PV2R2-47-F-RAA</t>
  </si>
  <si>
    <t>FUSE KACA 0.25 A (5 X 20 MM)</t>
  </si>
  <si>
    <t xml:space="preserve">RESISTOR 250 OHM </t>
  </si>
  <si>
    <t xml:space="preserve">JET CLEANER LAKONI TYPE LAGUNA 70 </t>
  </si>
  <si>
    <t>HOSE &amp; NOZZLE STEAM AC SET PANJANG 50 METER</t>
  </si>
  <si>
    <t>DELTA INVERTER TYPE : VFD015E43T, POWER : 1.5KW</t>
  </si>
  <si>
    <t>INVERTER WELDING MMA 200 G-JB MULTIPRO</t>
  </si>
  <si>
    <t>DRILLING MACHINE GBM 13 RE BOSCH</t>
  </si>
  <si>
    <t>CHAIN BLOCK @1 TON ELEPHANT</t>
  </si>
  <si>
    <t xml:space="preserve">WINDSOCKS 145 CM </t>
  </si>
  <si>
    <t xml:space="preserve">SCREWDRIVER PLUS KOKON </t>
  </si>
  <si>
    <t>ADJUSTABLE WRENCH 8IN TEKIRO</t>
  </si>
  <si>
    <t>KABEL NYMHY 4 x 2.5 MM</t>
  </si>
  <si>
    <t>GANTUNGAN KABEL (CABLE HANGER CK01)</t>
  </si>
  <si>
    <t>CAT ZINCHROMATE PRIMER @5KG/KLG</t>
  </si>
  <si>
    <t>NIPPON HEAT RESISTANT 600C @5KG/KLG</t>
  </si>
  <si>
    <t>CAT MINYAK AVIAN 657 @1KG/KLG</t>
  </si>
  <si>
    <t>CAT MINYAK AVIAN 752 @1KG/KLG</t>
  </si>
  <si>
    <t>KUAS / BULU ROLL (KECIL)</t>
  </si>
  <si>
    <t>BLOWER FAN 12" W/FLEXIBLE DUCT HOSE</t>
  </si>
  <si>
    <t>BLOWER FAN 16" W/FLEXIBLE DUCT HOSE</t>
  </si>
  <si>
    <t>PRESSURE MICRO REGULATOR CAMOZZI M004-R00</t>
  </si>
  <si>
    <t>BAUT L M4 x 20MM</t>
  </si>
  <si>
    <t>VIBRATION PEN TIME 7120 (TV 200) BRAND = TIME</t>
  </si>
  <si>
    <t>SAFETY HARNESS FULL BODY EXELLENT (inc lanyard,single hook)</t>
  </si>
  <si>
    <t>BAUT MUR PLUS RING M8 X 60 (BAHAN BAJA)</t>
  </si>
  <si>
    <t>DUCT TAPE AC KARET / PEMBUNGKUS PIPA AC</t>
  </si>
  <si>
    <t>RED INSULATION VARNISH</t>
  </si>
  <si>
    <t>HATAKE INSULATING W-63</t>
  </si>
  <si>
    <t>KUNCI INGGRIS 12"</t>
  </si>
  <si>
    <t>JASA REMESHING FILTER LEAVE PLVD185 1 SET FILTERLEAVES LENGKAP</t>
  </si>
  <si>
    <t>PILOT LAMP RED 220V 22MM</t>
  </si>
  <si>
    <t>PILOT LAMP GREEN 220V 22MM</t>
  </si>
  <si>
    <t>PIPA CONDUIT 22MM GALVANISH</t>
  </si>
  <si>
    <t>WATER LEVEL SENSOR HORIZONTAL LEVEL SWITCH 6 "water level sensor horizontal level switch 6(spesial design) Conection 2"" jis 10K Rating 1A, max 40 va Output NC,NO,Com Max temp 300c Max pressure 16 barg Enclousure case alumnium IP65 Material ss 304"</t>
  </si>
  <si>
    <t>BOX PANEL 70 X 50 X 20 CM</t>
  </si>
  <si>
    <t>BALL VALVE 3" S/S 304 WELDED</t>
  </si>
  <si>
    <t>BALL VALVE 2 1/2" S/S 304 WELDED</t>
  </si>
  <si>
    <t xml:space="preserve">DISPENSER AIR GALON BAWAH </t>
  </si>
  <si>
    <t xml:space="preserve">BALL VALVE 1" CARBON </t>
  </si>
  <si>
    <t>DISPENSER SANKEN HWD-C520IC</t>
  </si>
  <si>
    <t>MECH SEAL SIZE 33 MM BRAND PUMP : AQUAPANE KSB: TYPE: A100-260/B; S/N: 0834852</t>
  </si>
  <si>
    <t>ROXIMITY SENSOR SICK IME18-12NPSZW2K</t>
  </si>
  <si>
    <t>BROTHER LABEL TAPE Tze-231 12MM BLACK INK</t>
  </si>
  <si>
    <t>BALL VALVE PVC AW 2" BRAND : ZUKI</t>
  </si>
  <si>
    <t>BALL VALVE PVC AW 1,5" BRAND : ZUKI</t>
  </si>
  <si>
    <t>INSULASI PIPA PROFLEX (TEBAL 1/2", UKURAN PIPA 1 1/2") 1BTG = 1.8 MTR</t>
  </si>
  <si>
    <t>BIAYA INSTALL DAN COMISSIONING</t>
  </si>
  <si>
    <t>BATERAI CR2032 "3VOLTS"</t>
  </si>
  <si>
    <t xml:space="preserve">BEARING "6800Z" LABELING MACHINE F2 &amp; F3 </t>
  </si>
  <si>
    <t>BEARING JESA W5 "16004" CAPPER 10L</t>
  </si>
  <si>
    <t>SENTER KEPALA HLM-230 LUMMENT LED U/CHECKING TANK</t>
  </si>
  <si>
    <t>KABEL NYY 4 x 2.5 MM</t>
  </si>
  <si>
    <t>KABEL NYY 4 x 4 MM @50 MTR/ROLL</t>
  </si>
  <si>
    <t xml:space="preserve">KABEL NYY 6 x 4 MM </t>
  </si>
  <si>
    <t xml:space="preserve">KABEL NYY 4 x 1.5 MM </t>
  </si>
  <si>
    <t xml:space="preserve">KABEL NYMHY 4 x 2.5 MM </t>
  </si>
  <si>
    <t>MAGNETIC CONTACTOR SC-N2S</t>
  </si>
  <si>
    <t>THERMAL OVERLOAD RELAY TR-N3/3 (24-30A)</t>
  </si>
  <si>
    <t>PIPA CONDUIT 3/4"</t>
  </si>
  <si>
    <t>PILOT LAMP LED HIJAU UK. 25MM 220 VAC</t>
  </si>
  <si>
    <t>PILOT LAMP UK. 25 MM 220 V WARNA MERAH</t>
  </si>
  <si>
    <t xml:space="preserve">PILOT LAMP UK. 25 MM 220 V WARNA KUNING </t>
  </si>
  <si>
    <t>PILOT LAMP LED HIJAU UK. 22 MM 220 VAC</t>
  </si>
  <si>
    <t>PILOT LAMP UK. 22 MM 220 V WARNA MERAH</t>
  </si>
  <si>
    <t>PILOT LAMP UK. 22 MM 220 V WARNA KUNING</t>
  </si>
  <si>
    <t>CABLE TRAY H : 10 CM x L : 15 CM</t>
  </si>
  <si>
    <t>KABEL TIES 300 @100 PCS/PACK</t>
  </si>
  <si>
    <t>BELTING MOTOR CAPPER TECHLONG</t>
  </si>
  <si>
    <t>KRAN AIR CABANG SS 1/2 IN TOTO</t>
  </si>
  <si>
    <t>KRAN AIR TEMBOK SS 1/2 IN TOTO</t>
  </si>
  <si>
    <t xml:space="preserve">MICROPHONE ZM260 IMP600 TOA </t>
  </si>
  <si>
    <t>SPRAY GUN F75 1LTR MEIJI REPAINTING BUILDING</t>
  </si>
  <si>
    <t>RELAY LR2 D33569 48-65A TELE</t>
  </si>
  <si>
    <t>SLIDING T IMPACT 3/4" IS-SLO747 TEKIRO</t>
  </si>
  <si>
    <t>MESIN POTONG RUMPUT PRO-TANAK SUM 338 PE III</t>
  </si>
  <si>
    <t>C4400 PRECUT GASKET 1 1/2" PN16</t>
  </si>
  <si>
    <t>PSM PRECUT GASKET 1 1/2" PN16</t>
  </si>
  <si>
    <t>PSM PRECUT GASKET 1" PN16</t>
  </si>
  <si>
    <t>C4400 PRECUT GASKET 1" PN16</t>
  </si>
  <si>
    <t>C4400 PRECUT GASKET 2 1/2" PN16</t>
  </si>
  <si>
    <t>C4400 PRECUT GASKET 2" ANSI 150</t>
  </si>
  <si>
    <t>PSM PRECUT GASKET 2" PN16</t>
  </si>
  <si>
    <t>C4400 PRECUT GASKET 2" PN16</t>
  </si>
  <si>
    <t>C4400 PRECUT GASKET 3" PN16</t>
  </si>
  <si>
    <t>PSM PRECUT GASKET 3" PN16</t>
  </si>
  <si>
    <t>C4400 PRECUT GASKET 4" ANSI 150</t>
  </si>
  <si>
    <t>C4400 PRECUT GASKET 4' PN16</t>
  </si>
  <si>
    <t>C4400 PRECUT GASKET 6" ANSI 150</t>
  </si>
  <si>
    <t>PSM PRECUT GASKET DN25 PN16</t>
  </si>
  <si>
    <t>C4400 PRECUT GASKET DN100 PN16</t>
  </si>
  <si>
    <t>C4400 PRECUT GASKET DN300 PN16</t>
  </si>
  <si>
    <t>C4400 PRECUT GASKET DN150 PN16</t>
  </si>
  <si>
    <t>DONGKRAK BUAYA LONG 5 TON AU-FJ998, TEKIRO</t>
  </si>
  <si>
    <t>KAWAT LAS LB 52 3,2 MM</t>
  </si>
  <si>
    <t>KAWAT LAS LB 4.0 MM</t>
  </si>
  <si>
    <t>KAWAT LAS RB 260 3,2 MM</t>
  </si>
  <si>
    <t>GERGAJI BESI 12"</t>
  </si>
  <si>
    <t>FLANGE JIS 10K 4" S/S 304</t>
  </si>
  <si>
    <t>PIPA S/S 304 3" SCH 10 WELDED</t>
  </si>
  <si>
    <t>PIPA S/S 304 4" SCH 10 WELDED</t>
  </si>
  <si>
    <t>BESI SIKU STAINLESS 40 X 40</t>
  </si>
  <si>
    <t>GLAND PACKING GFO 14 X 14MM</t>
  </si>
  <si>
    <t>AIR RATCHET WRENCH 1/2" DR</t>
  </si>
  <si>
    <t>THERMAL OVERLOAD RELAY TECO RHN-10K, RANGE 12.5-18A</t>
  </si>
  <si>
    <t>THERMAL OVERLOAD RELAY TECO RHN-10K, RANGE 1.4-2,1A</t>
  </si>
  <si>
    <t>TERMINAL BLOCK CABLE 100A X 6 POLE TYPE TC</t>
  </si>
  <si>
    <r>
      <rPr>
        <sz val="11"/>
        <color rgb="FF000000"/>
        <rFont val="Calibri"/>
        <family val="2"/>
      </rPr>
      <t>DIAPHRAGM PUMP 2"                                                            DIAPHARGMA PUMP STROKE MODEL : DP-50-ALB SPESIFICATION                                                                                              IN/OUT : 2" X 2" INLET &amp; OUTLET : DRAT DALAM BSPT KAPASITAS/DEBIT : HINGGA 530 Lpm (31.8 m3/jam) TEKANAN/PRESURE : HINGGA 8.2 Bar (120 psi) ANGKAT HISAP/SUCTION LIFT : HINGGA 6.4 Mtr VISKOSITAS FLUIDA : HINGGA 12000 Cps SUHU FLUIDA : HINGGA 80</t>
    </r>
    <r>
      <rPr>
        <sz val="11"/>
        <color rgb="FF000000"/>
        <rFont val="Calibri"/>
        <family val="2"/>
      </rPr>
      <t xml:space="preserve">° CELSIUS UKURAN PARTIKEL : 6.4 mm INLET UDARA : 3/4" NPT EXHAUST (OUTLET) UDARA : 1" NPT DESAIN KONSTRUKSI : CLAMPED KEBUTUHAN UDARA : HINGGA 100 CFM (2.86 m3 / Menit) KEBUTUHAN TEKANAN : HINGGA 120 Psi (8.2 Bar) CASING (WETTED PARTS): ALUMUNIUM CENTER SECTION : ALUMUNIUM DIAPHRAGM (MEMBRAN) BACK-UP : N/A BOLA : BUNA-N/NITRILE/NBR VALVE SEAL (DUDUK DAN BOLA) : BUNA -N/NITRILE/NBR AIR INLET VALVE : BRASS </t>
    </r>
    <r>
      <rPr>
        <sz val="11"/>
        <color rgb="FF000000"/>
        <rFont val="Calibri"/>
        <family val="2"/>
      </rPr>
      <t xml:space="preserve"> </t>
    </r>
  </si>
  <si>
    <t>HOSE &amp; NOZZLE STEAM AC SET PANJANG 50 METER @25 METER</t>
  </si>
  <si>
    <t>AGRO MURNI</t>
  </si>
  <si>
    <t>ELECTRIC GRINDER 4" INCLUDE : 5 BOX OF GRINDER DISCS AND 2 BOX OF DISCS CUTTER GWS 060 BOSCH C/W DISC</t>
  </si>
  <si>
    <t>ELECTRICAL HAND DRILL SET CORDLESS WITH BATTERY AND SPARE, DRILL BITS</t>
  </si>
  <si>
    <t>FLANGE PVC AW 5" LUBANG BAUT 8 HOLE</t>
  </si>
  <si>
    <t xml:space="preserve">FLANGE PVC AW 4" LUBANG BAUT 8 HOLE </t>
  </si>
  <si>
    <t>VALVE CUCI TANGAN DRAT 1/2"</t>
  </si>
  <si>
    <t>3" PN16 PRECUT KLINGERSIL C4400 GASKET X 3MM THK T-1700 INLET LINE</t>
  </si>
  <si>
    <t>3" PN16 PRECUT KLINGERSIL C4400 GASKET X 3MM THK T-1700 OUTLET LINE TO T-1500</t>
  </si>
  <si>
    <t>2.5" PN16 PRECUT KLINGERSIL C4400 GASKET X 3MM THK T-1700 OUTLET LINE TO T-1500</t>
  </si>
  <si>
    <t>3" PN16 PRECUT KLINGERSIL C4400 GASKET X 3MM THK DCT BLOWDOWN NOZZLE</t>
  </si>
  <si>
    <t xml:space="preserve">3" PN16 PRECUT KLINGERSIL C4400 GASKET X 3MM THK REFINERY FT TO EQ TANK PIPELINE </t>
  </si>
  <si>
    <t>2.5" PN16 PRECUT KLINGERSIL C4400 GASKET X 3MM THK REFINERY FT TO EQ TANK PIPELINE</t>
  </si>
  <si>
    <t>3" PN16 PRECUT KLINGERSIL C4400 GASKET X 3MM THK SHORTENING FT TO EQ TANK PIPELINE</t>
  </si>
  <si>
    <t>2.5" PN16 PRECUT KLINGERSIL C4400 GASKET X 3MM THK SHORTENING FT TO EQ TANK PIPELINE</t>
  </si>
  <si>
    <t>3" PN16 PRECUT KLINGERSIL C4400 GASKET X 3MM THK RO WATER LINE EXTENSION</t>
  </si>
  <si>
    <t>DN 100 PN16 PRECUT KLINGERSIL C4400 GASKET X 3MM THK LINE STEARIN BOTTOM TANK 12, 13, 16 &amp; 17</t>
  </si>
  <si>
    <t xml:space="preserve">DN 200 PN16 PRECUT KLINGERSIL C4400 GASKET X 3MM THK LINE STEARIN BOTTOM TANK 12, 13, 16 &amp; 17 </t>
  </si>
  <si>
    <t>DN 80 PN16 KLINGERSIL C4400 GASKET X 3MM LINE TOP STEARIN Tnk 12, 13, 16 &amp; 17</t>
  </si>
  <si>
    <t>DN 50 PN16 KLINGER PSM GASKET X 3MM THK STEAM TRACING TANK 12, 13, 16 &amp; 17</t>
  </si>
  <si>
    <t>DN 50 PN16 PRECUT KLINGERSIL C4400 GASKET X 3MM THK LINE AIR TANK 12, 13, 16 &amp; 17</t>
  </si>
  <si>
    <t xml:space="preserve">DN 65 PN16 PRECUT KLINGERSIL C4400 GASKET X 3MM THK LINE STEAM INLET TANK 12, 13, 16 &amp; 17 </t>
  </si>
  <si>
    <t xml:space="preserve">DN 50 PN16 KLINGER PSM GASKET X 3MM THK LINE STEAM INLET TANK 12, 13, 16 &amp; 17 </t>
  </si>
  <si>
    <t>DN 25 PNN16 KLINGER PSM GASKET X 3MM THK LINE CONDENSATE TANK 12, 13, 16 &amp; 17</t>
  </si>
  <si>
    <t>DN 65 PN16 KLINGER PSM GASKET X 3MM THK LINE CONDENSATE TANK 12, 13, 16 &amp; 17</t>
  </si>
  <si>
    <t xml:space="preserve">DN 200 PN16 PRECUT KLINGERSIL C4400 GASKET X 3MM THK AGITATOR AND TEMPERATOR NOZZLE  </t>
  </si>
  <si>
    <t>CONTACTOR LC1D 09/24VDC</t>
  </si>
  <si>
    <t>GV2ME05 RANGE 0.63-1A</t>
  </si>
  <si>
    <t>GV2ME06 RANGE 1-1.6A</t>
  </si>
  <si>
    <t>CONTACTOR SCHNEIDER LC1D32 220V</t>
  </si>
  <si>
    <t>CONTACTOR SCHNEIDER LC1D38 220V</t>
  </si>
  <si>
    <t>CONTACTOR SCHNEIDER LC1D09M7 220V</t>
  </si>
  <si>
    <t>CONTACTOR SCHNEIDER LC1D95 220V</t>
  </si>
  <si>
    <t>CONTACTOR SCHNEIDER LC1D18 220V</t>
  </si>
  <si>
    <t>THERMAL OVERLOAD RELAY LRD-06</t>
  </si>
  <si>
    <t>THERMAL OVELOAD RELAY LRD-07</t>
  </si>
  <si>
    <t>THERMAL OVERLOAD RELAY LRD-21</t>
  </si>
  <si>
    <t>BLANKO SURAT PENGANTAR TBS</t>
  </si>
  <si>
    <t>BLANKO PENERIMAAN BARANG</t>
  </si>
  <si>
    <t>KAWAT LAS LB 52 3.2 MM</t>
  </si>
  <si>
    <t>KAWAT LAS LB 52 4.0 MM</t>
  </si>
  <si>
    <t>KAWAT LAS RB 260 3.2 MM</t>
  </si>
  <si>
    <t>LEM PEREKAT ACRYLIC 500 ML</t>
  </si>
  <si>
    <t>MECHANICAL SEAL STEP WAVE SPRING SEAL SIC/TC/KALREZ SIZE 43</t>
  </si>
  <si>
    <t>1/4 BSPT FEMALE AIR FILTER REGULATOR</t>
  </si>
  <si>
    <t>14" BSPT X 8M STRAIGHT CONNECTOR</t>
  </si>
  <si>
    <t>1/4" EQUAL TEE QUICK FITTINGS</t>
  </si>
  <si>
    <t xml:space="preserve">AIR FILTER REGULATORS 1/2" FEMALE BSPT </t>
  </si>
  <si>
    <t>STRAIGHT CONNECTOR 1/2" BSPT X 6MM TUBING</t>
  </si>
  <si>
    <t>PIPA CARBON STEEL 1/2" SCH 40</t>
  </si>
  <si>
    <t>BAUT DAN MUR M24 X 170 MM BAJA C/W RING</t>
  </si>
  <si>
    <t>SOCKET DRAT LUAR 1" PVC AW</t>
  </si>
  <si>
    <t>SOCKET DRAT LUAR 2" PVC AW</t>
  </si>
  <si>
    <t>PUSH IN FITTING 8MM X 1/8"</t>
  </si>
  <si>
    <t>PUSH IN FITTING ELBOW 8MM X 1/8"</t>
  </si>
  <si>
    <t>REDUCER PUSH IN FITTING 8MM X 6MM</t>
  </si>
  <si>
    <t>LOCTITE 271 @50 ML</t>
  </si>
  <si>
    <t>REDUCER PVC AW 2" X 1/2"</t>
  </si>
  <si>
    <t>SOCKET DRAT DALAM PVC AW 1/2"</t>
  </si>
  <si>
    <t>PUMP VALVE KIT SET C110, PRODUCT NO 700560004 DENSIN PUMP</t>
  </si>
  <si>
    <t>OIL SEAL SET C110, PRODUCT NO 700560011 DENSIN PUMP</t>
  </si>
  <si>
    <t>WATER SEAL REPAIR KIT D15 C110, PRODUCT NO 700560137 DENSIN PUMP</t>
  </si>
  <si>
    <t xml:space="preserve">GATE VALVE 1/2" KITZ KUNINGAN </t>
  </si>
  <si>
    <t>BALL VALVE 4" S/S 304 FLANGE END</t>
  </si>
  <si>
    <t>TOYO SPRING HOSE 3/4 @ROLL : 50M</t>
  </si>
  <si>
    <t>PLATE STRIP 100 X 6MM @6M</t>
  </si>
  <si>
    <t>PIPA CARBON 1/2" SCH 40</t>
  </si>
  <si>
    <t xml:space="preserve">TIMER OMRON H3CR-A8 + SOCKET </t>
  </si>
  <si>
    <t>CONTACTOR SCHNEIDER LC1D09M7,220V</t>
  </si>
  <si>
    <t xml:space="preserve">ELBOW PVC 8"  </t>
  </si>
  <si>
    <t>ELBOW HDPE 8"</t>
  </si>
  <si>
    <t>AIRTAC SOLENOID VALVE  220 VAC 4V210-08</t>
  </si>
  <si>
    <t>AIRTAC SOLENOID VALVE 24 VDC 4V210-08</t>
  </si>
  <si>
    <t>AIRTAC SOLENOID VALVE 24 VDC 4M310-08</t>
  </si>
  <si>
    <t xml:space="preserve">NOZZLE GAUGE 1.5-3MM </t>
  </si>
  <si>
    <t>BATTERFLY VALVE PVC 8"</t>
  </si>
  <si>
    <t>SANKYO SS304 BALL VALVE CONNECTION : BSPT SIZE : 1/2" STEAM TRACING TANK 12,13,16&amp;17</t>
  </si>
  <si>
    <t>SANKYO SS304 BALL VALVE CONNECTION : BSPT SIZE : 1/2" LINK AIR TANK 12,13,16&amp;17</t>
  </si>
  <si>
    <t>TUBING 8MM LINE AIR TANK 12,13,16&amp;17 1 ROLL = 100M</t>
  </si>
  <si>
    <t>SANKYO SS316 BALL VALVE MODEL : BV63 CONNECTION : BSPT MALE SIZE : 1/2" T-1700 OUTLET LINE TO T-1500</t>
  </si>
  <si>
    <t xml:space="preserve">VTV SS316 3 PCS BODY BALL VALVE FULL PORT MODEL : BV-301 CONNECTION : WELDED SIZE : 3" DCT BLOWDOWN NOZZLE </t>
  </si>
  <si>
    <t xml:space="preserve">SANKYO SS316 BALL VALVE MODEL : BV63 CONNECTION : BSPT MALE SIZE : 1/2" REFINERY FT TO EQ TANK PIPELINE </t>
  </si>
  <si>
    <t>SANKYO SS316 BALL VALVE MODEL : BV63 CONNECTION : BSPT MALE SIZE : 1/2" SHORTENING FT TO EQ TANK PIPELINE</t>
  </si>
  <si>
    <t>SANKYO SS316 BALL VALVE MODEL : BV63 CONNECTION : BSPT MALE SIZE : 1/2" RO WATER LINE EXTENSION</t>
  </si>
  <si>
    <t>TEE PVC 3 SCH80</t>
  </si>
  <si>
    <t>REDUCER PVC 3" X 1 1/2" SCH80</t>
  </si>
  <si>
    <t>REDUCER CONC.DN 200X100 SS304 SCH10</t>
  </si>
  <si>
    <t>DN 100 FLANGE PN16 MATERIAL:CS</t>
  </si>
  <si>
    <t>DN100 CAMLOCK ADAPTOR MALE ADAPTOR TYPE F</t>
  </si>
  <si>
    <t>DN 100 SOCKET PIPE SS304 SCH40 BSPT 300PSI</t>
  </si>
  <si>
    <t>DN 200 SORE FLANGE ANSI 150 MATERIAL:CS</t>
  </si>
  <si>
    <t xml:space="preserve">DN 200 LAP JOINT STUB END SS304 SH10 </t>
  </si>
  <si>
    <t>DN 100 ELBOE 90 SS304 SCH10</t>
  </si>
  <si>
    <t>DN 100 PIPE SS304 SCH40 THREADED 500MM ONE END THREADED</t>
  </si>
  <si>
    <t>DN 100 LAP JOINT STUB END SS304 SCH10</t>
  </si>
  <si>
    <t>DN 200 ELBOW SS304 SCH10</t>
  </si>
  <si>
    <t>DN 80 ELBOW 90 SS304 SCH10</t>
  </si>
  <si>
    <t>DN 80 FLANGE PN 16 MATERIAL: SS304</t>
  </si>
  <si>
    <t>DN 80 EQUAL TEE SS304 SCH10 WELDING TEE</t>
  </si>
  <si>
    <t>DN 150 X 80 CONC. REDUCER SS304 SCH10</t>
  </si>
  <si>
    <t>DN 150 ELBOW SS304 SCH10</t>
  </si>
  <si>
    <t>DN 10 COPPER TUBE 3/8" 50FT/ROLL</t>
  </si>
  <si>
    <t>DN 10X10 MALE UNION CONNECTOR COPPER TUBE 3/8"X1/2" BSPT MALE CONNECTOR,BRASS</t>
  </si>
  <si>
    <t>DN 15X10 MALE UNION CONNECTOR COPPER TUBE 3/8"X1/2" BSPT MALE CONNECTOR, BRASS</t>
  </si>
  <si>
    <t>DN 10 TEE UNION CONNECTOR COPPER TUBE 3/8"TEE UNION, BRASS</t>
  </si>
  <si>
    <t>DN 15 PIPE SS304 THREADED SCH40 BSPT 20CM</t>
  </si>
  <si>
    <t>DN 50 BLIND FLANGE PN16 MATERIAL:CS</t>
  </si>
  <si>
    <t>DN 50 ELBOW 90 CS SCH40</t>
  </si>
  <si>
    <t xml:space="preserve">DN 50 EQUAL TEE CS SCH 40 WELDING TEE </t>
  </si>
  <si>
    <t>DN 15 PIPE GLVANIZED IRON THREADED SCH40 BSPT 10CM</t>
  </si>
  <si>
    <t>DN 15 SOCKET GALVANIZED IRON BSPT 300 PSI</t>
  </si>
  <si>
    <t>DN 50 PIPE GALVANIZED IRON</t>
  </si>
  <si>
    <t>LENGTH</t>
  </si>
  <si>
    <t>DN 50 FLANGE PN16 - BLIND MATERIAL:CS</t>
  </si>
  <si>
    <t>SEALING TAPE</t>
  </si>
  <si>
    <t>DN 65X50 REDUCER CONC. CS SCH 40</t>
  </si>
  <si>
    <t>DN 80X50 TEE CS SCH 40 WELDING TEE</t>
  </si>
  <si>
    <t>DN 50 ELBOW CS SCH 40</t>
  </si>
  <si>
    <t>DN 80 ELBOW CS SCH40</t>
  </si>
  <si>
    <t>DN 80X50 REDUCER CONC CS SCH40</t>
  </si>
  <si>
    <t>DN 25 EQUAL TEE CS SCH40 WELDING TEE</t>
  </si>
  <si>
    <t>DN 65X25 REDUCER CONC SCH40</t>
  </si>
  <si>
    <t>DN 25 ELBOW CS SCH40</t>
  </si>
  <si>
    <t>DN 40 ELBOW CS SCH40</t>
  </si>
  <si>
    <t>REDUCER 3X4" CS SCH10</t>
  </si>
  <si>
    <t>DISC 3%</t>
  </si>
  <si>
    <t>PIPES &amp; FITTINGS PROJECT 8 STORAGE TANKS</t>
  </si>
  <si>
    <t>AIR ACCU / AIR AKI WARNA BIRU DIMINTA AIR ACCU YANG MENGGUNAKAN JERRYCAN @20L</t>
  </si>
  <si>
    <t>PAIL</t>
  </si>
  <si>
    <t>KAWAT LAS RB 26 3.2MM</t>
  </si>
  <si>
    <t xml:space="preserve">KACA LAS HITAM </t>
  </si>
  <si>
    <t>KACA LAS PUTIH</t>
  </si>
  <si>
    <t>STANG LAS 800 A</t>
  </si>
  <si>
    <t>STANG BLENDER STRONG WELDCRAFT</t>
  </si>
  <si>
    <t>BALL VALVE S/S 1/2"</t>
  </si>
  <si>
    <t>SS SIPON PIPE 1/2"</t>
  </si>
  <si>
    <t>TANGGA FIBERGLASS 12 METER DENKO</t>
  </si>
  <si>
    <t xml:space="preserve">TANGGA LIPAT ALUMUNIUM </t>
  </si>
  <si>
    <t>Ø 1/2 NPT SS304 SOCKET (CLASS 3000)                                            FOR 2 UNITS PRESSURE TRANSMITTER &amp; 1 UNIT RTD C/W THERMOWELL</t>
  </si>
  <si>
    <t>STOP KONTAK 2 LUBANG 3 KAKI C/W BOW</t>
  </si>
  <si>
    <t>1/2" PIPE NIPPLE THREADED BSP TBE SCH 40 CS BSPT BOTH END THREADED, 6"</t>
  </si>
  <si>
    <t>PIPE REDUCER 2.5" X 3" CS SCH 40</t>
  </si>
  <si>
    <t>MS TEE DN15 SCH10</t>
  </si>
  <si>
    <t>FLANGE DN65 SOFF, 'MATERIAL CS'</t>
  </si>
  <si>
    <t>TEE DN15 SCH10 CS</t>
  </si>
  <si>
    <t>TEE DN15 SCH10 MATERIAL:CS</t>
  </si>
  <si>
    <t>CS FLANGE DN50 SOFF</t>
  </si>
  <si>
    <t>GEARBOX "EOSS GRAND " MODEL: BL-3L-0606-SSC (NEX-125-3S-R20-C), SN. 120137, HEATER : 47 KW, MOTOR : 105 HP, POWER 380V 50 HZ</t>
  </si>
  <si>
    <t>GEARBOX "TIEN YI GEAR" MODEL: 2P140-BS-20-B3 (NEX-140-3S-R20-C), RATO: 1/20 118, INPUT: 25HP 4P, RPM : 1800 RPM, SN.TX140-0672</t>
  </si>
  <si>
    <t>CLAMP HOSE S/S 2"</t>
  </si>
  <si>
    <t>CLAMP HOSE S/S 1 1/2"</t>
  </si>
  <si>
    <t>U BOLT 2 1/2"</t>
  </si>
  <si>
    <t>U BOLT 2"</t>
  </si>
  <si>
    <t>INSULASI PIPA PROFLEX (TEBAL 1/2",UKURAN PIPA 2")</t>
  </si>
  <si>
    <t>INSULASI PIPA PROFLEX (TEBAL 1/2",UKURAN PIPA 1 1/2")</t>
  </si>
  <si>
    <t>PIPA CARBON SCH 20 1 1/2"</t>
  </si>
  <si>
    <t>PIPA CARBON SCH 20 1"</t>
  </si>
  <si>
    <r>
      <rPr>
        <sz val="11"/>
        <color rgb="FF000000"/>
        <rFont val="Calibri"/>
        <family val="2"/>
      </rPr>
      <t>90</t>
    </r>
    <r>
      <rPr>
        <sz val="11"/>
        <color rgb="FF000000"/>
        <rFont val="Calibri"/>
        <family val="2"/>
      </rPr>
      <t>° ELBOW CARBON SCH 20 1 1/2"</t>
    </r>
  </si>
  <si>
    <t>90° ELBOW CARBON SCH 20 1"</t>
  </si>
  <si>
    <t>BATU GERINDA POLES 4" SUPERCUT</t>
  </si>
  <si>
    <t>BATU GERINDA POTONG 4" SUPERCUT</t>
  </si>
  <si>
    <t xml:space="preserve">BATU GERINDA POTONG 14" SUPERCUT </t>
  </si>
  <si>
    <t>MCCB 100 A SCHNEIDER</t>
  </si>
  <si>
    <t>TIMER OMRON H3CR-A8 (30 SECOND) 110-240 VAC</t>
  </si>
  <si>
    <t>STRAINER 6" , GI Y - STRAINER CI 6" PN16 FLANGE CONNECTION (FOR LIQUID)</t>
  </si>
  <si>
    <t>STRAINER 4" SS304 Y STRAINER 4" SS304 PN16 FLANGE CONNECTION (FOR LIQUID)</t>
  </si>
  <si>
    <t>CHECK VALVE 3" SS304 DUAL PLATE CHECK VALVE 3" SS304 WAFER TYPE (ROYAL BRAND)</t>
  </si>
  <si>
    <t>DN15 CHECK VALVE SS304 BSPT FEMALE DN15 SWING CHECK VALVE SS304 BSPT FEMALE (ROYAL BRAND)</t>
  </si>
  <si>
    <t>Ø 3/8" BALL VALVE (BSPT THREADED) Ø 3/8" 3 PCS BODY BALL VALVE BSPT FEMALE (ROYAL BRAND)</t>
  </si>
  <si>
    <t>DN25 CI BELLOW SEAL GLOBE VALVE DN25 CI BELLOW SEAL GLOBE VALVE PN16 FLANGE (ROYAL BRND)</t>
  </si>
  <si>
    <t>DN15 GLOBE ISOLATION VALVE FEMALE BSPT THREADED - FOR PRESSURE GAUGES DN15 NEEDLE VALVE FEMALE BSPT THREADED - FOR AIR FILTER REGULATOR (ROYAL BRAND)</t>
  </si>
  <si>
    <t>DN15 GLOBE ISOLATION VALVE FEMALE BSPT THREADED - FOR SAMPLING POINT DN15 NEEDLE VALVE FEMALE BSPT THREADED - FOR PRESSURE GAUGES (ROYAL BRAND)</t>
  </si>
  <si>
    <t>DN15 GLOBE ISOLATION VALVE FEMALE BSPT THREADED - FOR AIR FILTER REGULATOR DN15 NEEDLE VALVE FEMALE BSPT THREADED - FOR SAMPLING POINT (ROYAL BRAND)</t>
  </si>
  <si>
    <t xml:space="preserve">OIL SEAL VITON 45 X 62 X 8 </t>
  </si>
  <si>
    <t>Disc 3%</t>
  </si>
  <si>
    <t>INSULATING TESTER MERGER 3005 A "KYORITSU"</t>
  </si>
  <si>
    <t xml:space="preserve">BATU SOUNDUNG 15M </t>
  </si>
  <si>
    <t>CAT TEMBOK JOTUN AUTO SHIELD EXTERIOR COLOR WHITE 1 PAIL (20L)</t>
  </si>
  <si>
    <t>AIR ACCU / AIR AKI WARNA BIRU @20L</t>
  </si>
  <si>
    <t>WIPRO AIR IMPACT WRENCH 3/4 INCH</t>
  </si>
  <si>
    <t>KAWAT LAS LB 52 3.2 MM KOBELCO</t>
  </si>
  <si>
    <t>KAWAT LAS LB 52 4.0 MM KOBELCO</t>
  </si>
  <si>
    <t>KAWAT LAS RB 26 3.2 MM KOBELCO</t>
  </si>
  <si>
    <t>BOR "BOSCH" GBH 226 DRE</t>
  </si>
  <si>
    <t>AIR FILTER REGULATOR AFR2000</t>
  </si>
  <si>
    <t xml:space="preserve">COK SAMBUNG 10M 4 LUBANG </t>
  </si>
  <si>
    <t>DISPENSER MEREK BEBAS</t>
  </si>
  <si>
    <t>Full Payment 60%</t>
  </si>
  <si>
    <t>DN 15 SOCKET PIPE SS304 BSPT 300PSI</t>
  </si>
  <si>
    <t>DN 25 PIPE THREADED 500MM MATERIAL: SS304 SCH40 BSPT ONE END THREADED</t>
  </si>
  <si>
    <t>DIRECTIONAL CONTROL VALVE REXROTH 4WE 6H62/EG24N9K4 MNR: R900561286 "DIRECTIONAL CONTROL VALVE REXROTH 4WE 6H62/EG24N9K4 MNR: R900561286PMAX: 350BAR"</t>
  </si>
  <si>
    <t>PRESSURE RELIEF VALVE REXROTH DBW10B2-53/315-6EW230N9 K4 "PRESSURE RELIEF VALVE REXROTH DBW10B2-53/315-6EW230N9 K4 MNR: R900912485 VOLTAGE: 230V CURRENT: 0.23A"</t>
  </si>
  <si>
    <t>WALL FAN 30 INCH, 220VAC</t>
  </si>
  <si>
    <t>PIPA DRAT LUAR 1/2" CARBON 15CM (DUA SISI)</t>
  </si>
  <si>
    <t>PIPA DRAT DALAM 1/2" CARBON 15CM (DUA SISI)</t>
  </si>
  <si>
    <t>BATU GERINDA POTONG 14"</t>
  </si>
  <si>
    <t>BATU GERINDA POTONG 4"</t>
  </si>
  <si>
    <t>GI GRATING HOT DIP GALVANIS 30X100X25X4.5X900X6000MM</t>
  </si>
  <si>
    <t>DN80 GASKET PRE-CUT PN 16 DN80 GASKET-KLINGERSIL C-4440</t>
  </si>
  <si>
    <t>DN100 GASKET STEAM PRE-CUT ANSI 150 DN100 GASKET STEAM KLINGER PSM DN40</t>
  </si>
  <si>
    <t>DN40 CS BALL VALVE BUTT WELD 3PCS BODY SANKYO</t>
  </si>
  <si>
    <t>THERMAL OVERLOAD 13 - 19 A ABB</t>
  </si>
  <si>
    <t>THERMAL OVERLOAD 7.5 -11 A ABB</t>
  </si>
  <si>
    <t>THERMAL OVERLOAD 3.5 - 11 A ABB</t>
  </si>
  <si>
    <t>FLANGE GALVANISE IRON DN 150 PN16 FITTING FOR EXPANTION JOINT</t>
  </si>
  <si>
    <t>SELF-PRIMING PUMP FOR 6 M3/HR(REFINERY FAT TRAP) X 2UNITS &amp; 2 M3/HR (SHORTENING FAT TRAP) X 2 UNITS BRAND: EBARA TYPE: 50 SQPB CI POWER: MOTOLOGY 4 KW/5.5HP, 2900 rpm/3P/50HZ CAP: 18 M3/Hr HEAD: 20 MTR SECT/DISCH: 2/2 INCH SHAFT SEAL: GLAND PACKING CASSING: CAST IRON IMP:CAST IRON TYPE IMP:OPEN BASE FRAME: UNP COPLING: FCL2SPARE</t>
  </si>
  <si>
    <t xml:space="preserve">SPARE FOR IMPELLER PUMP 50 SQPB SS304 </t>
  </si>
  <si>
    <t>DISC 5%</t>
  </si>
  <si>
    <t>DP 70%</t>
  </si>
  <si>
    <t>GASKET TEFLON PTFE FLANGE 3" TEBAL: 5MM</t>
  </si>
  <si>
    <t>MASKER HITAM MASK (A)</t>
  </si>
  <si>
    <t xml:space="preserve">PAYUNG </t>
  </si>
  <si>
    <t xml:space="preserve">PLATE 30MM CS 2200 x 400MM </t>
  </si>
  <si>
    <t>ALLEND BRADLEY 1734-IE2C POINT I/O 2 CURRENT AND 2 VOLTAGE INPUT ANALOG MODULES</t>
  </si>
  <si>
    <t>MATA GERGAJI MESIN JIGSAW MATA GERGAJI MESIN JIGSAW" 1 PACK ISI 5 PCS MERK NIKKEN</t>
  </si>
  <si>
    <t xml:space="preserve">SIKAT KAWAT KUNINGAN </t>
  </si>
  <si>
    <t>REMERSHING F. LEAVES UK. 1800 X 1400 REF</t>
  </si>
  <si>
    <t>REMERSHING F. LEAVES UK. 1800 X 1340 REF</t>
  </si>
  <si>
    <t>TALI RAFIA</t>
  </si>
  <si>
    <t xml:space="preserve">CATROL 1 TON </t>
  </si>
  <si>
    <t>HOSE HYDRAULIC PINTU LOADING RAMP</t>
  </si>
  <si>
    <r>
      <rPr>
        <sz val="12"/>
        <color rgb="FF222222"/>
        <rFont val="Calibri"/>
        <family val="2"/>
      </rPr>
      <t xml:space="preserve">HYDRAULIC PIPE </t>
    </r>
    <r>
      <rPr>
        <sz val="12"/>
        <color rgb="FF222222"/>
        <rFont val="Calibri"/>
        <family val="2"/>
      </rPr>
      <t>Ø 16 MM x 6 M</t>
    </r>
  </si>
  <si>
    <t>HYDRAULIC PIPE Ø 20 MM x 6 M</t>
  </si>
  <si>
    <t>FITTING HYDRAULIC MALE CONNECTOR Ø 16 MM</t>
  </si>
  <si>
    <t>FITTING HYDRAULIC MALE CONNECTOR Ø 20 MM</t>
  </si>
  <si>
    <t>MATA PAHAT BUBUT HSS - M2 3/8 x 6</t>
  </si>
  <si>
    <t>MATA PAHAT BUBUT HSS 5/8 x 6"</t>
  </si>
  <si>
    <t>MATA PAHAT INTAN YG - 6 12MM (MATA KIRI)</t>
  </si>
  <si>
    <t>PRECUT CAF GASKET PN16 DN25 GENERAL USE KLINGERS C4400</t>
  </si>
  <si>
    <t xml:space="preserve">3PCS BODY BALL VALVE SS316 1/2" BSPT </t>
  </si>
  <si>
    <t>3PCS BODY BALL VALVE SS316 3/8" BSPT</t>
  </si>
  <si>
    <t>TRASH BAG FOR CAPACITY 240 LITER (FOR INNER TRASH CAN) 5 PCA/PACK</t>
  </si>
  <si>
    <t>SOCKET RELAY MY4N</t>
  </si>
  <si>
    <t>O-RING VITON 63.09 X 3.53 MM</t>
  </si>
  <si>
    <t>O-RING VITON 331 X 3 MM</t>
  </si>
  <si>
    <t>O-RING VITON 69.44 X 3.53 MM</t>
  </si>
  <si>
    <t>O-RING VITON 68.26 X 3.53 MM</t>
  </si>
  <si>
    <t>O-RING VITON 60.32 X 3.53 MM</t>
  </si>
  <si>
    <t>O-RING VITON 69.85 X 3.53 MM</t>
  </si>
  <si>
    <t>GOAT GLUE 600 GR U/LEM GASKET PHE 001A REFINERY</t>
  </si>
  <si>
    <t>WIRE ROPE STAINLESS STEEL DIA 5 MM</t>
  </si>
  <si>
    <t xml:space="preserve">CLAMP WIRE ROPE STAINLES STELL DIA 5 MM </t>
  </si>
  <si>
    <t>KUNCI PINTU SET (P:17 CM, L:8 CM)</t>
  </si>
  <si>
    <t xml:space="preserve">KAWAT LAS RB 26 3.2 MM KOBELCO </t>
  </si>
  <si>
    <t>EMAIL DRAT 0.85 MM</t>
  </si>
  <si>
    <t>EMAIL DRAT 1.10 MM</t>
  </si>
  <si>
    <r>
      <rPr>
        <sz val="11"/>
        <color rgb="FF000000"/>
        <rFont val="Calibri"/>
        <family val="2"/>
      </rPr>
      <t xml:space="preserve">EMAIL DRAT </t>
    </r>
    <r>
      <rPr>
        <sz val="11"/>
        <color rgb="FF000000"/>
        <rFont val="Calibri"/>
        <family val="2"/>
      </rPr>
      <t>Ø 0.75 MM</t>
    </r>
  </si>
  <si>
    <t>STOP KONTAK TEMBOK 1 LUBANG</t>
  </si>
  <si>
    <t>JOYSTICK SWITCH 4 POSISI</t>
  </si>
  <si>
    <t>FLOATING SWITCH STAINLESS STEEL</t>
  </si>
  <si>
    <t>KABEL ROL 50 METER "KRISBOW"</t>
  </si>
  <si>
    <t>MATA GERGAJI JIG SAW T118A</t>
  </si>
  <si>
    <t xml:space="preserve">BOX PANEL OUT DOOR TOPI UK. 30 X 40 X 15 </t>
  </si>
  <si>
    <t xml:space="preserve">BOX PANEL OUT DOOR TOPI UK. 40 X 60 X 20 </t>
  </si>
  <si>
    <t>BOX PANEL OUT DOOR TOPI UK. 60 X 80 X 20</t>
  </si>
  <si>
    <t>STOP KONTAK TANAM "VIBA"</t>
  </si>
  <si>
    <t>MALL DRAT SISIR DRAT</t>
  </si>
  <si>
    <t>UNION CONNECTOR 6 KE 6 (KUNINGAN)</t>
  </si>
  <si>
    <t>UNION CONNECTOR TEE 6 KE 6 (KUNINGAN)</t>
  </si>
  <si>
    <t>STIK MAGNET</t>
  </si>
  <si>
    <t>KUNCI MOMEN (TORSI)</t>
  </si>
  <si>
    <t>KUNCI PIPA 24" TEKIRO</t>
  </si>
  <si>
    <t xml:space="preserve">BRUS KAWAT </t>
  </si>
  <si>
    <t>SILICONE SEALENT</t>
  </si>
  <si>
    <t>VACUM PUMP SPEK ULVAC PVD-N360</t>
  </si>
  <si>
    <t>SCRAP BESI</t>
  </si>
  <si>
    <t>AIR ACCU / AIR AKI WARNA BIRU @20 L</t>
  </si>
  <si>
    <t>PIPA TEMBAGA 6MM (15 M)</t>
  </si>
  <si>
    <t>MALE CONNECTOR CINCIN 6MM x 1/2 DRAT</t>
  </si>
  <si>
    <t xml:space="preserve">MALE CONNECTOR CINCIN 6MM x 3/8 DRAT </t>
  </si>
  <si>
    <t>MALE CONNECTOR CINCIN 6MM x 1/8 DRAT</t>
  </si>
  <si>
    <t xml:space="preserve">EAR MUFFS GOSAVE </t>
  </si>
  <si>
    <t>HELM PUTIH MSA LOCAL</t>
  </si>
  <si>
    <t>SARUNG TANGAN LAS PROHEX 16"</t>
  </si>
  <si>
    <t>PASANG</t>
  </si>
  <si>
    <t xml:space="preserve">SARUNG TANGAN KAIN </t>
  </si>
  <si>
    <t>PAIR</t>
  </si>
  <si>
    <t>FILTER MASKER RC203</t>
  </si>
  <si>
    <t>THERMAL OVERLOAD SCHNEIDER LRD10 RANGE 4-6A</t>
  </si>
  <si>
    <t>SOLENOID VALVE 1/2" C/W COIL 220VAC</t>
  </si>
  <si>
    <t>LIMIT SWITCH MJ2-1704-F 15A/250V</t>
  </si>
  <si>
    <t xml:space="preserve">DN 50 EQUAL TEE CS SCH 40 </t>
  </si>
  <si>
    <t xml:space="preserve">BOLT &amp; NUT M16 x 89 CARBON STEEL </t>
  </si>
  <si>
    <t>BOLT &amp; NUT M16 x 100 CARBON STEEL</t>
  </si>
  <si>
    <t>DN 50 ELBOW CS SCH40</t>
  </si>
  <si>
    <t>DN 80 U BOLT GALVANISE IRON (HOT DEEP GALVANIZED 3 INCH, DIA M12)</t>
  </si>
  <si>
    <t>DN 80 BLIND FLANGE CS PN16</t>
  </si>
  <si>
    <t>U BOLT DN65 CS (HOT DEEP GALVANIZED 2.5 INCH, DIA M12)</t>
  </si>
  <si>
    <t>LAMPU SENTER KEPALA LED 50W MEREK SURYA</t>
  </si>
  <si>
    <t>BOLT &amp; NUT 1/2 x 89 CARBON STEEL</t>
  </si>
  <si>
    <t>BOLT &amp;  NUT M16 x 100 CARBON STEEL</t>
  </si>
  <si>
    <t>DN 25 EQUAL TEE CS SCH40</t>
  </si>
  <si>
    <t>DN 25 PIPE THREADED 500MM CS SCH40</t>
  </si>
  <si>
    <t>DN 40 U BOLT (GALVANIZED 1.5 INCH DIA M8)</t>
  </si>
  <si>
    <t>DN 25 U BOLT (GALVANIZED 1 INCH, DIA M8)</t>
  </si>
  <si>
    <t>UNION COUPLING DN25 Union Coupling DN25 (WATERMUR UNION COUPLING CS, 1 INCH)</t>
  </si>
  <si>
    <t>FLANGE DN 150 PN16 SS304</t>
  </si>
  <si>
    <t>GASKET KLINGER1000 DN150 PN16</t>
  </si>
  <si>
    <t>ECC REDUCER 6" x 4" SS304 SCH10</t>
  </si>
  <si>
    <t xml:space="preserve">FLANGE DN100 PN16 SS304 </t>
  </si>
  <si>
    <t>GASKET KLINGER1000 DN100 PN16</t>
  </si>
  <si>
    <t>EXPANTION JOINT SS304 DN100 PN16 CONNECTION FLANGE (EXPANTION JOINT FULL SS304 4INCH PN16, L:20 CM)</t>
  </si>
  <si>
    <t xml:space="preserve">BALL VALVE DN100 SS304 PN16 CONNECTION FALNGE </t>
  </si>
  <si>
    <t>QUICK COUPLING DN100 SS304 Quick Coupling DN100 SS304 (QUICK COUPLING/CAMLOCK TYPE F) C/W SOCKET DRAT DN100 SS304 BSPT CLASS 150 PSI</t>
  </si>
  <si>
    <t>BOLT &amp; NUT SS304 M16 x 70</t>
  </si>
  <si>
    <t>BOLT &amp; NUT SS304 M20 x 70</t>
  </si>
  <si>
    <t>ELBOW &amp; NUT SS034 SCH10</t>
  </si>
  <si>
    <t>GASKET KLINGER1000 SHEET (KLINGERIT 1000.3 x 1500 x 2000MM, ORIGINAL)</t>
  </si>
  <si>
    <t>FLANGE DN150 PN6 SS304</t>
  </si>
  <si>
    <t>BALL VALVE SS304 DN80 PN16 CONNECTION FLANGE</t>
  </si>
  <si>
    <t>BALL VALVE SS304 DN100 PN16 CONNECTION FLANGE</t>
  </si>
  <si>
    <t>EQUAL TEE SS304 DN100 SCH10</t>
  </si>
  <si>
    <t>BOLT &amp; NUT SS304 M20X70</t>
  </si>
  <si>
    <t>BOLT &amp; NUT SS304 M16X70</t>
  </si>
  <si>
    <t>ELBOW DN100 S304 SCH10</t>
  </si>
  <si>
    <t>DN 80 U BOLT (HOT DEEP GALVANIZED 3INCH, DIA M12)</t>
  </si>
  <si>
    <t>U CANNEL 75</t>
  </si>
  <si>
    <t>GASKET KLINGER1000 DN80 PN16</t>
  </si>
  <si>
    <t>FLANGE DN80 PN16 SS304</t>
  </si>
  <si>
    <t>BALL VALVE DN100 SS304 PN16 CONNECTION FLANGE</t>
  </si>
  <si>
    <t>FLANGE DN100 PN16 SS304</t>
  </si>
  <si>
    <t>QUICK COUPLING DN100 SS304 Quick Coupling DN100 SS304 (QUICK COUPLING/CAMLOCK TYPE F) C/W socket drat DN100 SS304 BSPT class 150 PSI</t>
  </si>
  <si>
    <t>FLANGE SS304 DN200 PN16</t>
  </si>
  <si>
    <t>FALNGE SS304 DN100 PN16</t>
  </si>
  <si>
    <t>PIPE THREAD SS304 SS304 DN100 500MM</t>
  </si>
  <si>
    <t>BALL VALVE SS304 CONNECTION FLANGE PN16</t>
  </si>
  <si>
    <t>QUICK COUPLING SS304 (QUICK COUPLING/CAMLOCK TYPE F) C/W socket drat DN100 SS304 BSPT CLASS 150 PSI</t>
  </si>
  <si>
    <t xml:space="preserve">GASKET KLINGERIT1000 DN200 PN16 </t>
  </si>
  <si>
    <t>GASKET KLINGERIT1000 DN100 PN16</t>
  </si>
  <si>
    <t>PADDLOCK MERK MITSUI SIZE 60MM</t>
  </si>
  <si>
    <t xml:space="preserve">TOYO SPRING HOSE 3/4 @ROLL: 50M </t>
  </si>
  <si>
    <t>KUNCI L SET PORTABLE MIN 16 IN 1</t>
  </si>
  <si>
    <t>SELANG MANIFOLD FREON R22</t>
  </si>
  <si>
    <t>BAUT MUR BAJA M5 X 60 MM FULL DRAT</t>
  </si>
  <si>
    <t>BALL VALVE 1/2" S/S DRAT DALAM</t>
  </si>
  <si>
    <t>MECH SEAL SINGLE SPRING SIZE 32 MM</t>
  </si>
  <si>
    <t>LEM PVC 600 ML</t>
  </si>
  <si>
    <t xml:space="preserve">TIE ROD BEARING 40 MM DRAT 6 MM </t>
  </si>
  <si>
    <t>SOCKET DRAT DALAM 3" S/S</t>
  </si>
  <si>
    <t>SOCKET DRAT DALAM 2 1/2" S/S</t>
  </si>
  <si>
    <t>SOCKET DRAT DALAM 2" S/S</t>
  </si>
  <si>
    <t>SKUN KABEL 35 -10</t>
  </si>
  <si>
    <t>CARBON BRUSH FOR GRINDER 7" BOSCH GWS 2200</t>
  </si>
  <si>
    <t>CABLE TRAY 100MM X 50MM X 3M C/W COVER HOT DIP GALVANIZED</t>
  </si>
  <si>
    <t>GASKET TEFLON PTFE FLANGE 4" TEBAL: 5MM</t>
  </si>
  <si>
    <t>LAMPU SOROT LED 100 WATT, PHILIPS</t>
  </si>
  <si>
    <t>THERMOMETER (AIR RAKSA) -10-110 CELCIUS</t>
  </si>
  <si>
    <t xml:space="preserve">TIMBANGAN DUDUK 10 KG </t>
  </si>
  <si>
    <t>SHOES PDL (MERK KRUSER ORIGINAL KULIT SAPI)</t>
  </si>
  <si>
    <t>PAA</t>
  </si>
  <si>
    <t xml:space="preserve">KAWAT LAS LB 52 3.2 MM KOBELCO </t>
  </si>
  <si>
    <t>BAN LUAR 235/70-R15 TUBELESS</t>
  </si>
  <si>
    <t>PRESSURE TRANSMITTER ARMATHEUR PT-A100, PRESSURE 0+600 BAR, OUTPUT 4-20MA INPUT 10-30 VDC, OPR TEMP - 10/80 DEG C, CONNECTION 1/2 NPT</t>
  </si>
  <si>
    <t>HOSE UNTUK ISI GAS AMONIA UK. 3/4" X 2 METER</t>
  </si>
  <si>
    <t>HOSE UNTUK ISI GAS AMONIA UK. 3/4" X 4 METER</t>
  </si>
  <si>
    <t>BATTERY AA (ALKALINE)</t>
  </si>
  <si>
    <t xml:space="preserve">BATTERY PETAK 9V BRAND : ENERGIZER </t>
  </si>
  <si>
    <t>FLEXIBLE HOSE 4" WITH CAMLOCK CONNECTION @4.5 METERS</t>
  </si>
  <si>
    <t>FLEXIBLE HOSE 4" WITH CAMLOCK CONNECTION @2 METERS</t>
  </si>
  <si>
    <t xml:space="preserve">STIK MAGNET </t>
  </si>
  <si>
    <t>KUNCI PIPA 24" (TEKIRO)</t>
  </si>
  <si>
    <t>SERVO MOTOR MITSUBISHI MODEL MR-J2S-350B, POWER: 3.5KW, INPUT: 16A 3PH + 1 PH200 - 230V</t>
  </si>
  <si>
    <t>PRESURE TRANSMITTER TECSIS MODEL: S4250B785021</t>
  </si>
  <si>
    <t>ALUMUNIUM FLEXIBLE SHAFT COUPLING OD 40 MM, ID 16 MM</t>
  </si>
  <si>
    <t>BALL VALVE SS 316 3PC Uk. 2" SANKYO</t>
  </si>
  <si>
    <t>BALL VALVE SS 316 3PC Uk. 1 1/2" SANKYO</t>
  </si>
  <si>
    <t>GEMBOK 60 MM MITSUI 60</t>
  </si>
  <si>
    <t>BATU GERINDA POTONG 14" SUPERCUT</t>
  </si>
  <si>
    <t>HYDRAULIC PRESSURE GAUGE SET 4 SETS (10, 25, 40, 60 Mpa)</t>
  </si>
  <si>
    <t>KABEL NYA 1 x 2.5MM ETERNA (50 Mtr/Roll)</t>
  </si>
  <si>
    <t>KABEL NYA 1.5MM ETERNA (50 Mtr/Roll)</t>
  </si>
  <si>
    <t xml:space="preserve">MANGKOK LISTRIK </t>
  </si>
  <si>
    <t xml:space="preserve">KPUR BARUS </t>
  </si>
  <si>
    <t xml:space="preserve">EMAIL DRAT 0.80 MM SUPREME </t>
  </si>
  <si>
    <t xml:space="preserve">EMAIL DRAT 1.10 MM SUPREME </t>
  </si>
  <si>
    <t xml:space="preserve">EMAIL DRAT 0.95 MM SUPREME </t>
  </si>
  <si>
    <t>EMAIL DRAT 0.60 MM SUPREME</t>
  </si>
  <si>
    <t>BALL VALVE SS 316 UK. 1" 1 PC BODY SANKYO</t>
  </si>
  <si>
    <t>BALL VALVE SS 316 UK. 3/4" 1 PC BODY SANKYO</t>
  </si>
  <si>
    <t>BALL VALVE SS 316 UK. 1/2" 1 PC BODY SANKYO</t>
  </si>
  <si>
    <t>CUTTING TIP STRONG NO 2 CHIYODA</t>
  </si>
  <si>
    <t>BATU GERINDA POTONG 14" ULTRA</t>
  </si>
  <si>
    <t xml:space="preserve">KLEM SELANG 1/2 </t>
  </si>
  <si>
    <t>ISOLASI KERTAS</t>
  </si>
  <si>
    <t xml:space="preserve">REL MCB PANEL ALUMUNIUM </t>
  </si>
  <si>
    <t>TOYO SPRING HOSE 3/4 @ROLL = 50 METER</t>
  </si>
  <si>
    <t>VIBRATION METER LUTRON VB-8206 SD</t>
  </si>
  <si>
    <t>THICKNESS GAUGE SNDWAY SW-6520</t>
  </si>
  <si>
    <t>DIGITAL CLAMP METER MASTECH MS2203</t>
  </si>
  <si>
    <t>AIR VELOCITY METER TENMARS TM-404</t>
  </si>
  <si>
    <t xml:space="preserve">JAS HUJAN NEO </t>
  </si>
  <si>
    <t xml:space="preserve">KABEL SKUN 1.5 MM </t>
  </si>
  <si>
    <t>LITERAN ALUMUNIUM LEHER PANJANG KAP. 2 LITER</t>
  </si>
  <si>
    <t>LITERAN ALUMUNIUM LEHER PANJANG KAP. 5 LITER</t>
  </si>
  <si>
    <t>PACKING TBA 3MM x 1M x 1M</t>
  </si>
  <si>
    <t>GLAND PACKING ENKA 500P 1/2"</t>
  </si>
  <si>
    <t>GALND PACKING ENKA 500P 3/8"</t>
  </si>
  <si>
    <t>CONTACTOR LC1D12M7 220V 5.5 KW</t>
  </si>
  <si>
    <t>MCB 3P 32A M. GERIN</t>
  </si>
  <si>
    <t>SIGMAT MITUTOYO 12" (MITUTOYO 12 INCH, 300 MM, AKURASI 0.02 MM)</t>
  </si>
  <si>
    <t>BATTERFLY PVC 6" JIS 10K</t>
  </si>
  <si>
    <t>OIL SEAL TC 30 - 50 - 8</t>
  </si>
  <si>
    <t>GENERAL CHECKUP CHILLER SHUANGLIANG                              MODEL : 113112H - DRY FRACTIONATION PLANT</t>
  </si>
  <si>
    <t xml:space="preserve">TEST PEN </t>
  </si>
  <si>
    <t>BEAKER GLASS 100 ML</t>
  </si>
  <si>
    <t>CIP WEIGHBRIDGE 80 TON C/W INSTALLATION &amp; PLATFORM SUBMERSIBLE PUMP MODEL HS2. 4S - 53, H MAX 12M, H MIN 1M, Q MAX 0.2 M3/MIN, SIZE DN50, 0.4KW, 220V, 2.6A BRAND TSURUMI PUMP</t>
  </si>
  <si>
    <t>GEARBOX "EOSS GRAND" MODEL" BL3L-0606-SSC (NEX-125-3S-R20-C), SN. 120137, HEATER : 47 KW, MOTOR : 105 HP, POWER 380V 50HZ</t>
  </si>
  <si>
    <t>GEARBOX "TIEN YI GEAR" MODEL: 2P140-BS-20-B3 (NEX-140-3S-R20-C), RATO 1/20 118, INPUT: 25HP 4P, RPM : 1800 RPM, SN. TX140-0672</t>
  </si>
  <si>
    <t>FULL PAYMENT 60%</t>
  </si>
  <si>
    <t>KUNCI SOK 24 MM C/W GAGANG DAN MATA KUNCI 2 PCS</t>
  </si>
  <si>
    <t>BEAKER GLASS 100ML PLASTIC WITH HANDLE</t>
  </si>
  <si>
    <t>VACUM PUMP ULVAC PVD - N360</t>
  </si>
  <si>
    <t>SELANG BENANG 1"</t>
  </si>
  <si>
    <t>BAUT MUR 3/8 x 1 1/2 (BIASA)</t>
  </si>
  <si>
    <t>BAUT MUR 3/4 x 4" (BIASA)</t>
  </si>
  <si>
    <t>BAUT MUR 5/8 x 3 (BIASA)</t>
  </si>
  <si>
    <t>BAUT MUR 3/4 x 6" (BAJA)</t>
  </si>
  <si>
    <t>BAUT MUR 3/4 x 3" (BAJA)</t>
  </si>
  <si>
    <t>BAUT MUR 1 x 6" (BIASA)</t>
  </si>
  <si>
    <t xml:space="preserve">BATU GERINDA BOTOL W216 25X6X6 MM KINIK </t>
  </si>
  <si>
    <t>MCB 1 PHASE 4A</t>
  </si>
  <si>
    <t>MCB 3 PHASE 6A</t>
  </si>
  <si>
    <t>PILOT LAMP 10MM 220 VAC, GREEN</t>
  </si>
  <si>
    <t>PILOT LAMP 10MM 220 VAC, YELLOW</t>
  </si>
  <si>
    <t xml:space="preserve">PILOT LAMP 10MM 220 VAC, RED </t>
  </si>
  <si>
    <t xml:space="preserve">CONTACTOR LC1D 09 / 220V SC </t>
  </si>
  <si>
    <t>THERMAL OVERLOAD RELAY LRD-09 (1.6-2.5A)</t>
  </si>
  <si>
    <t>FLEXIBLE CONNECTING HOT WATER 60 CM X F 1/2" X F 1/2"</t>
  </si>
  <si>
    <t>KERAN INJAK WASTAFEL CUCI TANGAN TYPE S00I C/W HOSE</t>
  </si>
  <si>
    <t xml:space="preserve">RELAY MK2P-N C/W SOCKET MK2P-N DC24V 8 KAKI C/W SOCKET </t>
  </si>
  <si>
    <t>CONTACTOR LC1D09 220V SCHNEIDER CONTACTOR LC1D09 220VAC</t>
  </si>
  <si>
    <t>CONTACTOR LC1D09 24V SCHNEIDER CONTACTOR LC1D09 24VDC</t>
  </si>
  <si>
    <t>GV2-ME03 0.25-0.40A SCHNEIDER GV2-ME03 0.25-0.40A</t>
  </si>
  <si>
    <t>GV2-ME04 0.4-0.63A SCHNEIDER GV2-ME04 0.4-0.63A</t>
  </si>
  <si>
    <t>GV2-ME05 0.63-1A SCHNEIDER GV2-ME05 0.63-1A</t>
  </si>
  <si>
    <t xml:space="preserve">GV2-ME06 1-1.4A SCHNEIDER GV2-ME06 1-1.4A </t>
  </si>
  <si>
    <t>GV2-ME07 1.6-2.5A SCHNEIDER GV2-ME07 1.6-2.5A</t>
  </si>
  <si>
    <t>GV2-ME08 2.5-4A SCHNEIDER GV2-ME08 2.5-4A</t>
  </si>
  <si>
    <t>KERTAS LAKMUS pH INDICATOR</t>
  </si>
  <si>
    <t>O-RING NBR70 42 X 5 MM</t>
  </si>
  <si>
    <t>UNION GASKET SMS TYPE L SIZE 1.5" (ID 31,5 MM)</t>
  </si>
  <si>
    <t>UNION GASKET SMS TYPE L SIZE 2" (ID 47,8 MM)</t>
  </si>
  <si>
    <t>UNION GASKET SMS TYPE L SIZE 2.5" (ID 60,5 MM)</t>
  </si>
  <si>
    <t>UNION GASKET SMS TYPE L SIZE 3" (ID 73,5 MM)</t>
  </si>
  <si>
    <t>GASKET CLAMP UNION FERRULE FLANGE TYPE 1"</t>
  </si>
  <si>
    <t>GASKET CLAMP UNION FERRULE FLANGE TYPE 1.5"</t>
  </si>
  <si>
    <t>GASKET CLAMP UNION FERRULE FLANGE TYPE 2"</t>
  </si>
  <si>
    <t>GASKET CLAMP UNION FERRULE FLANGE TYPE 2.5"</t>
  </si>
  <si>
    <t>PACKING KLINGRIT 5 MM (1500 MM X 2000 MM)</t>
  </si>
  <si>
    <t>HELM SAFETY KUNING MSA W/FASTRACK SUSPENSION</t>
  </si>
  <si>
    <t>HELM SAFETY BIRU MSA W/FASTRACK SUSPENSION</t>
  </si>
  <si>
    <t>HELM SAFETY ORANGE MSA W/FASTRACK SUSPENSION</t>
  </si>
  <si>
    <t>BAJU PEMADAM (BILLFIRE+SARUNG TANGAN PEMADAM KEBAKARAN)</t>
  </si>
  <si>
    <t>FLOWMETER 4" OPX FLOWMETER, MATERIAL BRASS, CONN FLANGE PN16</t>
  </si>
  <si>
    <t>FLOWMETER 2" OPX FLOWMETER, MATERIAL BRASS, CONN FLANGE PN16</t>
  </si>
  <si>
    <t>KANZAWA GASKET CUTTER TYPE LK703 DIA MAX 610 MM</t>
  </si>
  <si>
    <t xml:space="preserve">DIGITAL CALIPER, MUTITOYO 12 INCH (300MM) </t>
  </si>
  <si>
    <t xml:space="preserve">GASKET SHEET NON ASBES TOMBO 1500 X 2000 X 4MM </t>
  </si>
  <si>
    <t>SHEET</t>
  </si>
  <si>
    <t>LASER DISTANCE METER SNDWAY SW - MS50</t>
  </si>
  <si>
    <t>SMART SENSORE DIGITAL INFRARED THERMOMETER ST490</t>
  </si>
  <si>
    <t>FLEXIBLE HOSE WITH SPRING GUARD FULL STAINLESS 304 C/W NIPPLE 3/4 TWO SIDE LENGTH : 2.5M, SIZE : G3/4"</t>
  </si>
  <si>
    <t>TOYOX PVC SPRING HOSE TRANSPARENT TYPE : TOYORING HOSE TGF-19-50 FOOD GRADE SIZE : 3/4" 1 ROLL = 50M</t>
  </si>
  <si>
    <t>RI</t>
  </si>
  <si>
    <t>HYDRAULIC NIPPLE SS304 SIZE : 3/4" x 3/4"</t>
  </si>
  <si>
    <t>MALE HOSE CONNECTOR HOSE NEPPLE DRAT NP SS304 3/4"</t>
  </si>
  <si>
    <t>DP 10%</t>
  </si>
  <si>
    <t>I-BEAM MS 4" x 4" x 19.35KG/M x 6M</t>
  </si>
  <si>
    <t>RAWL PLUG M12 x 100MM LG</t>
  </si>
  <si>
    <t>I-BEAM MS 152 x 102MM x 17.86KG/M x 6M</t>
  </si>
  <si>
    <t xml:space="preserve">SANKYO 3PCS BODY BALL VALVE SS316 1/2" BSPT </t>
  </si>
  <si>
    <t>SANKYO 3PCS BODY BALL VALVE SS316 1-1/2" BSPT</t>
  </si>
  <si>
    <t xml:space="preserve">KITZ BUTTERFLY VALVE CI 3" GEAR NBR WAFER FL PN16 </t>
  </si>
  <si>
    <t>KITZ SWING CHECK VALVE BRONZE 1-1/2" BSPT</t>
  </si>
  <si>
    <t xml:space="preserve">BOLT &amp; NUT HT M12 x 50 -GI PUTIH </t>
  </si>
  <si>
    <t xml:space="preserve">BOLT &amp; NUT HT 8.8 GI M16 x 135MM GI PUTIH </t>
  </si>
  <si>
    <t xml:space="preserve">BOLT &amp; NUT HT 8.8 GI M16 x 115MM GI PUTIH </t>
  </si>
  <si>
    <t>PIPE THREAD GI SCH40 1 1/2" x 8" BSPT TBE</t>
  </si>
  <si>
    <t>PIPE THREAD GI SCH40 1/2" x 8" BSPT TBE</t>
  </si>
  <si>
    <t>PERCUT CAF GASKET PN16 DN40 GENERAL USE</t>
  </si>
  <si>
    <t>PRECUT CAF GASKET PN16 DN80 GENERAL USE</t>
  </si>
  <si>
    <t xml:space="preserve">BOLT &amp; NUT HT M16 x 75MM </t>
  </si>
  <si>
    <t>BLIND FLANGE SS304 ANSI 150 3"</t>
  </si>
  <si>
    <t>SUBMERSIBLE SS PUMP TSURUMI MODEL : 50SQ2.75 MATERIAL CASING/IMPELLER/SHAFT:SS304</t>
  </si>
  <si>
    <t>CAPPING PIPE SS 304 DN200 SCH10</t>
  </si>
  <si>
    <t>CAPPING PIPE SS 304 DN100  SCH10</t>
  </si>
  <si>
    <t>GASKET KLINGERSEAL 1000 DN25 PN16</t>
  </si>
  <si>
    <t xml:space="preserve">GASKET KLINGERSEAL 1000 DN65 PN16 </t>
  </si>
  <si>
    <t>GASKET KLINGEESEAL 1000 DN100 PN16</t>
  </si>
  <si>
    <t xml:space="preserve">SHOCKET FEMALE DN15 SS304 THREAD NPT SCH10 </t>
  </si>
  <si>
    <t>SHOCKET FESTO HOSE 8MM TO 1/2" THREADED</t>
  </si>
  <si>
    <t>FLOW METER GAS N2 DN25 CONNECTION FLANGE PN16</t>
  </si>
  <si>
    <t>PRESSURE SWITCH POMPA AIR SHIMIZU</t>
  </si>
  <si>
    <t>TRANSFORMER INPUT 220VAC, OUTPUT 24 VAC, 120 WATT</t>
  </si>
  <si>
    <t>SUBMERSIBLE SS PUMP TSURUMI MODEL : 50SQ2.75 MATERIAL CASING/IMPELLER/SHAFT : SS304</t>
  </si>
  <si>
    <t>CABLE DATA AWG 18</t>
  </si>
  <si>
    <t>M</t>
  </si>
  <si>
    <t>BEARING 6213 ZZ</t>
  </si>
  <si>
    <t>BEARING 31312 J2/Q SINGLE (SKF 31312, SIZE 60X130X33.5)</t>
  </si>
  <si>
    <t xml:space="preserve">RELAY RCL424024 WEIDMULLER 24 VDC </t>
  </si>
  <si>
    <t>DOUBLE NIPPLE SS 304 3/4" X 1/2"</t>
  </si>
  <si>
    <t>REDUCER SS 304 DRAT DALAM 3/4" X 1/2"</t>
  </si>
  <si>
    <t>AIR ACCU / AIR AKI WARNA BIRU 1 PAIL = 20 LTR</t>
  </si>
  <si>
    <t>PIPE THREAD CS SCH40 1/2" x 12" BSPT TBE</t>
  </si>
  <si>
    <t>FULL PAYMENT 90%</t>
  </si>
  <si>
    <t>FLOW MTR 1IN 3 DIGIT SOLAR FILL - RITE</t>
  </si>
  <si>
    <t>BALL VALVE SS 316 UK 1 1/2 1 PC BODY SANKYO</t>
  </si>
  <si>
    <t>BALL VALVE SS 316 UK 1" 1 PC BODY SANKYO</t>
  </si>
  <si>
    <t>METERAN @7.5 MTR TAJIMA</t>
  </si>
  <si>
    <t>LEM DEXTONE EPOXY 48 GR</t>
  </si>
  <si>
    <t>AIRTAC SOLENOID VALVE 220 VAC 4V210-08</t>
  </si>
  <si>
    <t xml:space="preserve">TIMER OMRON H3CR-A8 220 V </t>
  </si>
  <si>
    <t>HOUR METER CAMSO 220 V - 240 V</t>
  </si>
  <si>
    <t>BAUT MUR 1/2 x 3" (BIASA)</t>
  </si>
  <si>
    <t>BAUT MUR 3/4 x 9" (BAJA)</t>
  </si>
  <si>
    <t>BAUT MUR 3/4" (BIASA)</t>
  </si>
  <si>
    <t>KAPUR BESI</t>
  </si>
  <si>
    <t>AMPERE METER 0 - 60 A VIA 96 x 96 MM MERK CIC</t>
  </si>
  <si>
    <t>AMPERE METER 96 x 96 MM 0 - 100 AMPERE</t>
  </si>
  <si>
    <t>AMPERE METER 96 x 96 MM 0 - 600 AMPERE</t>
  </si>
  <si>
    <t>AMPERE METER 96 x 96 MM 0 -3000 AMPERE</t>
  </si>
  <si>
    <t>AMPERE METER 96 x 96 MM 0 - 150 AMPERE</t>
  </si>
  <si>
    <t>VOLT METER 96 x 96 MM 0 - 400 AMPERE</t>
  </si>
  <si>
    <t>CAM SWITCH CA 10 " KRAUS NAIMER"</t>
  </si>
  <si>
    <t>MATA BOR 10 MM INGCO MATA BOR BESI/HSS</t>
  </si>
  <si>
    <t>MATA BOR 11 MM INGCO MATA BOR BESI/HSS</t>
  </si>
  <si>
    <t>CRC CO CONTACT CLEANER SPRAY</t>
  </si>
  <si>
    <t>SKUN KABEL 50 - 10 MM</t>
  </si>
  <si>
    <t xml:space="preserve">SKUN KABEL 70 - 12 MM </t>
  </si>
  <si>
    <t>MECHANICAL SEAL STEP WAVE SPRING SEAL SIC/TC/KALREZ,SIZE 43</t>
  </si>
  <si>
    <t>BESI UNP 80 X 45 X 5MM</t>
  </si>
  <si>
    <t>BESI UNP 100 X 50 X 5MM</t>
  </si>
  <si>
    <t>BESI SIKU 40 X 40 X 6000MM</t>
  </si>
  <si>
    <t>JASA GENERAL CHECK / SERVICE CHILLER</t>
  </si>
  <si>
    <t xml:space="preserve">TRANSPORT TEKNISI </t>
  </si>
  <si>
    <t xml:space="preserve">LAMPU SOROT LED 300 WATT E-LITE IP66 </t>
  </si>
  <si>
    <t>PACKING FULISOT (JAPAN)</t>
  </si>
  <si>
    <t>KLEP API (FUJI)</t>
  </si>
  <si>
    <t>KLEP MINYAK (FUJI)</t>
  </si>
  <si>
    <t>BATU GERINDA MANGKOK 5"</t>
  </si>
  <si>
    <t xml:space="preserve">REDUCER FITTING TUBING ANGIN 4 X 8 MM </t>
  </si>
  <si>
    <t xml:space="preserve">REDUCER FITTING TUBING ANGIN 8 X 10 MM </t>
  </si>
  <si>
    <t>REDUCER FITTING TUBING ANGIN 10 X 12 MM</t>
  </si>
  <si>
    <t xml:space="preserve">REDUCER FITTING TUBING ANGIN 12 X 14 MM </t>
  </si>
  <si>
    <t xml:space="preserve">FITTING TUBING ANGIN DRAT LUAR 4 MM </t>
  </si>
  <si>
    <t xml:space="preserve">MCB GV2 ME10 4-6, 3A TELE </t>
  </si>
  <si>
    <t>MCB GV2 ME21 17-23A TELE</t>
  </si>
  <si>
    <t xml:space="preserve">GV2ME14 6-10 A SCHNEIDER </t>
  </si>
  <si>
    <t>MCCB 250A EZC250H3250 SCHNEIDER</t>
  </si>
  <si>
    <t xml:space="preserve">COMPOUND SEAL 0.5KG </t>
  </si>
  <si>
    <t xml:space="preserve">GUN LAS PORTABLE </t>
  </si>
  <si>
    <t>UNT</t>
  </si>
  <si>
    <t xml:space="preserve">SILICON SEALENT BLACK SIKA </t>
  </si>
  <si>
    <t xml:space="preserve">SEALENT (SILICON) GUN AP </t>
  </si>
  <si>
    <t>POSITION MONITORING SWITCH (LIMIT SWITCH)</t>
  </si>
  <si>
    <t>PAINT PILOX WHITE</t>
  </si>
  <si>
    <t>CAN</t>
  </si>
  <si>
    <t>BEARING 6305 C3 BRAND : SKF</t>
  </si>
  <si>
    <t>BEARING 6205 C3 BRAND : SKF</t>
  </si>
  <si>
    <t>OIL SEAL TC 25 X 40 X 7 MM BRAND : VITON</t>
  </si>
  <si>
    <t xml:space="preserve">PUSH IN FITTING TEE 8 MM </t>
  </si>
  <si>
    <t>PUSH AND TREAD FITTING 4 MM DRAT M5</t>
  </si>
  <si>
    <t xml:space="preserve">PIPE A106/A530 API-5L-GR.B SML SCH40 12" </t>
  </si>
  <si>
    <t>ELBOW LR A/SA 234 GR.WPB SMLS SCH 40 12"</t>
  </si>
  <si>
    <t>CON RDCER A/SA403 GR.WP304/304L SCH10S 14X12"</t>
  </si>
  <si>
    <t>C-CHANNEL MS 100MM X 50MM X 5MM THK</t>
  </si>
  <si>
    <t>I-BEAM MS 152 X 152 X 23KG/M 6M</t>
  </si>
  <si>
    <t>ELBOW SS304 SCH10 90D LR 12"</t>
  </si>
  <si>
    <t xml:space="preserve">BOLT &amp; NUT HT 8.8 GI M16 X 60MM </t>
  </si>
  <si>
    <t>TEE EQUAL CS SCH40 2"</t>
  </si>
  <si>
    <t>TEE EQUAL CS SCH40 2-1/2 SEAMLESS</t>
  </si>
  <si>
    <t>PRECUT CAF GASKET PN16 DN50 GENERAL USE</t>
  </si>
  <si>
    <t xml:space="preserve">PRECUT CAF GASKET PN16 DN65 GENERAL USE </t>
  </si>
  <si>
    <t>THERMAL OVERLOAD LRD05 SCHNEIDER</t>
  </si>
  <si>
    <t>CONTACTOR LC1D50 SCHNEIDER</t>
  </si>
  <si>
    <t>CONTACTOR LC1D38 SCHNEIDER</t>
  </si>
  <si>
    <t>CONTACTOR LC1D25 SCHNEIDER</t>
  </si>
  <si>
    <t>CLAMP                                                                                                             CLAMP FOR 2 INCH PIPE</t>
  </si>
  <si>
    <t>PROXIMITY SENSOR KFPS TL-B25P07E1</t>
  </si>
  <si>
    <t>SOCKET DRAT DALAM S/S 304 3/4"</t>
  </si>
  <si>
    <t>WD-40 BELT DRESSING ANTI SLIP 360 ML</t>
  </si>
  <si>
    <r>
      <rPr>
        <sz val="11"/>
        <color rgb="FF000000"/>
        <rFont val="Calibri"/>
        <family val="2"/>
      </rPr>
      <t xml:space="preserve">KAWAT LAS NSN 309 </t>
    </r>
    <r>
      <rPr>
        <sz val="11"/>
        <color rgb="FF000000"/>
        <rFont val="Calibri"/>
        <family val="2"/>
      </rPr>
      <t>Ø 3.2 MM</t>
    </r>
  </si>
  <si>
    <r>
      <rPr>
        <sz val="11"/>
        <color rgb="FF000000"/>
        <rFont val="Calibri"/>
        <family val="2"/>
      </rPr>
      <t xml:space="preserve">KAWAT LAS NSN 312 </t>
    </r>
    <r>
      <rPr>
        <sz val="11"/>
        <color rgb="FF000000"/>
        <rFont val="Calibri"/>
        <family val="2"/>
      </rPr>
      <t>ø</t>
    </r>
    <r>
      <rPr>
        <sz val="11"/>
        <color rgb="FF000000"/>
        <rFont val="Calibri"/>
        <family val="2"/>
      </rPr>
      <t xml:space="preserve"> 3.2 MM</t>
    </r>
  </si>
  <si>
    <t>LEMARI ARSIP 2 PINTU</t>
  </si>
  <si>
    <t xml:space="preserve">AIR RATCHET WRENCH PC 1/2"                                                          AIR RATCHET WRENCH PC 1/2" </t>
  </si>
  <si>
    <t xml:space="preserve">CIP SHORTENING LINE 2 BALL VALVE " SS316 CONNECTION WELD SEAT PTFE SANKYO BALL VALVE 2 INCHI WELD CONNECTION </t>
  </si>
  <si>
    <t xml:space="preserve">CIP SHORTHENING LINE 2 MALE COUPLING 3" SS316 NPT THREAD  </t>
  </si>
  <si>
    <t xml:space="preserve">CIP SHORTHENING LINE 2 PVC FLEXIBLE HOSE 3" FEMALE AND MALE CONNECTION CAMLOCK SS316 @10 METERS </t>
  </si>
  <si>
    <t xml:space="preserve">LEVEL SWITCH TBL12FC KASUGA </t>
  </si>
  <si>
    <t xml:space="preserve">BATU GERINDA POTONG 4" </t>
  </si>
  <si>
    <t>V-BELT B76</t>
  </si>
  <si>
    <t>V-BELT A51</t>
  </si>
  <si>
    <t xml:space="preserve">TIMAH SOLDER 1 MM </t>
  </si>
  <si>
    <t xml:space="preserve">MATA PAHAT WIDIA YG 6 </t>
  </si>
  <si>
    <t xml:space="preserve">SELANG PISPOT TANGAN </t>
  </si>
  <si>
    <t xml:space="preserve">MATA INTAN WIDIA YG 6 </t>
  </si>
  <si>
    <t xml:space="preserve">MINYAK BROMUS </t>
  </si>
  <si>
    <t>LTR</t>
  </si>
  <si>
    <t>PENLUB AEROSOL @330ML/CAN</t>
  </si>
  <si>
    <t>PIPA PVC AW 1 1/2" 1 BTG = 6 MTR</t>
  </si>
  <si>
    <t>ELBOW PVC AW 1 1/2"</t>
  </si>
  <si>
    <t>INCULASI PIPA PROFLEX (TEBAL 1/2", UKURAN PIPA 1 1/2")     1 BTG = 1.8 MTR</t>
  </si>
  <si>
    <t xml:space="preserve">LEM PVC 400 ML </t>
  </si>
  <si>
    <t xml:space="preserve">KAWAT LAS RB 52 2.6 MM </t>
  </si>
  <si>
    <t xml:space="preserve">KAWAT LAS SS 308 2.6 MM </t>
  </si>
  <si>
    <t xml:space="preserve">TOYO SPRING HOSE 3/4 @50M / ROLL </t>
  </si>
  <si>
    <t xml:space="preserve">CONNECTOR PLT APEX 4 PIN MALE - FEMALE </t>
  </si>
  <si>
    <t>CONNECTOR PLT APEX 8 PIN MALE - FEMALE</t>
  </si>
  <si>
    <t>TIMER ANLY AH3N 220 VAC 8 PIN PNEUMATIC</t>
  </si>
  <si>
    <t>PNEUMATIC CYLINDER 31F2A50A25</t>
  </si>
  <si>
    <t>SKUN KABEL 70 - 10 MM</t>
  </si>
  <si>
    <t xml:space="preserve">SKUN KABEL 50 -10 MM </t>
  </si>
  <si>
    <t>PUFFIN COOK WARE COATING</t>
  </si>
  <si>
    <t>PUFFIN THINNER CK</t>
  </si>
  <si>
    <t>AMPERE METER 0 - 50/5 A 96 x 96 MERK CAMSCO</t>
  </si>
  <si>
    <t xml:space="preserve">PILOT LAMP 10 MM 220 VAC, GREEN </t>
  </si>
  <si>
    <t>PILOT LAMP 10 MM 220 VAC, RED</t>
  </si>
  <si>
    <t>PILOT LAMP, 10 MM 220 VAC, YELLOW</t>
  </si>
  <si>
    <t>BATERAI A3 PCS (UNTUK INSTRUMEN TITRATOR)</t>
  </si>
  <si>
    <t xml:space="preserve">WIRING DUCT 32 MM X 32 MM </t>
  </si>
  <si>
    <t xml:space="preserve">KABEL NYA 1 X 2.5 MM </t>
  </si>
  <si>
    <t xml:space="preserve">SELENOID VALVE 4V 210 - 08 </t>
  </si>
  <si>
    <t>BAUT L 5 FULL DRAT PANJANG : 31 MM KUNCI 5.36 MM DIAM DRAT : 5.87</t>
  </si>
  <si>
    <t xml:space="preserve">KABEL NYY 4 x 25 </t>
  </si>
  <si>
    <t>LAMPU SOROT LED COB 1000 WATT "CAHAYA PUTIH"</t>
  </si>
  <si>
    <t xml:space="preserve">KABEL NYY 4 X 25MM </t>
  </si>
  <si>
    <t>I-BEAM MS 152 x 102MM x 17.86KG/M x 6M (198 x 99 x 6 MTR)</t>
  </si>
  <si>
    <t xml:space="preserve">CAT NO DROP @5KG - PUTIH </t>
  </si>
  <si>
    <t xml:space="preserve">KAPAS @ 1 KG </t>
  </si>
  <si>
    <t xml:space="preserve">ISOLASI BENING BESAR </t>
  </si>
  <si>
    <t xml:space="preserve">KALKULATOR 12 DIGIT CITIZEN </t>
  </si>
  <si>
    <t>RING PER 1"</t>
  </si>
  <si>
    <t>RING PLATE 5/8"</t>
  </si>
  <si>
    <t>KLEM KABEL 17 MM</t>
  </si>
  <si>
    <t>HELICAL GEAR SET 2 HP BOLOGNA, 2HP, 3P, 220, 3280V 4POLE/RPM 1390 50HZ RATIO : 1:20</t>
  </si>
  <si>
    <t>PRESSURE TRANSMITTER WIKA MODEL A-10</t>
  </si>
  <si>
    <t>EMBER ANTIPECAH +/- 12L</t>
  </si>
  <si>
    <t xml:space="preserve">SIKAT KAWAT </t>
  </si>
  <si>
    <t>SKRAP 4"</t>
  </si>
  <si>
    <t xml:space="preserve">BOLT &amp; NUT 1/2" X 2" STAINLESS STEEL </t>
  </si>
  <si>
    <t>MATA GERGAJI MESIN JIGSAW KODE "NR 144D" BRAND: BENZ</t>
  </si>
  <si>
    <t xml:space="preserve">SUNNY HOSE 3" X 50 MTR </t>
  </si>
  <si>
    <t>RESIN SCOTCH (SCOTCHCAST 3 M, SIZEA/78 GR)</t>
  </si>
  <si>
    <t xml:space="preserve">NIPPLE GREASE 3/8 </t>
  </si>
  <si>
    <t>STOP KONTAK @3 LUBANG UTICON ST-138</t>
  </si>
  <si>
    <t>KEPALA COLOKAN UTICON S-28R</t>
  </si>
  <si>
    <t>EMERGENCY STOP 25 MM</t>
  </si>
  <si>
    <t>POMPA AIR SHIMIZU PS135E 0.3 KW</t>
  </si>
  <si>
    <t>REDUCER GALVANIS 2" X 1"</t>
  </si>
  <si>
    <t>NIPPLE GAVANIS 1"</t>
  </si>
  <si>
    <t xml:space="preserve">HELM PUTIH </t>
  </si>
  <si>
    <t>CINCIN O-RING KUNINGAN PIPA 4 MM U/M16</t>
  </si>
  <si>
    <t>CINCIN O-RING KUNINGAN PIPA 6 MM U/M16</t>
  </si>
  <si>
    <t>AIR FLOW CONTROL VALVE                                                                          DIAM. SELANG 6 MM                                                                                      DIAM. ULIR 4.8 MM</t>
  </si>
  <si>
    <t>CIP STRONGE TANKS (8UNITS)4 X 1200 MT; 4 X 1000 MT COPPER TUBE CONNECTOR 3/8 X 3/8</t>
  </si>
  <si>
    <t>CIP STRONGE TANKS (8UNITS)4 X 1200 MT; 4 X 1000 MT ELBOW CARBON STEEL DN25 SCH40</t>
  </si>
  <si>
    <t xml:space="preserve">CIP STRONGE TANKS (8UNITS)4 X 1200 MT; 4 X 1000 MT CONCENTRIC REDUCER CARBON STEEL 2.5" X 1" SCH40 </t>
  </si>
  <si>
    <t xml:space="preserve">CIP STRONGE TANKS (8UNITS)4 X 1200 MT; 4 X 1000 MT TALI TAMBANG 10 MM  </t>
  </si>
  <si>
    <t>BUTTERFLY VALVE 4" GEAR EPDM                                                     NDV BUTTERFLY VALVE 4 INCHI GEAR EPDM</t>
  </si>
  <si>
    <t xml:space="preserve">HOOK 5 TON </t>
  </si>
  <si>
    <t>SARUNG TANGAN LAS KOMBINASI (LEGION)</t>
  </si>
  <si>
    <t>PSG</t>
  </si>
  <si>
    <t>TAP TEKIRO M6 X 1.0 MM</t>
  </si>
  <si>
    <t>SELANG SPIRAL 3" FIGO 1 ROLL = 50 METER</t>
  </si>
  <si>
    <t>KABEL DUCT PVC 60 X 100MM P: 3MTR</t>
  </si>
  <si>
    <t>KABEL DUCT PVC 50 X 50 X 300 CM</t>
  </si>
  <si>
    <t xml:space="preserve">KABEL DUCT PVC 40 X 40 MM </t>
  </si>
  <si>
    <t xml:space="preserve">DYNABOLT M12 (12MM X 100MM) </t>
  </si>
  <si>
    <t>OUT BOW DUS SURFACE BOX MK86 (PUTIH)</t>
  </si>
  <si>
    <t>SEMEN CASTABLE C-16 @25 KG/ZAK</t>
  </si>
  <si>
    <t>SAK</t>
  </si>
  <si>
    <t>SEAL RUBBER COVER NIAGARA FILTER SIZE 0.5" X 527 CM</t>
  </si>
  <si>
    <t>PAKAIN DAMKAR (BILLFIRE + SARUNG TANGAN)</t>
  </si>
  <si>
    <t>TANDU (DIMENSI 65 X 195 CM)</t>
  </si>
  <si>
    <t>SOLDER LISTRIK 200 - 250 WATT MERK DEKKO</t>
  </si>
  <si>
    <t>OIL SEAL 55 X 80 X 12 VITON</t>
  </si>
  <si>
    <t>OIL SEAL TC 30 - 50 - 10 (VITON)</t>
  </si>
  <si>
    <t>KUNCI INGGRIS 12" TEKIRO</t>
  </si>
  <si>
    <t xml:space="preserve">TANG KOMBINASI 8" TEKIRO </t>
  </si>
  <si>
    <t>OBENG (+ -) 6" TEKIRO</t>
  </si>
  <si>
    <t>WARTER MUR CARBON 1/2"</t>
  </si>
  <si>
    <t xml:space="preserve">SILIONE SEALENT </t>
  </si>
  <si>
    <t>" BELTING KOBEI UKURAN 198 XL " UNTUK LINE F3                              " BELTING KOBEI UKURAN 198 XL " UNTUK LINE F3</t>
  </si>
  <si>
    <t>KABEL NYAF 1 X 4 MM EXTRANA</t>
  </si>
  <si>
    <t xml:space="preserve">KABEL NYAF 1 X 10 MM EXTRANA </t>
  </si>
  <si>
    <t xml:space="preserve">KABEL NYAF 1 X 20 MM EXTRANA </t>
  </si>
  <si>
    <t xml:space="preserve">KABEL SKUN 6 MM </t>
  </si>
  <si>
    <t xml:space="preserve">SKUN 4 MM </t>
  </si>
  <si>
    <t xml:space="preserve">KABEL SKUN 10 MM </t>
  </si>
  <si>
    <t xml:space="preserve">KABEL SKUN 20 MM </t>
  </si>
  <si>
    <t xml:space="preserve">KUAS 3" </t>
  </si>
  <si>
    <t>THINNER</t>
  </si>
  <si>
    <t>KLEM KAWAT 1 1/2"</t>
  </si>
  <si>
    <t>KLEM KAWAT 2 1/2"</t>
  </si>
  <si>
    <t>SELANG KAWAT SPIRAL 2"</t>
  </si>
  <si>
    <t>PLC DELTA DVP - 14SS2</t>
  </si>
  <si>
    <t>KABEL UC - PRG020 - 12A</t>
  </si>
  <si>
    <t>TANGGA LIPAT @6 STEP</t>
  </si>
  <si>
    <t>CONTACTOR DIL M50 XTCE050D</t>
  </si>
  <si>
    <t xml:space="preserve">TIMER OMRON H3CR - A8 220 V </t>
  </si>
  <si>
    <t>BLOWER EXHAUST 14 INCHI SET (WESTO, PORTABLE VENTILATION FAN, POWER : 750W, AIR FLOW : 98M3/MIN, SPEED 2900 RPM, 220V, INCLUDE HOSE 5 MTR)</t>
  </si>
  <si>
    <t>BLOWER EXHAUST 16 INCHI SET (WESTO, PORTABLE VENTILATION FAN, POWER : 1100W, AIR FLOW : 128M3/MIN, SPEED 2900 RPM, 220V, INCLUDE HOSE 5 MTR)</t>
  </si>
  <si>
    <t xml:space="preserve">VANE PUMP MODEL PV2R13-25-116-F-RAAA-4326 MAX PRESSURE : (PR1 = 21 ; PR2 = 16); DISPLACEMENT : (PR1 = 231, PR2 : 115.6)  </t>
  </si>
  <si>
    <t>SHIM PLATE SS304 Size 0,2mm x 300 x 1000 mm</t>
  </si>
  <si>
    <t>SHIM PLATE SS304 Size 0,5mm x 300 x 1000 mm</t>
  </si>
  <si>
    <t>SHIM PLATE SS304 Size 1mm x 300 x 1000 mm</t>
  </si>
  <si>
    <t>SHIM PLATE BRONZE Size 0,1mm x 365 x 1200 mm</t>
  </si>
  <si>
    <t>SHIM PLATE BRONZE Size 0,2mm x 365 x 1200 mm</t>
  </si>
  <si>
    <t>PRESPAN NOMEC 0.25 MM (Uk 91 cm x 50 cm)</t>
  </si>
  <si>
    <t xml:space="preserve">AIR FILTER P/N BHL - 10 -01130 (SAKURA) </t>
  </si>
  <si>
    <t>BAUT MUR 3/8 x 2" (BIASA)</t>
  </si>
  <si>
    <t>RING PLATE 3/8"</t>
  </si>
  <si>
    <t>VALVE SPURGING DN 25</t>
  </si>
  <si>
    <t>OCTYL ALKOHOL CH000240</t>
  </si>
  <si>
    <t xml:space="preserve">SOCKET VALVE SPURGING </t>
  </si>
  <si>
    <t>MECHANICAL SEAL STEP                                                                    WAVE SPRING SEAL SIC/TC/KALREZ, 43</t>
  </si>
  <si>
    <t>CIP STRONGE TANKS (8 UNITS) 4 X 1200 MT : 4 X 1000 MT COOPERTUBE CONNECTOR 1/2 TO 3/8 INCH (FOR STEAM0</t>
  </si>
  <si>
    <t>FLANGE 6" SS304 PN16</t>
  </si>
  <si>
    <t>GASKET KLINGERSIL C4400 PER SHEET 1.5 x 2 METER THICKNESS 3MM</t>
  </si>
  <si>
    <t xml:space="preserve">SHEET </t>
  </si>
  <si>
    <t>VERNIER CALIPER 6IN MITUTOYO</t>
  </si>
  <si>
    <t>GEMBOK 60 MM                                                                                U/PEMAKAIAN DI CPO SUMP BRAND : TEKIRO</t>
  </si>
  <si>
    <t>EQUAL TEE DN80 SS304 SCH10</t>
  </si>
  <si>
    <t xml:space="preserve">EXPANTION JOINT DN125 SS304 CONNECTION WELD </t>
  </si>
  <si>
    <t>FLANGE DN150 GALVANISE IRON ANSI150</t>
  </si>
  <si>
    <t>FLANGE DN50 SS304 ANSI150</t>
  </si>
  <si>
    <t>GASKET KLINGER C-4400 DN100 PN16</t>
  </si>
  <si>
    <t>GASKET KLINGER C-4400 DN125 PN16</t>
  </si>
  <si>
    <t>GASKET KLINGER C-4400 DN150 ANSI150</t>
  </si>
  <si>
    <t>GASKET KLINGER C-4400 DN150 PN16</t>
  </si>
  <si>
    <t>GASKET KLINGER C-4400 DN200 ANSI150</t>
  </si>
  <si>
    <t>GASKET KLINGER C-4400 DN200 PN16</t>
  </si>
  <si>
    <t>GASKET KLINGER C-4400 DN32 ANSI150</t>
  </si>
  <si>
    <t>GASKET KLINGER C-4400 DN50 ANSI150</t>
  </si>
  <si>
    <t>GASKET KLINGER C-4400 DN65 PN16</t>
  </si>
  <si>
    <t>GASKET KLINGER C-4400 DN80 PN16</t>
  </si>
  <si>
    <t>ELBOW 45 DEGREE SS304 DN25 SCH10</t>
  </si>
  <si>
    <t>BSPT THREAD PIPE DN25 SS304 SCH10 @30CM</t>
  </si>
  <si>
    <t>CHANEL CNP 80 (UNP 80)</t>
  </si>
  <si>
    <t>ELBOW GI SGP B 90D LR W 1"</t>
  </si>
  <si>
    <t>ELBOW GI SGP B 90D LR W 2"</t>
  </si>
  <si>
    <t>ELBOW GI SGP B 90D LR W 1/2"</t>
  </si>
  <si>
    <t>ELBOW GI SGP B 90D LR W 1 - 1/2"</t>
  </si>
  <si>
    <t>ELBOW GI SGP B 90D LR W 3"</t>
  </si>
  <si>
    <t>ELBOW GI SGP B 90D LR  2 1/2"</t>
  </si>
  <si>
    <t>ELBOW GI SGP B 90D LR W 4"</t>
  </si>
  <si>
    <t>ELBOW SS304 SCH10 90D LR 20"</t>
  </si>
  <si>
    <t>ELBOW MS SCH40 90D LR SEAMLESS 2-1/2"</t>
  </si>
  <si>
    <t>UNION CONNECTOR 3/8"</t>
  </si>
  <si>
    <t>TEE UNION CONNECTOR 3/8"</t>
  </si>
  <si>
    <t>UNION CONNECTOR 1/2" x 3/8"</t>
  </si>
  <si>
    <t>LEM RESIN + HARDERNER</t>
  </si>
  <si>
    <t>TOR EMT6 -DB 230V</t>
  </si>
  <si>
    <t>AIR FILTER REGULATOR COMPRESSOR 1/4" 1 TABUNG</t>
  </si>
  <si>
    <t>AIR FILTER REGULATOR COMPRESSOR 1/2" 2 TABUNG</t>
  </si>
  <si>
    <t xml:space="preserve">KABEL NYY x 95 MM </t>
  </si>
  <si>
    <t xml:space="preserve">KABEL SKUN 95 MM </t>
  </si>
  <si>
    <t xml:space="preserve">SARUNG KABEL SKUN 95 MM HITAM </t>
  </si>
  <si>
    <t>SARUNG KABEL SKUN 95 MM BIRU</t>
  </si>
  <si>
    <t xml:space="preserve">SARUNG KABEL SKUN 95 MM KUNING </t>
  </si>
  <si>
    <t>SARUNG KABEL SKUN 95 MM MERAH</t>
  </si>
  <si>
    <t>WD - 40 (333 ML)</t>
  </si>
  <si>
    <t>BATU GERINDA POTONG 4" ULTRA CUT</t>
  </si>
  <si>
    <t>BATU GERINDA POLES 4" ULTRA TOUCH</t>
  </si>
  <si>
    <t xml:space="preserve">REGULATOR LPG 50 KG </t>
  </si>
  <si>
    <t>CARBON BRUSH GRINDER 7" BOSCH GWS 2200</t>
  </si>
  <si>
    <t xml:space="preserve">KAWAT LAS KUNINGAN 3 MM </t>
  </si>
  <si>
    <t>KAWAT LAS LB 52 3.2 MM KOBE STEEL</t>
  </si>
  <si>
    <t>PUSH BUTTON PB 25 OFF</t>
  </si>
  <si>
    <t xml:space="preserve">PUSH BUTTON PB 25 ON </t>
  </si>
  <si>
    <t xml:space="preserve">KABEL TIES UK. 25CM </t>
  </si>
  <si>
    <t xml:space="preserve">ISOLASI MERK NATIONAL </t>
  </si>
  <si>
    <t>BLIND FLANGE DN150 SS304 PN16</t>
  </si>
  <si>
    <t>BALL VALVE DN25 SS316 CONNECTION WELD</t>
  </si>
  <si>
    <t>STEAM HOSE 3/8" 10 METER (UNTUK MENCAIRKAN SAMPLING POINT DI TANKI)</t>
  </si>
  <si>
    <t>EQUAL TEE DN50 CS SCH40</t>
  </si>
  <si>
    <t>GASKET SWG DN50 PN16</t>
  </si>
  <si>
    <t>GASKET SWG DN20 PN16</t>
  </si>
  <si>
    <t>FLANGE DN50 CS PN16</t>
  </si>
  <si>
    <t xml:space="preserve">PIPE DN20 CS SCH40 END THREAD NPT @100 MM </t>
  </si>
  <si>
    <t>BOLT AND NUTS CARBON STEEL M16 x 60</t>
  </si>
  <si>
    <t xml:space="preserve">BOLT AND NUTS CARBON STEEL M12 x 50 </t>
  </si>
  <si>
    <t xml:space="preserve">BALL VALVE DN25 CARBON STEEL CONNECTION THREAD </t>
  </si>
  <si>
    <t>CONCENTRIC REDUCER DN80 x DN25 CS SCH40</t>
  </si>
  <si>
    <t>ELBOW DN80 CS SCH40</t>
  </si>
  <si>
    <t>GASKET SWG DN80 PN16</t>
  </si>
  <si>
    <t>GASKET SWG DN25 PN16</t>
  </si>
  <si>
    <t xml:space="preserve">FLANGE DN80 CS PN16 </t>
  </si>
  <si>
    <t xml:space="preserve">PIPE DN25 CS SCH40 END THREAD NPT @100MM </t>
  </si>
  <si>
    <t>BOLT AND NUTS CARBON STEEL M16 x 65</t>
  </si>
  <si>
    <t>BOLT AND NUTS CARBON STEEL M12 x 50</t>
  </si>
  <si>
    <t xml:space="preserve">EQUAL TEE DN100 CARBON STEEL SCH40 </t>
  </si>
  <si>
    <t>BOLTS &amp; NUTS CARBON STEEL M16 x 65</t>
  </si>
  <si>
    <t>GASKET SS304 DN100 PN16</t>
  </si>
  <si>
    <t xml:space="preserve">ACRILYC 15 MM </t>
  </si>
  <si>
    <t>TALI TAMBANG 12 MM</t>
  </si>
  <si>
    <t>BRUSH KAWAT MANGKOK 4" (BENZWERKZ)</t>
  </si>
  <si>
    <t xml:space="preserve">FLEXIBLE HOSE SS304 10" EXPORT PUMP HOUSE; AM-21-009-4 DN250 X 6.0M LENGTHS SS304 FLEXIBLE HOSE C/W SS304 WIRE BRAIDED, END LAP JOINT AND PN16 FLANGE BOTH SIDE CONNECTION </t>
  </si>
  <si>
    <t xml:space="preserve">FLEXIBLE HOSE SS316 10" EXPORT PUMP HOUSE; AM-21-009-4 DN250 X 6.0M LENGTHS SS316 FLEXIBLE HOSE C/W SS304 WIRE BRAIDED, END LAP JOINT AND PN16FLANGE BOTH SIDE CONNECTION </t>
  </si>
  <si>
    <t>DP 30%</t>
  </si>
  <si>
    <t xml:space="preserve">BRACKET / TIANG LAMPU GANTUNG </t>
  </si>
  <si>
    <t xml:space="preserve">KABEL TWISTED 2 x 16 MM </t>
  </si>
  <si>
    <t xml:space="preserve">DN TARIK 16 MM </t>
  </si>
  <si>
    <t xml:space="preserve">DN GANTUNG 16 MM </t>
  </si>
  <si>
    <t>KLEM GANTUNG ENGSEL 6"</t>
  </si>
  <si>
    <t xml:space="preserve">KLEM GANTUNG ENGSEL 3" </t>
  </si>
  <si>
    <t>PHOTO CELL 10 A</t>
  </si>
  <si>
    <t>TAP CONNECTOR 1 BAUT (6-25MM)</t>
  </si>
  <si>
    <t xml:space="preserve">KAP LAMPU GANTUNG WD + FITTING E27 SET </t>
  </si>
  <si>
    <t xml:space="preserve">BOLA LMPU HANNOCHS 45 WATT </t>
  </si>
  <si>
    <t xml:space="preserve">SEALANT GLASS SILICONE </t>
  </si>
  <si>
    <t xml:space="preserve">SILICONE GUN </t>
  </si>
  <si>
    <t>PERFORATED PLATE SS304 4' X 8' X 4MM, HOLE 5MM, PITCH 10MM</t>
  </si>
  <si>
    <t>CURRENT/VOLTAGE CALIBRATOR (YOKOGAWA CA 310)</t>
  </si>
  <si>
    <t>BATTERY TESTER (HIOKI BT3554-51)</t>
  </si>
  <si>
    <t>OIL FILTER JX0506</t>
  </si>
  <si>
    <t>COOLANT PICOLI</t>
  </si>
  <si>
    <t xml:space="preserve">SELANG ANGIN 6MM EST @ROLL = 50 M </t>
  </si>
  <si>
    <t xml:space="preserve">NEPLE DRAT LUAR 1/2" X TUBING 8 MM </t>
  </si>
  <si>
    <t xml:space="preserve">NEPLE DRAT LUAR 1/2" X TUBING 10 MM </t>
  </si>
  <si>
    <t>U-BOLT &amp; NUTS MS GI ZN PLATED 4"</t>
  </si>
  <si>
    <t>U-BOLT &amp; NUTS MS GI ZN PLATED 6"</t>
  </si>
  <si>
    <t>z</t>
  </si>
  <si>
    <t xml:space="preserve">CHANEL CNP 80 </t>
  </si>
  <si>
    <t>FLANGE ATG CARBON STEEL THICKNESS 15 MM, OD 405 MM, ID 101 MM, NUMBER HOLE BOLT 12 DIAMETER 25.4</t>
  </si>
  <si>
    <t>WATER MUR 1" PVC AW</t>
  </si>
  <si>
    <t>NIPPLE GREASE 3/8</t>
  </si>
  <si>
    <t>BOLT &amp; NUT HT 8.8 GI M24 X 215MM</t>
  </si>
  <si>
    <t>COMBINATION WRENCH 80MM BRAND SANDS</t>
  </si>
  <si>
    <t>SCREWDRIVER BIT SET HIGH HARDNESS LU42</t>
  </si>
  <si>
    <t>MR.FLEX HOSE 3/4 INCHI (@ ROLL 100 METER)</t>
  </si>
  <si>
    <t>TEE EQUAL CS SCH40 6</t>
  </si>
  <si>
    <t>FLANGE MS PN16 6"</t>
  </si>
  <si>
    <t>PRECUT CAF GASKET PN16 DN150 GENERAL USE</t>
  </si>
  <si>
    <t xml:space="preserve">SOUNDING BANDUL 15CM PANJANG 30M </t>
  </si>
  <si>
    <t xml:space="preserve">LEM DEXTONE </t>
  </si>
  <si>
    <t>KABEL NYY 4 X 2,5 MM</t>
  </si>
  <si>
    <t>SARUNG TANGAN KULIT SAFETY BIRU</t>
  </si>
  <si>
    <t>CABLE NYMHY 4X0,75MM GL</t>
  </si>
  <si>
    <t>100.00</t>
  </si>
  <si>
    <t>LEGEND PLATE 22 MM</t>
  </si>
  <si>
    <t>CABLE NYYHY 3 X 1.5MM</t>
  </si>
  <si>
    <t>MCB 1P NC45A C10A M.GERIN</t>
  </si>
  <si>
    <t>PORTABLE SUBMERSIBLE PUMP GRUNDFOSS</t>
  </si>
  <si>
    <t>HOUR METER CAMSCO 220 V-240 V</t>
  </si>
  <si>
    <t>FLANGE 2" JIS 10K</t>
  </si>
  <si>
    <t>KAPAS ONE HEALTH 1KG</t>
  </si>
  <si>
    <t>KALKULATOR CITIZEN</t>
  </si>
  <si>
    <t>MALE CONNECTOR CINCIN 6 MM X 1/2 DRAT</t>
  </si>
  <si>
    <t>UNION CONNECTOR 6 KE 6</t>
  </si>
  <si>
    <t>CARBON BRUSH 7"</t>
  </si>
  <si>
    <t>TESTING MANIFOLD AC DOUBLE MULTI R22</t>
  </si>
  <si>
    <t>SAKLAR SERI 2 KUTUB</t>
  </si>
  <si>
    <t>SAKLAR SERI 3 KUTUB</t>
  </si>
  <si>
    <t>JAS HUJAN + CELANA</t>
  </si>
  <si>
    <t>MCB 1 PHASE 16A</t>
  </si>
  <si>
    <t>CAPACITOR COMPRESSOR AC 25 UF</t>
  </si>
  <si>
    <t>CAPACITOR COMPRESSOR AC 30 UF</t>
  </si>
  <si>
    <t>CAPACITOR COMPRESSOR AC 35 UF</t>
  </si>
  <si>
    <t>CAPACITOR FAN MODEL SOCKET 4 - 2UF</t>
  </si>
  <si>
    <t>CAPACITOR FAN MODEL SOCKET 4 - 2,5UF</t>
  </si>
  <si>
    <t>KIP</t>
  </si>
  <si>
    <t>POTENSIOMETER 10KOHM</t>
  </si>
  <si>
    <t>SPPB</t>
  </si>
  <si>
    <t>PACKING TEFLON FLANGE 4" 
TEBAL: 5MM</t>
  </si>
  <si>
    <t>MATA INTAN YG 6 X 12 MM</t>
  </si>
  <si>
    <t>PAHAT BUBUT POTONG 1/8 X3/4 X 6" BOHLER</t>
  </si>
  <si>
    <t>SARUNG TANGAN KULIT SAFETY BIRU PANJANG</t>
  </si>
  <si>
    <t>RAK TRAY DOKUMEN 4 TINGKAT SHENAR</t>
  </si>
  <si>
    <t xml:space="preserve">DISC CHECK VALVE DN125 SS316 PN40 </t>
  </si>
  <si>
    <t>DISC CHECK VALVE DN150 SS304 PN16</t>
  </si>
  <si>
    <t>DISC CHECK VALVE DN65 SS304 PN40</t>
  </si>
  <si>
    <t>ECCENTRIC REDUCER 150 X 100 GALVANISE IRON SCH10</t>
  </si>
  <si>
    <t>ECCENTRIC REDUCER 200 X 150 GALVANISE IRON SCH10</t>
  </si>
  <si>
    <t>ECCENTRIC REDUCER DN 150 X 50 SS304 SCH10</t>
  </si>
  <si>
    <t>ELBOW DN125 SS304 SCH10</t>
  </si>
  <si>
    <t xml:space="preserve">ELBOW DN200 GALVANISE IRON SCH10 </t>
  </si>
  <si>
    <t>ELBOW DN150 GALVANISE IRON SCH10</t>
  </si>
  <si>
    <t>ELBOW DN150 SS304 SCH10</t>
  </si>
  <si>
    <t>ELBOW DN65 SS304 SCH10</t>
  </si>
  <si>
    <t>EQUAL TEE DN100 GALVANISE IRON SCH10</t>
  </si>
  <si>
    <t>EQUAL TEE DN125 GALVANISE IRON SCH10</t>
  </si>
  <si>
    <t>EQUAL TEE DN15 SS316 SCH20</t>
  </si>
  <si>
    <t>EQUAL TEE DN150 SS304 SCH10</t>
  </si>
  <si>
    <t>EQUAL TEE DN200 GALVANISE IRON SCH10</t>
  </si>
  <si>
    <t>KIP 01</t>
  </si>
  <si>
    <t>FLOWMETER SOLAR</t>
  </si>
  <si>
    <t>ABLE</t>
  </si>
  <si>
    <t>15/01/24</t>
  </si>
  <si>
    <t>PO No     : 24900071</t>
  </si>
  <si>
    <t>KLEM KAWAT 2"</t>
  </si>
  <si>
    <t>FP 07</t>
  </si>
  <si>
    <t>CINCIN KUNINGAN SELANG PU 6MM</t>
  </si>
  <si>
    <t>3000 PSI SS NEEDLE VALVE 1/4"</t>
  </si>
  <si>
    <t>PIPE DN 50 GALVANISE IRON SCH40 @ 6 METERS</t>
  </si>
  <si>
    <t>PO No     : 24900079</t>
  </si>
  <si>
    <t>THREAD PIPE DN 65 GALVANIS IRON SCH40 @ 15 CM</t>
  </si>
  <si>
    <t>16/01/24</t>
  </si>
  <si>
    <t>FLANGE DN 50 GALVANISE IRON PN 16</t>
  </si>
  <si>
    <t>PLUG SOCKET PVC AW 1 1/2"</t>
  </si>
  <si>
    <t>PLUG SOCKET PVC AW 2"</t>
  </si>
  <si>
    <t>PO No     : 24900051</t>
  </si>
  <si>
    <t>CLAMP GALVANISH 1"</t>
  </si>
  <si>
    <t>PIPA DRAT LUAR S/S PANJANG 15 CM 1 1/2" (DUA SISI)</t>
  </si>
  <si>
    <t>PIPA DRAT LUAR CARBON PANJANG 15 CM 1/2" (DUA SISI)</t>
  </si>
  <si>
    <t>PO No     : 24900058</t>
  </si>
  <si>
    <t>PIPA DRAT LUAR CARBON PANJANG 15 CM 3/4" (DUA SISI)</t>
  </si>
  <si>
    <t>PIPA DRAT LUAR CARBON PANJANG 15 CM 1" (DUA SISI)</t>
  </si>
  <si>
    <t>PIPA DRAT LUAR CARBON PANJANG 15 CM 1 1/2" (DUA SISI)</t>
  </si>
  <si>
    <t>PIPA DRAT DALAM S/S PANJANG 15 CM 1/2" (DUA SISI)</t>
  </si>
  <si>
    <t>PIPA DRAT DALAM CARBON PANJANG 15 CM 1/2" (DUA SISI)</t>
  </si>
  <si>
    <t>MECHANICAL SEAL RUBBER BELLOW SEAL, MATERIAL
SIC/SIC, SIZE 28MM</t>
  </si>
  <si>
    <t>OIL SEAL VITON TC 62X45X9 MM</t>
  </si>
  <si>
    <t>OIL SEAL VITON TC 120X95X13 MM</t>
  </si>
  <si>
    <t>OIL SEAL VITON TC 50X35X7 MM</t>
  </si>
  <si>
    <t>SARUNG TANGAN KARET</t>
  </si>
  <si>
    <t>19/01/24</t>
  </si>
  <si>
    <t>TALI/KERANGKA HELM SAFETY</t>
  </si>
  <si>
    <t>PO No     : KIP/PO/NT/24/00064</t>
  </si>
  <si>
    <t>FP 01</t>
  </si>
  <si>
    <t>kip</t>
  </si>
  <si>
    <t>BOLA LAMPU 18W - VARIO HANNOCHS</t>
  </si>
  <si>
    <t>23/01/24</t>
  </si>
  <si>
    <t>BOLA LAMPU 30W - VARIO HANNOCHS</t>
  </si>
  <si>
    <t>PO No     : KIP/PO/NT/24/00083</t>
  </si>
  <si>
    <t>POTENSIOMETER 50 KOHM BOURNS</t>
  </si>
  <si>
    <t>PO No     : KIP/PO/NT/24/00081</t>
  </si>
  <si>
    <t>EMAIL DRAT Ø 1,20 MM</t>
  </si>
  <si>
    <t>PO No     : KIP/PO/NT/24/00100</t>
  </si>
  <si>
    <t>FLOATING SWITCH STAINLESS STEEL
KASUGA TBL 13 FCS</t>
  </si>
  <si>
    <t>PO NO 24/00102</t>
  </si>
  <si>
    <t>SELANG PU 12MM
@ROLL: 100M</t>
  </si>
  <si>
    <t>24/01/24</t>
  </si>
  <si>
    <t>PO No     : 24900099</t>
  </si>
  <si>
    <t>PACKING KLINGRIT 5 MM</t>
  </si>
  <si>
    <t>PO NO 24/00074</t>
  </si>
  <si>
    <t>SKL</t>
  </si>
  <si>
    <t>SELF DRILLING SCREW 12X25MM</t>
  </si>
  <si>
    <t>PO No     : SKL/PO/NT/24/00066</t>
  </si>
  <si>
    <t>TRANSDUCER 10 MM 5MHZ (SNDWAY SW-6520)</t>
  </si>
  <si>
    <t>PO No     : SKL/PO/NT/24/00098</t>
  </si>
  <si>
    <t>DED END CLAMP</t>
  </si>
  <si>
    <t>PO No     : SKL/PO/NT/24/00100</t>
  </si>
  <si>
    <t>KEPALA BATERAI BESAR SUBADI KUNINGAN NS70-N200</t>
  </si>
  <si>
    <t>KABEL SERI BATERAI (24V 30CM)</t>
  </si>
  <si>
    <t>TOPLES PLASTIK @1000 ML</t>
  </si>
  <si>
    <t>GAYUNG SAMPEL GAGANG PANJANG @250 ML</t>
  </si>
  <si>
    <t>PO No     : SKL/PO/NT/24/00103</t>
  </si>
  <si>
    <t>BAUT COUPLING + KARET COUPLING F3</t>
  </si>
  <si>
    <t>PO No     : SKL/PO/NT/24/00118</t>
  </si>
  <si>
    <t>SELANG BENANG 1" INNO</t>
  </si>
  <si>
    <t>METER</t>
  </si>
  <si>
    <t>P.O : SKL/PO/NT/24/00115</t>
  </si>
  <si>
    <t>skl</t>
  </si>
  <si>
    <t>KUAS 3"</t>
  </si>
  <si>
    <t>24/00020</t>
  </si>
  <si>
    <t>FITTING LAMPU GANTUNG</t>
  </si>
  <si>
    <t>10/JN/24</t>
  </si>
  <si>
    <t>MCB 6A 1P ABB</t>
  </si>
  <si>
    <t>24/00022</t>
  </si>
  <si>
    <t>SKUN GARPU Y ISOLASI 4 MM</t>
  </si>
  <si>
    <t>SELANG PU OD 8 MM (HS CODE :39172929)</t>
  </si>
  <si>
    <t>ROL</t>
  </si>
  <si>
    <t>SELANG PU OD 14 MM (HS CODE :39172929)</t>
  </si>
  <si>
    <t>PO No     : 24900120</t>
  </si>
  <si>
    <t>GASKET SWG DN32 SS304 PN16</t>
  </si>
  <si>
    <t>PT. AGRO M</t>
  </si>
  <si>
    <t>GATE VALVE DN125 CAST IRON CONNECTION FLANGE PN 16</t>
  </si>
  <si>
    <t>P.O : 23901699</t>
  </si>
  <si>
    <t>PT. SWP</t>
  </si>
  <si>
    <t>GATE VALVE DN200 CAST IRON CONNECTION FLANGE PN16</t>
  </si>
  <si>
    <t>L SYPHON DN15 GALVANISE IRON</t>
  </si>
  <si>
    <t>L SYPHON DN15 SS304 SCH10</t>
  </si>
  <si>
    <t>PIPE DN125 SS304 SCH10</t>
  </si>
  <si>
    <t>PIPE DN15 SS316 SCH20</t>
  </si>
  <si>
    <t>PIPE DN150 SS304 SCH10</t>
  </si>
  <si>
    <t>PRESSURE GAUGE -1 - 15 BAR THREAD CONNECTION DN15</t>
  </si>
  <si>
    <t>SWING CHECK VALVE DN200 CAS IRON CONNECTION FLANGE 
PN16</t>
  </si>
  <si>
    <t>Y STRAINER DN125 SS304 CONNECTION FLANGE PN16</t>
  </si>
  <si>
    <t>Y STRAINER DN125 SS304 CONNECTION WELDED</t>
  </si>
  <si>
    <t>PUSH IN FITTING 1/8 X 4 MM (HS CODE :39174000)</t>
  </si>
  <si>
    <t>PUSH IN FITTING 1/8 X 6 MM (HS CODE :39174000)</t>
  </si>
  <si>
    <t>PO NO : 24900125</t>
  </si>
  <si>
    <t>PUSH IN FITTING 1/8 X 8 MM (HS CODE :39174000)</t>
  </si>
  <si>
    <t>PUSH IN FITTING 1/8 X 10 MM (HS CODE :39174000)</t>
  </si>
  <si>
    <t>PUSH IN FITTING 1/4 X 4 MM (HS CODE :39174000)</t>
  </si>
  <si>
    <t>PUSH IN FITTING 1/4 X 6 MM (HS CODE :39174000)</t>
  </si>
  <si>
    <t>PUSH IN FITTING 1/4 X 10 MM (HS CODE :39174000)</t>
  </si>
  <si>
    <t>PUSH IN FITTING 1/4 X 12 MM (HS CODE :39174000)</t>
  </si>
  <si>
    <t>PUSH IN FITTING 3/8 X 12 MM (HS CODE :39174000)</t>
  </si>
  <si>
    <t>PUSH IN FITTING 1/2 X 6 MM (HS CODE :39174000)</t>
  </si>
  <si>
    <t>PUSH IN FITTING 1/2 X 8 MM (HS CODE :39174000)</t>
  </si>
  <si>
    <t>PUSH IN FITTING 1/2 X 10 MM (HS CODE :39174000)</t>
  </si>
  <si>
    <t>PUSH IN FITTING 1/2 X 12 MM (HS CODE :39174000)</t>
  </si>
  <si>
    <t>PUSH IN FITTING REDUCER 4 X 6 MM 
(HS CODE :39174000)</t>
  </si>
  <si>
    <t>PUSH IN FITTING REDUCER 6 X 8 MM 
(HS CODE :39174000)</t>
  </si>
  <si>
    <t>PUSH IN FITTING REDUCER 6 X 10 MM
(HS CODE :39174000)</t>
  </si>
  <si>
    <t>PUSH IN FITTING REDUCER 8 X 10 MM
(HS CODE :39174000)</t>
  </si>
  <si>
    <t>PUSH IN FITTING REDUCER 8 X 12 MM  
(HS CODE :39174000)</t>
  </si>
  <si>
    <t>PUSH IN FITTING TEE 6 MM (HS CODE :39174000)</t>
  </si>
  <si>
    <t>PUSH IN FITTING TEE 8 MM (HS CODE :39174000)</t>
  </si>
  <si>
    <t>PUSH IN FITTING TEE 10 MM (HS CODE :39174000)</t>
  </si>
  <si>
    <t>UNION CONNECTOR 3/8" (HS CODE :74122020)</t>
  </si>
  <si>
    <t>ISOLASI LISTRIK (HS CODE : 85472000)</t>
  </si>
  <si>
    <t>MINYAK REM FORKLIFT (HS CODE :38190000)</t>
  </si>
  <si>
    <t>PO No     : 24900149</t>
  </si>
  <si>
    <t>ITEM MERK SUPERCUT</t>
  </si>
  <si>
    <t>CUTTING DISC 14"</t>
  </si>
  <si>
    <t>PO : PTAM/PO/NT/24/00101</t>
  </si>
  <si>
    <t>PT. STEELINDO WAHANA PERKASA</t>
  </si>
  <si>
    <t>22-DES-24</t>
  </si>
  <si>
    <t>PO: REF/SPK/2023/12/22/15</t>
  </si>
  <si>
    <t>LIBR INCLUDE INHIBITOR MOLYBDATE
CONSENTRATION 50-52% DRUM BLUE:300KG</t>
  </si>
  <si>
    <t>DRUM</t>
  </si>
  <si>
    <t>PO: 4000208140</t>
  </si>
  <si>
    <t>PT AGRO</t>
  </si>
  <si>
    <t>GASOLINE GAUGING PASTE KOLOR KUT</t>
  </si>
  <si>
    <t>TEE EQUAL MS SGP 6"</t>
  </si>
  <si>
    <t>LGTH</t>
  </si>
  <si>
    <t>FLANGE MS PN16 3"</t>
  </si>
  <si>
    <t>BATU GERINDA POTONG 7"</t>
  </si>
  <si>
    <t>LEM GASKET</t>
  </si>
  <si>
    <t>TERPAL 6 X 8 "TYPE A5"</t>
  </si>
  <si>
    <t>LEMBAR</t>
  </si>
  <si>
    <t>2 INCH#150 FLEXIBLE METAL HOSE SS304L &amp; 
FLANGE RF L: 6 MTR</t>
  </si>
  <si>
    <t>3/4" COUPLING ULIR DALAM SS304L</t>
  </si>
  <si>
    <t>PTAM/PO/NT/24/00139</t>
  </si>
  <si>
    <t>PPN 0??</t>
  </si>
  <si>
    <t>PT. ABLE</t>
  </si>
  <si>
    <t>MATA GERGAJI MESIN JIGSAW KODE " NR 144D"</t>
  </si>
  <si>
    <t>PO No     : 24900152</t>
  </si>
  <si>
    <t>PT AGRO MURNI</t>
  </si>
  <si>
    <t>WATER FLOWMETER 2" WATER METER AMICO 2 INCH,
FLANGE PN16</t>
  </si>
  <si>
    <t>PO No     : PTAM/PO/NT/24/00156</t>
  </si>
  <si>
    <t>PT. AGRO MURN</t>
  </si>
  <si>
    <t>KARABINER M5 (25X50MM) SS304 STANDARD WIDTH: 4.7MM, WEIGHT: 45KG</t>
  </si>
  <si>
    <t>PVC SPRING HOSE 3/4" (FOOD GRADE)
TOYORING HOSE TGF-19-50</t>
  </si>
  <si>
    <t>PO No     : PTAM/PO/NT/24/00175</t>
  </si>
  <si>
    <t>SPRING HOSE 5 INCH X 10M MR.FLEX</t>
  </si>
  <si>
    <t>PVC DUCTING 50 M X 50 MM PANJANG 3 METER</t>
  </si>
  <si>
    <t>BATANG</t>
  </si>
  <si>
    <t>PVC DUCTING 16 MM X 16 MM PANJANG 3 METER</t>
  </si>
  <si>
    <t>PO No     : 24900172</t>
  </si>
  <si>
    <t xml:space="preserve">PT. ABLE </t>
  </si>
  <si>
    <t>AIR REGULATOR AIRTAC AF2000 1/4"</t>
  </si>
  <si>
    <t>PO No: 24900178</t>
  </si>
  <si>
    <t>FACE SHIELD VISION CLEAR GOSAVE, BIZ ALUMINIUM POLYCARBONATE</t>
  </si>
  <si>
    <t>HOSE CLAMP SS304 3/4"</t>
  </si>
  <si>
    <t>PO: PTAM/PO/NT/24/00150</t>
  </si>
  <si>
    <t>OIL FILTER WRENCH (BELT TYPE) 9" TEKIRO</t>
  </si>
  <si>
    <t>OIL FILTER WRENCH (CHAIN TYPE) 9" TEKIRO</t>
  </si>
  <si>
    <t>BLACK GRAPHITE ADHESIVE TAPE SIZE 25MM X 0.5MM X 20M</t>
  </si>
  <si>
    <t>PO: PTAM/PO/NT/24/00111</t>
  </si>
  <si>
    <t>WASTE BIN DALTON DUST BIN 240 LTR (GREEN)</t>
  </si>
  <si>
    <t>PO: PTAM/PO/NT/24/00163</t>
  </si>
  <si>
    <t>SOUNDING TAPE (MERK RITCHER, 30MTR)</t>
  </si>
  <si>
    <t>THERMOMETER SOUNDING (SELLERY UK 22 X 320 MM)</t>
  </si>
  <si>
    <t>PO No : PTAM/PO/NT/24/00199</t>
  </si>
  <si>
    <t>PASTE SOUNDING (KOLOR CUT)</t>
  </si>
  <si>
    <t>BLACK PIPE 1-1/2 INCH, SCH 10</t>
  </si>
  <si>
    <t>10.00</t>
  </si>
  <si>
    <t>PO No     : PTAM/PO/NT/24/00206</t>
  </si>
  <si>
    <t>VACUUM CLEANER BOSCH GAS 20L SFC WET &amp; DRY</t>
  </si>
  <si>
    <t>3/4" DRIVE IMPACT ADAPTOR 3/4" FEMALE X 1/2" MALE</t>
  </si>
  <si>
    <t>PO No     : PTAM/PO/NT/24/00217</t>
  </si>
  <si>
    <t>PT. KIP</t>
  </si>
  <si>
    <t>DISC. %</t>
  </si>
  <si>
    <t>CAM SWITCH CA 10 ''KRAUS NAIMER''</t>
  </si>
  <si>
    <t xml:space="preserve"> '3,85502</t>
  </si>
  <si>
    <t>TIMER OMRON H3CR-A8 220 V</t>
  </si>
  <si>
    <t>PO No     : KIP/PO/NT/24/00159</t>
  </si>
  <si>
    <t>RESIN SCOTCH</t>
  </si>
  <si>
    <t>KABEL NYYHY 4 X 4 MM</t>
  </si>
  <si>
    <t>KABEL NYYHY 4 X 2,5 MM</t>
  </si>
  <si>
    <t>THERMAL OVERLOAD LRD 06</t>
  </si>
  <si>
    <t>FLOAT VALVE 2" KUNINGAN</t>
  </si>
  <si>
    <t>PO No     : KIP/PO/NT/24/00164</t>
  </si>
  <si>
    <t>PT. SKL</t>
  </si>
  <si>
    <t>CARBON BRUSH U/ GERINDA 7" BOSCH</t>
  </si>
  <si>
    <t>PO No     : SKL/PO/NT/24/00174</t>
  </si>
  <si>
    <t>LAMPU SOROT 100 W EVACO</t>
  </si>
  <si>
    <t>PO No     : SKL/PO/NT/24/00200</t>
  </si>
  <si>
    <t>CONTACTOR LC1D09M7 220 VAC
(HS CODE: 85362019)</t>
  </si>
  <si>
    <t>CONTACTOR LC1D12M7 220 VAC
(HS CODE: 85362019)</t>
  </si>
  <si>
    <t>PO No     : 24900193</t>
  </si>
  <si>
    <t>CONTACTOR LC1D25M7 220 VAC
(HS CODE: 85362019)</t>
  </si>
  <si>
    <t>CONTACTOR LC1D38M7 220 VAC
(HS CODE: 85362013)</t>
  </si>
  <si>
    <t>BATTERY AA 1.5V ENERGIZER</t>
  </si>
  <si>
    <t>BATTERY AAA 1.5V ENERGIZER</t>
  </si>
  <si>
    <t>AGRO</t>
  </si>
  <si>
    <t>IMPACT HEX SOCKET 3/4" M22 TEKIRO</t>
  </si>
  <si>
    <t>IMPACT HEX SOCKET 3/4" M24 TEKIR0</t>
  </si>
  <si>
    <t>PO No     : PTAM/PO/NT/24/00164</t>
  </si>
  <si>
    <t>IMPACT HEX SOCKET 3/4" M27 TEKIR0</t>
  </si>
  <si>
    <t>CROW BAR 5/8 INCH X 20 INCH LINGGIS ULIR 5/8 X 75 CM</t>
  </si>
  <si>
    <t>COLLET BODY 5MM</t>
  </si>
  <si>
    <t>PVC ARMOURED CABLE 3C X 2.5MM ARMOURED CABLE
3CX2,5MMN2XRY BRAND. FIRST CABLE</t>
  </si>
  <si>
    <t>SILICONE GLASS SEALANT (CLEAR) DOW CORNING</t>
  </si>
  <si>
    <t>TUBE</t>
  </si>
  <si>
    <t>SILICONE RED 650DEGF @ 85,2GR FOX - (USA 30GR)</t>
  </si>
  <si>
    <t>PO No     : PTAM/PO/NT/24/00226</t>
  </si>
  <si>
    <t>EPOXY ADHESIVES PLASTIC STEEL @ 48GR DEXTONE</t>
  </si>
  <si>
    <t>ISOLASI PVC TAPE 0.13MM X 16 MM X 20 M UNIBEL</t>
  </si>
  <si>
    <t>RL</t>
  </si>
  <si>
    <t>RUBBER SPLICING TAPE 19MM X 9,1MM X 0.761MM 
3M SCOTCH 23</t>
  </si>
  <si>
    <t>PTFE SEAL TAPE SIZE 12MM X 10M ONDA</t>
  </si>
  <si>
    <t>SEAL TAPE HIGH TEMP CHESTERTON</t>
  </si>
  <si>
    <t>CONTACT CLEANER PENETONE 8170 - (CRC 2016 520ML)</t>
  </si>
  <si>
    <t>REFILL BLADE CUTTER KENKO L-500</t>
  </si>
  <si>
    <t>HACKSAW BLADE 12" SANDFLEXBAHCO TPI</t>
  </si>
  <si>
    <t>MASKING TAPE 1" 24MMX21M DAIMARU</t>
  </si>
  <si>
    <t>TIMAH SOLDER 0,8 / 50GR DEKKO</t>
  </si>
  <si>
    <t>RED SILICONE 65309 "FOX" - (USA 30GR)</t>
  </si>
  <si>
    <t>NYLON CABLE TIES 200MM @200 PCS KSS CV-200 - (@100 PCS)</t>
  </si>
  <si>
    <t>PO No     : PTAM/PO/NT/24/00230</t>
  </si>
  <si>
    <t>BATU GERINDA BOTOL W220 25X25X6 MM KINIK</t>
  </si>
  <si>
    <t>PO No     : SKL/PO/NT/24/00208</t>
  </si>
  <si>
    <t>PAHAT BUBUT POTONG HSS 1/8 X 5/8 X 5</t>
  </si>
  <si>
    <t>GAGANG PAHAT BUBUT 5/8</t>
  </si>
  <si>
    <t>GEMBOK 60 MM TEKIRO</t>
  </si>
  <si>
    <t>POMPA SHIMIZU PC-502 BIT - (PC-503)
1 PHASA 220 VOLT, IN 1
1/4", OUT 1" HEAD 56 M</t>
  </si>
  <si>
    <t>PO No     : 24900063</t>
  </si>
  <si>
    <t>BOLA LAMPU LED 40 WATT</t>
  </si>
  <si>
    <t>BOLA LAMPU LED 13 WATT</t>
  </si>
  <si>
    <t>LAMPU SOROT LED 100 WATT</t>
  </si>
  <si>
    <t>FYBER RESIN</t>
  </si>
  <si>
    <t>SIGMAT DIGITAL 8" MITUTOYO</t>
  </si>
  <si>
    <t>BALL VALVE PVC 3" DOUBLE UNION</t>
  </si>
  <si>
    <t>FLANGE PVC 1 1/2"</t>
  </si>
  <si>
    <t>PO No     : KIP/PO/NT/24/00185</t>
  </si>
  <si>
    <t>BELLOW SEAL GLOBE VALVE CAST IRON 6" CAST STEEL, PN40</t>
  </si>
  <si>
    <t>PO No     : PTAM/PO/NT/24/00264</t>
  </si>
  <si>
    <t>PURE SYNTHETIC ADHESIVE GB 747 LEM KAMBING KALENG</t>
  </si>
  <si>
    <t>PO No     : PTAM/PO/NT/24/00258</t>
  </si>
  <si>
    <t>HYDRAULIC PULLER SET</t>
  </si>
  <si>
    <t>PO No     : PTAM/PO/NT/24/00179</t>
  </si>
  <si>
    <t>COUPLING ROTEX L075</t>
  </si>
  <si>
    <t>RUBBER COUPLING L075</t>
  </si>
  <si>
    <t>KIP/PO/NT/24/00208</t>
  </si>
  <si>
    <t>COPPER TUBE 6 MM</t>
  </si>
  <si>
    <t>TUBE FITTING 6 MM</t>
  </si>
  <si>
    <t>SKL/PO/NT24/00222</t>
  </si>
  <si>
    <t>TUBE FITTING 6 MM SIKU</t>
  </si>
  <si>
    <t>TUBE FITTING 6 MM TEE</t>
  </si>
  <si>
    <t>METAL EXPAN.JOINT 4IN 304 JIS10K PKS</t>
  </si>
  <si>
    <t>PO No     : 4714041774</t>
  </si>
  <si>
    <t>KIPAS ANGIN DINDING PANASONIC 12"</t>
  </si>
  <si>
    <t>WIRELESS MICROPON UHF HX-W002</t>
  </si>
  <si>
    <t>PO NO : SKL/PO/NT/24/00246</t>
  </si>
  <si>
    <t>KIPAS ANGIN GANTUNG PANASONIC 1511-56"</t>
  </si>
  <si>
    <t>PROPELLER SHAFT PTO</t>
  </si>
  <si>
    <t>PO No     : SKL/PO/NT/24/00187</t>
  </si>
  <si>
    <t>PO No     : 24900222</t>
  </si>
  <si>
    <t>FP 01 / PPN 11%</t>
  </si>
  <si>
    <t>PRESSURE REDUSING PRV SPIRAX SARCO DN80
CONNECTION FLANGE PN16 TYPE25P
U/MAIN STEAM FRACTIONATION</t>
  </si>
  <si>
    <t>PO No     : 4000210839</t>
  </si>
  <si>
    <t>PT. INNO WAGSA</t>
  </si>
  <si>
    <t>COMPRESSORE DANFOSS MT 100HS4DVE</t>
  </si>
  <si>
    <t>FILTER DRYER 5/8INC</t>
  </si>
  <si>
    <t>182/IW-PO/II/2024</t>
  </si>
  <si>
    <t>PT ABLE</t>
  </si>
  <si>
    <t>FLANGE PVC AW 2" - (HS CODE: 39172300)</t>
  </si>
  <si>
    <t>BLAND FLANGE 2" - (HS CODE: 39172300)</t>
  </si>
  <si>
    <t>REDUCER PVC AW 3"X2" - (HS CODE: 39172300)</t>
  </si>
  <si>
    <t>TEE SOCKET PVC AW 3" - (HS CODE: 39172300)</t>
  </si>
  <si>
    <t>ELBOW PVC AW 3" - (HS CODE: 39172300)</t>
  </si>
  <si>
    <t>BALL VALVE PVC AW 2" - (HS CODE: 39172300)</t>
  </si>
  <si>
    <t>HAND GLOVE NITRILE RNF15</t>
  </si>
  <si>
    <t>SUPER GLUE MODEL: LOCTITE 401</t>
  </si>
  <si>
    <t>BELT DRESSING SPRAY CRC MODEL: 3081</t>
  </si>
  <si>
    <t>GENERAL PURPOSE CONTACT ADHESIVE GLUE LEM BANTENG</t>
  </si>
  <si>
    <t>PAINT BRUSH 4" C/W PLASTIC HANDLE MATERIAL: NYLON</t>
  </si>
  <si>
    <t>THREADLOCKER LOCTITE 243</t>
  </si>
  <si>
    <t>EXHAUST FAN 12"  KDK</t>
  </si>
  <si>
    <t>PO No     : SKL/PO/NT/24/00259</t>
  </si>
  <si>
    <t>PIPA CONDUIT 20 MM X 2,9 MTR</t>
  </si>
  <si>
    <t>ELBOW CONDUIT 20 MM</t>
  </si>
  <si>
    <t>PO No     : SKL/PO/NT/24/00255</t>
  </si>
  <si>
    <t>PPI</t>
  </si>
  <si>
    <t>CABLE NYA 10MM GREEN YELLOW EXTRANA - (PULUNG)</t>
  </si>
  <si>
    <t>BOX CONTROL GROUNDING C/W COVER</t>
  </si>
  <si>
    <t>PO No     : 4714041953</t>
  </si>
  <si>
    <t>CABLE SCHOON 25MM C/W VINYL</t>
  </si>
  <si>
    <t xml:space="preserve">PT ABLE </t>
  </si>
  <si>
    <t xml:space="preserve">TOYO SPRING HOSE 3\4 
@ROLL : 50 M </t>
  </si>
  <si>
    <t>PO No    : 24900255</t>
  </si>
  <si>
    <t xml:space="preserve">PT SKL </t>
  </si>
  <si>
    <t>SIGMAN DIGITAL 8  MITUTOYO</t>
  </si>
  <si>
    <t xml:space="preserve">PIECES  </t>
  </si>
  <si>
    <t>PO No    : 24/00225</t>
  </si>
  <si>
    <t>UNION GASKET SMS TYPE L SIZE 1 1\4</t>
  </si>
  <si>
    <t>UNION GASKET SMS TYPE SQUARE SIZE 3 (ID 76 MM)</t>
  </si>
  <si>
    <t>PO No   :24900259</t>
  </si>
  <si>
    <t>UNION GASKET SMS TYPE SQUARE SIZE 4 (ID 101,6 MM)</t>
  </si>
  <si>
    <t xml:space="preserve">GASKET CLAMP UNION FERRULE FLANGE TYPE SIZE 1 </t>
  </si>
  <si>
    <t xml:space="preserve">GASKET CLAMP UNION FERRULE FLANGE TYPE SIZE 1 1\2 </t>
  </si>
  <si>
    <t>GASKET CLAMP UNION FERRULE FLANGE TYPE SIZE 2</t>
  </si>
  <si>
    <t>GASKET CLAMP UNION FERRULE FLANGE TYPE SIZE 2 1\2</t>
  </si>
  <si>
    <t>GASKET CLAMP UNION FERRULE FLANGE TYPE SIZE 3</t>
  </si>
  <si>
    <t>GASKET CLAMP UNION FERRULE FLANGE TYPE SIZE 4</t>
  </si>
  <si>
    <t>GASKET CLAMP UNION FERRULE FLANGE TYPE SIZE 4 1\2</t>
  </si>
  <si>
    <t>PO No   :24\00240</t>
  </si>
  <si>
    <t xml:space="preserve">PT. AGRO </t>
  </si>
  <si>
    <t xml:space="preserve">TUBE CUTTER 3/6 - 1 INCH (4- 25 MM ) 
SWAGELOK MS TC - 308 </t>
  </si>
  <si>
    <t>PO No   :24/00307</t>
  </si>
  <si>
    <t xml:space="preserve">PT.AGRO </t>
  </si>
  <si>
    <t>SHIM PLATE SS 304 0.2 MM THK
SIZE : 0.22 MM X 300 X 10000 MM</t>
  </si>
  <si>
    <t>SHIM PLATE SS 304 0.5 MM 
THK SIZE :0.5 MM X 300 X10000 MM</t>
  </si>
  <si>
    <t>PO No    24/00276</t>
  </si>
  <si>
    <t>SHIM PLATE SS304 1.0 MM
THK SIZE : 1.0 MM X 300 X 10000 MM</t>
  </si>
  <si>
    <t>PT.SWP</t>
  </si>
  <si>
    <t>PRESSURE REDUSING PRV SPIRAX SARCO DN80
CONNECTION FLANGE PN 16 TYPE25P 
U/MAIN STEAM FRACTIONATION</t>
  </si>
  <si>
    <t>PIECE</t>
  </si>
  <si>
    <t>PO No    4000210839</t>
  </si>
  <si>
    <t>RED INSULATING VARNISH
CHROMAX 628</t>
  </si>
  <si>
    <t>PO No    24 00315</t>
  </si>
  <si>
    <t xml:space="preserve">PT. SKL </t>
  </si>
  <si>
    <t xml:space="preserve">KEP SOLO 425 SPRAYER </t>
  </si>
  <si>
    <t>PO No 24 00277</t>
  </si>
  <si>
    <t xml:space="preserve">PT.ABLE </t>
  </si>
  <si>
    <t>SELANG ANGIN 6MM X 44 MM EST @ROLL = 50 M</t>
  </si>
  <si>
    <t>PO No 24 900279</t>
  </si>
  <si>
    <t xml:space="preserve">PT.SKL </t>
  </si>
  <si>
    <t>MATA INTAN YG 6</t>
  </si>
  <si>
    <t>PO No 24 00280</t>
  </si>
  <si>
    <t xml:space="preserve">CHAIN BLOCK 5T </t>
  </si>
  <si>
    <t>CHAIN BLOCK 10T</t>
  </si>
  <si>
    <t>PO No 24 00253</t>
  </si>
  <si>
    <t xml:space="preserve">KABEL NYVIN 1x2,5 mm </t>
  </si>
  <si>
    <t>Mtr</t>
  </si>
  <si>
    <t xml:space="preserve">KABEL NYVIN 1x1,5 mm </t>
  </si>
  <si>
    <t>PO No 24 00254</t>
  </si>
  <si>
    <t>TERMINAL BLOCK KERAMIK 3P 10A</t>
  </si>
  <si>
    <t xml:space="preserve">PIECES </t>
  </si>
  <si>
    <t>DISC.5 %</t>
  </si>
  <si>
    <t>PO No 23 00312</t>
  </si>
  <si>
    <t>FULL PAYMENT 70%</t>
  </si>
  <si>
    <t xml:space="preserve">MECHANICAL SEAL STEP
WAVE SPRING SEAL 
SIC/TC/KALREZ,SIZE 43 </t>
  </si>
  <si>
    <t>PO No 24 900296</t>
  </si>
  <si>
    <t>PT.PPI</t>
  </si>
  <si>
    <t>1405001061-FLOW MTR IIN 3 DIGIT SOLAR 
FILL-RITE (HS CODE : 90282090)</t>
  </si>
  <si>
    <t>19-Mar-224</t>
  </si>
  <si>
    <t>PO No 4714042029</t>
  </si>
  <si>
    <t>VERNIER CALIPER 300 MM 
C/W DIAL SUMITOMO</t>
  </si>
  <si>
    <t>END MILL DIA. 6, 8, 10, 12 
MM</t>
  </si>
  <si>
    <t>PO No 24900303</t>
  </si>
  <si>
    <t>FACE MILL + HOLDER MT 40 
DIA, 80 MM C/W INSERT</t>
  </si>
  <si>
    <t xml:space="preserve">MIKROMETER 0-25 MM </t>
  </si>
  <si>
    <t>MAL ULIR DRAT MM</t>
  </si>
  <si>
    <t>MAL ULIR DRAT INCHI</t>
  </si>
  <si>
    <t>BAUT MUR S/S
COUNTERSUNK M5*20 C/W
RING PLATE</t>
  </si>
  <si>
    <t>FLOAT VEN TA-22ML
YOSHITAKE PRESS :1 MPA,
TEMP 100 C</t>
  </si>
  <si>
    <t>PO No 24900286</t>
  </si>
  <si>
    <t xml:space="preserve">OPTIBLET MITSUBUSHI 160
XL </t>
  </si>
  <si>
    <t>O-RING VITON OD 55 ID 50
TEBAL 3 MM</t>
  </si>
  <si>
    <t>tokoseal_sparepart-alatberat-</t>
  </si>
  <si>
    <t>FLOATING SWITCH AIR 220
VAC</t>
  </si>
  <si>
    <t>PO No 24900298</t>
  </si>
  <si>
    <t>QUOTE ….</t>
  </si>
  <si>
    <t>SEAL RUBBER COVER
NIAGARA FILTER 
SIZE :  0,5' X 527 CM</t>
  </si>
  <si>
    <t>PO No 24900295</t>
  </si>
  <si>
    <t>PT.KJA</t>
  </si>
  <si>
    <t>JASA REMESHING FILTER LEAVE PLVD185</t>
  </si>
  <si>
    <t>PO No KJA24000135</t>
  </si>
  <si>
    <t xml:space="preserve">AIR ACCU / AIR AKI WARNA BIRU 
20 LITER / PAIL </t>
  </si>
  <si>
    <t>PO No 24900336</t>
  </si>
  <si>
    <t>SPIRAL WOUND GASKET 2 INCH PN 16</t>
  </si>
  <si>
    <t>PT. AGRO</t>
  </si>
  <si>
    <t>SPIRAL WOUND GASKET 1 INCH PN 16</t>
  </si>
  <si>
    <t>SPIRAL WOUND GASKET 3 INCH PN 16</t>
  </si>
  <si>
    <t>24/00317</t>
  </si>
  <si>
    <t>SPIRAL WOUND GASKET 2 1/2 INCH PN 16 IOR CS</t>
  </si>
  <si>
    <t>E/P POSITIONER YT - 1000,4 - 20mA DC</t>
  </si>
  <si>
    <t>24/00250</t>
  </si>
  <si>
    <t>ITEM NO 2 CANCELED</t>
  </si>
  <si>
    <t>LAMPU EXIT LED</t>
  </si>
  <si>
    <t>PO No 24/00290</t>
  </si>
  <si>
    <t xml:space="preserve">KUNCI BUSI MESIN POTONG RUMPUT 328 </t>
  </si>
  <si>
    <t>HANDLE GAS MESIN POTONG RUMPUT 328</t>
  </si>
  <si>
    <t>24/00308</t>
  </si>
  <si>
    <t>BAUT DUDUKAN TENGAH MESIN POTONG RUMPUT</t>
  </si>
  <si>
    <t>KEPALA BUSI MESIN POTONG RUMPUT 328</t>
  </si>
  <si>
    <t>GATE VALVE SS316 8" RISING STEM FL PN16</t>
  </si>
  <si>
    <t>24/00092</t>
  </si>
  <si>
    <t>WELDING SLEEVE, KW10-557</t>
  </si>
  <si>
    <t>WELDING GLOVE SMAW</t>
  </si>
  <si>
    <t>242/00353</t>
  </si>
  <si>
    <t>LAMPU EMERGENCY EXIT</t>
  </si>
  <si>
    <t>24/00328</t>
  </si>
  <si>
    <t>ROLL BESI 2 MTR</t>
  </si>
  <si>
    <t>PO No     : SKL/PO/NT/24/00317</t>
  </si>
  <si>
    <t>METERAN TANCAP 50M-50M STAINLESS STEEL</t>
  </si>
  <si>
    <t>1408000669-U BOLT 2IN SS304
(HS CODE : 73181590)</t>
  </si>
  <si>
    <t>PO No 4714042218</t>
  </si>
  <si>
    <t>able</t>
  </si>
  <si>
    <t>PIPE SOCKET DOUBLE DRAT LUAR GALVANIS 2"
2" X 10 CM (HS CODE : 79070040)</t>
  </si>
  <si>
    <t>PIPE SOCKET DOUBLE DRAT LUAR GALVANIS 1"
1" X 20 CM (HS CODE : 79070040)</t>
  </si>
  <si>
    <t>PIPE SOCKET DOUBLE DRAT LUAR GALVANIS 1/2"
2 1/2" X 15 CM (HS CODE:79070040)</t>
  </si>
  <si>
    <t>TEE SS304 SCH20 3" X 2" WELDED</t>
  </si>
  <si>
    <t>BALL VALVE SS 304 DIA. 3 " JIS 10K</t>
  </si>
  <si>
    <t>24/00247</t>
  </si>
  <si>
    <t>DIAPHRAGM PUMP (QBY3-15PPF46 
QBY - 1/2 INCH)</t>
  </si>
  <si>
    <t>SUBMERSIBLE PUMP HCP
DRAINASE A-05A-21-31-33-43</t>
  </si>
  <si>
    <t>24/00347</t>
  </si>
  <si>
    <t>PVC LAYFLAT DISCHARGE HOSE 2
INCH 30 METER PER ROLL, 2ROLLS</t>
  </si>
  <si>
    <t>BOLT &amp; NUT GI M16 x 80mm GALVANIZED
- (HS CODE: 73181590)</t>
  </si>
  <si>
    <t>24/00390</t>
  </si>
  <si>
    <t xml:space="preserve">CT (CURRENT TRANSFORMER)
METERING 250/5 A </t>
  </si>
  <si>
    <t>Future online medan</t>
  </si>
  <si>
    <t>harga sudah naik</t>
  </si>
  <si>
    <t>SARUNG TANGAN KOMBINASI "GOSAVE"
GOSAVE OLYMPUS</t>
  </si>
  <si>
    <t>24/00302</t>
  </si>
  <si>
    <t>PT. AGRO MURNI revisi</t>
  </si>
  <si>
    <t>BALL VALVE DN25 CARBON STEEL CONNECTION WELD</t>
  </si>
  <si>
    <t>PO 23901703</t>
  </si>
  <si>
    <t xml:space="preserve">BALL VALVE DN65 SS304 CONNECTION WELD </t>
  </si>
  <si>
    <t xml:space="preserve">BALL VALVE THREE PIECE BODY DN15 SS316 CONNECTION THREAD </t>
  </si>
  <si>
    <t>NO 1 DAN 4 BASE ON PO CANCEL</t>
  </si>
  <si>
    <t>BALL VALVE THREE PIECE BODY DN15 SS316 SEAT PTFE CONNECTION WELDED</t>
  </si>
  <si>
    <t xml:space="preserve">BUTTERFLY VALVE DN100 </t>
  </si>
  <si>
    <t>DISC CHECK VALVE DN65 SS304 PN16</t>
  </si>
  <si>
    <t>CONCENTRIC REDUCER 100 X 80 GALVANISE IRON SCH10</t>
  </si>
  <si>
    <t>CONCENTRIC REDUCER 125 X 200 GALVANISE IRON SCH10</t>
  </si>
  <si>
    <t>CONCENTRIC REDUCER 125 X 65 GALVANISE IRON SCH10</t>
  </si>
  <si>
    <t>CONCENTRIC REDUCER 65 X 32 SS304 SCH10</t>
  </si>
  <si>
    <t>PACKING SWG 1/2"</t>
  </si>
  <si>
    <t>PO No:24/00307</t>
  </si>
  <si>
    <t>PANCA MITRA TEKNIK</t>
  </si>
  <si>
    <t>0812 8036 798
ATAU
0821 1008 2083</t>
  </si>
  <si>
    <t>PACKING SWG 1"</t>
  </si>
  <si>
    <t>4 APRIL 2024</t>
  </si>
  <si>
    <t>PACKING SWG 1 1/2"</t>
  </si>
  <si>
    <t>PACKING SWG 2"</t>
  </si>
  <si>
    <t>PACKING SWG 3"</t>
  </si>
  <si>
    <t>PACKING SWG 4"</t>
  </si>
  <si>
    <t>23 MARET 2024</t>
  </si>
  <si>
    <t>PO 24 APRIL 24</t>
  </si>
  <si>
    <t>PO No     : 001/SATU/PO/IV/2024</t>
  </si>
  <si>
    <t xml:space="preserve">DO No   : </t>
  </si>
  <si>
    <t>Date       :</t>
  </si>
  <si>
    <t>PO No    :</t>
  </si>
  <si>
    <t>DELIVERY ORDER</t>
  </si>
  <si>
    <t>KIP/PO/NT/24/00363</t>
  </si>
  <si>
    <t>KIP/PO/NT/24/00475</t>
  </si>
  <si>
    <t>KIP/PO/NT/24/00446</t>
  </si>
  <si>
    <t>tanpa shimzu</t>
  </si>
  <si>
    <t>shimzu saja</t>
  </si>
  <si>
    <t>n6 07</t>
  </si>
  <si>
    <t>ITEM N6 BAED ON PO 24/00572</t>
  </si>
  <si>
    <t>SKL/PO/NT/24/00365</t>
  </si>
  <si>
    <t>SKL/PO/NT/24/00401</t>
  </si>
  <si>
    <t>N1-3, 15-21</t>
  </si>
  <si>
    <t>N1 07</t>
  </si>
  <si>
    <t>N3 07</t>
  </si>
  <si>
    <t>REDUCER SS316 SCH10 ECC 4" X 2 
-1/2" - (HS CODE : 73071900)</t>
  </si>
  <si>
    <t>PT. RAILINK CABANG MEDAN</t>
  </si>
  <si>
    <t>JL. JAWA NO.11</t>
  </si>
  <si>
    <t>552/IW-PO/VI/2024</t>
  </si>
  <si>
    <t xml:space="preserve"> DO 896 (PO  ) .xlsm</t>
  </si>
  <si>
    <t>529/IW-PO/VI/2024</t>
  </si>
  <si>
    <t xml:space="preserve"> DO 897 (PO  ) .xlsm</t>
  </si>
  <si>
    <t>PT. PPI DO 898 (PO  4714042954) .xlsm</t>
  </si>
  <si>
    <t>PT. ABLE DO 899 (PO  24900689) .xlsm</t>
  </si>
  <si>
    <t>KIP/PO/NT/24/00514</t>
  </si>
  <si>
    <t>ITEM SUDAH DIKIRIM TGL 21 JUNI 2024</t>
  </si>
  <si>
    <t>PT. KIP DO 900 (PO  24 00514) .xlsm</t>
  </si>
  <si>
    <t>ITEM N1,3,4 BASED ON PO 24/00683</t>
  </si>
  <si>
    <t>..\PT. Agro Murni\DO INV\PT. AGRO M DO 895 (PO 24 00683) 07.xlsm</t>
  </si>
  <si>
    <t>ITEM NO22 BASED ON PO 24/00546
REV1: NO DO</t>
  </si>
  <si>
    <t xml:space="preserve">REV 1 </t>
  </si>
  <si>
    <t>PT. AGRO M DO 901 (PO  24 00546) REV 1 .xlsm</t>
  </si>
  <si>
    <t>U CHANNEL MS 4" X 2" X 5MM THK. 
X 6M - (HS CODE : 73181590)</t>
  </si>
  <si>
    <t>PT. AGRO M DO 902 (PO  24 00683) .xlsm</t>
  </si>
  <si>
    <t>COPPER TUBING 3/8" x 1.2MM x
15M - (HS CODE : 82055900)</t>
  </si>
  <si>
    <t>PT. AGRO M DO 903 (PO  24 00614) .xlsm</t>
  </si>
  <si>
    <t>ITEM N3 BASED ON PO 24/614 (160 ROLL)
SISA 125 ROLL</t>
  </si>
  <si>
    <t>ITEM N2,5 BASED ON PO 24/00683</t>
  </si>
  <si>
    <t>PRECUT GASKET 2" 
KLINGERSIL C4400 - (HS CODE : 68129940)</t>
  </si>
  <si>
    <t>ITEM N3 BASED ON PO 24/00577</t>
  </si>
  <si>
    <t>PT. AGRO M DO 904 (PO  24 00577) .xlsm</t>
  </si>
  <si>
    <t>1 BOX/KARDUS</t>
  </si>
  <si>
    <t xml:space="preserve">12 NONE
</t>
  </si>
  <si>
    <t xml:space="preserve">13
</t>
  </si>
  <si>
    <t>DELIVERY BY ENRPI &amp; EKSPEDISI</t>
  </si>
  <si>
    <t>PT. KIP DO 905 (PO  0) .xlsm</t>
  </si>
  <si>
    <t xml:space="preserve"> DO 906 (PO  ) .xlsm</t>
  </si>
  <si>
    <t>ITEM N3 BASED ON PO 24/614 (160 ROLL) 
complete</t>
  </si>
  <si>
    <t>PT. AGRO M DO 907 (PO  24 00614) .xlsm</t>
  </si>
  <si>
    <t>13 KOLI/GONI/PACK</t>
  </si>
  <si>
    <t>ITEM N18 BASED ON PO 24/00546
COMPLETE (KEMARIN KURANG 1)</t>
  </si>
  <si>
    <t>PT. AGRO M DO 908 (PO  24 00546) .xlsm</t>
  </si>
  <si>
    <t>KIP/PO/NT/24/00496</t>
  </si>
  <si>
    <t>PT. KIP DO 909 (PO  24 00496) .xlsm</t>
  </si>
  <si>
    <t>KIP/PO/NT/24/00522</t>
  </si>
  <si>
    <t>PT. KIP DO 910 (PO  24 00522) .xlsm</t>
  </si>
  <si>
    <t>SKL/PO/NT/24/00563</t>
  </si>
  <si>
    <t>PT. SKL DO 911 (PO  24 00563) .xlsm</t>
  </si>
  <si>
    <t>BASED ON REVISED PO</t>
  </si>
  <si>
    <t>PT. ABLE DO 912 (PO  24900303) .xlsm</t>
  </si>
  <si>
    <t>SKL/PO/NT/24/00606</t>
  </si>
  <si>
    <t>PT. SKL DO 913 (PO  24 00606) .xlsm</t>
  </si>
  <si>
    <t>SKL/PO/NT/24/00595</t>
  </si>
  <si>
    <t>PT. SKL DO 914 (PO  24 00595) .xlsm</t>
  </si>
  <si>
    <t>PTAM/PO/NT/24/00690</t>
  </si>
  <si>
    <t>SWING CHECK VALVE SS316 4" 
PN16 - (HS CODE : 84813090)</t>
  </si>
  <si>
    <t>PT. AGRO M DO 915 (PO  24 00690) .xlsm</t>
  </si>
  <si>
    <t>GLASS MEASURING CYLINDER 1000ML BOMEX - (HS CODE : 70179000)</t>
  </si>
  <si>
    <t>ITEM N3 BASED ON PO 24/00572 (TOTAL 5PCS) - LAST DO 3PCS 
COMPLETE</t>
  </si>
  <si>
    <t>PT. AGRO M DO 916 (PO  24 00572) .xlsm</t>
  </si>
  <si>
    <t>ITEM N1 BASED ON PO 24/00572 (Pengiriman ulang &amp; retur)
Refer to DO 867 (Salah kirim : terkirim yang kaca)</t>
  </si>
  <si>
    <t>PT. AGRO M DO 917 (PO  24 00572) .xlsm</t>
  </si>
  <si>
    <t>XX</t>
  </si>
  <si>
    <t>PT. ABLE DO 918 (PO  24900693) .xlsm</t>
  </si>
  <si>
    <t>PT. ABLE DO 919 (PO  24900697) .xlsm</t>
  </si>
  <si>
    <t>PT. ABLE DO 920 (PO  24900690) .xlsm</t>
  </si>
  <si>
    <t>Item Omron partial</t>
  </si>
  <si>
    <t>n2 01</t>
  </si>
  <si>
    <t>n1 01</t>
  </si>
  <si>
    <t>complete</t>
  </si>
  <si>
    <t>PT. ABLE DO 921 (PO  24900690) n1 01.xlsm</t>
  </si>
  <si>
    <t>SKL/PO/NT/24/00625</t>
  </si>
  <si>
    <t>PT. SKL DO 922 (PO  24 00625) .xlsm</t>
  </si>
  <si>
    <t>SKL/PO/NT/24/00528</t>
  </si>
  <si>
    <t>PT. SKL DO 923 (PO  24 00528) .xlsm</t>
  </si>
  <si>
    <t>SKL/PO/NT/24/00643</t>
  </si>
  <si>
    <t>PT. SKL DO 924 (PO  24 00643) .xlsm</t>
  </si>
  <si>
    <t xml:space="preserve"> DO 925 (PO  ) .xlsm</t>
  </si>
  <si>
    <t xml:space="preserve"> SKL/PO/NT/24/00644</t>
  </si>
  <si>
    <t>PT. SKL DO 926 (PO  24 00644) .xlsm</t>
  </si>
  <si>
    <t>PT. PPI DO 927 (PO  4714043184) .xlsm</t>
  </si>
  <si>
    <t>PT. ABLE DO 928 (PO  24900727) .xlsm</t>
  </si>
  <si>
    <t>01</t>
  </si>
  <si>
    <t>PT. PPI DO 929 (PO  4714043236) 01.xlsm</t>
  </si>
  <si>
    <t>ITEM N2 BASED ON PO 4714043221</t>
  </si>
  <si>
    <t>PT. PPI DO 930 (PO  4714043221) 01.xlsm</t>
  </si>
  <si>
    <t>ITEM N1,2 BASED ON PO 4714043221</t>
  </si>
  <si>
    <t>PT. PPI DO 931 (PO  4714043221) 01.xlsm</t>
  </si>
  <si>
    <t>PT. Sumber Jaya Industri Oleo</t>
  </si>
  <si>
    <t>SJIO/REF/PO/2407/256</t>
  </si>
  <si>
    <t>Kawasan Industri Dumai Jalan Pulau Bintan, 0, 0, Pelintung</t>
  </si>
  <si>
    <t>PT. SJIO DO 933 (PO  256) 01.xlsm</t>
  </si>
  <si>
    <t>PT. KREASIJAYA ADHIKARYA</t>
  </si>
  <si>
    <t>KJA24000403</t>
  </si>
  <si>
    <t>Jl. Komp. Pelindo I, Datuk Laksamana,Buluh Kasap</t>
  </si>
  <si>
    <t>DUMAI TIMUR</t>
  </si>
  <si>
    <t>07</t>
  </si>
  <si>
    <t>PT. KJA DO 934 (PO  24000403) 07.xlsm</t>
  </si>
  <si>
    <t>PT. PPI DO 935 (PO  4714043225) 01.xlsm</t>
  </si>
  <si>
    <t>Sisa 1 item</t>
  </si>
  <si>
    <t>PT. PPI DO 936 (PO  4714043340) 07.xlsm</t>
  </si>
  <si>
    <t>PT. STEELLINDO WAHANA PERKASA</t>
  </si>
  <si>
    <t>Desa Senyubuk, Kec. Kelapa Kampit</t>
  </si>
  <si>
    <t>Kab. Belitung Timur 33572, Provinsi Bangka Belitung</t>
  </si>
  <si>
    <t>PT. SWP DO 937 (PO  4000237275) 07.xlsm</t>
  </si>
  <si>
    <t>PT. PPI DO 938 (PO  4714043225) 01.xlsm</t>
  </si>
  <si>
    <t>REV NO DO 896 KE 939</t>
  </si>
  <si>
    <t>RL/MC/SPK/21/VII/2024</t>
  </si>
  <si>
    <t xml:space="preserve"> DO 939 (PO  ) 01.xlsm</t>
  </si>
  <si>
    <t>PT. PPI DO 940 (PO  4714043369) 07.xlsm</t>
  </si>
  <si>
    <t>PT. PPI DO 941 (PO  4714043340) 07.xlsm</t>
  </si>
  <si>
    <t>PTAM/PO/NT/24/00639</t>
  </si>
  <si>
    <t>PT. AGRO M DO 942 (PO  24 00639) .xlsm</t>
  </si>
  <si>
    <t>PT. SWP DO 943 (PO  4000235459) .xlsm</t>
  </si>
  <si>
    <t>PT. PPI DO 944 (PO  4714043436) 01.xlsm</t>
  </si>
  <si>
    <t>PT. PPI DO 945 (PO  4714043520) 07.xlsm</t>
  </si>
  <si>
    <t>PULLEY</t>
  </si>
  <si>
    <t>..\PT. RAILINK CABANG MEDAN\DO INV\PT. RAILINK CABANG MEDAN DO 946 (PO  ) .xlsm</t>
  </si>
  <si>
    <t>2DRUM</t>
  </si>
  <si>
    <t>PAS EDDRICK GK ADA DIKANTOR</t>
  </si>
  <si>
    <t>PT. PPI DO 948 (PO  4714043501) 01.xlsm</t>
  </si>
  <si>
    <t>PT. PPI DO 949 (PO  4714043584) 01.xlsm</t>
  </si>
  <si>
    <t>PT. PPI DO 950 (PO  4714043586) 01.xlsm</t>
  </si>
  <si>
    <t>PT. PPI DO 951 (PO  4714043586) 01.xlsm</t>
  </si>
  <si>
    <t>PT. PPI DO 952 (PO  4714043657) 01.xlsm</t>
  </si>
  <si>
    <t>PT. PPI DO 953 (PO  4714043612) 01.xlsm</t>
  </si>
  <si>
    <t>PT. PPI DO 954 (PO  4714043636) 07.xlsm</t>
  </si>
  <si>
    <t>SJIO/REF/PO/2408/269</t>
  </si>
  <si>
    <t>PT. SJIO DO 955 (PO  269) 07.xlsm</t>
  </si>
  <si>
    <t>PT. RAILINK CABANG MEDAN DO 956 (PO   ) .xlsm</t>
  </si>
  <si>
    <t>PT. SWP DO 957 (PO  4000242869) 07.xlsm</t>
  </si>
  <si>
    <t>PT. PPI DO 958 (PO  4714043691) 07.xlsm</t>
  </si>
  <si>
    <t>PT. PPI DO 959 (PO  4714043733) 01.xlsm</t>
  </si>
  <si>
    <t>01, REV1: Delivery Date</t>
  </si>
  <si>
    <t>PT. PPI DO 952 (PO  4714043657) REV 1 01.xlsm</t>
  </si>
  <si>
    <t>PT. PPI DO 960 (PO  4714043798) 01.xlsm</t>
  </si>
  <si>
    <t>PT. SWP DO 961 (PO  4000241631) 07.xlsm</t>
  </si>
  <si>
    <t>axle box</t>
  </si>
  <si>
    <t>PT. PPI DO 962 (PO  4714043838) 01.xlsm</t>
  </si>
  <si>
    <t>PT. RAILINK CABANG MEDAN DO 963 (PO   ) .xlsm</t>
  </si>
  <si>
    <t xml:space="preserve"> PTAM/PO/NT/24/00503</t>
  </si>
  <si>
    <t>COMPLETE, DO untuk penambahan 1 PCS</t>
  </si>
  <si>
    <t>PT. AGRO M DO 964 (PO  24 00503) .xlsm</t>
  </si>
  <si>
    <t>PT. SWP DO 965 (PO  4000244354) 01.xlsm</t>
  </si>
  <si>
    <t>PT. PPI DO 966 (PO  4714043908) 01.xlsm</t>
  </si>
  <si>
    <t>SJIO/REF/PO2409/316</t>
  </si>
  <si>
    <t>PT. SJIO DO 967 (PO  316) 01.xlsm</t>
  </si>
  <si>
    <t>SJIO/PROJ/PO2410/056</t>
  </si>
  <si>
    <t>PT. SJIO DO 968 (PO  056) 01.xlsm</t>
  </si>
  <si>
    <t xml:space="preserve"> RL/MC/SPK/45/IX/2024</t>
  </si>
  <si>
    <t>PENGAMAN PIPA</t>
  </si>
  <si>
    <t>RL/MC/SPK/39/IX/2024</t>
  </si>
  <si>
    <t>09 Oktober 2024</t>
  </si>
  <si>
    <t>SJIO/TANK/PO2409/041</t>
  </si>
  <si>
    <t>40 IX 2024 - LANTAI LIFTING JACK DAN PENGECETAN SPOOR KOLONG</t>
  </si>
  <si>
    <t>RL/MC/SPK/40/IX/2024</t>
  </si>
  <si>
    <t>PT. RAILINK CABANG MEDAN DO 971 (PO  0) 40 IX 2024 - LANTAI LIFTING JACK DAN PENGECETAN SPOOR KOLONG.xlsm</t>
  </si>
  <si>
    <t>RL/MC/SPK/44/IX/2024</t>
  </si>
  <si>
    <t>44 IX 2024 - PEKERJAAN PEMINDAHAN PINTU GERBANG DAN PEMBUATAN JALAN</t>
  </si>
  <si>
    <t>PT. RAILINK CABANG MEDAN DO 972 (PO  0) 44 IX 2024 - PEKERJAAN PEMINDAHAN PINTU GERBANG DAN PEMBUATAN JALAN.xlsm</t>
  </si>
  <si>
    <t>PT. SJIO DO 973 (PO   ) .xlsm</t>
  </si>
  <si>
    <t xml:space="preserve"> SJIO/PROJ/PO2410/068</t>
  </si>
  <si>
    <t>PT. SJIO DO 974 (PO  068) .xlsm</t>
  </si>
  <si>
    <t>ITEM N1</t>
  </si>
  <si>
    <t>Medang Kampai, Kota Dumai, Riau 28853</t>
  </si>
  <si>
    <t>PT. SJIO DO 975 (PO  068) .xlsm</t>
  </si>
  <si>
    <t xml:space="preserve"> SJIO/PROJ/PO2410/332</t>
  </si>
  <si>
    <t>PT. SJIO DO 969 (PO  332) .xlsm</t>
  </si>
  <si>
    <t>SJIO/UTL/PO2410/033</t>
  </si>
  <si>
    <t>PT. SJIO DO 976 (PO  033) .xlsm</t>
  </si>
  <si>
    <t>N1,4,5</t>
  </si>
  <si>
    <t>PT. SJIO DO 977 (PO  033) N1,4,5.xlsm</t>
  </si>
  <si>
    <t>PT. RAILINK CABANG MEDAN DO 978 (PO   ) .xlsm</t>
  </si>
  <si>
    <t>PT. PPI DO 979 (PO  4714044156) 01.xlsm</t>
  </si>
  <si>
    <t>PENGIRIMAN KE PPI  -BELAWAN-</t>
  </si>
  <si>
    <t>PT. SJIO DO 980 (PO  033) 01.xlsm</t>
  </si>
  <si>
    <t>SJIO/PROJ/PO2410/068</t>
  </si>
  <si>
    <t>PT. SJIO DO 981 (PO  068) 01.xlsm</t>
  </si>
  <si>
    <t>865/IW-PO/IX/2024 REV</t>
  </si>
  <si>
    <t xml:space="preserve"> DO 982 (PO  ) 07.xlsm</t>
  </si>
  <si>
    <t>PT. PPI DO 983 (PO  4714044137) 01.xlsm</t>
  </si>
  <si>
    <t>SJIO/PROJ/PO2410/074</t>
  </si>
  <si>
    <t>N1,5,8</t>
  </si>
  <si>
    <t>PT. SJIO DO 984 (PO  074) 01.xlsm</t>
  </si>
  <si>
    <t>N4</t>
  </si>
  <si>
    <t>PT. SJIO DO 985 (PO  074) 01.xlsm</t>
  </si>
  <si>
    <t>PT. MEDAN SUGAR INDUSTRY</t>
  </si>
  <si>
    <t>Jl. Pulau Tanah Masa KIM Tahap II</t>
  </si>
  <si>
    <t>Saentis – Percut Sei Tuan, Deli Serdang, Sumatera Utara  20371</t>
  </si>
  <si>
    <t>SAMPLE!</t>
  </si>
  <si>
    <t>SAMPLE</t>
  </si>
  <si>
    <t xml:space="preserve"> DO 986 (PO  ) SAMPLE.xlsm</t>
  </si>
  <si>
    <t xml:space="preserve"> SJIO/UTL/PO2410/033</t>
  </si>
  <si>
    <t>N1 (KEKURANGAN 2 LEMBAR), N3</t>
  </si>
  <si>
    <t>PT. SJIO DO 987 (PO  033) .xlsm</t>
  </si>
  <si>
    <t>SEMENTARA</t>
  </si>
  <si>
    <t>PT. SJIO DO 988 (PO  033) SEMENTARA.xlsm</t>
  </si>
  <si>
    <t>PT. SJIO DO 989 (PO  074) .xlsm</t>
  </si>
  <si>
    <t>N4,5</t>
  </si>
  <si>
    <t>PT. SJIO DO 989 (PO  074) REV 1 .xlsm</t>
  </si>
  <si>
    <t>N6</t>
  </si>
  <si>
    <t>N6 01</t>
  </si>
  <si>
    <t>PT. SJIO DO 990 (PO  074) REV 1 N6 01.xlsm</t>
  </si>
  <si>
    <t>quote : N2 : Schneider</t>
  </si>
  <si>
    <t>PT. PPI DO 991 (PO  4714044234) 01.xlsm</t>
  </si>
  <si>
    <t>PT. SJIO DO 992 (PO  074) 01.xlsm</t>
  </si>
  <si>
    <t>PT. PPI DO 993 (PO  4714044309) 01.xlsm</t>
  </si>
  <si>
    <t>PT. INTAN SEJATI ANDALAN</t>
  </si>
  <si>
    <t>DURI</t>
  </si>
  <si>
    <t>PEKAN BARU</t>
  </si>
  <si>
    <t xml:space="preserve"> DO 994 (PO  ) 01.xlsm</t>
  </si>
  <si>
    <t xml:space="preserve"> SJIO/PROJ/PO2410/074</t>
  </si>
  <si>
    <t>PT. SJIO DO 995 (PO  074) 01.xlsm</t>
  </si>
  <si>
    <t>SJIO/UTL/PO2411/043</t>
  </si>
  <si>
    <t>N1,3-9</t>
  </si>
  <si>
    <t>PT. SJIO DO 1000 (PO  043) 01.xlsm</t>
  </si>
  <si>
    <t>PTAM/PO/NT/24/00635</t>
  </si>
  <si>
    <t>PT. AGRO M DO 1001 (PO  24 00635) 01.xlsm</t>
  </si>
  <si>
    <t>PT. PPI DO 1002 (PO  4714044356) 01.xlsm</t>
  </si>
  <si>
    <t>PT. PPI DO 1003 (PO  4714044342) 01.xlsm</t>
  </si>
  <si>
    <t>001/SATU/PO/X/2024</t>
  </si>
  <si>
    <t>PT. SATU DO 1004 (PO 24 001) 01.xlsm</t>
  </si>
  <si>
    <t>SJIO/PROJ/PO2411/082</t>
  </si>
  <si>
    <t>PT. SJIO DO 1005 (PO  082) 01.xlsm</t>
  </si>
  <si>
    <t>SKL/PO/NT/24/00991</t>
  </si>
  <si>
    <t>PT. SKL DO 1006 (PO  24 00991) 01.xlsm</t>
  </si>
  <si>
    <t>01 - N2-5</t>
  </si>
  <si>
    <t>PT. SJIO DO 1007 (PO  082) 01.xlsm</t>
  </si>
  <si>
    <t>01 - N2</t>
  </si>
  <si>
    <t>PT. SJIO DO 1008 (PO  043) 01.xlsm</t>
  </si>
  <si>
    <t>01 - N2,3,5-12</t>
  </si>
  <si>
    <t>SJIO/UTL/PO2411/053</t>
  </si>
  <si>
    <t>PT. SJIO DO 1009 (PO  053) 01.xlsm</t>
  </si>
  <si>
    <t>SJIO/UTL/PO2411/050</t>
  </si>
  <si>
    <t>PT. SJIO DO 1010 (PO  050) 01.xlsm</t>
  </si>
  <si>
    <t>SKL/PO/NT/24/01017</t>
  </si>
  <si>
    <t>PT. SKL DO 1011 (PO  24 01017) 01.xlsm</t>
  </si>
  <si>
    <t>sementara</t>
  </si>
  <si>
    <t>PT. SJIO DO 1012 (PO   ) sementara.xlsm</t>
  </si>
  <si>
    <t>PT. SJIO DO 1012 (PO   ) REV 1 sementara.xlsm</t>
  </si>
  <si>
    <t>01 - (Pipe 3/4IN UPVC, Socket 3/4IN UPVC : CANCEL) - refer to quote 1579/API/11/MDN/2024</t>
  </si>
  <si>
    <t>N1,4</t>
  </si>
  <si>
    <t>PT. SJIO DO 1013 (PO  053) N1,4.xlsm</t>
  </si>
  <si>
    <t>N1-4,7,8</t>
  </si>
  <si>
    <t>PT. PPI DO 1014 (PO  4714044501) N1-4,7,8.xlsm</t>
  </si>
  <si>
    <t>N1-4,8, rev1 : item no.7 cancel (tidak cocok dengan socket)</t>
  </si>
  <si>
    <t>PT. PPI DO 1014 (PO  4714044501) REV 1 N1-4,7,8.xlsm</t>
  </si>
  <si>
    <t>PT. PPI DO 1015 (PO  4714044501) 01.xlsm</t>
  </si>
  <si>
    <t>SJIO/PROJ/PO2411/087</t>
  </si>
  <si>
    <t>01 N2</t>
  </si>
  <si>
    <t>PT. SJIO DO 1016 (PO  087) 01 N2.xlsm</t>
  </si>
  <si>
    <t>SJIO/REF/PO2411/368</t>
  </si>
  <si>
    <t>01 - N1</t>
  </si>
  <si>
    <t>01 N1</t>
  </si>
  <si>
    <t>PT. SJIO DO 1017 (PO  368) 01 N1.xlsm</t>
  </si>
  <si>
    <t>PT. SJIO DO 1018 (PO  368) 01 N1.xlsm</t>
  </si>
  <si>
    <t>PT. SJIO DO 1018 (PO  368) 01 N2.xlsm</t>
  </si>
  <si>
    <t>PT. PPI DO 1019 (PO  4714044571) 01.xlsm</t>
  </si>
  <si>
    <t>SKL/PO/NT/24/01033</t>
  </si>
  <si>
    <t>PT. SKL DO 1020 (PO  24 01033) 01.xlsm</t>
  </si>
  <si>
    <t>01 N1-3</t>
  </si>
  <si>
    <t>01 - N1-3 - URGENT</t>
  </si>
  <si>
    <t>PT. PPI DO 1021 (PO  4714044531) 01 N1-3.xlsm</t>
  </si>
  <si>
    <t>01 - N4 - URGENT</t>
  </si>
  <si>
    <t>01 N4</t>
  </si>
  <si>
    <t>PT. PPI DO 1022 (PO  4714044531) 01 N4.xlsm</t>
  </si>
  <si>
    <t>PT. AGRO M DO 1023 (PO  24 00635) 07.xlsm</t>
  </si>
  <si>
    <t>SKL/PO/NT/24/01036</t>
  </si>
  <si>
    <t>PT. SKL DO 1024 (PO  24 01036) 01.xlsm</t>
  </si>
  <si>
    <t>SKL/PO/NT/24/01050</t>
  </si>
  <si>
    <t>PT. SKL DO 1025 (PO  24 01050) 01.xlsm</t>
  </si>
  <si>
    <t>SKL/PO/NT/24/01048</t>
  </si>
  <si>
    <t>PT. SKL DO 1026 (PO  24 01048) 01.xlsm</t>
  </si>
  <si>
    <t>SKL/PO/NT/24/01044</t>
  </si>
  <si>
    <t>PT. SKL DO 1027 (PO  24 01044) 01.xlsm</t>
  </si>
  <si>
    <t>SJIO/REF/PO2411/372</t>
  </si>
  <si>
    <t>PT. SJIO DO 1028 (PO  372) 01.xlsm</t>
  </si>
  <si>
    <t>01 - URGENT</t>
  </si>
  <si>
    <t>PT. PPI DO 1029 (PO  4714044631) 01.xlsm</t>
  </si>
  <si>
    <t>PT. RAILINK</t>
  </si>
  <si>
    <t>SKL/PO/NT/24/01031</t>
  </si>
  <si>
    <t>PT. SKL DO 1030 (PO  24 01031) 01.xlsm</t>
  </si>
  <si>
    <t>RL/MC/SPK/64/XII/2024</t>
  </si>
  <si>
    <t>EXCLUDE PPN</t>
  </si>
  <si>
    <t xml:space="preserve"> DO 1031 (PO  ) EXCLUDE PPN.xlsm</t>
  </si>
  <si>
    <t/>
  </si>
  <si>
    <t>Partial 1 pcs (total : 2 pcs)</t>
  </si>
  <si>
    <t>1069/IW-PO/XII/2024</t>
  </si>
  <si>
    <t xml:space="preserve"> DO 1032 (PO  ) .xlsm</t>
  </si>
  <si>
    <t xml:space="preserve"> DO 1033 (PO  ) .xlsm</t>
  </si>
  <si>
    <t>PT. PPI DO 1034 (PO  4714044565) 01.xlsm</t>
  </si>
  <si>
    <t>PT. PPI DO 1035 (PO  4714044652) 01.xlsm</t>
  </si>
  <si>
    <t xml:space="preserve">01 - ITEM SESUAI DENGAN YANG DIKONFIRM </t>
  </si>
  <si>
    <t>PT. PPI DO 1036 (PO  4714044646) 01.xlsm</t>
  </si>
  <si>
    <t>SKL/PO/NT/24/01058</t>
  </si>
  <si>
    <t>PT. SKL DO 1037 (PO  24 01058) 01.xlsm</t>
  </si>
  <si>
    <t>07 - (complete)</t>
  </si>
  <si>
    <t xml:space="preserve"> DO 1038 (PO  ) 07.xlsm</t>
  </si>
  <si>
    <t>PT. PPI DO 1039 (PO  4714044614) 01.xlsm</t>
  </si>
  <si>
    <t>01 - PARTIAL - (item n2)</t>
  </si>
  <si>
    <t>PT. PPI DO 1040 (PO  4714044625) 01.xlsm</t>
  </si>
  <si>
    <t>PT. PPI DO 1040 (PO  4714044625) 01 N2.xlsm</t>
  </si>
  <si>
    <t>01 - PARTIAL - (item n4,6)</t>
  </si>
  <si>
    <t>01 N4,6</t>
  </si>
  <si>
    <t>PT. PPI DO 1041 (PO  4714044612) 01 N4,6.xlsm</t>
  </si>
  <si>
    <t>CV. REJEKI BERSAMA</t>
  </si>
  <si>
    <t>MEDAN</t>
  </si>
  <si>
    <t>SUM-UT</t>
  </si>
  <si>
    <t xml:space="preserve"> DO 1042 (PO  ) 01.xlsm</t>
  </si>
  <si>
    <t>07 N1</t>
  </si>
  <si>
    <t>07 - N1</t>
  </si>
  <si>
    <t>PTAM/PO/NT/24/00510</t>
  </si>
  <si>
    <t>PT. AGRO M DO 1043 (PO  24 00510) 07 N1.xlsm</t>
  </si>
  <si>
    <t>SKL/PO/NT/24/01074</t>
  </si>
  <si>
    <t>PT. SKL DO 1044 (PO  24 01074) 01.xlsm</t>
  </si>
  <si>
    <t>SJIO/REF/PO2412/385</t>
  </si>
  <si>
    <t>PT. SJIO DO 1045 (PO  385) 01.xlsm</t>
  </si>
  <si>
    <t>PTAM/PO/NT/24/00661</t>
  </si>
  <si>
    <t>07 - N2,3</t>
  </si>
  <si>
    <t>PT. PPI DO 1046 (PO  4714044695) 07.xlsm</t>
  </si>
  <si>
    <t>PT. PPI DO 1047 (PO  4714044625) 07.xlsm</t>
  </si>
  <si>
    <t>01 - N1,3,4</t>
  </si>
  <si>
    <t>01 N1,3,4</t>
  </si>
  <si>
    <t>PT. PPI DO 1048 (PO  4714044692) 01 N1,3,4.xlsm</t>
  </si>
  <si>
    <t>01 - N1-3</t>
  </si>
  <si>
    <t>PT. PPI DO 1049 (PO  4714044612) 01 N1-3.xlsm</t>
  </si>
  <si>
    <t>07 N2,3</t>
  </si>
  <si>
    <t>PT. AGRO M DO 1050 (PO  24 00661) 07 N2,3.xlsm</t>
  </si>
  <si>
    <t>PT. AGRO M DO 1051 (PO  24 00510) 07.xlsm</t>
  </si>
  <si>
    <t>01 - N2 (COMPLETE)</t>
  </si>
  <si>
    <t>PT. PPI DO 1052 (PO  4714044692) 01 N2.xlsm</t>
  </si>
  <si>
    <t>SJIO/REF/PO2412/394</t>
  </si>
  <si>
    <t>PT. SJIO DO 1053 (PO  394) 01.xlsm</t>
  </si>
  <si>
    <t>SJIO/REF/PO2412/382</t>
  </si>
  <si>
    <t>PT. SJIO DO 1054 (PO  382) 01.xlsm</t>
  </si>
  <si>
    <t>SJIO/UTL/PO2412/064</t>
  </si>
  <si>
    <t>PT. SJIO DO 1055 (PO  064) 01.xlsm</t>
  </si>
  <si>
    <t>SJIO/PROJ/PO2412/090</t>
  </si>
  <si>
    <t>PT. SJIO DO 1056 (PO  090) 01.xlsm</t>
  </si>
  <si>
    <t>PT. PPI DO 1057 (PO  4714044767) 07.xlsm</t>
  </si>
  <si>
    <t>PT. ABLE DO 1058 (PO  25900020) 07.xlsm</t>
  </si>
  <si>
    <t>07 - PARTIAL - N1-3</t>
  </si>
  <si>
    <t>PTAM/PO/NT/24/01359</t>
  </si>
  <si>
    <t>07 N1-3</t>
  </si>
  <si>
    <t>PT. AGRO M DO 1059 (PO  24 01359) 07 N1-3.xlsm</t>
  </si>
  <si>
    <t>PTAM/PO/NT/24/01380</t>
  </si>
  <si>
    <t>PT. AGRO M DO 1060 (PO  24 01380) 01.xlsm</t>
  </si>
  <si>
    <t>PTAM/PO/NT/24/01378</t>
  </si>
  <si>
    <t>07 - PARTIAL - N1,3,5,7,9</t>
  </si>
  <si>
    <t>07 N1,3,5,7,9</t>
  </si>
  <si>
    <t>PT. AGRO M DO 1061 (PO  24 01378) 07 N1,3,5,7,9.xlsm</t>
  </si>
  <si>
    <t>PT. ABLE DO 1062 (PO  25900026) 07.xlsm</t>
  </si>
  <si>
    <t>SJIO/BOILER/PO2501/009</t>
  </si>
  <si>
    <t>PT. SJIO DO 1063 (PO  009) 01.xlsm</t>
  </si>
  <si>
    <t>SJIO/UTL/PO2501/002</t>
  </si>
  <si>
    <t>FLANGE MS PN16 4" SORF - (HS CODE : 73079190)</t>
  </si>
  <si>
    <t>REDUCER MS SGP B ECC 6" X 5" - (HS CODE : 73071900)</t>
  </si>
  <si>
    <t>ECC REDUCER MS SGP 4" X 5" - (HS CODE : 73071900)</t>
  </si>
  <si>
    <t>SLIP ON FLANGE MS 5" PN16 SORF - (HS CODE : 73079190)</t>
  </si>
  <si>
    <t>REDUCER MS SGP B ECC 6" X 4" - (HS CODE : 73071900)</t>
  </si>
  <si>
    <t>PIPE GALVANIZED JIS G 3452 SGP 1 1/2" X 6 MTR - (HS CODE : 73069099)</t>
  </si>
  <si>
    <t>PT. SJIO DO 1064 (PO  002) 01.xlsm</t>
  </si>
  <si>
    <t>07 - PARTIAL - N2,4,6,8,10,11 (COMPLETE)</t>
  </si>
  <si>
    <t>07 N2,4,6,8,10,11</t>
  </si>
  <si>
    <t>TOTAL</t>
  </si>
  <si>
    <t>1102/IW-PO/XII/2024</t>
  </si>
  <si>
    <t xml:space="preserve"> DO 1066 (PO  ) 07.xlsm</t>
  </si>
  <si>
    <t>PT. AGRO M DO 1065 (PO  24 01378) 07 N2,4,6,8,10,11.xlsm</t>
  </si>
  <si>
    <t>07 - PARTIAL - N4,5 (COMPLETE)</t>
  </si>
  <si>
    <t>07 N4,5</t>
  </si>
  <si>
    <t>PT. AGRO M DO 1067 (PO  24 01359) 07 N4,5.xlsm</t>
  </si>
  <si>
    <t>PT.ENERGI UNGGUL PERSADA</t>
  </si>
  <si>
    <t>JL. TANJUNG MERANGGAS-SEGENDIS RT.12 BONTANG LESTARI,</t>
  </si>
  <si>
    <t>BONTANG SELATAN, KOTA BONTANG, KALIMANTAN TIMUR 75326</t>
  </si>
  <si>
    <t>PT.ENERGI UNGGUL PERSADA DO 1068 (PO  1002027560) 07 N4,5.xlsm</t>
  </si>
  <si>
    <t>07 - URGENT</t>
  </si>
  <si>
    <t>PT.ENERGI UNGGUL PERSADA DO 1068 (PO  1002027560) 07.xlsm</t>
  </si>
  <si>
    <t xml:space="preserve"> DO 1069 (PO  ) SEMENTARA.xlsm</t>
  </si>
  <si>
    <t>SEMENTARA - BOX PENAMPUNG OLI</t>
  </si>
  <si>
    <t xml:space="preserve"> DO 1070 (PO  ) SEMENTARA - BOX PENAMPUNG OLI.xlsm</t>
  </si>
  <si>
    <t>PTAM/PO/NT/25/00036</t>
  </si>
  <si>
    <t>PT. AGRO M DO 1071 (PO  25 00036) 01 - URGENT.xlsm</t>
  </si>
  <si>
    <t>PT. PPI DO 1072 (PO  4714044840) 01.xlsm</t>
  </si>
  <si>
    <t>01 - PARTIAL - N1-3</t>
  </si>
  <si>
    <t>PT. PPI DO 1073 (PO  4714044855) 01 N1-3.xlsm</t>
  </si>
  <si>
    <t>07 -  ITEM N1-3 + INCLUDE PEMASANGAN + COMMISSIONING</t>
  </si>
  <si>
    <t>07 - ITEM N1-3 + (ADA PEMASANGAN + COMMISSIONING(01))</t>
  </si>
  <si>
    <t>PT. ABLE DO 1074 (PO  25900028) 07 -  ITEM N1-3 + INCLUDE PEMASANGAN + COMMISSIONING.xlsm</t>
  </si>
  <si>
    <t>07 - ITEM N3</t>
  </si>
  <si>
    <t>07 -  ITEM N3</t>
  </si>
  <si>
    <t>PT. ABLE DO 1075 (PO  25900080) 07 -  ITEM N3.xlsm</t>
  </si>
  <si>
    <t>01 -  ITEM N1</t>
  </si>
  <si>
    <t>01 - ITEM N3</t>
  </si>
  <si>
    <t>PT. ABLE DO 1076 (PO  25900080) 01 -  ITEM N1.xlsm</t>
  </si>
  <si>
    <t>07 - PARTIAL - N1,3,5,7,9 - (REV item no. 2 &amp;3)</t>
  </si>
  <si>
    <t>PT. AGRO M DO 1061 (PO  24 01378) REV 1 07 N1,3,5,7,9.xlsm</t>
  </si>
  <si>
    <t>SKL/PO/NT/25/00028</t>
  </si>
  <si>
    <t>PT. SKL DO 1077 (PO  25 00028) 01.xlsm</t>
  </si>
  <si>
    <t>PT. ABLE DO 1078 (PO  25900056) 01.xlsm</t>
  </si>
  <si>
    <t>PT. ABLE DO 1079 (PO  25900075) 01.xlsm</t>
  </si>
  <si>
    <t>PT. PPI DO 1080 (PO  4714044855) 01.xlsm</t>
  </si>
  <si>
    <t>PT. ABLE DO 1093 (PO  25900045) 07.xlsm</t>
  </si>
  <si>
    <t>PTAM/PO/NT/25/00047</t>
  </si>
  <si>
    <t>PT. AGRO M DO 1094 (PO  25 00047) 01.xlsm</t>
  </si>
  <si>
    <t>REPLACE REFER TO DO 1061</t>
  </si>
  <si>
    <t>REFER TO DO 1061 - REPLACE - note 1/2 &amp; 2"</t>
  </si>
  <si>
    <t>PT. AGRO M DO 1095 (PO  24 01378) REPLACE REFER TO DO 1061.xlsm</t>
  </si>
  <si>
    <t>PT. PPI DO 1096 (PO  4714044961) 01.xlsm</t>
  </si>
  <si>
    <t>07 - PARTIAL - N1</t>
  </si>
  <si>
    <t>PT. ABLE DO 1097 (PO  259900104) 01 N1.xlsm</t>
  </si>
  <si>
    <t>07 - PARTIAL - N6</t>
  </si>
  <si>
    <t>01 N6</t>
  </si>
  <si>
    <t>PT. ABLE DO 1098 (PO  25900113) 01 N6.xlsm</t>
  </si>
  <si>
    <t>PT. SARI DUMAI SEJATI</t>
  </si>
  <si>
    <t>Jl. Raya Lubuk Gaung RT.006 RW.000,</t>
  </si>
  <si>
    <t>Kel. Lubuk Gaung, Kec. Sungai Sembilan, Kota Dumai, Riau - 28826</t>
  </si>
  <si>
    <t>049/IW-PO/I/2025</t>
  </si>
  <si>
    <t xml:space="preserve"> DO 1083 (PO  ) 07.xlsm</t>
  </si>
  <si>
    <t xml:space="preserve"> DO 1082 (PO  ) 07.xlsm</t>
  </si>
  <si>
    <t>07 - PARTIAL - N2-3 (COMPLETE)</t>
  </si>
  <si>
    <t>07 N2-3</t>
  </si>
  <si>
    <t>PT. ABLE DO 1099 (PO  25900104) 07 N2-3.xlsm</t>
  </si>
  <si>
    <t>PT. ABLE DO 1100 (PO  25900102) 07.xlsm</t>
  </si>
  <si>
    <t>07 - PARTIAL N2-4</t>
  </si>
  <si>
    <t>07 N2-4</t>
  </si>
  <si>
    <t>PT. ABLE DO 1101 (PO  25900113) 07 N2-4.xlsm</t>
  </si>
  <si>
    <t>SKL/PO/NT/25/00062</t>
  </si>
  <si>
    <t>PT. SKL DO 1084 (PO  25 00062) 01.xlsm</t>
  </si>
  <si>
    <t>PT. SWP DO 1085 (PO  4000271013) 07.xlsm</t>
  </si>
  <si>
    <t>KIP/PO/NT/25/00028</t>
  </si>
  <si>
    <t>PT. KIP DO 1086 (PO  25 00028) 01.xlsm</t>
  </si>
  <si>
    <t>PT. PPI DO 1087 (PO  4714044996) 01.xlsm</t>
  </si>
  <si>
    <t>SJIO/UTL/PO/2502/0095</t>
  </si>
  <si>
    <t>PT. SJIO DO 1088 (PO  095) 01.xlsm</t>
  </si>
  <si>
    <t>SJIO/UTL/PO/2502/0085</t>
  </si>
  <si>
    <t>PT. SJIO DO 1089 (PO  085) 01.xlsm</t>
  </si>
  <si>
    <t>PTAM/PO/NT/25/00104</t>
  </si>
  <si>
    <t>PT. AGRO M DO 1102 (PO  25 00104) 01.xlsm</t>
  </si>
  <si>
    <t>PT. ABLE DO 1103 (PO  25900120) 07.xlsm</t>
  </si>
  <si>
    <t>07 - PARTIAL - N1,N5 (COMPLETE)</t>
  </si>
  <si>
    <t>07 N1,N5</t>
  </si>
  <si>
    <t>PT. ABLE DO 1104 (PO  25900113) 07 N1,N5.xlsm</t>
  </si>
  <si>
    <t>PT. ABLE DO 1105 (PO  25900113) 07 N1,N5.xlsm</t>
  </si>
  <si>
    <t>01 - REPLACE BIASA MENJADI FULLDRAT</t>
  </si>
  <si>
    <t>PT. SJIO DO 1106 (PO  085) 01 - REPLACE BIASA MENJADI FULLDRAT.xlsm</t>
  </si>
  <si>
    <t>SKL/PO/NT/25/00065</t>
  </si>
  <si>
    <t>PT. SKL DO 1107 (PO  25 00065) 01.xlsm</t>
  </si>
  <si>
    <t>KIP/PO/NT/25/00051</t>
  </si>
  <si>
    <t>01 - BARANG SESUAI DENGAN QUOTATION 1778/API/02/MDN/2025</t>
  </si>
  <si>
    <t>PT. KIP DO 1108 (PO  25 00051) 01.xlsm</t>
  </si>
  <si>
    <t>01 - BARANG SESUAI DENGAN QUOTATION 1723/API/01/MDN/2025</t>
  </si>
  <si>
    <t>KIP/PO/NT/25/00055</t>
  </si>
  <si>
    <t>PT. KIP DO 1109 (PO  25 00055) 01.xlsm</t>
  </si>
  <si>
    <t>PTAM/PO/NT/25/00125</t>
  </si>
  <si>
    <t>PT. AGRO M DO 1110 (PO  25 00125) 07.xlsm</t>
  </si>
  <si>
    <t>SJIO/REF/PO/2501/0078</t>
  </si>
  <si>
    <t>PT. SJIO DO 1111 (PO  078) 01.xlsm</t>
  </si>
  <si>
    <t>PT. AGRO M DO 1112 (PO  25 00125) 07.xlsm</t>
  </si>
  <si>
    <t>PT. PPI DO 1114 (PO  4714045050) 01.xlsm</t>
  </si>
  <si>
    <t xml:space="preserve">01 - REPLACEMENT </t>
  </si>
  <si>
    <t>PT. KIP DO 1115 (PO  25 00028) 01.xlsm</t>
  </si>
  <si>
    <t>PT. PPI DO 1116 (PO  4714044991) 01.xlsm</t>
  </si>
  <si>
    <t>PT. PPI DO 1117 (PO  4714045030) 01.xlsm</t>
  </si>
  <si>
    <t>PT. PPI DO 1118 (PO  4714045030) 01.xlsm</t>
  </si>
  <si>
    <t>PT. PPI DO 1117 (PO  4714045050) 01.xlsm</t>
  </si>
  <si>
    <t>PT. ABLE DO 1119 (PO  25900185) 07.xlsm</t>
  </si>
  <si>
    <t>PT. ABLE DO 1120 (PO  25900185) 07.xlsm</t>
  </si>
  <si>
    <t>PTAM/PO/NT/25/00078</t>
  </si>
  <si>
    <t>PT. AGRO M DO 1121 (PO  25 00078) 01.xlsm</t>
  </si>
  <si>
    <t>PT. ABLE DO 1122 (PO  25900135) 07.xlsm</t>
  </si>
  <si>
    <t>PT. ABLE DO 1123 (PO  25900213) 07.xlsm</t>
  </si>
  <si>
    <t xml:space="preserve"> DO 1124 (PO  ) SEMENTARA.xlsm</t>
  </si>
  <si>
    <t>132/IW-PO/II/2025</t>
  </si>
  <si>
    <t xml:space="preserve"> DO 1124 (PO  ) 07.xlsm</t>
  </si>
  <si>
    <t>01 - PARTIAL - N6 (COMPLETE)</t>
  </si>
  <si>
    <t>PT. PPI DO 1125 (PO  4714045030) 01 N6.xlsm</t>
  </si>
  <si>
    <t>07 - PARTIAL - N1-4</t>
  </si>
  <si>
    <t>01 N1-4</t>
  </si>
  <si>
    <t>PT. ABLE DO 1126 (PO  25900186) 01 N1-4.xlsm</t>
  </si>
  <si>
    <t>PT. ABLE DO 1127 (PO  25900219) 07.xlsm</t>
  </si>
  <si>
    <t>07 - PARTIAL - N5 (COMPLETE)</t>
  </si>
  <si>
    <t>07 N5</t>
  </si>
  <si>
    <t>PT. ABLE DO 1128 (PO  25900186) 07 N5.xlsm</t>
  </si>
  <si>
    <t>PTAM/PO/NT/25/00090</t>
  </si>
  <si>
    <t>PT. AGRO M DO 1130 (PO  25 00090) 01.xlsm</t>
  </si>
  <si>
    <t>SJIO/UTL/PO/2502/0113</t>
  </si>
  <si>
    <t>PT. SJIO DO 1131 (PO  113) 01.xlsm</t>
  </si>
  <si>
    <t>PT. PPI DO 1132 (PO  4714045086) 01.xlsm</t>
  </si>
  <si>
    <t>01 - PENARIKAN BARANG (SUDAH DIGANTI)</t>
  </si>
  <si>
    <t>01 - PENARIKAN BARANG</t>
  </si>
  <si>
    <t>PT. SJIO DO 1133 (PO  085) 01 - PENARIKAN BARANG.xlsm</t>
  </si>
  <si>
    <t>PT. ABLE DO 1134 (PO  25900278) 07.xlsm</t>
  </si>
  <si>
    <t>01 - PARTIAL - N2,3</t>
  </si>
  <si>
    <t>01 N2,3</t>
  </si>
  <si>
    <t>SJIO/HRGA-REF/PO/2501/0072</t>
  </si>
  <si>
    <t>PT. SJIO DO 1135 (PO  072) 01 N2,3.xlsm</t>
  </si>
  <si>
    <t>PT. ABLE DO 1136 (PO  25900263) 07.xlsm</t>
  </si>
  <si>
    <t>PT. ABLE DO 1137 (PO  25900261) 07.xlsm</t>
  </si>
  <si>
    <t>PT. ABLE DO 1138 (PO  25900240) 07.xlsm</t>
  </si>
  <si>
    <t>PT. ABLE DO 1139 (PO  25900239) 07.xlsm</t>
  </si>
  <si>
    <t>PT. ABLE DO 1140 (PO  25900238) 07.xlsm</t>
  </si>
  <si>
    <t>PT. ABLE DO 1141 (PO  25900237) 07.xlsm</t>
  </si>
  <si>
    <t>PT. ABLE DO 1142 (PO  25900236) 07.xlsm</t>
  </si>
  <si>
    <t>PT. ABLE DO 1143 (PO  25900235) 07.xlsm</t>
  </si>
  <si>
    <t>URGENT</t>
  </si>
  <si>
    <t>URGENT - DO SEMENTARA</t>
  </si>
  <si>
    <t>PT. ABLE DO 1144 (PO   ) URGENT.xlsm</t>
  </si>
  <si>
    <t>PT. ABLE DO 1145 (PO  25900279) 07.xlsm</t>
  </si>
  <si>
    <t>067/IW-PO/I/2025</t>
  </si>
  <si>
    <t xml:space="preserve"> DO 1146 (PO  ) 07.xlsm</t>
  </si>
  <si>
    <t xml:space="preserve"> DO 1147 (PO  ) 07.xlsm</t>
  </si>
  <si>
    <t>153/IW-PO/II/2025</t>
  </si>
  <si>
    <t xml:space="preserve"> DO 1148 (PO  ) 07.xlsm</t>
  </si>
  <si>
    <t>PT. ABLE DO 1149 (PO  25900231) 07.xlsm</t>
  </si>
  <si>
    <t>07 - PARTIAL - N4,5,6</t>
  </si>
  <si>
    <t>07 N4,5,6</t>
  </si>
  <si>
    <t>PT. ABLE DO 1150 (PO  25900260) 07 N4,5,6.xlsm</t>
  </si>
  <si>
    <t>07 - PARTIAL - N2</t>
  </si>
  <si>
    <t>07 N2</t>
  </si>
  <si>
    <t>PT. ABLE DO 1151 (PO  25900258) 07 N2.xlsm</t>
  </si>
  <si>
    <t>07 - PARTIAL - N1,3,4,5,6,7</t>
  </si>
  <si>
    <t>07 N1,3,4,5,6,7</t>
  </si>
  <si>
    <t>PT. ABLE DO 1152 (PO  25900262) 07 N1,3,4,5,6,7.xlsm</t>
  </si>
  <si>
    <t>PT. ABLE DO 1153 (PO  25900258) 07 N2.xlsm</t>
  </si>
  <si>
    <t>PT. AGRO M DO 1154 (PO  25 00090) 01.xlsm</t>
  </si>
  <si>
    <t>01 - REPLACE</t>
  </si>
  <si>
    <t>PT. PPI DO 1155 (PO  4714044991) 01.xlsm</t>
  </si>
  <si>
    <t xml:space="preserve"> KIP/PO/NT/25/00102</t>
  </si>
  <si>
    <t>PT. KIP DO 1156 (PO  25 00102) 01.xlsm</t>
  </si>
  <si>
    <t xml:space="preserve"> KIP/PO/NT/25/00118</t>
  </si>
  <si>
    <t xml:space="preserve"> SKL/PO/NT/25/00131</t>
  </si>
  <si>
    <t>PT. KIP DO 1157 (PO  25 00118) 01.xlsm</t>
  </si>
  <si>
    <t xml:space="preserve"> SKL/PO/NT/25/00134</t>
  </si>
  <si>
    <t>PT. SKL DO 1159 (PO  25 00134) 01.xlsm</t>
  </si>
  <si>
    <t>SKL/PO/NT/25/00125</t>
  </si>
  <si>
    <t>PT. SKL DO 1160 (PO  25 00125) 01.xlsm</t>
  </si>
  <si>
    <t>PT. SKL DO 1158 (PO  25 00131) 01.xlsm</t>
  </si>
  <si>
    <t>07 - SEMENTARA</t>
  </si>
  <si>
    <t>PT. ABLE DO 1161 (PO  25900314) 01.xlsm</t>
  </si>
  <si>
    <t>KIP/PO/NT/25/00096</t>
  </si>
  <si>
    <t>PT. KIP DO 1162 (PO  25 00096) 01.xlsm</t>
  </si>
  <si>
    <t>SJIO/BOILER/PO/2502/0140</t>
  </si>
  <si>
    <t>PT. SJIO DO 1163 (PO  140) 01.xlsm</t>
  </si>
  <si>
    <t>07 - PARTIAL FOR ITEM N5 - TOTAL 12 (sisa 5)</t>
  </si>
  <si>
    <t>PT. ABLE DO 1164 (PO  25900180) 07.xlsm</t>
  </si>
  <si>
    <t>PT. ABLE DO 1161 (PO  25900314) 07.xlsm</t>
  </si>
  <si>
    <t>PT. ABLE DO 1165 (PO  25900363) 07.xlsm</t>
  </si>
  <si>
    <t>PT. ABLE DO 1166 (PO  25900362) 07.xlsm</t>
  </si>
  <si>
    <t>07 - PARTIAL - N1 (COMPLETE)</t>
  </si>
  <si>
    <t>PT. ABLE DO 1167 (PO  25900258) 07 N1.xlsm</t>
  </si>
  <si>
    <t>07 - PARTIAL - N2,9,10,11(-1PCS)</t>
  </si>
  <si>
    <t>07 N2,9,10,11(-1PCS)</t>
  </si>
  <si>
    <t>PT. ABLE DO 1169 (PO  25900262) 07 N2,9,10,11(-1PCS).xlsm</t>
  </si>
  <si>
    <t>01 - PARTIAL - N1,2,4,5,6</t>
  </si>
  <si>
    <t>01 N1,2,4,5,6</t>
  </si>
  <si>
    <t>PT. PPI DO 1170 (PO  4714045191) 01 N1,2,4,5,6.xlsm</t>
  </si>
  <si>
    <t>PT. PACIFIC INDOPALM</t>
  </si>
  <si>
    <t>JALAN RAYA DUMAI – BASILAM BARU KM.14</t>
  </si>
  <si>
    <t>LUBUK GAUNG, SUNGAI SEMBILAN,KOTA DUMAI 28882 RIAU, INDONESIA</t>
  </si>
  <si>
    <t xml:space="preserve"> DO 1171 (PO  ) 01.xlsm</t>
  </si>
  <si>
    <t>PTAM/PO/NT/25/00121</t>
  </si>
  <si>
    <t>PT. AGRO M DO 1172 (PO  25 00121) .xlsm</t>
  </si>
  <si>
    <t>S</t>
  </si>
  <si>
    <t>PT. ABLE DO 1173 (PO  25900259) .xlsm</t>
  </si>
  <si>
    <t>01 - PARTIAL - N4,6</t>
  </si>
  <si>
    <t>PT. SJIO DO 1174 (PO  072) 01.xlsm</t>
  </si>
  <si>
    <t>01 - PARTIAL - N3 (COMPLETE)</t>
  </si>
  <si>
    <t>01 N3</t>
  </si>
  <si>
    <t>PT. PPI DO 1175 (PO  4714045191) 01 N3.xlsm</t>
  </si>
  <si>
    <t>SKL/PO/NT/25/00055</t>
  </si>
  <si>
    <t>PT. SKL DO 1176 (PO  25 00055) 01.xlsm</t>
  </si>
  <si>
    <t>07 - PARTIAL N11 TOTAL PO 4 PCS (COMPLETE)</t>
  </si>
  <si>
    <t>07 N11 1PCS</t>
  </si>
  <si>
    <t>PT. ABLE DO 1177 (PO  25900262) 07 N11 1PCS.xlsm</t>
  </si>
  <si>
    <t xml:space="preserve">07 - PARTIAL - N5 UNTUK KEKURANGAN 5 PCS DENGAN TOTAL 12 PCS </t>
  </si>
  <si>
    <t>07 N5 5PCS</t>
  </si>
  <si>
    <t>PT. ABLE DO 1178 (PO  25900180) 07 N5 5PCS.xlsm</t>
  </si>
  <si>
    <t>PT. ABLE DO 1179 (PO  25900405) 07.xlsm</t>
  </si>
  <si>
    <t>PT. ABLE DO 1180 (PO  25900406) 07.xlsm</t>
  </si>
  <si>
    <t>PT. ABLE DO 1181 (PO  25900409) 07.xlsm</t>
  </si>
  <si>
    <t>07 - PARTIAL - N1 - URGENT</t>
  </si>
  <si>
    <t>PT. ABLE DO 1182 (PO  25900389) 07 N1.xlsm</t>
  </si>
  <si>
    <t>URGENT DO SEMENTARA</t>
  </si>
  <si>
    <t>PT. ABLE DO 1183 (PO   ) URGENT DO SEMENTARA.xlsm</t>
  </si>
  <si>
    <t>PT. ABLE DO 1184 (PO  25900383) 07.xlsm</t>
  </si>
  <si>
    <t>PT. ABLE DO 1185 (PO  25900382) N2.xlsm</t>
  </si>
  <si>
    <t>PT. ABLE DO 1186 (PO  25900410) 07.xlsm</t>
  </si>
  <si>
    <t>SKL/PO/NT/25/00173</t>
  </si>
  <si>
    <t>PT. SKL DO 1187 (PO  25 00173) 01.xlsm</t>
  </si>
  <si>
    <t>SKL/PO/NT/25/00143</t>
  </si>
  <si>
    <t>PT. PPI DO 1188 (PO  4714045317) 07.xlsm</t>
  </si>
  <si>
    <t>PT. ABLE DO 1189 (PO  25900402) 07.xlsm</t>
  </si>
  <si>
    <t>PT. ABLE DO 1190 (PO  25900403) 07.xlsm</t>
  </si>
  <si>
    <t>PT. ABLE DO 1191 (PO  25900404) 07.xlsm</t>
  </si>
  <si>
    <t>PT. ABLE DO 1192 (PO  25900407) 07.xlsm</t>
  </si>
  <si>
    <t>PT. ABLE DO 1193 (PO  25900408) 07.xlsm</t>
  </si>
  <si>
    <t>PT. ABLE DO 1194 (PO  25900481) 07.xlsm</t>
  </si>
  <si>
    <t>PT. ABLE DO 1195 (PO  25900477) 07.xlsm</t>
  </si>
  <si>
    <t>PT. PPI DO 1196 (PO  4714045317) 07.xlsm</t>
  </si>
  <si>
    <t>PT. PPI DO 1196 (PO  4714045317) 01.xlsm</t>
  </si>
  <si>
    <t>SKL/PO/NT/25/00180</t>
  </si>
  <si>
    <t>PT. SKL DO 1197 (PO  25 00180) 01.xlsm</t>
  </si>
  <si>
    <t>PT. SKL DO 1198 (PO  25 00143) 01.xlsm</t>
  </si>
  <si>
    <t>07 - PARTIAL - N2 (COMPLETE)</t>
  </si>
  <si>
    <t>PT. ABLE DO 1199 (PO  25900389) N2.xlsm</t>
  </si>
  <si>
    <t>07 - PARTIAL - N1,2,3 (COMPLETE)</t>
  </si>
  <si>
    <t>N1,2,3</t>
  </si>
  <si>
    <t>PT. ABLE DO 1200 (PO  25900260) N1,2,3.xlsm</t>
  </si>
  <si>
    <t>PT. ABLE DO 1201 (PO  25900382) N1.xlsm</t>
  </si>
  <si>
    <t>07 - PARTIAL - N8 (COMPLETE)</t>
  </si>
  <si>
    <t>N8</t>
  </si>
  <si>
    <t>PT. ABLE DO 1202 (PO  25900262) N8.xlsm</t>
  </si>
  <si>
    <t>PT. ABLE DO 1203 (PO  25900495) N1.xlsm</t>
  </si>
  <si>
    <t>01 - PARTIAL - N2</t>
  </si>
  <si>
    <t>PT. ABLE DO 1204 (PO  25900478) 01 N1.xlsm</t>
  </si>
  <si>
    <t>PTAM/PO/NT/25/00309</t>
  </si>
  <si>
    <t>PT. AGRO M DO 1205 (PO  25 00309) 07.xlsm</t>
  </si>
  <si>
    <t>PT. ABLE DO 1206 (PO  25900407) 07 N2.xlsm</t>
  </si>
  <si>
    <t>07 - PARTIAL - N2,3,4 (COMPLETE)</t>
  </si>
  <si>
    <t>07  N2,3,4</t>
  </si>
  <si>
    <t>PT. ABLE DO 1207 (PO  25900495) 07  N2,3,4.xlsm</t>
  </si>
  <si>
    <t>PT. ABLE DO 1208 (PO  25900486) 07.xlsm</t>
  </si>
  <si>
    <t>PT. AGRO M DO 1205 (PO  25 00309) REV 1 07.xlsm</t>
  </si>
  <si>
    <t>PT. APICAL KAO CHEMICALS</t>
  </si>
  <si>
    <t>Lubuk Gaung, Sungai Sembilan, Kota Dumai, Riau - 28826</t>
  </si>
  <si>
    <t xml:space="preserve"> DO 1209 (PO  ) 07.xlsm</t>
  </si>
  <si>
    <t>07 - REV DATE TO 28</t>
  </si>
  <si>
    <t xml:space="preserve">REV 2 </t>
  </si>
  <si>
    <t>PT. AGRO M DO 1205 (PO  25 00309) REV 2 07.xlsm</t>
  </si>
  <si>
    <t>PTAM/PO/NT/25/00313</t>
  </si>
  <si>
    <t>PT. AGRO M DO 1210 (PO  25 00313) 01.xlsm</t>
  </si>
  <si>
    <t>PTAM/PO/NT/25/00331</t>
  </si>
  <si>
    <t>PT. AGRO M DO 1211 (PO  25 00331) 01.xlsm</t>
  </si>
  <si>
    <t>SKL/PO/NT/25/00192</t>
  </si>
  <si>
    <t>PT. SKL DO 1212 (PO  25 00192) 01.xlsm</t>
  </si>
  <si>
    <t xml:space="preserve"> SKL/PO/NT/25/00206</t>
  </si>
  <si>
    <t>PT. SKL DO 1213 (PO  25 00206) 01.xlsm</t>
  </si>
  <si>
    <t>PT. AGRO M DO 1214 (PO  25 00331) 01.xlsm</t>
  </si>
  <si>
    <t>07 - N2</t>
  </si>
  <si>
    <t>PT. AGRO M DO 1214 (PO  25 00331) 07 N2.xlsm</t>
  </si>
  <si>
    <t>PTAM/PO/NT/25/00337</t>
  </si>
  <si>
    <t>PT. AGRO M DO 1215 (PO  25 00337) 07.xlsm</t>
  </si>
  <si>
    <t>07 - N2 ; REV DATE 8 TO 9</t>
  </si>
  <si>
    <t>PT. AGRO M DO 1214 (PO  25 00331) REV 1 07 N2.xlsm</t>
  </si>
  <si>
    <t>PT. AGRO M DO 1215 (PO  25 00337) REV 1 07.xlsm</t>
  </si>
  <si>
    <t>SKL/PO/NT/25/00213</t>
  </si>
  <si>
    <t>PT. SKL DO 1216 (PO  25 00213) 01.xlsm</t>
  </si>
  <si>
    <t>KIP/PO/NT/25/00156</t>
  </si>
  <si>
    <t>PT. KIP DO 1217 (PO  25 00156) 01.xlsm</t>
  </si>
  <si>
    <t>SKL/PO/NT/25/00198</t>
  </si>
  <si>
    <t>PT. SKL DO 1218 (PO  25 00198) 01.xlsm</t>
  </si>
  <si>
    <t>PT. ABLE DO 1219 (PO  25900523) 07.xlsm</t>
  </si>
  <si>
    <t>PT. ABLE DO 1220 (PO  25900551) 07.xlsm</t>
  </si>
  <si>
    <t>SJIO/REF/PO/2503/0242</t>
  </si>
  <si>
    <t>PT. SJIO DO 1221 (PO  242) .xlsm</t>
  </si>
  <si>
    <t xml:space="preserve"> KIP/PO/NT/25/00158</t>
  </si>
  <si>
    <t>PT. KIP DO 1222 (PO  25 00158) .xlsm</t>
  </si>
  <si>
    <t>SKL/PO/NT/25/00219</t>
  </si>
  <si>
    <t xml:space="preserve">01 - </t>
  </si>
  <si>
    <t>PT. SKL DO 1223 (PO  25 00219) .xlsm</t>
  </si>
  <si>
    <t>07 - PARTIAL - N1,5</t>
  </si>
  <si>
    <t>PT. SARI DUMAI SEJATI DO 1224 (PO  4500409407) .xlsm</t>
  </si>
  <si>
    <t>PT. SDS DO 1224 (PO  4500409407) .xlsm</t>
  </si>
  <si>
    <t>PT. SWP DO 1225 (PO  4000281068) .xlsm</t>
  </si>
  <si>
    <t>PT. ABLE DO 1226 (PO  25900478) .xlsm</t>
  </si>
  <si>
    <t>07 - PARTIAL N2</t>
  </si>
  <si>
    <t>07 PARTIAL N2</t>
  </si>
  <si>
    <t>PT. ABLE DO 1227 (PO  25900559) 07 PARTIAL N2.xlsm</t>
  </si>
  <si>
    <t>SKL/PO/NT/25/00231</t>
  </si>
  <si>
    <t>PT. SKL DO 1228 (PO  25 00231) 01.xlsm</t>
  </si>
  <si>
    <t>01 - PARTIAL COMPLETE - N1</t>
  </si>
  <si>
    <t>01 PARTIAL COMPLETE N1</t>
  </si>
  <si>
    <t>PT. AGRO M DO 1229 (PO  25 00331) 01 PARTIAL COMPLETE N1.xlsm</t>
  </si>
  <si>
    <t>07 - PARTIAL COMPLETE - N2,3,4</t>
  </si>
  <si>
    <t>07  PARTIAL COMPLETE N2,3,4</t>
  </si>
  <si>
    <t>PT. SDS DO 1230 (PO  4500409407) 07  PARTIAL COMPLETE N2,3,4.xlsm</t>
  </si>
  <si>
    <t>PT. ABLE DO 1231 (PO  25900226) 01.xlsm</t>
  </si>
  <si>
    <t>PTAM/PO/NT/25/00345</t>
  </si>
  <si>
    <t>BOLT &amp; NUT GI M16 x 75MM - (HS CODE : 73181590)</t>
  </si>
  <si>
    <t>BOLT &amp; NUT GALVANIS M16 X 135MM - (HS CODE : 73181590)</t>
  </si>
  <si>
    <t>BOLT &amp; NUT GI M20 X 80MM - (HS CODE : 73181590)</t>
  </si>
  <si>
    <t>BOLT &amp; NUT GALV LG M16 x 70MM - (HS CODE : 73181590)</t>
  </si>
  <si>
    <t>BOLT &amp; NUT GALV LG M16 x 130MM - (HS CODE : 73181590)</t>
  </si>
  <si>
    <t>BOLT &amp; NUT GALV LG M20 x 90MM - (HS CODE : 73181590)</t>
  </si>
  <si>
    <t>BOLT &amp; NUT GALV LG M20 x 95MM - (HS CODE : 73181590)</t>
  </si>
  <si>
    <t>BOLT &amp; NUT GALV LG M24 x 100MM - (HS CODE : 73181590)</t>
  </si>
  <si>
    <t>BOLT &amp; NUT GALV LG M12 x 95MM - (HS CODE : 73181590)</t>
  </si>
  <si>
    <t>07 - PARTIAL - N3,4,5,9,12,13,17,18,20,21,22,26,32</t>
  </si>
  <si>
    <t>07 PARTIAL N3,4,5,9,12,13,17,18,20,21,22,26,32</t>
  </si>
  <si>
    <t>PT. AGRO M DO 1232 (PO  25 00345) 07 PARTIAL N3,4,5,9,12,13,17,18,20,21,22,26,32.xlsm</t>
  </si>
  <si>
    <t>Nett Weight</t>
  </si>
  <si>
    <t>3 KG</t>
  </si>
  <si>
    <t>4,8 KG</t>
  </si>
  <si>
    <t>1,3 KG</t>
  </si>
  <si>
    <t>0,4 KG</t>
  </si>
  <si>
    <t>1,6 KG</t>
  </si>
  <si>
    <t>2,8 KG</t>
  </si>
  <si>
    <t>22,36 KG</t>
  </si>
  <si>
    <t>11,1 KG</t>
  </si>
  <si>
    <t>54 KG</t>
  </si>
  <si>
    <t>1,216 KG</t>
  </si>
  <si>
    <t>8,75 KG</t>
  </si>
  <si>
    <t>0,12 KG</t>
  </si>
  <si>
    <t>GROSS WEIGHT :</t>
  </si>
  <si>
    <t>DELIVERY BY PAK ARIF &amp; EKSPEDISI</t>
  </si>
  <si>
    <t>07 - PARTIAL - N1,14</t>
  </si>
  <si>
    <t>07 PARTIAL N1,14</t>
  </si>
  <si>
    <t>PT. AGRO M DO 1233 (PO  25 00345) 07 PARTIAL N1,14.xlsm</t>
  </si>
  <si>
    <t>KIP/PO/NT/25/00174</t>
  </si>
  <si>
    <t>PT. KIP DO 1234 (PO  25 00174) 01.xlsm</t>
  </si>
  <si>
    <t>07 - PARTIAL - N2,6,7,8,11,15,19,23,25,28,30,31</t>
  </si>
  <si>
    <t>07 PARTIAL N2,6,7,8,11,15,19,23,25,28,30,31</t>
  </si>
  <si>
    <t>PT. AGRO M DO 1235 (PO  25 00345) 07 PARTIAL N2,6,7,8,11,15,19,23,25,28,30,31.xlsm</t>
  </si>
  <si>
    <t>PTAM/PO/NT/25/00362</t>
  </si>
  <si>
    <t>01 - PARTIAL - N18,20,22,24</t>
  </si>
  <si>
    <t>07 PARTIAL N18,20,22,24</t>
  </si>
  <si>
    <t>PT. AGRO M DO 1236 (PO  25 00362) 07 PARTIAL N18,20,22,24.xlsm</t>
  </si>
  <si>
    <t>01 - PARTIAL COMPLETE  - N2</t>
  </si>
  <si>
    <t>01 PARTIAL COMPLETE  - N2</t>
  </si>
  <si>
    <t>PT. ABLE DO 1237 (PO  25900080) 01 PARTIAL COMPLETE  - N2.xlsm</t>
  </si>
  <si>
    <t>01 - PARTIAL COMPLETE  - N2 - PENGGANTIAN MERK MENJADI AP</t>
  </si>
  <si>
    <t>PT. ABLE DO 1238 (PO  25900610) 07.xlsm</t>
  </si>
  <si>
    <t>07 - PARTIAL - N16,24,27</t>
  </si>
  <si>
    <t>PT. AGRO M DO 1239 (PO  25 00345) 07 - PARTIAL - N16,24,27.xlsm</t>
  </si>
  <si>
    <t>PT. SWP DO 1240 (PO  4000281328) 01.xlsm</t>
  </si>
  <si>
    <t>01 PARTIAL N18,20,22,24</t>
  </si>
  <si>
    <t>PT. AGRO M DO 1236 (PO  25 00362) 01 PARTIAL N18,20,22,24.xlsm</t>
  </si>
  <si>
    <t>SJIO/REF/PO/2503/0256</t>
  </si>
  <si>
    <t>PT. SJIO DO 1241 (PO  256) 01.xlsm</t>
  </si>
  <si>
    <t xml:space="preserve"> SKL/PO/NT/25/00244</t>
  </si>
  <si>
    <t>PT. SKL DO 1242 (PO  25 00244) 01.xlsm</t>
  </si>
  <si>
    <t>387/IW-PO/IV/2025</t>
  </si>
  <si>
    <t xml:space="preserve"> DO 1243 (PO  ) 07.xlsm</t>
  </si>
  <si>
    <t>PT. PPI DO 1244 (PO  4714045551) 07.xlsm</t>
  </si>
  <si>
    <t xml:space="preserve"> SKL/PO/NT/25/00263</t>
  </si>
  <si>
    <t>PT. SKL DO 1245 (PO  25 00263) 01.xlsm</t>
  </si>
  <si>
    <t xml:space="preserve"> SKL/PO/NT/25/00253</t>
  </si>
  <si>
    <t>PT. SKL DO 1246 (PO  25 00253) 01.xlsm</t>
  </si>
  <si>
    <t xml:space="preserve"> PTAM/PO/NT/25/00391</t>
  </si>
  <si>
    <t>PT. AGRO M DO 1247 (PO  25 00391) 01.xlsm</t>
  </si>
  <si>
    <t>PTAM/PO/NT/25/00405</t>
  </si>
  <si>
    <t>PT. AGRO M DO 1248 (PO  25 00405) 07.xlsm</t>
  </si>
  <si>
    <t xml:space="preserve"> KIP/PO/NT/25/00222</t>
  </si>
  <si>
    <t>PT. KIP DO 1249 (PO  25 00222) 01.xlsm</t>
  </si>
  <si>
    <t xml:space="preserve"> KIP/PO/NT/25/00215</t>
  </si>
  <si>
    <t>PT. KIP DO 1250 (PO  25 00215) 01.xlsm</t>
  </si>
  <si>
    <t xml:space="preserve"> KIP/PO/NT/25/00219</t>
  </si>
  <si>
    <t>PT. KIP DO 1251 (PO  25 00219) 01.xlsm</t>
  </si>
  <si>
    <t>PT. KIP DO 1252 (PO   ) SEMENTARA.xlsm</t>
  </si>
  <si>
    <t>PT. PPI DO 1253 (PO  4714045692) 01.xlsm</t>
  </si>
  <si>
    <t xml:space="preserve"> KIP/PO/NT/25/00207</t>
  </si>
  <si>
    <t>PT. KIP DO 1254 (PO  25 00207) 01.xlsm</t>
  </si>
  <si>
    <t>PTAM/PO/NT/25/00400</t>
  </si>
  <si>
    <t>PT. AGRO M DO 1255 (PO  25 00400) 01.xlsm</t>
  </si>
  <si>
    <t>PT. AKC DO 1256 (PO  4500412767) 07.xlsm</t>
  </si>
  <si>
    <t>PTAM/PO/NT/25/00379</t>
  </si>
  <si>
    <t>PT. AGRO M DO 1257 (PO  25 00379) 01.xlsm</t>
  </si>
  <si>
    <t xml:space="preserve"> KIP/PO/NT/25/00232</t>
  </si>
  <si>
    <t>PT. KIP DO 1252 (PO  25 00232) 01.xlsm</t>
  </si>
  <si>
    <t>SKL/PO/NT/25/00304</t>
  </si>
  <si>
    <t>PT. SKL DO 1258 (PO  25 00304) 01.xlsm</t>
  </si>
  <si>
    <t>PT. AGRO RAYA MAS</t>
  </si>
  <si>
    <t>JL KAPTEN ILYAS JERMAL RAYA LINGKUNGAN XVII NO.20</t>
  </si>
  <si>
    <t>RT. 000 RW. 000, SEI MATI, MEDAN LABUHAN, KOTA MEDAN,
SUMATERA UTARA</t>
  </si>
  <si>
    <t>07 - PARTIAL COMPLETE - N2</t>
  </si>
  <si>
    <t xml:space="preserve"> DO 1259 (PO  ) '07 - PARTIAL COMPLETE - N2.xlsm</t>
  </si>
  <si>
    <t xml:space="preserve"> DO 1260 (PO  ) '07.xlsm</t>
  </si>
  <si>
    <t xml:space="preserve"> DO 1261 (PO  ) '07.xlsm</t>
  </si>
  <si>
    <t>KIP/PO/NT/25/00246</t>
  </si>
  <si>
    <t>PT. KIP DO 1262 (PO  25 00246) 01.xlsm</t>
  </si>
  <si>
    <t>KIP/PO/NT/25/00251</t>
  </si>
  <si>
    <t>PT. KIP DO 1263 (PO  25 00251) 01.xlsm</t>
  </si>
  <si>
    <t>01 - PARTIAL - 1.2,3,4,6,8</t>
  </si>
  <si>
    <t>01 - PARTIAL - 1.2,3,4,6,8 ; NOTE : item follow quote</t>
  </si>
  <si>
    <t>PT. AGRO M DO 1264 (PO  25 00362) 01 - PARTIAL - 1.2,3,4,6,8.xlsm</t>
  </si>
  <si>
    <t>Jl. Raya Lubuk Gaung RT.009 Nerbit Kecil</t>
  </si>
  <si>
    <t>Kel.Lubuk Gaung, Kec.Sungai Sembilan, 28826 Kota Dumai, Riau, Indonesia</t>
  </si>
  <si>
    <t>PT. ECOOILS JAYA INDONESIA</t>
  </si>
  <si>
    <t>PO/DM/2025/00167</t>
  </si>
  <si>
    <t xml:space="preserve"> DO 1265 (PO  ) 01.xlsm</t>
  </si>
  <si>
    <t>07 - PARTIAL N2 - REV1 : Perubahan PT ACI to ARM</t>
  </si>
  <si>
    <t>07 PARTIAL N2 - REV1</t>
  </si>
  <si>
    <t xml:space="preserve"> DO 1227 (PO  ) REV 1 07 PARTIAL N2 - REV1.xlsm</t>
  </si>
  <si>
    <t>SJIO/UTL/PO/2505/0389</t>
  </si>
  <si>
    <t>PT. SJIO DO 1266 (PO  389) 01.xlsm</t>
  </si>
  <si>
    <t>SKL/PO/NT/25/00325</t>
  </si>
  <si>
    <t>PT. SKL DO 1267 (PO  25 00325) 01.xlsm</t>
  </si>
  <si>
    <t>PT. ABLE DO 1268 (PO  25900616) 07.xlsm</t>
  </si>
  <si>
    <t>PT. ABLE DO 1269 (PO  25900630) 07.xlsm</t>
  </si>
  <si>
    <t>07 - PARTIAL - N1,2</t>
  </si>
  <si>
    <t xml:space="preserve"> DO 1270 (PO  ) 07 - PARTIAL - N1,2.xlsm</t>
  </si>
  <si>
    <t xml:space="preserve"> DO 1268 (PO  ) 07.xlsm</t>
  </si>
  <si>
    <t xml:space="preserve"> DO 1269 (PO  ) 07.xlsm</t>
  </si>
  <si>
    <t>PT. Hong Lie Oleochemical</t>
  </si>
  <si>
    <t>Jl Medan Kisaran  Desa Perjuangan Kecamatan Sei Balai, Kabupaten Batubara</t>
  </si>
  <si>
    <t xml:space="preserve"> DO 1271 (PO  ) 01.xlsm</t>
  </si>
  <si>
    <t>01 - PARTIAL - N1,2,3,4</t>
  </si>
  <si>
    <t>PT. PPI DO 1272 (PO  4714045796) 01 - PARTIAL - N1,2,3,4.xlsm</t>
  </si>
  <si>
    <t>PT. AKC DO 1273 (PO  4500413575) 07.xlsm</t>
  </si>
  <si>
    <t>07 - PARTIAL - N15,16</t>
  </si>
  <si>
    <t>PT. AGRO M DO 1274 (PO  25 00362) 07 - PARTIAL - N15,16.xlsm</t>
  </si>
  <si>
    <t>01 - PARTIAL - N15,16</t>
  </si>
  <si>
    <t>PT. AGRO M DO 1274 (PO  25 00362) 01 - PARTIAL - N15,16.xlsm</t>
  </si>
  <si>
    <t>PTAM/PO/NT/25/00426</t>
  </si>
  <si>
    <t>PT. AGRO M DO 1275 (PO  25 00426) 01.xlsm</t>
  </si>
  <si>
    <t>07 - PARTIAL - N3</t>
  </si>
  <si>
    <t xml:space="preserve"> DO 1276 (PO  ) 07 - PARTIAL - N3.xlsm</t>
  </si>
  <si>
    <t xml:space="preserve"> SKL/PO/NT/25/00331</t>
  </si>
  <si>
    <t>PT. SKL DO 1277 (PO  25 00331) 01.xlsm</t>
  </si>
  <si>
    <t>SJIO/REF/PO/2504/0361</t>
  </si>
  <si>
    <t>PT. SJIO DO 1278 (PO  361) 01.xlsm</t>
  </si>
  <si>
    <t>01 - PARTIAL - N1,2,3</t>
  </si>
  <si>
    <t>SJIO/BOILER/PO/2505/0435</t>
  </si>
  <si>
    <t>PT. SJIO DO 1279 (PO  435) 01 - PARTIAL - N1,2,3.xlsm</t>
  </si>
  <si>
    <t>SKL/PO/NT/25/00310</t>
  </si>
  <si>
    <t>PT. SKL DO 1280 (PO  25 00310) 01.xlsm</t>
  </si>
  <si>
    <t>PT. SDS DO 1281 (PO  4500414687) 07.xlsm</t>
  </si>
  <si>
    <t>PT. PPI DO 1282 (PO  4714046037) 07.xlsm</t>
  </si>
  <si>
    <t>SKL/PO/NT/25/00336</t>
  </si>
  <si>
    <t>PT. SKL DO 1283 (PO  25 00336) 01.xlsm</t>
  </si>
  <si>
    <t>07 - PARTIAL - N10,29</t>
  </si>
  <si>
    <t>PT. AGRO M DO 1284 (PO  25 00345) 07 - PARTIAL - N10,29.xlsm</t>
  </si>
  <si>
    <t>PTAM/PO/NT/25/00431</t>
  </si>
  <si>
    <t>PT. AGRO M DO 1285 (PO  25 00431) 07 - PARTIAL - N1.xlsm</t>
  </si>
  <si>
    <t>01 - PARTIAL - N12,13</t>
  </si>
  <si>
    <t>PT. AGRO M DO 1286 (PO  25 00362) 01 - PARTIAL - N12,13.xlsm</t>
  </si>
  <si>
    <t>PT. SDS DO 1287 (PO  4500414492) 07.xlsm</t>
  </si>
  <si>
    <t xml:space="preserve"> KIP/PO/NT/25/00282</t>
  </si>
  <si>
    <t>PT. KIP DO 1288 (PO  25 00282) 01.xlsm</t>
  </si>
  <si>
    <t>PT. SDS DO 1289 (PO  4500414687) 07.xlsm</t>
  </si>
  <si>
    <t>01 - PARTIAL COMPLETE - N4</t>
  </si>
  <si>
    <t>01  - PARTIAL COMPLETE - N4</t>
  </si>
  <si>
    <t>PT. SJIO DO 1290 (PO  435) 01  - PARTIAL COMPLETE - N4.xlsm</t>
  </si>
  <si>
    <t>PT. PPI DO 1291 (PO  4714046073) 07.xlsm</t>
  </si>
  <si>
    <t>01 - PARTIAL - N3,4</t>
  </si>
  <si>
    <t>PT. PPI DO 1272 (PO  4714045796) REV 1 01 - PARTIAL - N3,4.xlsm</t>
  </si>
  <si>
    <t>01 - PARTIAL - N1,2</t>
  </si>
  <si>
    <t>PT. PPI DO 1292 (PO  4714045796) REV 1 01 - PARTIAL - N1,2.xlsm</t>
  </si>
  <si>
    <t xml:space="preserve"> KIP/PO/NT/25/00280</t>
  </si>
  <si>
    <t>PT. KIP DO 1293 (PO  25 00280) 01.xlsm</t>
  </si>
  <si>
    <t xml:space="preserve"> KIP/PO/NT/25/00281</t>
  </si>
  <si>
    <t>PT. KIP DO 1294 (PO  25 00281) 01.xlsm</t>
  </si>
  <si>
    <t>PT. SWP DO 1295 (PO  4000293614) 07.xlsm</t>
  </si>
  <si>
    <t>01 - PARTIAL - N25</t>
  </si>
  <si>
    <t>PT. AGRO M DO 1296 (PO  25 00362) 01 - PARTIAL - N25.xlsm</t>
  </si>
  <si>
    <t xml:space="preserve"> DO 1322 (PO  ) 01.xlsm</t>
  </si>
  <si>
    <t xml:space="preserve"> KIP/PO/NT/25/00307</t>
  </si>
  <si>
    <t>PT. KIP DO 1323 (PO  25 00307) 01.xlsm</t>
  </si>
  <si>
    <t>01 - DO SEMENTARA</t>
  </si>
  <si>
    <t>PT. SJIO DO 1324 (PO   ) '01 - DO SEMENTARA.xlsm</t>
  </si>
  <si>
    <t xml:space="preserve"> DO 1325 (PO  ) 07.xlsm</t>
  </si>
  <si>
    <t>527/IW-PO/VI/2025</t>
  </si>
  <si>
    <t xml:space="preserve"> DO 1326 (PO  ) 07.xlsm</t>
  </si>
  <si>
    <t xml:space="preserve">07 - DELIVERY 1 : 1 PCS (18 JUNI 2025), </t>
  </si>
  <si>
    <t>PT. SKL DO 1326 (PO   VI 2025) 07.xlsm</t>
  </si>
  <si>
    <t>SKL/PO/NT/25/00370</t>
  </si>
  <si>
    <t>PT. SKL DO 1327 (PO  25 00370) 01.xlsm</t>
  </si>
  <si>
    <t>07 - PERGANTIAN</t>
  </si>
  <si>
    <t>PT. SDS DO 1328 (PO  4500414687) 07 - PERGANTIAN.xlsm</t>
  </si>
  <si>
    <t xml:space="preserve"> DO 1329 (PO  ) 07.xlsm</t>
  </si>
  <si>
    <t xml:space="preserve"> DO 1330 (PO  ) 07.xlsm</t>
  </si>
  <si>
    <t xml:space="preserve"> DO 1331 (PO  ) '07 - PARTIAL - N1.xlsm</t>
  </si>
  <si>
    <t xml:space="preserve"> DO 1332 (PO  ) '07 - PARTIAL - N2.xlsm</t>
  </si>
  <si>
    <t>07 - PARTIAL - N6,7,8</t>
  </si>
  <si>
    <t xml:space="preserve"> DO 1333 (PO  ) '07 - PARTIAL - N6,7,8.xlsm</t>
  </si>
  <si>
    <t xml:space="preserve"> DO 1334 (PO  ) 01.xlsm</t>
  </si>
  <si>
    <t>07 COMPLETE N1</t>
  </si>
  <si>
    <t xml:space="preserve"> DO 1335 (PO  ) '07 COMPLETE N1.xlsm</t>
  </si>
  <si>
    <t>PT. YORGO ANUGERAH NUSANTARA</t>
  </si>
  <si>
    <t>PT. YORGO DO 1336 (PO  251002444) 01.xlsm</t>
  </si>
  <si>
    <t>SKL/PO/NT/25/00390</t>
  </si>
  <si>
    <t xml:space="preserve">JL B ZEIN HAMID KM 7.8 LK. I, KEDAI DURIAN, </t>
  </si>
  <si>
    <t>MEDAN JOHOR, KOTA MEDAN, SUMATERA UTARA, 20145</t>
  </si>
  <si>
    <t>PT. SKL DO 1337 (PO  25 00390) 01.xlsm</t>
  </si>
  <si>
    <t>PT. PPI DO 1338 (PO  4714046130) 01.xlsm</t>
  </si>
  <si>
    <t>PT. PPI DO 1339 (PO  4714046127) 01.xlsm</t>
  </si>
  <si>
    <t>PT. PPI DO 1340 (PO  4714046298) 01.xlsm</t>
  </si>
  <si>
    <t xml:space="preserve"> SKL/PO/NT/25/00416</t>
  </si>
  <si>
    <t>PT. SKL DO 1341 (PO  25 00416) 01.xlsm</t>
  </si>
  <si>
    <t>PT. ARM DO 1342 (PO  25900792) 07.xlsm</t>
  </si>
  <si>
    <t>PT. ARM DO 1343 (PO  25900839) 07.xlsm</t>
  </si>
  <si>
    <t>PT. ARM DO 1344 (PO  25900824) 01 - PARTIAL COMPLETE - N1.xlsm</t>
  </si>
  <si>
    <t xml:space="preserve"> PTAM/PO/NT/25/00493</t>
  </si>
  <si>
    <t>PT. AGRO M DO 1345 (PO  25 00493) 07.xlsm</t>
  </si>
  <si>
    <t>PT. SDS DO 1346 (PO  4500417082) 07.xlsm</t>
  </si>
  <si>
    <t>PT. PPI DO 1347 (PO  4714046127) 01 - PARTIAL COMPLETE - N4.xlsm</t>
  </si>
  <si>
    <t>07 - PARTIAL COMPLETE - N1,2,3,4,5</t>
  </si>
  <si>
    <t>PT. ARM DO 1348 (PO  25900742) 07 - PARTIAL COMPLETE - N1,2,3,4,5.xlsm</t>
  </si>
  <si>
    <t>PT. ARM DO 1349 (PO  25900924) 07.xlsm</t>
  </si>
  <si>
    <t>07 - PARTIAL - N2,3,5</t>
  </si>
  <si>
    <t>PT. ARM DO 1350 (PO  25900908) 07 - PARTIAL - N2,3,5.xlsm</t>
  </si>
  <si>
    <t>PT. ARM DO 1351 (PO  25900909) 01.xlsm</t>
  </si>
  <si>
    <t>PT. SWP DO 1352 (PO  4000289619) 07.xlsm</t>
  </si>
  <si>
    <t>PT. ARM DO 1353 (PO  25900926) 07.xlsm</t>
  </si>
  <si>
    <t>PT. SDS DO 1354 (PO  4500417910) 07.xlsm</t>
  </si>
  <si>
    <t>PT. ARM DO 1355 (PO  25900908) 07 - PARTIAL - N1.xlsm</t>
  </si>
  <si>
    <t>SJIO/BOILER/PO/2506/0640</t>
  </si>
  <si>
    <t>PT. SJIO DO 1356 (PO  640) 01.xlsm</t>
  </si>
  <si>
    <t>PT. ARM DO 1357 (PO  25900907) 07 - PARTIAL - N1.xlsm</t>
  </si>
  <si>
    <t>PT. ARM DO 1358 (PO  25900948) 07.xlsm</t>
  </si>
  <si>
    <t>SJIO/TANK/PO/2505/0454</t>
  </si>
  <si>
    <t>PT. SJIO DO 1359 (PO  454) 01.xlsm</t>
  </si>
  <si>
    <t>PT. ARM DO 1357 (PO  25900907) REV 1 07 - PARTIAL - N1.xlsm</t>
  </si>
  <si>
    <t>07 - PARTIAL - N1,2,3</t>
  </si>
  <si>
    <t>PT. PPI DO 1360 (PO  4714046439) 07 - PARTIAL - N1,2,3.xlsm</t>
  </si>
  <si>
    <t>01 - PARTIAL - N1</t>
  </si>
  <si>
    <t>PT. PPI DO 1361 (PO  4714046355) 01 - PARTIAL - N1.xlsm</t>
  </si>
  <si>
    <t>SKL/PO/NT/25/00421</t>
  </si>
  <si>
    <t>PT. SKL DO 1362 (PO  25 00421) 01.xlsm</t>
  </si>
  <si>
    <t>SJIO/REF/PO/2507/0667</t>
  </si>
  <si>
    <t>PT. SJIO DO 1363 (PO  667) 01.xlsm</t>
  </si>
  <si>
    <t>07 - BARANG PERGANTIAN</t>
  </si>
  <si>
    <t>PT. AGRO M DO 1364 (PO  25 00405) 07 - BARANG PERGANTIAN.xlsm</t>
  </si>
  <si>
    <t>PT. ARM DO 1365 (PO  25900955) 07.xlsm</t>
  </si>
  <si>
    <t>PT. ARM DO 1366 (PO  25900956) 07.xlsm</t>
  </si>
  <si>
    <t>PT. ARM DO 1367 (PO  25900907) 07 - PARTIAL - N1.xlsm</t>
  </si>
  <si>
    <t>07 - PARTIAL - N4</t>
  </si>
  <si>
    <t>PT. ARM DO 1368 (PO  25900908) 07 - PARTIAL - N4.xlsm</t>
  </si>
  <si>
    <t>07 - PARTIAL - N2,3</t>
  </si>
  <si>
    <t>07 - PARTIAL - N2,3 ; rev1 : penambahan connector</t>
  </si>
  <si>
    <t>PT. ARM DO 1367 (PO  25900907) REV 1 07 - PARTIAL - N2,3.xlsm</t>
  </si>
  <si>
    <t xml:space="preserve"> KIP/PO/NT/25/00321</t>
  </si>
  <si>
    <t>PT. KIP DO 1369 (PO  25 00321) 01.xlsm</t>
  </si>
  <si>
    <t>01 - SEMENTARA - URGENT</t>
  </si>
  <si>
    <t>PT. SKL DO 1370 (PO   ) 01 - SEMENTARA - URGENT.xlsm</t>
  </si>
  <si>
    <t>07 - PARTIAL COMPLETE - N4</t>
  </si>
  <si>
    <t>PT. PPI DO 1371 (PO  4714046439) 07 - PARTIAL COMPLETE - N4.xlsm</t>
  </si>
  <si>
    <t>PT. PPI DO 1372 (PO  4714046355) 01.xlsm</t>
  </si>
  <si>
    <t>01 - PARTIAL - N3</t>
  </si>
  <si>
    <t>PT. PPI DO 1373 (PO  4714046496) 01 - PARTIAL - N3.xlsm</t>
  </si>
  <si>
    <t>PT. EKA SARANA BERJAYA</t>
  </si>
  <si>
    <t>ESABE - gudang mekanik Sinunukan</t>
  </si>
  <si>
    <t>03/PO-ESABE/VII/2025</t>
  </si>
  <si>
    <t xml:space="preserve"> DO 1374 (PO  ) 01.xlsm</t>
  </si>
  <si>
    <t>04/PO-ESABE/VII/2025</t>
  </si>
  <si>
    <t xml:space="preserve"> DO 1375 (PO  ) 01.xlsm</t>
  </si>
  <si>
    <t>PT. SWP DO 1376 (PO  4000298388) 07.xlsm</t>
  </si>
  <si>
    <t>PT. ARM DO 1377 (PO  25900981) 07.xlsm</t>
  </si>
  <si>
    <t>07 - PARTIAL - N3,N4(-2PCS)</t>
  </si>
  <si>
    <t>PT. ARM DO 1378 (PO  25900995) 07 - PARTIAL - N3,N4(-2PCS).xlsm</t>
  </si>
  <si>
    <t>PT. ARM DO 1379 (PO  25900995) 07 - PARTIAL - N3,N4(-2PCS).xlsm</t>
  </si>
  <si>
    <t>SKL/PO/NT/25/00402</t>
  </si>
  <si>
    <t>PT. SKL DO 1380 (PO  25 00402) 01.xlsm</t>
  </si>
  <si>
    <t>07 - PARTIAL - 1,2,3,4,5,6(-10PCS),7,8,9,10,11,12,14,15,16,17,18,19,22,23,24,25,26,27,28,29,30,31,32,33,34,35</t>
  </si>
  <si>
    <t>PT. ARM DO 1381 (PO  25900942) 07 - PARTIAL - 1,2,3,4,5,6(-10PCS),7,8,9,10,11,12,14,15,16,17,18,19,22,23,24,25,26,27,28,29,30,31,32,33,34,35.xlsm</t>
  </si>
  <si>
    <t>01 - PARTIAL - N1(-1PCS), N2</t>
  </si>
  <si>
    <t>PT. PPI DO 1382 (PO  4714046496) 01 - PARTIAL - N1(-1PCS), N2.xlsm</t>
  </si>
  <si>
    <t>PT. ARM DO 1383 (PO  25900995) 07 - PARTIAL - N1.xlsm</t>
  </si>
  <si>
    <t>PT. ARM DO 1384 (PO  25900925) 07.xlsm</t>
  </si>
  <si>
    <t>PT. ARM DO 1385 (PO  25900791) 07.xlsm</t>
  </si>
  <si>
    <t>PT. ARM DO 1386 (PO  25901049) 07.xlsm</t>
  </si>
  <si>
    <t>None</t>
  </si>
  <si>
    <t>hanya sebagai bukti terima</t>
  </si>
  <si>
    <t>hanya sebagai bukti terima RING ROTARY</t>
  </si>
  <si>
    <t>PT. SWP DO 1387 (PO  None) hanya sebagai bukti terima RING ROTARY.xlsm</t>
  </si>
  <si>
    <t>PT. ARM DO 1388 (PO  25901065) 07.xlsm</t>
  </si>
  <si>
    <t>PT. ARM DO 1389 (PO  25901058) 01.xlsm</t>
  </si>
  <si>
    <t>PT. ARM DO 1390 (PO  25901027) 01.xlsm</t>
  </si>
  <si>
    <t>01 - PENGGANTI ITEM SALAH</t>
  </si>
  <si>
    <t xml:space="preserve"> DO 1391 (PO  ) 01 - PENGGANTI ITEM SALAH.xlsm</t>
  </si>
  <si>
    <t>DO SEMENTARA - PO BLM ADA</t>
  </si>
  <si>
    <t>PT. KIP DO 1392 (PO   ) DO SEMENTARA - PO BLM ADA.xlsm</t>
  </si>
  <si>
    <t>PTAM/PO/NT/25/00594</t>
  </si>
  <si>
    <t>PT. AGRO M DO 1393 (PO  25 00594) 01 - PARTIAL - N2.xlsm</t>
  </si>
  <si>
    <t>PT. ARM DO 1394 (PO  25900995) 07 - PARTIAL COMPLETE - N2.xlsm</t>
  </si>
  <si>
    <t>01 - PARTIAL COMPLETE - N3</t>
  </si>
  <si>
    <t>PT. PPI DO 1395 (PO  4714046355) 07 - PARTIAL COMPLETE - N2.xlsm</t>
  </si>
  <si>
    <t>PO/DM/2025/00252</t>
  </si>
  <si>
    <t xml:space="preserve"> DO 1396 (PO  ) 01.xlsm</t>
  </si>
  <si>
    <t xml:space="preserve"> SKL/PO/NT/25/00460</t>
  </si>
  <si>
    <t>PT. SKL DO 1397 (PO  25 00460) 01.xlsm</t>
  </si>
  <si>
    <t>PT. AGRO M DO 1398 (PO  25 00594) 01 - PARTIAL COMPLETE - N1.xlsm</t>
  </si>
  <si>
    <t>PT. SWP DO 1387 (PO  4000302971) 07.xlsm</t>
  </si>
  <si>
    <t>PT. ARM DO 1388 (PO  25901065) REV 1 07.xlsm</t>
  </si>
  <si>
    <t>PT. ARM DO 1394 (PO  25900995) REV 1 07 - PARTIAL COMPLETE - N2.xlsm</t>
  </si>
  <si>
    <t>07 - PARTIAL COMPLETE - N4(2PCS)</t>
  </si>
  <si>
    <t>PT. ARM DO 1399 (PO  25900787) 07 - PARTIAL COMPLETE - N2.xlsm</t>
  </si>
  <si>
    <t>PT. ARM DO 1400 (PO  25901035) 07.xlsm</t>
  </si>
  <si>
    <t>PT. ARM DO 1401 (PO  25901019) 07.xlsm</t>
  </si>
  <si>
    <t>PT. ARM DO 1402 (PO  25900995) 07 - PARTIAL COMPLETE - N4(2PCS).xlsm</t>
  </si>
  <si>
    <t>07 - PARTIAL COMPLETE - N2,4(2PCS)</t>
  </si>
  <si>
    <t>PT. ARM DO 1402 (PO  25900995) REV 1 07 - PARTIAL COMPLETE - N2,4(2PCS).xlsm</t>
  </si>
  <si>
    <t>PT. PRIMA SAUHUR LESTARI</t>
  </si>
  <si>
    <t xml:space="preserve"> DO 1403 (PO  )  .xlsm</t>
  </si>
  <si>
    <t xml:space="preserve"> KIP/PO/NT/25/00337</t>
  </si>
  <si>
    <t>PT. KIP DO 1404 (PO  25 00337) 01.xlsm</t>
  </si>
  <si>
    <t>PO/DM/2025/00260</t>
  </si>
  <si>
    <t xml:space="preserve"> DO 1405 (PO  ) 01.xlsm</t>
  </si>
  <si>
    <t>PT. SWP DO 1406 (PO  4000293835) 07.xlsm</t>
  </si>
  <si>
    <t>PT. SWP DO 1407 (PO  4000290758) 07.xlsm</t>
  </si>
  <si>
    <t xml:space="preserve"> KIP/PO/NT/25/00330</t>
  </si>
  <si>
    <t>PT. KIP DO 1408 (PO  25 00330) 01.xlsm</t>
  </si>
  <si>
    <t>01 - PARTIAL COMPLETE - N1,6</t>
  </si>
  <si>
    <t>PT. SKL DO 1409 (PO  25 00460) 01 - PARTIAL COMPLETE - N1,6.xlsm</t>
  </si>
  <si>
    <t>SKL/PO/NT/25/00446</t>
  </si>
  <si>
    <t>PT. SKL DO 1410 (PO  25 00446) 01.xlsm</t>
  </si>
  <si>
    <t>PT. ARM DO 1412 (PO   ) 01.xlsm</t>
  </si>
  <si>
    <t>KIP/PO/NT/25/00332</t>
  </si>
  <si>
    <t>;</t>
  </si>
  <si>
    <t>PT. KIP DO 1413 (PO  25 00332) 01.xlsm</t>
  </si>
  <si>
    <t xml:space="preserve"> KIP/PO/NT/25/00303</t>
  </si>
  <si>
    <t>PT. KIP DO 1414 (PO  25 00303) 01.xlsm</t>
  </si>
  <si>
    <t xml:space="preserve"> SKL/PO/NT/25/00465</t>
  </si>
  <si>
    <t>PT. SKL DO 1415 (PO  25 00465) 01.xlsm</t>
  </si>
  <si>
    <t xml:space="preserve"> DO 1416 (PO  ) 01.xlsm</t>
  </si>
  <si>
    <t>624/IW-PO/VII/2025 REV</t>
  </si>
  <si>
    <t xml:space="preserve"> DO 1417 (PO  ) 07.xlsm</t>
  </si>
  <si>
    <t>PT. PPI DO 1418 (PO  4714046496) 01.xlsm</t>
  </si>
  <si>
    <t>PT. ARM DO 1419 (PO  25900952) 07.xlsm</t>
  </si>
  <si>
    <t>07 - PARTIAL COMPLETE - N6(10PCS),13,20,21</t>
  </si>
  <si>
    <t>PT. ARM DO 1420 (PO  25900942) 07 - PARTIAL COMPLETE - N6(10PCS),13,20,21.xlsm</t>
  </si>
  <si>
    <t>BAUT STUT 3/8" X 20MM - (HS CODE : 73181590)</t>
  </si>
  <si>
    <t>BAUT DAN MUR M14X 60 SS FULL DRAT + RING PER SS - (HS CODE : 73181590)</t>
  </si>
  <si>
    <t>PT. ARM DO 1421 (PO   ) DO SEMENTARA.xlsm</t>
  </si>
  <si>
    <t>PT. ARM DO 1422 (PO   ) DO SEMENTARA.xlsm</t>
  </si>
  <si>
    <t>PT. ARM DO 1423 (PO   ) DO SEMENTARA.xlsm</t>
  </si>
  <si>
    <t>PT. ARM DO 1424 (PO   ) DO SEMENTARA.xlsm</t>
  </si>
  <si>
    <t>DO SEMENTARA - N1 (-7PCS, TOTAL 10PCS)</t>
  </si>
  <si>
    <t>PT. ARM DO 1412 (PO  25901106) 01.xlsm</t>
  </si>
  <si>
    <t>PT. ARM DO 1421 (PO  25901117) 07.xlsm</t>
  </si>
  <si>
    <t>PT. ARM DO 1422 (PO  25901116) 07.xlsm</t>
  </si>
  <si>
    <t>07 - N1 (-7PCS, TOTAL 10PCS), N2,N4</t>
  </si>
  <si>
    <t>PT. ARM DO 1424 (PO  25901096) 07 - N1 (-7PCS, TOTAL 10PCS), N2,N4.xlsm</t>
  </si>
  <si>
    <t>SKL/PO/NT/25/00489</t>
  </si>
  <si>
    <t>PT. SKL DO 1425 (PO  25 00489) 01.xlsm</t>
  </si>
  <si>
    <t xml:space="preserve"> SKL/PO/NT/25/00495</t>
  </si>
  <si>
    <t>PT. SKL DO 1426 (PO  25 00495) 01.xlsm</t>
  </si>
  <si>
    <t>PT. ARM DO 1423 (PO  25901127) 07.xlsm</t>
  </si>
  <si>
    <t>SKL/PO/NT/25/00503</t>
  </si>
  <si>
    <t>PT. SKL DO 1427 (PO  25 00503) 01.xlsm</t>
  </si>
  <si>
    <t>PT. SKL DO 1428 (PO   ) DO SEMENTARA.xlsm</t>
  </si>
  <si>
    <t>07 - PARTIAL COMPLETE - N3</t>
  </si>
  <si>
    <t>PT. ARM DO 1429 (PO  25901096) 07 - PARTIAL COMPLETE - N3.xlsm</t>
  </si>
  <si>
    <t>PT. ARM DO 1430 (PO  25901103) 07.xlsm</t>
  </si>
  <si>
    <t>07 - PARTIAL COMPLETE -  +1PCS</t>
  </si>
  <si>
    <t xml:space="preserve"> DO 1431 (PO  ) 07 - PARTIAL COMPLETE -  +1PCS.xlsm</t>
  </si>
  <si>
    <t>15/PO-ESABE/VII/2025</t>
  </si>
  <si>
    <t>01 - BERSAMAAN DENGAN KEKURANGAN 1 BOTOL AIR AKI DO 1411 (12/PO-ESABE/VII/2025)</t>
  </si>
  <si>
    <t xml:space="preserve"> DO 1432 (PO  ) 01.xlsm</t>
  </si>
  <si>
    <t>01/PO-ESABE/VIII/2025</t>
  </si>
  <si>
    <t xml:space="preserve"> DO 1433 (PO  ) 01.xlsm</t>
  </si>
  <si>
    <t>07 - PATIAL COMPLETE - N1 (+7SET)</t>
  </si>
  <si>
    <t>PT. ARM DO 1434 (PO  25901096) 07 - PATIAL COMPLETE - N1 (+7SET).xlsm</t>
  </si>
  <si>
    <t>PT. PPI DO 1435 (PO  4714046813) 01.xlsm</t>
  </si>
  <si>
    <t>PT. PPI DO 1436 (PO  4714046794) 01.xlsm</t>
  </si>
  <si>
    <t>SKL/PO/NT/25/00522</t>
  </si>
  <si>
    <t>PT. SKL DO 1428 (PO  25 00522) 01.xlsm</t>
  </si>
  <si>
    <t>SKL/PO/NT/25/00517</t>
  </si>
  <si>
    <t>PT. SKL DO 1370 (PO  25 00517) 01.xlsm</t>
  </si>
  <si>
    <t>SEMENTARA - URGENT</t>
  </si>
  <si>
    <t>PT. ARM DO 1437 (PO   ) SEMENTARA - URGENT.xlsm</t>
  </si>
  <si>
    <t>SKL/PO/NT/25/00527</t>
  </si>
  <si>
    <t>PT. SKL DO 1438 (PO  25 00527) 01.xlsm</t>
  </si>
  <si>
    <t>PT. ARM DO 1439 (PO   ) 01 - SEMENTARA - URGENT.xlsm</t>
  </si>
  <si>
    <t>01 - PARTIAL COMPLETE</t>
  </si>
  <si>
    <t>PT. PPI DO 1440 (PO  4714045796) 01 - PARTIAL COMPLETE.xlsm</t>
  </si>
  <si>
    <t>PT. PPI DO 1441 (PO  4714045796) 01 - PARTIAL COMPLETE.xlsm</t>
  </si>
  <si>
    <t>PT. ARM DO 1442 (PO  25901238) 01.xlsm</t>
  </si>
  <si>
    <t>01 - SEMENTARA</t>
  </si>
  <si>
    <t>PT. ARM DO 1443 (PO   ) 01 - SEMENTARA.xlsm</t>
  </si>
  <si>
    <t xml:space="preserve"> SJIO/TANK/PO/2508/0862</t>
  </si>
  <si>
    <t>PT. SJIO DO 1444 (PO  862) 01.xlsm</t>
  </si>
  <si>
    <t>PT. ARM DO 1445 (PO  25901232) 07.xlsm</t>
  </si>
  <si>
    <t>PT. ARM DO 1446 (PO  25901233) 07.xlsm</t>
  </si>
  <si>
    <t>SJIO/REF/PO/2508/0834</t>
  </si>
  <si>
    <t>PT. SJIO DO 1447 (PO  834) 01.xlsm</t>
  </si>
  <si>
    <t>PT. ARM DO 1448 (PO  25901209) 01.xlsm</t>
  </si>
  <si>
    <t>KIP/PO/NT/25/00298</t>
  </si>
  <si>
    <t>PT. KIP DO 1449 (PO  25 00298) 01.xlsm</t>
  </si>
  <si>
    <t>PT. SWP DO 1450 (PO  4000300015) 07.xlsm</t>
  </si>
  <si>
    <t>PT. SWP DO 1451 (PO  4000300278) 07.xlsm</t>
  </si>
  <si>
    <t>PT. SWP DO 1452 (PO  4000299720) 07.xlsm</t>
  </si>
  <si>
    <t>PT. ARM DO 1437 (PO  25901203) 01.xlsm</t>
  </si>
  <si>
    <t>PT. ARM DO 1439 (PO  25901201) 01.xlsm</t>
  </si>
  <si>
    <t>PT. ARM DO 1453 (PO  25901221) 07.xlsm</t>
  </si>
  <si>
    <t>PT. ARM DO 1454 (PO  25901153) 01.xlsm</t>
  </si>
  <si>
    <t>SJIO/REF/PO/2508/0940</t>
  </si>
  <si>
    <t>01 - PARTIAL - N6,7,8,9,10,11</t>
  </si>
  <si>
    <t>PT. SJIO DO 1455 (PO  940) 01 - PARTIAL - N6,7,8,9,10,11.xlsm</t>
  </si>
  <si>
    <t>01 - PARTIAL - N1,2,3,5,6</t>
  </si>
  <si>
    <t>SJIO/REF/PO/2508/0944</t>
  </si>
  <si>
    <t>PT. SJIO DO 1456 (PO  944) 01 - PARTIAL - N1,2,3,5,6.xlsm</t>
  </si>
  <si>
    <t>EKSPEDISI</t>
  </si>
  <si>
    <t>DO UNTUK EKSPEDISI</t>
  </si>
  <si>
    <t>PT. SJIO DO 1457 (PO  ISI) DO UNTUK EKSPEDISI.xlsm</t>
  </si>
  <si>
    <t>PT. SWP DO 1457 (PO  EKSPEDISI) DO UNTUK EKSPEDISI.xlsm</t>
  </si>
  <si>
    <t>PT. SJIO DO 1458 (PO  940) 01 - PARTIAL - N3,4.xlsm</t>
  </si>
  <si>
    <t xml:space="preserve"> SKL/PO/NT/25/00561</t>
  </si>
  <si>
    <t>PT. SKL DO 1459 (PO  25 00561) 01.xlsm</t>
  </si>
  <si>
    <t>SKL/PO/NT/25/00585</t>
  </si>
  <si>
    <t>PT. SKL DO 1460 (PO  25 00585) 01.xlsm</t>
  </si>
  <si>
    <t>PT. PPI DO 1461 (PO  4714046991) 07.xlsm</t>
  </si>
  <si>
    <t>PT. ARM DO 1462 (PO  45896) 01.xlsm</t>
  </si>
  <si>
    <t>PT. ARM DO 1462 (PO  25901255) 01.xlsm</t>
  </si>
  <si>
    <t>01 - PARTIAL COMPLETE - N4,7</t>
  </si>
  <si>
    <t>PT. SKL DO 1463 (PO  508 0944) 01 - PARTIAL COMPLETE - N4,7.xlsm</t>
  </si>
  <si>
    <t>PT. SJIO DO 1463 (PO  944) 01 - PARTIAL COMPLETE - N4,7.xlsm</t>
  </si>
  <si>
    <t xml:space="preserve"> KIP/PO/NT/25/00419</t>
  </si>
  <si>
    <t>PT. KIP DO 1464 (PO  25 00419) 01.xlsm</t>
  </si>
  <si>
    <t xml:space="preserve"> KIP/PO/NT/25/00375</t>
  </si>
  <si>
    <t>PT. KIP DO 1465 (PO  25 00375) 01.xlsm</t>
  </si>
  <si>
    <t>PT. ARM DO 1466 (PO  25901275) 07.xlsm</t>
  </si>
  <si>
    <t>PT. ARM DO 1467 (PO  25901216) 01 - PARTIAL - N2.xlsm</t>
  </si>
  <si>
    <t>01 - PARTIAL - N5</t>
  </si>
  <si>
    <t>PT. SJIO DO 1468 (PO  940) 01 - PARTIAL - N5.xlsm</t>
  </si>
  <si>
    <t xml:space="preserve"> SKL/PO/NT/25/00572</t>
  </si>
  <si>
    <t>PT. SKL DO 1469 (PO  25 00572) 01.xlsm</t>
  </si>
  <si>
    <t>PO/DM/2025/00294</t>
  </si>
  <si>
    <t xml:space="preserve"> DO 1470 (PO  ) 01.xlsm</t>
  </si>
  <si>
    <t xml:space="preserve"> SKL/PO/NT/25/00567</t>
  </si>
  <si>
    <t>PT. SKL DO 1471 (PO  25 00567) 01.xlsm</t>
  </si>
  <si>
    <t>01/PO-ESABE/IX/2025</t>
  </si>
  <si>
    <t>01 - PARTIAL - N4,5,6,7,8</t>
  </si>
  <si>
    <t xml:space="preserve"> DO 1472 (PO  ) 01 - PARTIAL - N4,5,6,7,8.xlsm</t>
  </si>
  <si>
    <t>PTAM/PO/NT/25/00748</t>
  </si>
  <si>
    <t>PT. AGRO M DO 1473 (PO  25 00748) 01.xlsm</t>
  </si>
  <si>
    <t>SKL/PO/NT/25/00617</t>
  </si>
  <si>
    <t>PT. SKL DO 1474 (PO  25 00617) 01.xlsm</t>
  </si>
  <si>
    <t>SKL/PO/NT/25/00591</t>
  </si>
  <si>
    <t>PT. SKL DO 1475 (PO  25 00591) 01.xlsm</t>
  </si>
  <si>
    <t>SKL/PO/NT/25/00587</t>
  </si>
  <si>
    <t>PT. SKL DO 1476 (PO  25 00587) 01.xlsm</t>
  </si>
  <si>
    <t>01 - PARTIAL - N1,2,3,12,13,14,15</t>
  </si>
  <si>
    <t xml:space="preserve"> DO 1477 (PO  ) 01 - PARTIAL - N1,2,3,12,13,14,15.xlsm</t>
  </si>
  <si>
    <t>838/IW-PO/VIII/2025</t>
  </si>
  <si>
    <t xml:space="preserve"> DO 1478 (PO  ) 07.xlsm</t>
  </si>
  <si>
    <t>DO PENGIRIMAN BARANG UNTUK JASA</t>
  </si>
  <si>
    <t>836/IW-PO/VIII/2025</t>
  </si>
  <si>
    <t xml:space="preserve"> DO 1479 (PO  ) DO PENGIRIMAN BARANG UNTUK JASA.xlsm</t>
  </si>
  <si>
    <t>815/IW-PO/VIII/2025</t>
  </si>
  <si>
    <t xml:space="preserve"> DO 1480 (PO  ) 07.xlsm</t>
  </si>
  <si>
    <t>01 - PARTIAL COMPLETE - N9,10,11</t>
  </si>
  <si>
    <t xml:space="preserve"> DO 1481 (PO  ) 01 - PARTIAL COMPLETE - N9,10,11.xlsm</t>
  </si>
  <si>
    <t>PT. SJIO DO 1482 (PO  940) 01 - PARTIAL - N1.xlsm</t>
  </si>
  <si>
    <t>PT. SJIO DO 1483 (PO  940) 01 - PARTIAL - N2.xlsm</t>
  </si>
  <si>
    <t>PT. ARM DO 1484 (PO  25901327) 07.xlsm</t>
  </si>
  <si>
    <t>SJIO/TANK/PO/2508/0924</t>
  </si>
  <si>
    <t>PT. SJIO DO 1485 (PO  924) 01 - PARTIAL - N2.xlsm</t>
  </si>
  <si>
    <t>01 - PARTIAL - N1,6</t>
  </si>
  <si>
    <t>SJIO/PROJ/PO/2509/0996</t>
  </si>
  <si>
    <t>PT. SJIO DO 1486 (PO  SJIO PROJ PO 2509 0996) 01 - PARTIAL - N1,6.xlsm</t>
  </si>
  <si>
    <t>01 - PARTIAL - N1,3,4,5,7,8,,9,10</t>
  </si>
  <si>
    <t>PT. SJIO DO 1487 (PO  SJIO TANK PO 2508 0924) 01 - PARTIAL - N1,3,4,5,7,8,,9,10.xlsm</t>
  </si>
  <si>
    <t>SKL/PO/NT/25/00629</t>
  </si>
  <si>
    <t>PT. SKL DO 1488 (PO  25 00629) 01.xlsm</t>
  </si>
  <si>
    <t>SKL/PO/NT/25/00632</t>
  </si>
  <si>
    <t>PT. SKL DO 1489 (PO  25 00632) 01.xlsm</t>
  </si>
  <si>
    <t>KIP/PO/NT/25/00321</t>
  </si>
  <si>
    <t>DO PENGIRIMAN GANTI YANG SALAH</t>
  </si>
  <si>
    <t>PT. KIP DO 1490 (PO  25 00321) 01.xlsm</t>
  </si>
  <si>
    <t>01 - PARTIAL - N5,8</t>
  </si>
  <si>
    <t>PT. SJIO DO 1491 (PO  SJIO PROJ PO 2509 0996) 01 - PARTIAL - N5,8.xlsm</t>
  </si>
  <si>
    <t>PT. ARM DO 1492 (PO  25901328) 07 - PARTIAL - N1.xlsm</t>
  </si>
  <si>
    <t>SJIO/TANK/PO/2509/0977</t>
  </si>
  <si>
    <t>PT. SJIO DO 1493 (PO  SJIO TANK PO 2509 0977) 01.xlsm</t>
  </si>
  <si>
    <t>PT. ARM DO 1494 (PO  SEMENTARA) 01 - DO SEMENTARA.xlsm</t>
  </si>
  <si>
    <t>PT. ARM DO 1495 (PO  25901337) 01.xlsm</t>
  </si>
  <si>
    <t>Document No.</t>
  </si>
  <si>
    <t>Planned Receipt Date</t>
  </si>
  <si>
    <t>Buy-from Vendor Name</t>
  </si>
  <si>
    <t>Description</t>
  </si>
  <si>
    <t>Quantity</t>
  </si>
  <si>
    <t>Outstanding Qty</t>
  </si>
  <si>
    <t>Unit of Measure Code</t>
  </si>
  <si>
    <t>Buyer</t>
  </si>
  <si>
    <t>PR No.</t>
  </si>
  <si>
    <t>PR Requestor Name</t>
  </si>
  <si>
    <t>PO Approve Date</t>
  </si>
  <si>
    <t>Overdue (Day) </t>
  </si>
  <si>
    <t>PT AGRI PRIMA INDOTAMA</t>
  </si>
  <si>
    <t>NYLON CABLE TIE 200mm @200 pcs</t>
  </si>
  <si>
    <t>RAHMAT</t>
  </si>
  <si>
    <t>PTAM/PR/NT/25/00192</t>
  </si>
  <si>
    <t>CONSUMABLE USER</t>
  </si>
  <si>
    <t>18/4/2025</t>
  </si>
  <si>
    <t>CABLE TIE NYLON 2.5 X 300MM BLACK @100PCS /PACK</t>
  </si>
  <si>
    <t>CABLE TIE NYLON 2.5 X 100MM BLACK 100PCS/PACK</t>
  </si>
  <si>
    <t>GRINDING WHEELS 4 INCH 100x6x16mm (RYU)</t>
  </si>
  <si>
    <t>STUD BOLT HDG 5/8 INCH X 100MM(L)</t>
  </si>
  <si>
    <t>STUD BOLT HDG 3/4 INCH X 120MM(L)</t>
  </si>
  <si>
    <t>DOUBLE BOLT CLAMP FOR HOSE 2"</t>
  </si>
  <si>
    <t>DOUBLE BOLT CLAMP FOR HOSE 1"</t>
  </si>
  <si>
    <t>DOUBLE BOLT CLAMP FOR 3/4" HOSE</t>
  </si>
  <si>
    <t>BLM DIKIRIM</t>
  </si>
  <si>
    <t>STOCK TIDAK TERLACAK</t>
  </si>
  <si>
    <t>STOCK DUMAI</t>
  </si>
  <si>
    <t>STATUS PENGIRIMAN</t>
  </si>
  <si>
    <t>STOCK 3 DUMAI</t>
  </si>
  <si>
    <t>STATUS STOCK API</t>
  </si>
  <si>
    <t>STOCK KOSONG</t>
  </si>
  <si>
    <t>01 - PARTIAL - N2,3,4,7</t>
  </si>
  <si>
    <t>PT. SJIO DO 1496 (PO  SJIO PROJ PO 2509 0996) 01 - PARTIAL - N2,3,4,7.xlsm</t>
  </si>
  <si>
    <t>PT. SWP DO 1497 (PO  4000313851) 01.xlsm</t>
  </si>
  <si>
    <t>01 - PARTIAL - N5,7,9,11(-7PCS),14,17,19,21,23</t>
  </si>
  <si>
    <t>PT. AGRO M DO 1498 (PO  25 00362) 01 - PARTIAL - N5,7,9,11(-7PCS),14,17,19,21,23.xlsm</t>
  </si>
  <si>
    <t>KIP/PO/NT/25/00255</t>
  </si>
  <si>
    <t>01 - PARTIAL - N5,6,7</t>
  </si>
  <si>
    <t>PT. KIP DO 1499 (PO  25 00255) 01 - PARTIAL - N5,6,7.xlsm</t>
  </si>
  <si>
    <t>SKL/PO/NT/25/00653</t>
  </si>
  <si>
    <t>PT. SKL DO 1500 (PO  25 00653) 01.xlsm</t>
  </si>
  <si>
    <t xml:space="preserve"> DO 1501 (PO  ) 01.xlsm</t>
  </si>
  <si>
    <t xml:space="preserve"> DO 1502 (PO  ) 01.xlsm</t>
  </si>
  <si>
    <t xml:space="preserve"> SJIO/REF/PO/2509/1031</t>
  </si>
  <si>
    <t>01 - PARTIAL - N7,8,10,12,13,15,16</t>
  </si>
  <si>
    <t>PT. SJIO DO 1503 (PO   SJIO REF PO 2509 1031) 01 - PARTIAL - N7,8,10,12,13,15,16.xlsm</t>
  </si>
  <si>
    <t>01 - PARTIAL - N5,7,8,9</t>
  </si>
  <si>
    <t xml:space="preserve"> SJIO/TANK/PO/2509/1039</t>
  </si>
  <si>
    <t>PT. SJIO DO 1504 (PO   SJIO TANK PO 2509 1039) 01 - PARTIAL - N5,7,8,9.xlsm</t>
  </si>
  <si>
    <t>01 - PARTIAL - N1,4,5</t>
  </si>
  <si>
    <t xml:space="preserve"> SJIO/TANK/PO/2504/0355</t>
  </si>
  <si>
    <t>PT. SJIO DO 1505 (PO   SJIO TANK PO 2504 0355) 01 - PARTIAL - N1,4,5.xlsm</t>
  </si>
  <si>
    <t>PT. AGRO M DO 1506 (PO  25 00362) 01 - PARTIAL - N1.xlsm</t>
  </si>
  <si>
    <t>PT. ARM DO 1507 (PO  25901328) 07 - PARTIAL - N2.xlsm</t>
  </si>
  <si>
    <t>01 - PARTIAL - N5,7,8,10,12,13,15,16</t>
  </si>
  <si>
    <t>PT. SJIO DO 1503 (PO   SJIO REF PO 2509 1031) REV 1 01 - PARTIAL - N5,7,8,10,12,13,15,16.xlsm</t>
  </si>
  <si>
    <t>SJIO/TANK/PO/2509/1039</t>
  </si>
  <si>
    <t>PT. SJIO DO 1508 (PO  SJIO TANK PO 2509 1039) 01 - PARTIAL - N3.xlsm</t>
  </si>
  <si>
    <t>007/SATU/PO/IX/2025</t>
  </si>
  <si>
    <t>PT. SATU DO 1509 (PO 25 007) 01.xlsm</t>
  </si>
  <si>
    <t>01 - PARTIAL - N1,2,3,6,14</t>
  </si>
  <si>
    <t>SJIO/REF/PO/2509/1031</t>
  </si>
  <si>
    <t>PT. SJIO DO 1510 (PO  SJIO REF PO 2509 1031) 01 - PARTIAL - N1,2,3,6,14.xlsm</t>
  </si>
  <si>
    <t>01 - PARTIAL - N4</t>
  </si>
  <si>
    <t>PT. SJIO DO 1511 (PO  SJIO REF PO 2509 1031) 01 - PARTIAL - N4.xlsm</t>
  </si>
  <si>
    <t>PT. SJIO DO 1512 (PO  SJIO TANK PO 2509 1039) 01 - PARTIAL - N1,2.xlsm</t>
  </si>
  <si>
    <t>SJIO/TANK/PO/2504/0355</t>
  </si>
  <si>
    <t>01 - PARTIAL - N6</t>
  </si>
  <si>
    <t>PT. SJIO DO 1513 (PO  SJIO TANK PO 2504 0355) 01 - PARTIAL - N6.xlsm</t>
  </si>
  <si>
    <t>01 - PARTIAL - N9,11,19</t>
  </si>
  <si>
    <t>PT. SJIO DO 1515 (PO  SJIO TANK PO 2509 1039) 01 - PARTIAL - N4.xlsm</t>
  </si>
  <si>
    <t>PT. SJIO DO 1514 (PO  SJIO REF PO 2509 1031) 01 - PARTIAL - N9,11,17,18,19.xlsm</t>
  </si>
  <si>
    <t>KIP/PO/NT/25/00441</t>
  </si>
  <si>
    <t>PT. KIP DO 1516 (PO  25 00441) 01.xlsm</t>
  </si>
  <si>
    <t xml:space="preserve"> DO 1517 (PO  ) 01.xlsm</t>
  </si>
  <si>
    <t>PT. ARM DO 1518 (PO  25901398) 01.xlsm</t>
  </si>
  <si>
    <t>PT. SJIO DO 1519 (PO  SJIO TANK PO 2509 1039) 01 - PARTIAL - N6.xlsm</t>
  </si>
  <si>
    <t>PTAM/PO/NT/25/00024</t>
  </si>
  <si>
    <t>PT. AGRO M DO 1520 (PO  25 00024) 01.xlsm</t>
  </si>
  <si>
    <t>07 - PARTIAL PENGIRIMAN KE 2 - N4</t>
  </si>
  <si>
    <t>PT. AGRO M DO 1521 (PO  25 00024) 07 - PARTIAL PENGIRIMAN KE 2 - N4.xlsm</t>
  </si>
  <si>
    <t>PT. AGRO M DO 1521 (PO  25 00345) 07 - PARTIAL PENGIRIMAN KE 2 - N4.xlsm</t>
  </si>
  <si>
    <t>PT. PPI DO 1522 (PO  4714047349) 01.xlsm</t>
  </si>
  <si>
    <t>PT. PPI DO 1523 (PO  4714047304) 01.xlsm</t>
  </si>
  <si>
    <t>PT. PPI DO 1524 (PO  4714047353) 01.xlsm</t>
  </si>
  <si>
    <t>PT. ARM DO 1525 (PO  25901374) 01 - PARTIAL - N3,4.xlsm</t>
  </si>
  <si>
    <t>01 - PARTIAL - N5,6</t>
  </si>
  <si>
    <t>PT. ARM DO 1526 (PO  25901416) 01 - PARTIAL - N5,6.xlsm</t>
  </si>
  <si>
    <t>005/PO-ESABE/IX/2025</t>
  </si>
  <si>
    <t xml:space="preserve"> DO 1527 (PO  ) 01.xlsm</t>
  </si>
  <si>
    <t>984/IW-PO/IX/2025</t>
  </si>
  <si>
    <t xml:space="preserve"> DO 1528 (PO  ) 07.xlsm</t>
  </si>
  <si>
    <t>PT. ARM DO 1529 (PO  25901374) 01 - PARTIAL - N5.xlsm</t>
  </si>
  <si>
    <t>01 - PARTIAL - N1,2,5</t>
  </si>
  <si>
    <t>PT. ARM DO 1529 (PO  25901374) REV 1 01 - PARTIAL - N1,2,5.xlsm</t>
  </si>
  <si>
    <t>01 - PARTIAL - N3,4,7</t>
  </si>
  <si>
    <t>PT. ARM DO 1530 (PO  25901416) 01 - PARTIAL - N3,4,7.xlsm</t>
  </si>
  <si>
    <t>SKL/PO/NT/25/00698</t>
  </si>
  <si>
    <t>PT. SKL DO 1531 (PO  25 00698) 01.xlsm</t>
  </si>
  <si>
    <t>PTAM/PO/NT/25/00176</t>
  </si>
  <si>
    <t>PT. AGRO M DO 1532 (PO  25 00176) 01.xlsm</t>
  </si>
  <si>
    <t>PT. PPI DO 1533 (PO  4714047416) 01.xlsm</t>
  </si>
  <si>
    <t>002/PO-ESABE/X/2025</t>
  </si>
  <si>
    <t xml:space="preserve"> DO 1534 (PO  ) 01.xlsm</t>
  </si>
  <si>
    <t>01 - PARTIAL - N10(-16BOX), N11(COMPLETE)</t>
  </si>
  <si>
    <t>PT. AGRO M DO 1535 (PO  25 00362) 01 - PARTIAL - N10(-16BOX), N11(COMPLETE).xlsm</t>
  </si>
  <si>
    <t>01 - PARTIAL - N10(COMPLETE)</t>
  </si>
  <si>
    <t>PT. AGRO M DO 1536 (PO  25 00362) 01 - PARTIAL - N10(COMPLETE).xlsm</t>
  </si>
  <si>
    <t>PT. SKL DO 1537 (PO  EMENTARA) DO SEMENTARA.xlsm</t>
  </si>
  <si>
    <t>PTARM/PO/NT/25/00009</t>
  </si>
  <si>
    <t>PTARM/PO/NT/25/00026</t>
  </si>
  <si>
    <t>PT. ARM DO 1538 (PO  25 00009) 01.xlsm</t>
  </si>
  <si>
    <t>PT. ARM DO 1539 (PO  25 00026) 01.xlsm</t>
  </si>
  <si>
    <t>PTARM/PO/NT/25/00029</t>
  </si>
  <si>
    <t>PT. ARM DO 1540 (PO  25 00029) 07.xlsm</t>
  </si>
  <si>
    <t>SKL/PO/NT/25/00770</t>
  </si>
  <si>
    <t>PT. SKL DO 1541 (PO  25 00770) 01.xlsm</t>
  </si>
  <si>
    <t>SJIO/REF/PO/2510/1337</t>
  </si>
  <si>
    <t>01 - PARTIAL - N5,6,7,8</t>
  </si>
  <si>
    <t>PT. SJIO DO 1542 (PO  SJIO REF PO 2510 1337) 01 - PARTIAL - N5,6,7,8.xlsm</t>
  </si>
  <si>
    <t>PT. SJIO DO 1542 (PO  SJIO REF PO 2510 1337) REV 1 01.xlsm</t>
  </si>
  <si>
    <t>SJIO/BOILER/PO/2510/1246</t>
  </si>
  <si>
    <t>PT. SJIO DO 1543 (PO  SJIO BOILER PO 2510 1246) 01.xlsm</t>
  </si>
  <si>
    <t>PTARM/PO/NT/25/00005</t>
  </si>
  <si>
    <t>PT. ARM DO 1544 (PO  25 00005) 07.xlsm</t>
  </si>
  <si>
    <t>PT. SKL DO 1545 (PO  EMENTARA) 01.xlsm</t>
  </si>
  <si>
    <t>KIP/PO/NT/25/00537</t>
  </si>
  <si>
    <t>PT. KIP DO 1546 (PO  25 00537) 01.xlsm</t>
  </si>
  <si>
    <t>07 - PARTIAL (COMPLETED) - N1,2</t>
  </si>
  <si>
    <t>PT. ARM DO 1547 (PO  25901416) 07 - PARTIAL (COMPLETED) - N1,2.xlsm</t>
  </si>
  <si>
    <t>PTARM/PO/NT/25/00053</t>
  </si>
  <si>
    <t>PT. ARM DO 1548 (PO  25 00053) 01.xlsm</t>
  </si>
  <si>
    <t>01 - PARTIAL COMPLETE - N2,3</t>
  </si>
  <si>
    <t>PT. SJIO DO 1549 (PO  SJIO TANK PO 2504 0355) 01 - PARTIAL COMPLETE - N2,3.xlsm</t>
  </si>
  <si>
    <t>01 - PARTIAL COMPLETE - N6</t>
  </si>
  <si>
    <t>PT. SJIO DO 1550 (PO  SJIO TANK PO 2508 0924) 01 - PARTIAL COMPLETE - N6.xlsm</t>
  </si>
  <si>
    <t>SKL/PO/NT/25/00798</t>
  </si>
  <si>
    <t>PT. SKL DO 1551 (PO  25 00798) 01.xlsm</t>
  </si>
  <si>
    <t xml:space="preserve"> SKL/PO/NT/25/00820</t>
  </si>
  <si>
    <t>01 - PENGGANTI DO 1545</t>
  </si>
  <si>
    <t>PT. SKL DO 1552 (PO  25 00820) 01 - PENGGANTI DO 1545.xlsm</t>
  </si>
  <si>
    <t>01 - PENGGANTI 2 PCS RUSAK</t>
  </si>
  <si>
    <t>PT. KIP DO 1553 (PO  25 00441) 01 - PENGGANTI 2 PCS RUSAK.xlsm</t>
  </si>
  <si>
    <t>SKL/PO/NT/25/00794</t>
  </si>
  <si>
    <t>PTAM/PO/NT/25/00936</t>
  </si>
  <si>
    <t>PT. SKL DO 1554 (PO  25 00794) 01.xlsm</t>
  </si>
  <si>
    <t>PT. AGRO M DO 1555 (PO  25 00936) 07.xlsm</t>
  </si>
  <si>
    <t>01 - PARTIAL - N8,9</t>
  </si>
  <si>
    <t>SJIO/PROJ/PO/2510/1345</t>
  </si>
  <si>
    <t>PT. SJIO DO 1556 (PO  SJIO PROJ PO 2510 1345) 01 - PARTIAL - N8,9.xlsm</t>
  </si>
  <si>
    <t>SKL/PO/NT/25/00822</t>
  </si>
  <si>
    <t>PT. SKL DO 1557 (PO  25 00822) 01.xlsm</t>
  </si>
  <si>
    <t>SKL/PO/NT/25/00825</t>
  </si>
  <si>
    <t>PT. SKL DO 1558 (PO  25 00825) 01.xlsm</t>
  </si>
  <si>
    <t>01 - PARTIAL - 2,4,5,6,7,10</t>
  </si>
  <si>
    <t>PT. SJIO DO 1559 (PO  SJIO PROJ PO 2510 1345) 01 - PARTIAL - 2,4,5,6,7,10.xlsm</t>
  </si>
  <si>
    <t>SJIO/BOILER/PO/2510/1314</t>
  </si>
  <si>
    <t>PT. SJIO DO 1560 (PO  SJIO BOILER PO 2510 1314) 01.xlsm</t>
  </si>
  <si>
    <t>SJIO/BOILER/PO/2510/1320</t>
  </si>
  <si>
    <t>01 - PARTIAL - N7</t>
  </si>
  <si>
    <t>PT. SJIO DO 1561 (PO  SJIO BOILER PO 2510 1320) 01 - PARTIAL - N7.xlsm</t>
  </si>
  <si>
    <t>01 - PARTIAL - N1,3,4,5,6</t>
  </si>
  <si>
    <t>PT. SJIO DO 1562 (PO  SJIO BOILER PO 2510 1320) 01 - PARTIAL - N1,3,4,5,6.xlsm</t>
  </si>
  <si>
    <t>PTARM/PO/NT/25/00078</t>
  </si>
  <si>
    <t>PT. ARM DO 1563 (PO  25 00078) 01.xlsm</t>
  </si>
  <si>
    <t>PTARM/PO/NT/25/00073</t>
  </si>
  <si>
    <t>PT. ARM DO 1564 (PO  25 00073) 01.xlsm</t>
  </si>
  <si>
    <t>PTARM/PO/NT/25/00067</t>
  </si>
  <si>
    <t>PT. ARM DO 1565 (PO  25 00067) 01.xlsm</t>
  </si>
  <si>
    <t>01 - PARTIAL - N1,2,3,4,5,6</t>
  </si>
  <si>
    <t>PT. SJIO DO 1562 (PO  SJIO BOILER PO 2510 1320) 01 - PARTIAL - N1,2,3,4,5,6.xlsm</t>
  </si>
  <si>
    <t>01 - PARTIAL COMPLETE - N1,3,11</t>
  </si>
  <si>
    <t>SKL/PO/NT/25/00828</t>
  </si>
  <si>
    <t>PT. SJIO DO 1566 (PO  SJIO PROJ PO 2510 1345) 01 - PARTIAL COMPLETE - N1,3,11.xlsm</t>
  </si>
  <si>
    <t>PT. SKL DO 1567 (PO  25 00828) 01.xlsm</t>
  </si>
  <si>
    <t>PTARM/PO/NT/25/00087</t>
  </si>
  <si>
    <t>PT. ARM DO 1568 (PO  25 00087) 07.xlsm</t>
  </si>
  <si>
    <t>PTARM/PO/NT/25/00081</t>
  </si>
  <si>
    <t>PT. ARM DO 1569 (PO  25 00081) 07.xlsm</t>
  </si>
  <si>
    <t>PT. PPI DO 1570 (PO  4714047724) 01.xlsm</t>
  </si>
  <si>
    <t>SJIO/BOILER/PO/2511/1409</t>
  </si>
  <si>
    <t>PT. SJIO DO 1571 (PO  SJIO BOILER PO 2511 1409) 01.xlsm</t>
  </si>
  <si>
    <t>PTARM/PO/NT/25/00108</t>
  </si>
  <si>
    <t>PT. ARM DO 1572 (PO  25 00108) 01.xlsm</t>
  </si>
  <si>
    <t>PTARM/PO/NT/25/00120</t>
  </si>
  <si>
    <t>PT. ARM DO 1573 (PO  25 00120) 01.xlsm</t>
  </si>
  <si>
    <t>PT. PPI DO 1574 (PO  4714047772) 07.xlsm</t>
  </si>
  <si>
    <t>01 - REFER TO SJIO/PRJ/VASF/1106/1221 - item no.1</t>
  </si>
  <si>
    <t>PT. SJIO DO 1575 (PO   ) SEMENTARA.xlsm</t>
  </si>
  <si>
    <t>PT. SJIO DO 1576 (PO   ) SEMENTARA.xlsm</t>
  </si>
  <si>
    <t>01 - REFER TO SJIO/PRJ/VASF/1106/1221 - item no.2</t>
  </si>
  <si>
    <t>SJIO/PROJ/PO/2510/1191</t>
  </si>
  <si>
    <t>PT. SJIO DO 1575 (PO  SJIO PROJ PO 2510 1191) 01.xlsm</t>
  </si>
  <si>
    <t>PT. SJIO DO 1576 (PO  SJIO PROJ PO 2510 1191) 01.xlsm</t>
  </si>
  <si>
    <t>PT. SJIO DO 1576 (PO  SJIO PROJ PO 2510 1191) 01 - PARTIAL - N2.xlsm</t>
  </si>
  <si>
    <t>PT. SJIO DO 1575 (PO  SJIO PROJ PO 2510 1191) 01 - PARTIAL - N1.xlsm</t>
  </si>
  <si>
    <t>PT. PPI DO 1574 (PO  4714047772) REV 1 07 - PARTIAL - N1.xlsm</t>
  </si>
  <si>
    <t>PT. PPI DO 1577 (PO  4714047772) 07 - PARTIAL - N2.xlsm</t>
  </si>
  <si>
    <t>01 - DO SEMENTARA - Quote 2740</t>
  </si>
  <si>
    <t>PT. SJIO DO 1578 (PO   ) 01 - DO SEMENTARA - Quote 2740.xlsm</t>
  </si>
  <si>
    <t>01 - DO SEMENTARA - Quote 2740 - (-3BTG)</t>
  </si>
  <si>
    <t>KIP/PO/NT/25/00563</t>
  </si>
  <si>
    <t>PT. KIP DO 1579 (PO  25 00563) 01.xlsm</t>
  </si>
  <si>
    <t>PTARM/PO/NT/25/00116</t>
  </si>
  <si>
    <t>PT. ARM DO 1580 (PO  25 00116) 01.xlsm</t>
  </si>
  <si>
    <t>PTARM/PO/NT/25/00118</t>
  </si>
  <si>
    <t>PT. ARM DO 1581 (PO  25 00118) 01.xlsm</t>
  </si>
  <si>
    <t>PTARM/PO/NT/25/00103</t>
  </si>
  <si>
    <t>PT. ARM DO 1582 (PO  25 00103) 01.xlsm</t>
  </si>
  <si>
    <t>PTARM/PO/NT/25/00119</t>
  </si>
  <si>
    <t>PT. ARM DO 1583 (PO  25 00119) 01 - PARTIAL - N3.xlsm</t>
  </si>
  <si>
    <t>PTARM/PO/NT/25/00132</t>
  </si>
  <si>
    <t>PT. ARM DO 1584 (PO  25 00132) 07 - PARTIAL - N1.xlsm</t>
  </si>
  <si>
    <t>PTARM/PO/NT/25/00137</t>
  </si>
  <si>
    <t>PT. ARM DO 1586 (PO  25 00137) 07.xlsm</t>
  </si>
  <si>
    <t>NON PO</t>
  </si>
  <si>
    <t>TOOLS PT API UNTUK PROYEK</t>
  </si>
  <si>
    <t>PT. SWP DO 1587 (PO  NON PO) TOOLS PT API UNTUK PROYEK.xlsm</t>
  </si>
  <si>
    <t>PT. SWP DO 1587 (PO   ) TOOLS PT API UNTUK PROYEK.xlsm</t>
  </si>
  <si>
    <t>01 - DO SEMENTARA - Quote 2740 - (+3BTG) complete 4 batang</t>
  </si>
  <si>
    <t>PT. SJIO DO 1588 (PO   ) 01 - DO SEMENTARA - Quote 2740 - (+3BTG) complete 4 batang.xlsm</t>
  </si>
  <si>
    <t>01 - PARTIAL COMPLETE - N1,2</t>
  </si>
  <si>
    <t>PT. ARM DO 1589 (PO  25 00119) 01 - PARTIAL COMPLETE - N1,2.xlsm</t>
  </si>
  <si>
    <t>SKL/PO/NT/25/00867</t>
  </si>
  <si>
    <t>PT. SKL DO 1590 (PO  25 00867) 01.xlsm</t>
  </si>
  <si>
    <t>SJIO/BOILER/PO/2511/1494</t>
  </si>
  <si>
    <t>01 - OFFICIAL</t>
  </si>
  <si>
    <t>PT. SJIO DO 1588 (PO  SJIO BOILER PO 2511 1494) REV 1 01 - OFFICIAL.xlsm</t>
  </si>
  <si>
    <t>PT. SJIO DO 1578 (PO  SJIO BOILER PO 2511 1494) REV 1 01 - OFFICIAL.xlsm</t>
  </si>
  <si>
    <t>PT. ARM DO 1591 (PO  25 00132) 07 - PARTIAL - N2,3.xlsm</t>
  </si>
  <si>
    <t>07 - PARTIAL - N1,3</t>
  </si>
  <si>
    <t>PTAM/PO/NT/25/01051</t>
  </si>
  <si>
    <t>PT. AGRO M DO 1592 (PO  25 01051) 07 - PARTIAL - N1,3.xlsm</t>
  </si>
  <si>
    <t>PTAM/PO/NT/25/01034</t>
  </si>
  <si>
    <t>PT. AGRO M DO 1593 (PO  25 01034) 07 - PARTIAL - N1,2.xlsm</t>
  </si>
  <si>
    <t>PT. AGRO M DO 1594 (PO  25 01034) 01 - PARTIAL - N3.xlsm</t>
  </si>
  <si>
    <t>PT. AGRO M DO 1595 (PO  25 01051) 07 - PARTIAL COMPLETE - N2.xlsm</t>
  </si>
  <si>
    <t>SJIO/BOILER/PO/2511/1406</t>
  </si>
  <si>
    <t>PT. ARM DO 1596 (PO  25 00132) 07 - PARTIAL COMPLETE - N4.xlsm</t>
  </si>
  <si>
    <t>PT. SJIO DO 1597 (PO  SJIO BOILER PO 2511 1406) 01 - PARTIAL - N2,3.xlsm</t>
  </si>
  <si>
    <t>PT. SJIO DO 1598 (PO  SJIO BOILER PO 2511 1406) 01 - PARTIAL COMPLETE - N1.xlsm</t>
  </si>
  <si>
    <t>PTARM/PO/NT/25/00176</t>
  </si>
  <si>
    <t>PT. ARM DO 1599 (PO  25 00176) 01.xlsm</t>
  </si>
  <si>
    <t>07 - PARTIAL - N2,3,4</t>
  </si>
  <si>
    <t>PTAM/PO/NT/25/01052</t>
  </si>
  <si>
    <t>PT. AGRO M DO 1600 (PO  25 01052) 07 - PARTIAL - N2,3,4.xlsm</t>
  </si>
  <si>
    <t>PT. AGRO M DO 1601 (PO  25 01034) 01 - PARTIAL - N5.xlsm</t>
  </si>
  <si>
    <t>011/PO-ESABE/XI/2025</t>
  </si>
  <si>
    <t xml:space="preserve"> DO 1602 (PO  ) 01.xlsm</t>
  </si>
  <si>
    <t>005/PO-ESABE/XI/2025</t>
  </si>
  <si>
    <t xml:space="preserve"> DO 1603 (PO  ) 01.xlsm</t>
  </si>
  <si>
    <t>004/PO-ESABE/XI/2025</t>
  </si>
  <si>
    <t xml:space="preserve"> DO 1604 (PO  ) 01.xlsm</t>
  </si>
  <si>
    <t>01 - PARTIAL - N1,3</t>
  </si>
  <si>
    <t>006/PO-ESABE/XI/2025</t>
  </si>
  <si>
    <t xml:space="preserve"> DO 1605 (PO  ) 01 - PARTIAL - N1,3.xlsm</t>
  </si>
  <si>
    <t>KIP/PO/NT/25/00606</t>
  </si>
  <si>
    <t>PT. KIP DO 1606 (PO  25 00606) 01.xlsm</t>
  </si>
  <si>
    <t>07 - PARTIAL COMPLETE - N1</t>
  </si>
  <si>
    <t>PT. AGRO M DO 1607 (PO  25 01052) 07 - PARTIAL COMPLETE - N1.xlsm</t>
  </si>
  <si>
    <t>PTARM/PO/NT/25/00161</t>
  </si>
  <si>
    <t>PT. ARM DO 1608 (PO  25 00161) 01.xlsm</t>
  </si>
  <si>
    <t>PT. AGRO M DO 1609 (PO  25 01034) 01 - PARTIAL COMPLETE - N4.xlsm</t>
  </si>
  <si>
    <t>PT. PPI DO 1610 (PO  4714047937) 01.xlsm</t>
  </si>
  <si>
    <t>1245/IW-PO/XII/2025</t>
  </si>
  <si>
    <t xml:space="preserve"> DO 1611 (PO  ) 07.xlsm</t>
  </si>
  <si>
    <t>PTARM/PO/NT/25/00209</t>
  </si>
  <si>
    <t>PT. ARM DO 1612 (PO  25 00209) 07.xlsm</t>
  </si>
  <si>
    <t>01 - PARTIAL COMPLETED - N2</t>
  </si>
  <si>
    <t xml:space="preserve"> DO 1613 (PO  ) 01 - PARTIAL COMPLETED - N2.xlsm</t>
  </si>
  <si>
    <t>PTAM/PO/NT/25/01092</t>
  </si>
  <si>
    <t>PT. AGRO M DO 1614 (PO  25 01092) 07.xlsm</t>
  </si>
  <si>
    <t>PTAM/PO/NT/25/01093</t>
  </si>
  <si>
    <t>PT. AGRO M DO 1615 (PO  25 01093) 07.xlsm</t>
  </si>
  <si>
    <t>KIP/PO/NT/25/00624</t>
  </si>
  <si>
    <t>PT. KIP DO 1616 (PO  25 00624) 01.xlsm</t>
  </si>
  <si>
    <t>PT. SWP DO 1617 (PO  4000327387) 01.xlsm</t>
  </si>
  <si>
    <t>SJIO/BOILER/PO/2511/1470</t>
  </si>
  <si>
    <t>PT. SJIO DO 1618 (PO  SJIO BOILER PO 2511 1470) 01.xlsm</t>
  </si>
  <si>
    <t>SKL/PO/NT/25/00913</t>
  </si>
  <si>
    <t>01 - PARTIAL - N5,7</t>
  </si>
  <si>
    <t>PT. SKL DO 1619 (PO  25 00913) 01 - PARTIAL - N5,7.xlsm</t>
  </si>
  <si>
    <t>PTARM/PO/NT/25/00234</t>
  </si>
  <si>
    <t>PT. ARM DO 1620 (PO  25 00234) 01 - PARTIAL - N1.xlsm</t>
  </si>
  <si>
    <t>PTARM/PO/NT/25/00231</t>
  </si>
  <si>
    <t>PT. ARM DO 1621 (PO  25 00231) 01.xlsm</t>
  </si>
  <si>
    <t>PT. SKL DO 1622 (PO  25 00913) 01.xlsm</t>
  </si>
  <si>
    <t>SKL/PO/NT/25/00946</t>
  </si>
  <si>
    <t>PT. SKL DO 1623 (PO  25 00946) 01.xlsm</t>
  </si>
  <si>
    <t>PTARM/PO/NT/25/00222</t>
  </si>
  <si>
    <t>PT. ARM DO 1624 (PO  25 00222) 01.xlsm</t>
  </si>
  <si>
    <t>PTAM/PO/NT/25/01141</t>
  </si>
  <si>
    <t>07 - PARTIAL - N1,2,3,4</t>
  </si>
  <si>
    <t>PT. AGRO M DO 1625 (PO  25 01141) 07 - PARTIAL - N1,2,3,4.xlsm</t>
  </si>
  <si>
    <t>SKL/PO/NT/25/00922</t>
  </si>
  <si>
    <t>PT. SKL DO 1626 (PO  25 00922) 01.xlsm</t>
  </si>
  <si>
    <t>PT. SJIO DO 1627 (PO   ) 01 - DO SEMENTARA.xlsm</t>
  </si>
  <si>
    <t>PTARM/PO/NT/25/00248</t>
  </si>
  <si>
    <t>PT. ARM DO 1628 (PO  25 00248) 07.xlsm</t>
  </si>
  <si>
    <t>PT. SKL DO 1629 (PO  25 00913) 01 - PARTIAL - N4.xlsm</t>
  </si>
  <si>
    <t>01 - PARTIAL 103 ROL FROM 238 ROL (-135 ROL)</t>
  </si>
  <si>
    <t>PTARM/PO/NT/25/00197</t>
  </si>
  <si>
    <t>PT. ARM DO 1630 (PO  25 00197) 01 - PARTIAL 103 ROL FROM 238 ROL (-135 ROL).xlsm</t>
  </si>
  <si>
    <t>07 - PARTIAL - 5,6,7,8</t>
  </si>
  <si>
    <t>PT. AGRO M DO 1631 (PO  25 01141) 07 - PARTIAL - 5,6,7,8.xlsm</t>
  </si>
  <si>
    <t>PT. SKL DO 1632 (PO  25 00913) 01 - PARTIAL - N2,3.xlsm</t>
  </si>
  <si>
    <t>PT. PPI DO 1633 (PO  4714048132) 01.xlsm</t>
  </si>
  <si>
    <t>01 - PARTIAL COMPLETE - 135 ROLL (TOTAL 238 ROLL)</t>
  </si>
  <si>
    <t>PT. ARM DO 1634 (PO  25 00197) 01 - PARTIAL COMPLETE - 135 ROLL (TOTAL 238 ROLL).xlsm</t>
  </si>
  <si>
    <t>PTARM/PO/NT/25/00241</t>
  </si>
  <si>
    <t>PT. ARM DO 1635 (PO  25 00241) 07 - PARTIAL - N1,3.xlsm</t>
  </si>
  <si>
    <t>PTARM/PO/NT/25/00259</t>
  </si>
  <si>
    <t>PT. ARM DO 1636 (PO  25 00259) 07 - PARTIAL - N2,3,4.xlsm</t>
  </si>
  <si>
    <t>01 - Pickup 18 des 25, Delivery and Refilled 29 Des 25</t>
  </si>
  <si>
    <t>PT. ARM DO 1637 (PO  25 00231) 01 - Pickup 18 des 25, Delivery and Refilled 29 Des 25.xlsm</t>
  </si>
  <si>
    <t>PT. PPI DO 1638 (PO  4714048196) 01.xlsm</t>
  </si>
  <si>
    <t>PT. ARM DO 1639 (PO  25 00241) 07 - PARTIAL - N2.xlsm</t>
  </si>
  <si>
    <t>PTAM/PO/NT/25/01114</t>
  </si>
  <si>
    <t>PT. AGRO M DO 1640 (PO  25 01114) 01.xlsm</t>
  </si>
  <si>
    <t>PTARM/PO/NT/25/00278</t>
  </si>
  <si>
    <t>PT. ARM DO 1641 (PO  25 00278) 01.xlsm</t>
  </si>
  <si>
    <t>PTARM/PO/NT/25/00252</t>
  </si>
  <si>
    <t>PT. ARM DO 1642 (PO  25 00252) 01.xlsm</t>
  </si>
  <si>
    <t>01 - DO SEMENTARA - URGENT</t>
  </si>
  <si>
    <t>PT. KIP DO 1643 (PO  EMENTARA) 01 - DO SEMENTARA - URGENT.xlsm</t>
  </si>
  <si>
    <t>PT. KIP DO 1644 (PO  EMENTARA) 01 - DO SEMENTARA - URGENT.xlsm</t>
  </si>
  <si>
    <t xml:space="preserve"> DO 1645 (PO  ) 01.xlsm</t>
  </si>
  <si>
    <t>SJIO/REF/PO/2512/1688</t>
  </si>
  <si>
    <t>PT. SJIO DO 1646 (PO  SJIO REF PO 2512 1688) 01.xlsm</t>
  </si>
  <si>
    <t>006/SATU/PO/IX/2025</t>
  </si>
  <si>
    <t>PT. SATU DO 1647 (PO 25 006) 01.xlsm</t>
  </si>
  <si>
    <t>07 - PARTIAL - N4,5,8</t>
  </si>
  <si>
    <t>PTARM/PO/NT/25/00296</t>
  </si>
  <si>
    <t>PT. ARM DO 1648 (PO  25 00296) 07 - PARTIAL - N4,5,8.xlsm</t>
  </si>
  <si>
    <t>SJIO/TANK/PO/2511/1506</t>
  </si>
  <si>
    <t>PT. SJIO DO 1627 (PO  SJIO TANK PO 2511 1506) REV 1 01.xlsm</t>
  </si>
  <si>
    <t>KIP/PO/NT/25/00637</t>
  </si>
  <si>
    <t>PT. KIP DO 1649 (PO  25 00637) 01.xlsm</t>
  </si>
  <si>
    <t>PTARM/PO/NT/25/00288</t>
  </si>
  <si>
    <t>PT. ARM DO 1650 (PO  25 00288) 07 - PARTIAL - N1.xlsm</t>
  </si>
  <si>
    <t>PTARM/PO/NT/26/00022</t>
  </si>
  <si>
    <t>PT. ARM DO 1651 (PO  26 00022) 01.xlsm</t>
  </si>
  <si>
    <t>SKL/PO/NT/26/00020</t>
  </si>
  <si>
    <t>PT. SKL DO 1652 (PO  26 00020) 01.xlsm</t>
  </si>
  <si>
    <t>PT. PPI DO 1653 (PO  4714048246) 07.xlsm</t>
  </si>
  <si>
    <t>PTARM/PO/NT/26/00017</t>
  </si>
  <si>
    <t>PT. ARM DO 1654 (PO  26 00017) 01.xlsm</t>
  </si>
  <si>
    <t>PT. ARM DO 1655 (PO  25 00296) 07 - PARTIAL - N2,3.xlsm</t>
  </si>
  <si>
    <t>PTARM/PO/NT/25/00304</t>
  </si>
  <si>
    <t>PT. ARM DO 1656 (PO  25 00304) 07 - PARTIAL - N1.xlsm</t>
  </si>
  <si>
    <t>PTARM/PO/NT/26/00033</t>
  </si>
  <si>
    <t>PT. ARM DO 1657 (PO  26 00033) 07.xlsm</t>
  </si>
  <si>
    <t>KIP/PO/NT/26/00002</t>
  </si>
  <si>
    <t>PT. KIP DO 1658 (PO  26 00002) 01.xlsm</t>
  </si>
  <si>
    <t>KIP/PO/NT/25/00621</t>
  </si>
  <si>
    <t>PT. KIP DO 1659 (PO  25 00621) 01.xlsm</t>
  </si>
  <si>
    <t>SKL/PO/NT/26/00036</t>
  </si>
  <si>
    <t>PT. SKL DO 1660 (PO  26 00036) 01.xlsm</t>
  </si>
  <si>
    <t>SKL/PO/NT/26/00042</t>
  </si>
  <si>
    <t>PT. SKL DO 1661 (PO  26 00042) 01.xlsm</t>
  </si>
  <si>
    <t>PTARM/PO/NT/26/00027</t>
  </si>
  <si>
    <t>PT. ARM DO 1662 (PO  26 00027) 01 - PARTIAL - N4.xlsm</t>
  </si>
  <si>
    <t>PTARM/PO/NT/26/00045</t>
  </si>
  <si>
    <t>PT. ARM DO 1663 (PO  26 00045) 01.xlsm</t>
  </si>
  <si>
    <t>07 - PARTIAL COMPLETED - N4</t>
  </si>
  <si>
    <t>PT. ARM DO 1664 (PO  25 00241) 07 - PARTIAL COMPLETED - N4.xlsm</t>
  </si>
  <si>
    <t>07 - PARTIAL COMPLETED - N1</t>
  </si>
  <si>
    <t>PT. ARM DO 1665 (PO  25 00259) 07 - PARTIAL COMPLETED - N1.xlsm</t>
  </si>
  <si>
    <t>PT. ARM DO 1666 (PO  25 00296) 07 - PARTIAL - N1.xlsm</t>
  </si>
  <si>
    <t>PTARM/PO/NT/26/00046</t>
  </si>
  <si>
    <t>PT. ARM DO 1667 (PO  26 00046) 01 - PARTIAL - N1.xlsm</t>
  </si>
  <si>
    <t>PT. ARM DO 1668 (PO  26 00046) 01 - PARTIAL COMPLETED - N2.xlsm</t>
  </si>
  <si>
    <t>PT. PPI DO 1669 (PO  4714048346) 07.xlsm</t>
  </si>
  <si>
    <t>PT. KIP DO 1670 (PO  EMENTARA) DO SEMENTARA.xlsm</t>
  </si>
  <si>
    <t>PT. ARM DO 1671 (PO  25 00296) 07 - PARTIAL - N6.xlsm</t>
  </si>
  <si>
    <t>01 - REV1 - BASED ON OFFICIAL PO</t>
  </si>
  <si>
    <t>KIP/PO/NT/26/00021</t>
  </si>
  <si>
    <t>PT. KIP DO 1644 (PO  26 00021) REV 1 01 - REV1 - BASED ON OFFICIAL PO.xlsm</t>
  </si>
  <si>
    <t>07 - PARTIAL COMPLETED - N7</t>
  </si>
  <si>
    <t>PT. ARM DO 1672 (PO  25 00296) 07 - PARTIAL COMPLETED - N7.xlsm</t>
  </si>
  <si>
    <t>07 - PARTIAL COMPLETED - N2</t>
  </si>
  <si>
    <t>PT. ARM DO 1673 (PO  25 00288) 07 - PARTIAL COMPLETED - N2.xlsm</t>
  </si>
  <si>
    <t>PT. ARM DO 1674 (PO  25 00304) 07 - PARTIAL COMPLETED - N2.xlsm</t>
  </si>
  <si>
    <t>PT. ARM DO 1675 (PO  26 00027) 01 - PARTIAL - N1,2,3.xlsm</t>
  </si>
  <si>
    <t>01 - PARTIAL - N2 (RED,GREEN)</t>
  </si>
  <si>
    <t>PT. ARM DO 1668 (PO  26 00046) REV 1 01 - PARTIAL - N2 (RED,GREEN).xlsm</t>
  </si>
  <si>
    <t>01 - PARTIAL - N2 (YELLOW)</t>
  </si>
  <si>
    <t>PT. ARM DO 1676 (PO  26 00046) 01 - PARTIAL - N2 (YELLOW).xlsm</t>
  </si>
  <si>
    <t>SKL/PO/NT/25/00940</t>
  </si>
  <si>
    <t>PT. SKL DO 1677 (PO  25 00940) 01.xlsm</t>
  </si>
  <si>
    <t>PTARM/PO/NT/26/00060</t>
  </si>
  <si>
    <t>PT. ARM DO 1678 (PO  26 00060) 01.xlsm</t>
  </si>
  <si>
    <t>PTARM/PO/NT/26/00084</t>
  </si>
  <si>
    <t>PT. ARM DO 1679 (PO  26 00084) 01 - PARTIAL - N2.xlsm</t>
  </si>
  <si>
    <t>SJIO/REF/PO/2509/1065</t>
  </si>
  <si>
    <t>PT. SJIO DO 1680 (PO  SJIO REF PO 2509 1065) 01.xlsm</t>
  </si>
  <si>
    <t>SJIO/REF/PO/2509/1085</t>
  </si>
  <si>
    <t>PT. SJIO DO 1681 (PO  SJIO REF PO 2509 1085) 01.xlsm</t>
  </si>
  <si>
    <t>1219/IW-PO/XI/2025</t>
  </si>
  <si>
    <t xml:space="preserve"> DO 1682 (PO  ) 07.xlsm</t>
  </si>
  <si>
    <t xml:space="preserve">Desa Siancimun, Kecamatan Halongonan, </t>
  </si>
  <si>
    <t>Kabupaten Padang Lawas Utara, Provinsi Sumatera Utara.</t>
  </si>
  <si>
    <t>PT. PALUTA INTI SAWIT</t>
  </si>
  <si>
    <t>PIS/PO/NT/26/00009</t>
  </si>
  <si>
    <t>PT. PIS DO 1683 (PO  26 00009) 01.xlsm</t>
  </si>
  <si>
    <t>PTARM/PO/NT/26/00100</t>
  </si>
  <si>
    <t>PT. ARM DO 1684 (PO  26 00100) 07 - PARTIAL - N4.xlsm</t>
  </si>
  <si>
    <t>PT. SATU DO 1685 (PO    ) .xlsm</t>
  </si>
  <si>
    <t>PT. PPI DO 1686 (PO  4714048403) 01.xlsm</t>
  </si>
  <si>
    <t>PT. SWP DO 1687 (PO  4000341075) 01 - PARTIAL - N1.xlsm</t>
  </si>
  <si>
    <t>SKL/PO/NT/26/00053</t>
  </si>
  <si>
    <t>PT. SKL DO 1688 (PO  26 00053) 01.xlsm</t>
  </si>
  <si>
    <t>KIP/PO/NT/26/00023</t>
  </si>
  <si>
    <t>PT. KIP DO 1689 (PO  26 00023) 01.xlsm</t>
  </si>
  <si>
    <t>HASIL PERBAIKAN</t>
  </si>
  <si>
    <t xml:space="preserve"> DO 1690 (PO  ) HASIL PERBAIKAN.xlsm</t>
  </si>
  <si>
    <t>PTAM/PO/NT/26/00016</t>
  </si>
  <si>
    <t>PT. AGRO M DO 1691 (PO  26 00016) 01.xlsm</t>
  </si>
  <si>
    <t>07 - PARTIAL COMPLETED - N1,2,3,5,6</t>
  </si>
  <si>
    <t>PT. ARM DO 1692 (PO  26 00100) 07 - PARTIAL COMPLETED - N1,2,3,5,6.xlsm</t>
  </si>
  <si>
    <t>PT. SJIO DO 1693 (PO  DO SEMENTARA) 01 - DO SEMENTARA.xlsm</t>
  </si>
  <si>
    <t>080/IW-PO/I/2026</t>
  </si>
  <si>
    <t xml:space="preserve"> DO 1694 (PO  ) 07.xlsm</t>
  </si>
  <si>
    <t>01 - PARTIAL - 10 SHEET FROM 30 SHEET</t>
  </si>
  <si>
    <t>PTARM/PO/NT/26/00146</t>
  </si>
  <si>
    <t>PT. ARM DO 1695 (PO  26 00146) 01 - PARTIAL - 10 SHEET FROM 30 SHEET.xlsm</t>
  </si>
  <si>
    <t>PTARM/PO/NT/26/00143</t>
  </si>
  <si>
    <t>PT. ARM DO 1696 (PO  26 00143) 01.xlsm</t>
  </si>
  <si>
    <t>PTARM/PO/NT/26/00140</t>
  </si>
  <si>
    <t>PT. ARM DO 1697 (PO  26 00140) 01.xlsm</t>
  </si>
  <si>
    <t>PTARM/PO/NT/26/00139</t>
  </si>
  <si>
    <t>PT. ARM DO 1698 (PO  26 00139) 01.xlsm</t>
  </si>
  <si>
    <t>PTARM/PO/NT/26/00135</t>
  </si>
  <si>
    <t>PT. ARM DO 1699 (PO  26 00135) 01.xlsm</t>
  </si>
  <si>
    <t>PT. PPI DO 1700 (PO  4714048421) 01.xlsm</t>
  </si>
  <si>
    <t>PT. ARM DO 1697 (PO  26 00140) REV 1 01 - PARTIAL - N3.xlsm</t>
  </si>
  <si>
    <t>PT. ARM DO 1701 (PO  26 00140) 01 - PARTIAL - N1,2.xlsm</t>
  </si>
  <si>
    <t>PTARM/PO/NT/26/00130</t>
  </si>
  <si>
    <t>PT. ARM DO 1702 (PO  26 00130) 01.xlsm</t>
  </si>
  <si>
    <t>01 - PARTIAL - N1 (1 UNIT FROM 2 UNIT)</t>
  </si>
  <si>
    <t>PT. ARM DO 1703 (PO  26 00084) 01 - PARTIAL - N1 (1 UNIT FROM 2 UNIT).xlsm</t>
  </si>
  <si>
    <t>PT. ARM DO 1694 (PO  O I 2026) REV 1 07.xlsm</t>
  </si>
  <si>
    <t xml:space="preserve"> DO 1694 (PO  ) REV 1 07.xlsm</t>
  </si>
  <si>
    <t>PIS/PO/NT/26/00052</t>
  </si>
  <si>
    <t>PT. PIS DO 1704 (PO  26 00052) 01.xlsm</t>
  </si>
  <si>
    <t>PIS/PO/NT/26/00018</t>
  </si>
  <si>
    <t>PT. PIS DO 1705 (PO  26 00018) 01.xlsm</t>
  </si>
  <si>
    <t>North Sumatera - Indonesia</t>
  </si>
  <si>
    <t>Jl. K.L. Yos Sudarso No. 106, Medan 20115</t>
  </si>
  <si>
    <t>PT. SOCFIN INDONESIA</t>
  </si>
  <si>
    <t>PT. SWP DO 1706 (PO  4000341075) 01 - PARTIAL COMPLETED - N2.xlsm</t>
  </si>
  <si>
    <t>SKL/PO/NT/26/00081</t>
  </si>
  <si>
    <t>PT. SKL DO 1707 (PO  26 00081) 01.xlsm</t>
  </si>
  <si>
    <t>001/SATU/PO/II/2026</t>
  </si>
  <si>
    <t>PT. SATU DO 1685 (PO 26 001) REV 1 01.xlsm</t>
  </si>
  <si>
    <t xml:space="preserve"> DO 1708 (PO  ) 01.xlsm</t>
  </si>
  <si>
    <t>PT. PPI DO 1709 (PO  4714048449) 07.xlsm</t>
  </si>
  <si>
    <t>SJIO/REF/PO/2512/1624</t>
  </si>
  <si>
    <t>PT. SJIO DO 1693 (PO  SJIO REF PO 2512 1624) 01.xlsm</t>
  </si>
  <si>
    <t>PIS/PO/NT/26/00070</t>
  </si>
  <si>
    <t>PO PIS, PENGIRIMAN KIP</t>
  </si>
  <si>
    <t>PT. KIP DO 1643 (PO  26 00070) REV 1 PO PIS, PENGIRIMAN KIP.xlsm</t>
  </si>
  <si>
    <t>085/IW-PO/I/2026</t>
  </si>
  <si>
    <t xml:space="preserve"> DO 1710 (PO  ) 07.xlsm</t>
  </si>
  <si>
    <t>PT. ARM DO 1711 (PO  26 00146) 01.xlsm</t>
  </si>
  <si>
    <t>PT. LOSADA CEMERLANG ABADI</t>
  </si>
  <si>
    <t>Jl. Karya Makmur No. 8 A, Air Hitam, Payung Sekaki,</t>
  </si>
  <si>
    <t>Kota Pekanbaru, Riau</t>
  </si>
  <si>
    <t>01 - PARTIAL COMPLETED - N1 (2 UNIT DELIVERED)</t>
  </si>
  <si>
    <t>PT. ARM DO 1712 (PO  26 00084) 01 - PARTIAL COMPLETED - N1 (2 UNIT DELIVERED).xlsm</t>
  </si>
  <si>
    <t>SJIO/REF/PO/2511/1413</t>
  </si>
  <si>
    <t>PT. SJIO DO 1713 (PO  SJIO REF PO 2511 1413) 01.xlsm</t>
  </si>
  <si>
    <t>002/PO-ESABE/II/2026</t>
  </si>
  <si>
    <t xml:space="preserve"> DO 1714 (PO  ) 01.xlsm</t>
  </si>
  <si>
    <t>001/PO-ESABE/II/2026</t>
  </si>
  <si>
    <t xml:space="preserve"> DO 1715 (PO  ) 01.xlsm</t>
  </si>
  <si>
    <t>008/PO-ESABE/II/2026</t>
  </si>
  <si>
    <t xml:space="preserve"> DO 1716 (PO  ) 01.xlsm</t>
  </si>
  <si>
    <t>PO SEMENTARA</t>
  </si>
  <si>
    <t>PT. KIP DO 1717 (PO  EMENTARA) 01.xlsm</t>
  </si>
  <si>
    <t>009/PO-ESABE/II/2026</t>
  </si>
  <si>
    <t xml:space="preserve"> DO 1718 (PO  ) 01 - PARTIAL - N1.xlsm</t>
  </si>
  <si>
    <t>004/PO-ESABE/II/2026</t>
  </si>
  <si>
    <t xml:space="preserve"> DO 1719 (PO  ) 01.xlsm</t>
  </si>
  <si>
    <t>003/PO-ESABE/II2026</t>
  </si>
  <si>
    <t xml:space="preserve"> DO 1720 (PO  ) 01.xlsm</t>
  </si>
  <si>
    <t>01 - PARTIAL - N2,5</t>
  </si>
  <si>
    <t>011/PO-ESABE/II/2026</t>
  </si>
  <si>
    <t xml:space="preserve"> DO 1721 (PO  ) 01 - PARTIAL - N2,5.xlsm</t>
  </si>
  <si>
    <t>005/PO-ESABE/II/2026</t>
  </si>
  <si>
    <t>01 - PARTIAL - N1,2,6,7,8,9,10,11,12,13,14,15</t>
  </si>
  <si>
    <t xml:space="preserve"> DO 1722 (PO  ) 01 - PARTIAL - N1,2,6,7,8,9,10,11,12,13,14,15.xlsm</t>
  </si>
  <si>
    <t>PTARM/PO/NT/26/00209</t>
  </si>
  <si>
    <t>PT. ARM DO 1726 (PO  26 00209) 01.xlsm</t>
  </si>
  <si>
    <t>SJIO/TANK/PO/2602/0217</t>
  </si>
  <si>
    <t>PT. SJIO DO 1725 (PO  SJIO TANK PO 2602 0217) 01.xlsm</t>
  </si>
  <si>
    <t>01 - PARTIAL COMPLETED - N3,4,5</t>
  </si>
  <si>
    <t xml:space="preserve"> DO 1727 (PO  ) 01 - PARTIAL COMPLETED - N3,4,5.xlsm</t>
  </si>
  <si>
    <t>01 - PARTIAL COMPLETED - N1,3,4</t>
  </si>
  <si>
    <t xml:space="preserve"> DO 1728 (PO  ) 01 - PARTIAL COMPLETED - N1,3,4.xlsm</t>
  </si>
  <si>
    <t>01 - PARTIAL - N2(-1PCS), N3</t>
  </si>
  <si>
    <t xml:space="preserve"> DO 1729 (PO  ) 01 - PARTIAL - N2(-1PCS), N3.xlsm</t>
  </si>
  <si>
    <t>01 - PARTIAL - 25 PCS FROM 26 PCS (-1PCS)</t>
  </si>
  <si>
    <t>PT. PPI DO 1730 (PO  4714048671) 01 - PARTIAL - 25 PCS FROM 26 PCS (-1PCS).xlsm</t>
  </si>
  <si>
    <t>PTARM/PO/NT/26/00189</t>
  </si>
  <si>
    <t>PT. ARM DO 1731 (PO  26 00189) 01.xlsm</t>
  </si>
  <si>
    <t>07 - PARTIAL - N2,4,5</t>
  </si>
  <si>
    <t>PTARM/PO/NT/26/00172</t>
  </si>
  <si>
    <t>PT. ARM DO 1732 (PO  26 00172) 07 - PARTIAL - N2,4,5.xlsm</t>
  </si>
  <si>
    <t>PT. ARM DO 1731 (PO  26 00189) 07.xlsm</t>
  </si>
  <si>
    <t>PTARM/PO/NT/26/00224</t>
  </si>
  <si>
    <t>PT. ARM DO 1733 (PO  26 00224) 07.xlsm</t>
  </si>
  <si>
    <t>BLM ADA</t>
  </si>
  <si>
    <t>PT. SJIO DO 1734 (PO  BLM ADA) DO SEMENTARA.xlsm</t>
  </si>
  <si>
    <t>PT. PIS DO 1735 (PO  BLM ADA) DO SEMENTARA.xlsm</t>
  </si>
  <si>
    <t>07 - PARTIAL COMPLETED - 18 PLUS 8</t>
  </si>
  <si>
    <t>PT. PPI DO 1736 (PO  4714048671) 07 - PARTIAL COMPLETED - 18 PLUS 8.xlsm</t>
  </si>
  <si>
    <t>01 - PARTIAL COMPLETED - N2 (COMPLETED)</t>
  </si>
  <si>
    <t xml:space="preserve"> DO 1737 (PO  ) 01 - PARTIAL COMPLETED - N2 (COMPLETED).xlsm</t>
  </si>
  <si>
    <t>PTAM/PO/NT/26/00229</t>
  </si>
  <si>
    <t>PT. AGRO M DO 1738 (PO  26 00229) 01.xlsm</t>
  </si>
  <si>
    <t>SJIO/BOILER/PO/2602/0272</t>
  </si>
  <si>
    <t>PT. SJIO DO 1739 (PO  SJIO BOILER PO 2602 0272) 01.xlsm</t>
  </si>
  <si>
    <t>PT. ARM DO 1740 (PO  26 00209) 01.xlsm</t>
  </si>
  <si>
    <t>PT. PPI DO 1741 (PO  SAMPLE) SAMPLE.xlsm</t>
  </si>
  <si>
    <t>SKL/PO/NT/26/00158</t>
  </si>
  <si>
    <t>PT. SKL DO 1742 (PO  26 00158) 01.xlsm</t>
  </si>
  <si>
    <t>SKL/PO/NT/26/00144</t>
  </si>
  <si>
    <t>PT. SKL DO 1743 (PO  26 00144) 01 - PARTIAL - N3.xlsm</t>
  </si>
  <si>
    <t>KIP/PO/NT/26/00125</t>
  </si>
  <si>
    <t>01 - PARTIAL - N1,2,4,5</t>
  </si>
  <si>
    <t>PT. KIP DO 1744 (PO  26 00125) 01 - PARTIAL - N1,2,4,5.xlsm</t>
  </si>
  <si>
    <t>KIP/PO/NT/26/00140</t>
  </si>
  <si>
    <t>PT. KIP DO 1745 (PO  26 00140) 01 - PARTIAL - N1,2.xlsm</t>
  </si>
  <si>
    <t>SJIO/REF/PO/2602/0210</t>
  </si>
  <si>
    <t>PT. SJIO DO 1746 (PO  SJIO REF PO 2602 0210) 01.xlsm</t>
  </si>
  <si>
    <t>PIS/PO/NT/26/00096</t>
  </si>
  <si>
    <t>PT. PIS DO 1747 (PO  26 00096) 01 - PARTIAL - N2,3.xlsm</t>
  </si>
  <si>
    <t>PT. PIS DO 1748 (PO  26 00096) 01.xlsm</t>
  </si>
  <si>
    <t>PIS/PO/NT/26/00131</t>
  </si>
  <si>
    <t>PT. PIS DO 1749 (PO  26 00131) 01.xlsm</t>
  </si>
  <si>
    <t>PT. PIS DO 1747 (PO  26 00096) REV 1 01 - PARTIAL - N2,3.xlsm</t>
  </si>
  <si>
    <t>PT. PIS DO 1748 (PO  26 00096) REV 1 01.xlsm</t>
  </si>
  <si>
    <t>PTARM/PO/NT/26/00231</t>
  </si>
  <si>
    <t>PT. ARM DO 1750 (PO  26 00231) 01.xlsm</t>
  </si>
  <si>
    <t>PTARM/PO/NT/26/00220</t>
  </si>
  <si>
    <t>PT. ARM DO 1751 (PO  26 00220) 07.xlsm</t>
  </si>
  <si>
    <t>PT. ARM DO 1750 (PO  26 00231) 07.xlsm</t>
  </si>
  <si>
    <t>PIS/PO/NT/26/00107</t>
  </si>
  <si>
    <t>PT. PIS DO 1748 (PO  26 00107) REV 1 01.xlsm</t>
  </si>
  <si>
    <t>KIP/PO/NT/26/00145</t>
  </si>
  <si>
    <t>PT. KIP DO 1717 (PO  26 00145) 01.xlsm</t>
  </si>
  <si>
    <t>SJIO/REF/PO/2602/0208</t>
  </si>
  <si>
    <t>PT. SJIO DO 1752 (PO  SJIO REF PO 2602 0208) 01.xlsm</t>
  </si>
  <si>
    <t>01 - PARTIAL COMPLETED - N1</t>
  </si>
  <si>
    <t>PT. PIS DO 1753 (PO  26 00096) 01 - PARTIAL COMPLETED - N1.xlsm</t>
  </si>
  <si>
    <t>SJIO/REF/PO/2601/0052</t>
  </si>
  <si>
    <t>PT. SJIO DO 1754 (PO  SJIO REF PO 2601 0052) 01.xlsm</t>
  </si>
  <si>
    <t>PT. SJIO DO 1755 (PO  SJIO REF PO 2601 0052) 01 - PARTIAL - N1.xlsm</t>
  </si>
  <si>
    <t>002/PO-ESABE/III/2026</t>
  </si>
  <si>
    <t xml:space="preserve"> DO 1756 (PO  ) 01.xlsm</t>
  </si>
  <si>
    <t>PTAM/PO/NT/26/00168</t>
  </si>
  <si>
    <t>PT. AGRO M DO 1757 (PO  26 00168) 01.xlsm</t>
  </si>
  <si>
    <t>BARANG MASUK</t>
  </si>
  <si>
    <t xml:space="preserve"> DO 1758 (PO  ) .xlsm</t>
  </si>
  <si>
    <t>SJIO/REF/PO/2602/0209</t>
  </si>
  <si>
    <t>PT. SJIO DO 1759 (PO  SJIO REF PO 2602 0209) 01 - PARTIAL - N1,2.xlsm</t>
  </si>
  <si>
    <t>001/PO-ESABE/III/2026</t>
  </si>
  <si>
    <t xml:space="preserve"> DO 1760 (PO  ) 01.xlsm</t>
  </si>
  <si>
    <t>003/PO-ESABE/III/2026</t>
  </si>
  <si>
    <t xml:space="preserve"> DO 1761 (PO  ) 01.xlsm</t>
  </si>
  <si>
    <t>004/PO-ESABE/III/2026</t>
  </si>
  <si>
    <t xml:space="preserve"> DO 1762 (PO  ) 01.xlsm</t>
  </si>
  <si>
    <t>PTAM/PO/NT/26/00290</t>
  </si>
  <si>
    <t>PT. AGRO M DO 1763 (PO  26 00290) 01.xlsm</t>
  </si>
  <si>
    <t>PT. AGRO M DO 1757 (PO  26 00168) REV 1 07 - PARTIAL - N2.xlsm</t>
  </si>
  <si>
    <t>PO/DM/2026/00059</t>
  </si>
  <si>
    <t xml:space="preserve"> DO 1764 (PO  ) 01.xlsm</t>
  </si>
  <si>
    <t>01 - PARTIAL - N4,5,6</t>
  </si>
  <si>
    <t>PT. KIP DO 1765 (PO  26 00140) 01 - PARTIAL - N4,5,6.xlsm</t>
  </si>
  <si>
    <t>01 - PARTIAL  COMPLETED - N3</t>
  </si>
  <si>
    <t>PT. KIP DO 1766 (PO  26 00125) 01 - PARTIAL  COMPLETED - N3.xlsm</t>
  </si>
  <si>
    <t>KIP/PO/NT/26/00162</t>
  </si>
  <si>
    <t>PT. KIP DO 1767 (PO  26 00162) 01 - PARTIAL - N2.xlsm</t>
  </si>
  <si>
    <t>SJIO/BOILER/PO/2602/0305</t>
  </si>
  <si>
    <t>01 - PARTIAL - N1,3,4</t>
  </si>
  <si>
    <t>PT. SJIO DO 1768 (PO  SJIO BOILER PO 2602 0305) 01 - PARTIAL - N1,3,4.xlsm</t>
  </si>
  <si>
    <t xml:space="preserve"> DO 1770 (PO  ) 01.xlsm</t>
  </si>
  <si>
    <t xml:space="preserve"> DO 1771 (PO  ) 01.xlsm</t>
  </si>
  <si>
    <t xml:space="preserve"> DO 1772 (PO  ) 01.xlsm</t>
  </si>
  <si>
    <t>PT. AGRO M DO 1773 (PO  26 00168) 07 - PARTIAL - N1.xlsm</t>
  </si>
  <si>
    <t>PT. KIP DO 1774 (PO  EMENTARA) DO SEMENTARA.xlsm</t>
  </si>
  <si>
    <t xml:space="preserve"> DO 1775 (PO  ) 01.xlsm</t>
  </si>
  <si>
    <t xml:space="preserve"> DO 1776 (PO  ) 01.xlsm</t>
  </si>
  <si>
    <t>SKL/PO/NT/26/00183</t>
  </si>
  <si>
    <t>PT. SKL DO 1777 (PO  26 00183) 01.xlsm</t>
  </si>
  <si>
    <t>01 - PARTIAL COMPLETED - N2 (COMPLETED 3 PACK)</t>
  </si>
  <si>
    <t>PT. SJIO DO 1778 (PO  SJIO REF PO 2601 0052) 01 - PARTIAL COMPLETED - N2 (COMPLETED 3 PACK).xlsm</t>
  </si>
  <si>
    <t>01 - PARTIAL COMPLETED - N3,4</t>
  </si>
  <si>
    <t>PT. SJIO DO 1779 (PO  SJIO REF PO 2602 0209) 01 - PARTIAL COMPLETED - N3,4.xlsm</t>
  </si>
  <si>
    <t>PT. KIP DO 1780 (PO  EMENTARA) DO SEMENTARA.xlsm</t>
  </si>
  <si>
    <t>PTARM/PO/NT/26/00291</t>
  </si>
  <si>
    <t>PT. KIP DO 1781 (PO  26 00291) 07.xlsm</t>
  </si>
  <si>
    <t>PT. ARM DO 1781 (PO  26 00291) 07.xlsm</t>
  </si>
  <si>
    <t>07 - PARTIAL - N1,N2(-28PCS),N3</t>
  </si>
  <si>
    <t>PTAM/PO/NT/26/00143</t>
  </si>
  <si>
    <t>PT. AGRO M DO 1782 (PO  26 00143) 07 - PARTIAL - N1,N2(-28PCS),N3.xlsm</t>
  </si>
  <si>
    <t>PIS/PO/NT/26/00165</t>
  </si>
  <si>
    <t>PT. PIS DO 1783 (PO  26 00165) 01 - PARTIAL - N2.xlsm</t>
  </si>
  <si>
    <t>PTARM/PO/NT/26/00275</t>
  </si>
  <si>
    <t>PT. ARM DO 1784 (PO  26 00275) 01 - PARTIAL - N2.xlsm</t>
  </si>
  <si>
    <t>PT. PIS DO 1783 (PO  26 00165) REV 1 01 - PARTIAL - N2.xlsm</t>
  </si>
  <si>
    <t>PT. SJIO DO 1785 (PO  SJIO BOILER PO 2602 0305) 01 - PARTIAL COMPLETED - N2.xlsm</t>
  </si>
  <si>
    <t>PT. SJIO DO 1768 (PO  SJIO BOILER PO 2602 0305) REV 1 01 - PARTIAL - N1,3.xlsm</t>
  </si>
  <si>
    <t>PT. PPI DO 1769 (PO  4714048836) 01.xlsm</t>
  </si>
  <si>
    <t>PT. PPI DO 1786 (PO  4714048836) 07.xlsm</t>
  </si>
  <si>
    <t>PT. PPI DO 1787 (PO  4714048831) 01 - PARTIAL - N2.xlsm</t>
  </si>
  <si>
    <t>PT. ARM DO 1788 (PO  26 00275) 07 - PARTIAL COMPLETED - N1.xlsm</t>
  </si>
  <si>
    <t>PTARM/PO/NT/26/00228</t>
  </si>
  <si>
    <t>07 - PARTIAL - N8</t>
  </si>
  <si>
    <t>PT. ARM DO 1789 (PO  26 00228) 07 - PARTIAL - N8.xlsm</t>
  </si>
  <si>
    <t>287/IW-PO/III/2026</t>
  </si>
  <si>
    <t xml:space="preserve"> DO 1790 (PO  ) 07.xlsm</t>
  </si>
  <si>
    <t>07 - PARTIAL - N5,9</t>
  </si>
  <si>
    <t>PT. ARM DO 1791 (PO  26 00228) 07 - PARTIAL - N5,9.xlsm</t>
  </si>
  <si>
    <t>07 - PARTIAL - N1,2,3,4,7,8</t>
  </si>
  <si>
    <t>PT. ARM DO 1792 (PO  26 00228) 07 - PARTIAL - N1,2,3,4,7,8.xlsm</t>
  </si>
  <si>
    <t>PTARM/PO/NT/26/00356</t>
  </si>
  <si>
    <t>PT. ARM DO 1793 (PO  26 00356) 07.xlsm</t>
  </si>
  <si>
    <t>PT. SKL DO 1761 (PO  26 00144) 01 - PARTIAL - N1,2.xlsm</t>
  </si>
  <si>
    <t>PT. CAHAYA MAS WIGUNAJAYA</t>
  </si>
  <si>
    <t xml:space="preserve">Komp. Nagoya Paradise Centre, Jl. Blk. E No.3A, Teluk Tering, </t>
  </si>
  <si>
    <t>Batam Kota, Batam City, Riau Islands 29444</t>
  </si>
  <si>
    <t xml:space="preserve"> DO 1794 (PO  ) .xlsm</t>
  </si>
  <si>
    <t>daead</t>
  </si>
  <si>
    <t>01 - PARTIAL COMPLETED - N3</t>
  </si>
  <si>
    <t>PT. KIP DO 1795 (PO  26 00140) 01 - PARTIAL COMPLETED - N3.xlsm</t>
  </si>
  <si>
    <t>Sarung Tangan Cut Resistance</t>
  </si>
  <si>
    <t>PT. KIP DO 1796 (PO  26 00162) 01 - PARTIAL COMPLETED - N1.xlsm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</si>
</sst>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1" formatCode="_(* #,##0_);_(* \(#,##0\);_(* &quot;-&quot;_);_(@_)"/>
    <numFmt numFmtId="43" formatCode="_(* #,##0.00_);_(* \(#,##0.00\);_(* &quot;-&quot;??_);_(@_)"/>
    <numFmt numFmtId="164" formatCode="[$-421]dd\ mmmm\ yyyy"/>
    <numFmt numFmtId="165" formatCode="[$-409]d\-mmm\-yyyy"/>
    <numFmt numFmtId="166" formatCode="_(* #,##0_);_(* \(#,##0\);_(* &quot;-&quot;??_);_(@_)"/>
    <numFmt numFmtId="167" formatCode="0.00\ &quot;KG&quot;"/>
    <numFmt numFmtId="168" formatCode="_(* #,##0.0_);_(* \(#,##0.0\);_(* &quot;-&quot;?_);_(@_)"/>
    <numFmt numFmtId="169" formatCode="_(* #,##0.00_);_(* \(#,##0.00\);_(* &quot;-&quot;_);_(@_)"/>
    <numFmt numFmtId="170" formatCode="d\ mmmm\ yyyy"/>
  </numFmts>
  <fonts count="4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Times New Roman"/>
      <family val="1"/>
    </font>
    <font>
      <sz val="11"/>
      <color theme="1"/>
      <name val="Calibri"/>
      <family val="2"/>
    </font>
    <font>
      <b/>
      <sz val="11"/>
      <color theme="0"/>
      <name val="Times New Roman"/>
      <family val="1"/>
    </font>
    <font>
      <i/>
      <sz val="11"/>
      <color theme="1"/>
      <name val="Times New Roman"/>
      <family val="1"/>
    </font>
    <font>
      <sz val="11"/>
      <name val="Calibri"/>
      <family val="2"/>
    </font>
    <font>
      <sz val="8"/>
      <color theme="1"/>
      <name val="Calibri"/>
      <family val="2"/>
    </font>
    <font>
      <b/>
      <sz val="16"/>
      <color theme="1"/>
      <name val="Times New Roman"/>
      <family val="1"/>
    </font>
    <font>
      <sz val="11"/>
      <color rgb="FF000000"/>
      <name val="Calibri"/>
      <family val="2"/>
    </font>
    <font>
      <b/>
      <sz val="11"/>
      <color theme="0"/>
      <name val="Calibri"/>
      <family val="2"/>
    </font>
    <font>
      <u/>
      <sz val="11"/>
      <color theme="10"/>
      <name val="Calibri"/>
      <family val="2"/>
    </font>
    <font>
      <b/>
      <sz val="11"/>
      <color theme="1"/>
      <name val="Calibri"/>
      <family val="2"/>
    </font>
    <font>
      <sz val="11"/>
      <color theme="10"/>
      <name val="Calibri"/>
      <family val="2"/>
    </font>
    <font>
      <sz val="11"/>
      <color theme="1"/>
      <name val="Calibri"/>
      <family val="2"/>
      <scheme val="minor"/>
    </font>
    <font>
      <sz val="12"/>
      <color rgb="FF000000"/>
      <name val="Calibri"/>
      <family val="2"/>
    </font>
    <font>
      <sz val="12"/>
      <color theme="1"/>
      <name val="Calibri"/>
      <family val="2"/>
    </font>
    <font>
      <sz val="11"/>
      <color rgb="FF222222"/>
      <name val="Calibri"/>
      <family val="2"/>
    </font>
    <font>
      <sz val="12"/>
      <color rgb="FF222222"/>
      <name val="Calibri"/>
      <family val="2"/>
    </font>
    <font>
      <sz val="11"/>
      <color rgb="FF000000"/>
      <name val="Times New Roman"/>
      <family val="1"/>
    </font>
    <font>
      <sz val="12"/>
      <color rgb="FF000000"/>
      <name val="Times New Roman"/>
      <family val="1"/>
    </font>
    <font>
      <u/>
      <sz val="11"/>
      <color theme="10"/>
      <name val="Calibri"/>
      <family val="2"/>
    </font>
    <font>
      <u/>
      <sz val="11"/>
      <color theme="10"/>
      <name val="Calibri"/>
      <family val="2"/>
      <scheme val="minor"/>
    </font>
    <font>
      <sz val="11"/>
      <color theme="1"/>
      <name val="Calibri"/>
      <family val="2"/>
    </font>
    <font>
      <sz val="11"/>
      <color rgb="FF000000"/>
      <name val="Calibri"/>
      <family val="2"/>
    </font>
    <font>
      <sz val="8"/>
      <color rgb="FF000000"/>
      <name val="Calibri"/>
      <family val="2"/>
    </font>
    <font>
      <sz val="12"/>
      <color rgb="FF000000"/>
      <name val="Aptos"/>
      <family val="2"/>
    </font>
    <font>
      <b/>
      <sz val="12"/>
      <color rgb="FF000000"/>
      <name val="Aptos"/>
      <family val="2"/>
    </font>
  </fonts>
  <fills count="17">
    <fill>
      <patternFill patternType="none"/>
    </fill>
    <fill>
      <patternFill patternType="gray125"/>
    </fill>
    <fill>
      <patternFill patternType="solid">
        <fgColor rgb="FF0070C0"/>
        <bgColor rgb="FF0070C0"/>
      </patternFill>
    </fill>
    <fill>
      <patternFill patternType="solid">
        <fgColor rgb="FFD9E2F3"/>
        <bgColor rgb="FFD9E2F3"/>
      </patternFill>
    </fill>
    <fill>
      <patternFill patternType="solid">
        <fgColor theme="1"/>
        <bgColor theme="1"/>
      </patternFill>
    </fill>
    <fill>
      <patternFill patternType="solid">
        <fgColor rgb="FFFEF2CB"/>
        <bgColor rgb="FFFEF2CB"/>
      </patternFill>
    </fill>
    <fill>
      <patternFill patternType="solid">
        <fgColor rgb="FFFFFFFF"/>
        <bgColor rgb="FFFFFFFF"/>
      </patternFill>
    </fill>
    <fill>
      <patternFill patternType="solid">
        <fgColor rgb="FFF8F9FA"/>
        <bgColor rgb="FFF8F9FA"/>
      </patternFill>
    </fill>
    <fill>
      <patternFill patternType="solid">
        <fgColor theme="0"/>
        <bgColor indexed="64"/>
      </patternFill>
    </fill>
    <fill>
      <patternFill patternType="solid">
        <fgColor theme="5" tint="0.79998168889431442"/>
        <bgColor indexed="64"/>
      </patternFill>
    </fill>
    <fill>
      <patternFill patternType="solid">
        <fgColor rgb="FFB4C6E7"/>
        <bgColor rgb="FFB4C6E7"/>
      </patternFill>
    </fill>
    <fill>
      <patternFill patternType="solid">
        <fgColor rgb="FFFFFFFF"/>
        <bgColor indexed="64"/>
      </patternFill>
    </fill>
    <fill>
      <patternFill patternType="solid">
        <fgColor rgb="FF00B0F0"/>
        <bgColor indexed="64"/>
      </patternFill>
    </fill>
    <fill>
      <patternFill patternType="solid">
        <fgColor rgb="FFFFFF00"/>
        <bgColor indexed="64"/>
      </patternFill>
    </fill>
    <fill>
      <patternFill patternType="solid">
        <fgColor rgb="FFE6B8B7"/>
        <bgColor indexed="64"/>
      </patternFill>
    </fill>
    <fill>
      <patternFill patternType="solid">
        <fgColor rgb="FFFF0000"/>
        <bgColor indexed="64"/>
      </patternFill>
    </fill>
    <fill>
      <patternFill patternType="solid">
        <fgColor rgb="FF00B050"/>
        <bgColor indexed="64"/>
      </patternFill>
    </fill>
  </fills>
  <borders count="41">
    <border>
      <left/>
      <right/>
      <top/>
      <bottom/>
      <diagonal/>
    </border>
    <border>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top/>
      <bottom/>
      <diagonal/>
    </border>
    <border>
      <left style="thin">
        <color theme="1"/>
      </left>
      <right/>
      <top/>
      <bottom/>
      <diagonal/>
    </border>
    <border>
      <left/>
      <right style="thin">
        <color theme="1"/>
      </right>
      <top/>
      <bottom/>
      <diagonal/>
    </border>
    <border>
      <left style="thin">
        <color rgb="FF000000"/>
      </left>
      <right style="thin">
        <color rgb="FF000000"/>
      </right>
      <top/>
      <bottom/>
      <diagonal/>
    </border>
    <border>
      <left style="dotted">
        <color rgb="FF000000"/>
      </left>
      <right style="dotted">
        <color rgb="FF000000"/>
      </right>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rgb="FF000000"/>
      </bottom>
      <diagonal/>
    </border>
    <border>
      <left/>
      <right style="thin">
        <color theme="1"/>
      </right>
      <top style="thin">
        <color theme="1"/>
      </top>
      <bottom style="thin">
        <color rgb="FF000000"/>
      </bottom>
      <diagonal/>
    </border>
    <border>
      <left style="thin">
        <color theme="1"/>
      </left>
      <right style="thin">
        <color theme="1"/>
      </right>
      <top style="thin">
        <color theme="1"/>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indexed="64"/>
      </bottom>
      <diagonal/>
    </border>
    <border>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rgb="FFD3D3D3"/>
      </left>
      <right style="thin">
        <color rgb="FFD3D3D3"/>
      </right>
      <top style="thin">
        <color rgb="FFD3D3D3"/>
      </top>
      <bottom style="thin">
        <color rgb="FFD3D3D3"/>
      </bottom>
      <diagonal/>
    </border>
    <border>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bottom/>
      <diagonal/>
    </border>
    <border>
      <left style="thin">
        <color indexed="64"/>
      </left>
      <right style="thin">
        <color indexed="64"/>
      </right>
      <top style="thin">
        <color indexed="64"/>
      </top>
      <bottom/>
      <diagonal/>
    </border>
    <border>
      <left/>
      <right/>
      <top style="thin">
        <color indexed="64"/>
      </top>
      <bottom/>
      <diagonal/>
    </border>
  </borders>
  <cellStyleXfs count="2">
    <xf numFmtId="0" fontId="0" fillId="0" borderId="0"/>
    <xf numFmtId="0" fontId="34" fillId="0" borderId="0" applyNumberFormat="0" applyFill="0" applyBorder="0" applyAlignment="0" applyProtection="0"/>
  </cellStyleXfs>
  <cellXfs count="367">
    <xf numFmtId="0" fontId="0" fillId="0" borderId="0" xfId="0"/>
    <xf numFmtId="0" fontId="13" fillId="0" borderId="0" xfId="0" applyFont="1"/>
    <xf numFmtId="0" fontId="15" fillId="0" borderId="0" xfId="0" applyFont="1"/>
    <xf numFmtId="0" fontId="13" fillId="0" borderId="0" xfId="0" applyFont="1" applyAlignment="1">
      <alignment horizontal="center" wrapText="1"/>
    </xf>
    <xf numFmtId="0" fontId="13" fillId="0" borderId="0" xfId="0" applyFont="1" applyAlignment="1">
      <alignment horizontal="left"/>
    </xf>
    <xf numFmtId="0" fontId="19" fillId="0" borderId="0" xfId="0" applyFont="1"/>
    <xf numFmtId="0" fontId="13" fillId="0" borderId="3" xfId="0" applyFont="1" applyBorder="1" applyAlignment="1">
      <alignment horizontal="center" vertical="center"/>
    </xf>
    <xf numFmtId="0" fontId="15" fillId="0" borderId="3" xfId="0" applyFont="1" applyBorder="1" applyAlignment="1">
      <alignment horizontal="center" vertical="center"/>
    </xf>
    <xf numFmtId="0" fontId="15" fillId="0" borderId="3" xfId="0" applyFont="1" applyBorder="1" applyAlignment="1">
      <alignment wrapText="1"/>
    </xf>
    <xf numFmtId="0" fontId="21" fillId="0" borderId="3" xfId="0" applyFont="1" applyBorder="1" applyAlignment="1">
      <alignment horizontal="center" vertical="center" wrapText="1"/>
    </xf>
    <xf numFmtId="0" fontId="15" fillId="0" borderId="6" xfId="0" applyFont="1" applyBorder="1" applyAlignment="1">
      <alignment horizontal="center" vertical="center"/>
    </xf>
    <xf numFmtId="0" fontId="15" fillId="0" borderId="0" xfId="0" applyFont="1" applyAlignment="1">
      <alignment horizontal="center" vertical="center"/>
    </xf>
    <xf numFmtId="0" fontId="13" fillId="0" borderId="0" xfId="0" applyFont="1" applyAlignment="1">
      <alignment horizontal="center"/>
    </xf>
    <xf numFmtId="0" fontId="13" fillId="0" borderId="0" xfId="0" applyFont="1" applyAlignment="1">
      <alignment horizontal="center" vertical="center"/>
    </xf>
    <xf numFmtId="43" fontId="15" fillId="0" borderId="0" xfId="0" applyNumberFormat="1" applyFont="1"/>
    <xf numFmtId="0" fontId="22" fillId="4" borderId="9" xfId="0" applyFont="1" applyFill="1" applyBorder="1" applyAlignment="1">
      <alignment horizontal="center" vertical="center"/>
    </xf>
    <xf numFmtId="164" fontId="22" fillId="4" borderId="8" xfId="0" applyNumberFormat="1" applyFont="1" applyFill="1" applyBorder="1" applyAlignment="1">
      <alignment horizontal="center" vertical="center"/>
    </xf>
    <xf numFmtId="0" fontId="22" fillId="4" borderId="8" xfId="0" applyFont="1" applyFill="1" applyBorder="1" applyAlignment="1">
      <alignment horizontal="center" vertical="center"/>
    </xf>
    <xf numFmtId="0" fontId="22" fillId="4" borderId="10" xfId="0" applyFont="1" applyFill="1" applyBorder="1" applyAlignment="1">
      <alignment horizontal="center" vertical="center"/>
    </xf>
    <xf numFmtId="0" fontId="15" fillId="4" borderId="8" xfId="0" applyFont="1" applyFill="1" applyBorder="1" applyAlignment="1">
      <alignment horizontal="center" vertical="center"/>
    </xf>
    <xf numFmtId="0" fontId="22" fillId="4" borderId="8" xfId="0" applyFont="1" applyFill="1" applyBorder="1" applyAlignment="1">
      <alignment horizontal="left" vertical="center"/>
    </xf>
    <xf numFmtId="0" fontId="15" fillId="0" borderId="0" xfId="0" applyFont="1" applyAlignment="1">
      <alignment vertical="center"/>
    </xf>
    <xf numFmtId="164" fontId="15" fillId="0" borderId="0" xfId="0" applyNumberFormat="1" applyFont="1" applyAlignment="1">
      <alignment horizontal="center" vertical="center"/>
    </xf>
    <xf numFmtId="1" fontId="15" fillId="0" borderId="0" xfId="0" applyNumberFormat="1" applyFont="1" applyAlignment="1">
      <alignment horizontal="center" vertical="center"/>
    </xf>
    <xf numFmtId="0" fontId="23" fillId="0" borderId="0" xfId="0" applyFont="1" applyAlignment="1">
      <alignment horizontal="left" vertical="center"/>
    </xf>
    <xf numFmtId="0" fontId="15" fillId="0" borderId="0" xfId="0" applyFont="1" applyAlignment="1">
      <alignment horizontal="left" vertical="center"/>
    </xf>
    <xf numFmtId="0" fontId="15" fillId="0" borderId="0" xfId="0" applyFont="1" applyAlignment="1">
      <alignment horizontal="left" vertical="center" wrapText="1"/>
    </xf>
    <xf numFmtId="0" fontId="17" fillId="0" borderId="0" xfId="0" applyFont="1" applyAlignment="1">
      <alignment horizontal="center" vertical="center"/>
    </xf>
    <xf numFmtId="0" fontId="17" fillId="0" borderId="0" xfId="0" applyFont="1" applyAlignment="1">
      <alignment horizontal="center"/>
    </xf>
    <xf numFmtId="0" fontId="15" fillId="0" borderId="0" xfId="0" applyFont="1" applyAlignment="1">
      <alignment horizontal="center"/>
    </xf>
    <xf numFmtId="165" fontId="15" fillId="0" borderId="0" xfId="0" applyNumberFormat="1" applyFont="1" applyAlignment="1">
      <alignment horizontal="center" vertical="center"/>
    </xf>
    <xf numFmtId="0" fontId="24" fillId="0" borderId="3" xfId="0" applyFont="1" applyBorder="1" applyAlignment="1">
      <alignment horizontal="center" vertical="center"/>
    </xf>
    <xf numFmtId="0" fontId="24" fillId="0" borderId="11" xfId="0" applyFont="1" applyBorder="1" applyAlignment="1">
      <alignment horizontal="center" vertical="center"/>
    </xf>
    <xf numFmtId="0" fontId="22" fillId="4" borderId="3" xfId="0" applyFont="1" applyFill="1" applyBorder="1" applyAlignment="1">
      <alignment horizontal="center" vertical="center"/>
    </xf>
    <xf numFmtId="14" fontId="15" fillId="0" borderId="0" xfId="0" applyNumberFormat="1" applyFont="1" applyAlignment="1">
      <alignment horizontal="center" vertical="center"/>
    </xf>
    <xf numFmtId="0" fontId="15" fillId="0" borderId="3" xfId="0" applyFont="1" applyBorder="1" applyAlignment="1">
      <alignment vertical="center"/>
    </xf>
    <xf numFmtId="3" fontId="15" fillId="0" borderId="3" xfId="0" applyNumberFormat="1" applyFont="1" applyBorder="1" applyAlignment="1">
      <alignment vertical="center"/>
    </xf>
    <xf numFmtId="166" fontId="15" fillId="0" borderId="3" xfId="0" applyNumberFormat="1" applyFont="1" applyBorder="1" applyAlignment="1">
      <alignment vertical="center"/>
    </xf>
    <xf numFmtId="0" fontId="21" fillId="0" borderId="3" xfId="0" applyFont="1" applyBorder="1" applyAlignment="1">
      <alignment vertical="center"/>
    </xf>
    <xf numFmtId="0" fontId="25" fillId="0" borderId="3" xfId="0" applyFont="1" applyBorder="1" applyAlignment="1">
      <alignment horizontal="center" vertical="center"/>
    </xf>
    <xf numFmtId="14" fontId="15" fillId="0" borderId="0" xfId="0" applyNumberFormat="1" applyFont="1" applyAlignment="1">
      <alignment horizontal="left" vertical="center"/>
    </xf>
    <xf numFmtId="0" fontId="15" fillId="0" borderId="3" xfId="0" applyFont="1" applyBorder="1" applyAlignment="1">
      <alignment vertical="center" wrapText="1"/>
    </xf>
    <xf numFmtId="0" fontId="13" fillId="0" borderId="0" xfId="0" applyFont="1" applyAlignment="1">
      <alignment vertical="center"/>
    </xf>
    <xf numFmtId="0" fontId="15" fillId="3" borderId="8" xfId="0" applyFont="1" applyFill="1" applyBorder="1" applyAlignment="1">
      <alignment horizontal="center" vertical="center"/>
    </xf>
    <xf numFmtId="0" fontId="15" fillId="3" borderId="12" xfId="0" applyFont="1" applyFill="1" applyBorder="1" applyAlignment="1">
      <alignment horizontal="right" vertical="center" wrapText="1"/>
    </xf>
    <xf numFmtId="0" fontId="15" fillId="3" borderId="12" xfId="0" applyFont="1" applyFill="1" applyBorder="1" applyAlignment="1">
      <alignment horizontal="center" vertical="center"/>
    </xf>
    <xf numFmtId="0" fontId="15" fillId="3" borderId="12" xfId="0" applyFont="1" applyFill="1" applyBorder="1" applyAlignment="1">
      <alignment horizontal="left" vertical="center" wrapText="1"/>
    </xf>
    <xf numFmtId="0" fontId="15" fillId="3" borderId="12" xfId="0" applyFont="1" applyFill="1" applyBorder="1" applyAlignment="1">
      <alignment horizontal="right" vertical="center"/>
    </xf>
    <xf numFmtId="0" fontId="15" fillId="5" borderId="8" xfId="0" applyFont="1" applyFill="1" applyBorder="1" applyAlignment="1">
      <alignment horizontal="center" vertical="center"/>
    </xf>
    <xf numFmtId="0" fontId="15" fillId="5" borderId="12" xfId="0" applyFont="1" applyFill="1" applyBorder="1" applyAlignment="1">
      <alignment horizontal="right" vertical="center"/>
    </xf>
    <xf numFmtId="0" fontId="15" fillId="5" borderId="12" xfId="0" applyFont="1" applyFill="1" applyBorder="1" applyAlignment="1">
      <alignment horizontal="center" vertical="center"/>
    </xf>
    <xf numFmtId="0" fontId="15" fillId="5" borderId="12" xfId="0" applyFont="1" applyFill="1" applyBorder="1" applyAlignment="1">
      <alignment horizontal="left" vertical="center" wrapText="1"/>
    </xf>
    <xf numFmtId="0" fontId="26" fillId="0" borderId="0" xfId="0" applyFont="1"/>
    <xf numFmtId="0" fontId="15" fillId="5" borderId="13" xfId="0" applyFont="1" applyFill="1" applyBorder="1" applyAlignment="1">
      <alignment horizontal="center" vertical="center"/>
    </xf>
    <xf numFmtId="0" fontId="15" fillId="0" borderId="13" xfId="0" applyFont="1" applyBorder="1" applyAlignment="1">
      <alignment horizontal="center" vertical="center"/>
    </xf>
    <xf numFmtId="0" fontId="15" fillId="0" borderId="13" xfId="0" applyFont="1" applyBorder="1" applyAlignment="1">
      <alignment horizontal="right" vertical="center"/>
    </xf>
    <xf numFmtId="167" fontId="15" fillId="0" borderId="13" xfId="0" applyNumberFormat="1" applyFont="1" applyBorder="1" applyAlignment="1">
      <alignment horizontal="left" vertical="center"/>
    </xf>
    <xf numFmtId="0" fontId="15" fillId="0" borderId="13" xfId="0" applyFont="1" applyBorder="1" applyAlignment="1">
      <alignment horizontal="left" vertical="center"/>
    </xf>
    <xf numFmtId="167" fontId="15" fillId="0" borderId="16" xfId="0" applyNumberFormat="1" applyFont="1" applyBorder="1" applyAlignment="1">
      <alignment horizontal="left" vertical="center"/>
    </xf>
    <xf numFmtId="0" fontId="15" fillId="0" borderId="3" xfId="0" applyFont="1" applyBorder="1" applyAlignment="1">
      <alignment horizontal="left" vertical="center"/>
    </xf>
    <xf numFmtId="0" fontId="15" fillId="0" borderId="3" xfId="0" applyFont="1" applyBorder="1" applyAlignment="1">
      <alignment horizontal="center" vertical="center" wrapText="1"/>
    </xf>
    <xf numFmtId="0" fontId="15" fillId="0" borderId="3" xfId="0" applyFont="1" applyBorder="1" applyAlignment="1">
      <alignment horizontal="left" vertical="center" wrapText="1"/>
    </xf>
    <xf numFmtId="0" fontId="15" fillId="0" borderId="3" xfId="0" applyFont="1" applyBorder="1" applyAlignment="1">
      <alignment horizontal="right" vertical="center" wrapText="1"/>
    </xf>
    <xf numFmtId="167" fontId="15" fillId="0" borderId="3" xfId="0" applyNumberFormat="1" applyFont="1" applyBorder="1" applyAlignment="1">
      <alignment horizontal="left" vertical="center" wrapText="1"/>
    </xf>
    <xf numFmtId="0" fontId="15" fillId="0" borderId="3" xfId="0" quotePrefix="1" applyFont="1" applyBorder="1" applyAlignment="1">
      <alignment horizontal="left" vertical="center" wrapText="1"/>
    </xf>
    <xf numFmtId="2" fontId="15" fillId="0" borderId="0" xfId="0" applyNumberFormat="1" applyFont="1" applyAlignment="1">
      <alignment horizontal="center" vertical="center"/>
    </xf>
    <xf numFmtId="2" fontId="15" fillId="0" borderId="3" xfId="0" applyNumberFormat="1" applyFont="1" applyBorder="1" applyAlignment="1">
      <alignment horizontal="center" vertical="center"/>
    </xf>
    <xf numFmtId="0" fontId="15" fillId="6" borderId="3" xfId="0" applyFont="1" applyFill="1" applyBorder="1" applyAlignment="1">
      <alignment horizontal="center"/>
    </xf>
    <xf numFmtId="0" fontId="15" fillId="7" borderId="3" xfId="0" applyFont="1" applyFill="1" applyBorder="1" applyAlignment="1">
      <alignment wrapText="1"/>
    </xf>
    <xf numFmtId="0" fontId="15" fillId="7" borderId="3" xfId="0" applyFont="1" applyFill="1" applyBorder="1" applyAlignment="1">
      <alignment horizontal="center" wrapText="1"/>
    </xf>
    <xf numFmtId="0" fontId="15" fillId="6" borderId="3" xfId="0" applyFont="1" applyFill="1" applyBorder="1" applyAlignment="1">
      <alignment wrapText="1"/>
    </xf>
    <xf numFmtId="0" fontId="15" fillId="6" borderId="3" xfId="0" applyFont="1" applyFill="1" applyBorder="1" applyAlignment="1">
      <alignment horizontal="center" wrapText="1"/>
    </xf>
    <xf numFmtId="0" fontId="15" fillId="6" borderId="3" xfId="0" applyFont="1" applyFill="1" applyBorder="1" applyAlignment="1">
      <alignment horizontal="right" vertical="center" wrapText="1"/>
    </xf>
    <xf numFmtId="167" fontId="15" fillId="6" borderId="3" xfId="0" applyNumberFormat="1" applyFont="1" applyFill="1" applyBorder="1" applyAlignment="1">
      <alignment horizontal="left" vertical="center" wrapText="1"/>
    </xf>
    <xf numFmtId="0" fontId="15" fillId="6" borderId="3" xfId="0" applyFont="1" applyFill="1" applyBorder="1" applyAlignment="1">
      <alignment horizontal="center" vertical="center" wrapText="1"/>
    </xf>
    <xf numFmtId="0" fontId="15" fillId="7" borderId="3" xfId="0" applyFont="1" applyFill="1" applyBorder="1" applyAlignment="1">
      <alignment horizontal="right" vertical="center" wrapText="1"/>
    </xf>
    <xf numFmtId="0" fontId="15" fillId="7" borderId="3" xfId="0" applyFont="1" applyFill="1" applyBorder="1" applyAlignment="1">
      <alignment horizontal="left" vertical="center"/>
    </xf>
    <xf numFmtId="0" fontId="15" fillId="6" borderId="3" xfId="0" applyFont="1" applyFill="1" applyBorder="1" applyAlignment="1">
      <alignment horizontal="left" vertical="center"/>
    </xf>
    <xf numFmtId="0" fontId="15" fillId="0" borderId="3" xfId="0" applyFont="1" applyBorder="1"/>
    <xf numFmtId="0" fontId="15" fillId="7" borderId="3" xfId="0" applyFont="1" applyFill="1" applyBorder="1" applyAlignment="1">
      <alignment horizontal="right" wrapText="1"/>
    </xf>
    <xf numFmtId="167" fontId="15" fillId="7" borderId="3" xfId="0" applyNumberFormat="1" applyFont="1" applyFill="1" applyBorder="1" applyAlignment="1">
      <alignment horizontal="left" wrapText="1"/>
    </xf>
    <xf numFmtId="0" fontId="15" fillId="6" borderId="3" xfId="0" applyFont="1" applyFill="1" applyBorder="1"/>
    <xf numFmtId="0" fontId="15" fillId="6" borderId="3" xfId="0" applyFont="1" applyFill="1" applyBorder="1" applyAlignment="1">
      <alignment horizontal="right" wrapText="1"/>
    </xf>
    <xf numFmtId="0" fontId="15" fillId="6" borderId="6" xfId="0" applyFont="1" applyFill="1" applyBorder="1" applyAlignment="1">
      <alignment wrapText="1"/>
    </xf>
    <xf numFmtId="0" fontId="15" fillId="6" borderId="6" xfId="0" applyFont="1" applyFill="1" applyBorder="1" applyAlignment="1">
      <alignment horizontal="center" wrapText="1"/>
    </xf>
    <xf numFmtId="167" fontId="15" fillId="6" borderId="3" xfId="0" applyNumberFormat="1" applyFont="1" applyFill="1" applyBorder="1" applyAlignment="1">
      <alignment horizontal="left" wrapText="1"/>
    </xf>
    <xf numFmtId="0" fontId="15" fillId="7" borderId="3" xfId="0" applyFont="1" applyFill="1" applyBorder="1"/>
    <xf numFmtId="167" fontId="15" fillId="6" borderId="3" xfId="0" applyNumberFormat="1" applyFont="1" applyFill="1" applyBorder="1" applyAlignment="1">
      <alignment horizontal="center" vertical="center"/>
    </xf>
    <xf numFmtId="0" fontId="15" fillId="6" borderId="3" xfId="0" applyFont="1" applyFill="1" applyBorder="1" applyAlignment="1">
      <alignment horizontal="center" vertical="center"/>
    </xf>
    <xf numFmtId="0" fontId="15" fillId="7" borderId="3" xfId="0" applyFont="1" applyFill="1" applyBorder="1" applyAlignment="1">
      <alignment horizontal="center" vertical="center" wrapText="1"/>
    </xf>
    <xf numFmtId="0" fontId="15" fillId="7" borderId="3" xfId="0" applyFont="1" applyFill="1" applyBorder="1" applyAlignment="1">
      <alignment horizontal="center" vertical="center"/>
    </xf>
    <xf numFmtId="0" fontId="15" fillId="0" borderId="3" xfId="0" applyFont="1" applyBorder="1" applyAlignment="1">
      <alignment horizontal="center"/>
    </xf>
    <xf numFmtId="0" fontId="15" fillId="6" borderId="0" xfId="0" applyFont="1" applyFill="1" applyAlignment="1">
      <alignment horizontal="center" vertical="center" wrapText="1"/>
    </xf>
    <xf numFmtId="0" fontId="15" fillId="7" borderId="0" xfId="0" applyFont="1" applyFill="1" applyAlignment="1">
      <alignment horizontal="left" vertical="center" wrapText="1"/>
    </xf>
    <xf numFmtId="0" fontId="15" fillId="6" borderId="0" xfId="0" applyFont="1" applyFill="1" applyAlignment="1">
      <alignment horizontal="left" vertical="center"/>
    </xf>
    <xf numFmtId="0" fontId="15" fillId="7" borderId="0" xfId="0" applyFont="1" applyFill="1" applyAlignment="1">
      <alignment horizontal="center" vertical="center" wrapText="1"/>
    </xf>
    <xf numFmtId="0" fontId="15" fillId="6" borderId="0" xfId="0" applyFont="1" applyFill="1" applyAlignment="1">
      <alignment horizontal="left" vertical="center" wrapText="1"/>
    </xf>
    <xf numFmtId="0" fontId="15" fillId="7" borderId="0" xfId="0" applyFont="1" applyFill="1" applyAlignment="1">
      <alignment horizontal="center" vertical="center"/>
    </xf>
    <xf numFmtId="0" fontId="15" fillId="6" borderId="0" xfId="0" applyFont="1" applyFill="1" applyAlignment="1">
      <alignment horizontal="center" vertical="center"/>
    </xf>
    <xf numFmtId="167" fontId="15" fillId="6" borderId="3" xfId="0" applyNumberFormat="1" applyFont="1" applyFill="1" applyBorder="1" applyAlignment="1">
      <alignment horizontal="left"/>
    </xf>
    <xf numFmtId="0" fontId="15" fillId="6" borderId="0" xfId="0" applyFont="1" applyFill="1" applyAlignment="1">
      <alignment horizontal="center"/>
    </xf>
    <xf numFmtId="0" fontId="15" fillId="7" borderId="0" xfId="0" applyFont="1" applyFill="1" applyAlignment="1">
      <alignment horizontal="center"/>
    </xf>
    <xf numFmtId="0" fontId="15" fillId="7" borderId="3" xfId="0" applyFont="1" applyFill="1" applyBorder="1" applyAlignment="1">
      <alignment horizontal="center"/>
    </xf>
    <xf numFmtId="0" fontId="26" fillId="0" borderId="0" xfId="0" applyFont="1" applyAlignment="1">
      <alignment wrapText="1"/>
    </xf>
    <xf numFmtId="41" fontId="15" fillId="0" borderId="3" xfId="0" applyNumberFormat="1" applyFont="1" applyBorder="1" applyAlignment="1">
      <alignment vertical="center"/>
    </xf>
    <xf numFmtId="0" fontId="15" fillId="0" borderId="17" xfId="0" applyFont="1" applyBorder="1" applyAlignment="1">
      <alignment horizontal="left" vertical="center"/>
    </xf>
    <xf numFmtId="0" fontId="24" fillId="0" borderId="17" xfId="0" applyFont="1" applyBorder="1" applyAlignment="1">
      <alignment horizontal="left" vertical="center"/>
    </xf>
    <xf numFmtId="41" fontId="24" fillId="0" borderId="3" xfId="0" applyNumberFormat="1" applyFont="1" applyBorder="1" applyAlignment="1">
      <alignment vertical="center"/>
    </xf>
    <xf numFmtId="43" fontId="15" fillId="0" borderId="3" xfId="0" applyNumberFormat="1" applyFont="1" applyBorder="1" applyAlignment="1">
      <alignment vertical="center"/>
    </xf>
    <xf numFmtId="43" fontId="24" fillId="0" borderId="3" xfId="0" applyNumberFormat="1" applyFont="1" applyBorder="1" applyAlignment="1">
      <alignment vertical="center"/>
    </xf>
    <xf numFmtId="0" fontId="24" fillId="0" borderId="3" xfId="0" applyFont="1" applyBorder="1" applyAlignment="1">
      <alignment horizontal="left" vertical="center"/>
    </xf>
    <xf numFmtId="41" fontId="15" fillId="0" borderId="3" xfId="0" applyNumberFormat="1" applyFont="1" applyBorder="1" applyAlignment="1">
      <alignment horizontal="left" vertical="center"/>
    </xf>
    <xf numFmtId="168" fontId="15" fillId="0" borderId="3" xfId="0" applyNumberFormat="1" applyFont="1" applyBorder="1" applyAlignment="1">
      <alignment vertical="center"/>
    </xf>
    <xf numFmtId="168" fontId="24" fillId="0" borderId="3" xfId="0" applyNumberFormat="1" applyFont="1" applyBorder="1" applyAlignment="1">
      <alignment vertical="center"/>
    </xf>
    <xf numFmtId="41" fontId="15" fillId="0" borderId="0" xfId="0" applyNumberFormat="1" applyFont="1" applyAlignment="1">
      <alignment vertical="center"/>
    </xf>
    <xf numFmtId="0" fontId="27" fillId="6" borderId="20" xfId="0" applyFont="1" applyFill="1" applyBorder="1" applyAlignment="1">
      <alignment vertical="center"/>
    </xf>
    <xf numFmtId="0" fontId="27" fillId="6" borderId="3" xfId="0" applyFont="1" applyFill="1" applyBorder="1" applyAlignment="1">
      <alignment vertical="center"/>
    </xf>
    <xf numFmtId="0" fontId="27" fillId="6" borderId="3" xfId="0" applyFont="1" applyFill="1" applyBorder="1" applyAlignment="1">
      <alignment horizontal="center" vertical="center"/>
    </xf>
    <xf numFmtId="0" fontId="27" fillId="6" borderId="21" xfId="0" applyFont="1" applyFill="1" applyBorder="1" applyAlignment="1">
      <alignment vertical="center"/>
    </xf>
    <xf numFmtId="0" fontId="27" fillId="6" borderId="22" xfId="0" applyFont="1" applyFill="1" applyBorder="1" applyAlignment="1">
      <alignment horizontal="center" vertical="center"/>
    </xf>
    <xf numFmtId="0" fontId="21" fillId="0" borderId="0" xfId="0" applyFont="1" applyAlignment="1">
      <alignment vertical="center" wrapText="1"/>
    </xf>
    <xf numFmtId="0" fontId="21" fillId="0" borderId="0" xfId="0" applyFont="1" applyAlignment="1">
      <alignment horizontal="left" vertical="center" wrapText="1"/>
    </xf>
    <xf numFmtId="0" fontId="27" fillId="6" borderId="3" xfId="0" applyFont="1" applyFill="1" applyBorder="1" applyAlignment="1">
      <alignment vertical="center" wrapText="1"/>
    </xf>
    <xf numFmtId="0" fontId="24" fillId="0" borderId="3" xfId="0" applyFont="1" applyBorder="1" applyAlignment="1">
      <alignment vertical="center"/>
    </xf>
    <xf numFmtId="0" fontId="21" fillId="0" borderId="3" xfId="0" applyFont="1" applyBorder="1" applyAlignment="1">
      <alignment vertical="center" wrapText="1"/>
    </xf>
    <xf numFmtId="0" fontId="15" fillId="0" borderId="19" xfId="0" applyFont="1" applyBorder="1" applyAlignment="1">
      <alignment horizontal="center" vertical="center"/>
    </xf>
    <xf numFmtId="0" fontId="15" fillId="0" borderId="18" xfId="0" applyFont="1" applyBorder="1" applyAlignment="1">
      <alignment horizontal="left" vertical="center"/>
    </xf>
    <xf numFmtId="0" fontId="27" fillId="0" borderId="0" xfId="0" applyFont="1" applyAlignment="1">
      <alignment vertical="center" wrapText="1"/>
    </xf>
    <xf numFmtId="0" fontId="28" fillId="0" borderId="3" xfId="0" applyFont="1" applyBorder="1" applyAlignment="1">
      <alignment vertical="center" wrapText="1"/>
    </xf>
    <xf numFmtId="0" fontId="29" fillId="6" borderId="3" xfId="0" applyFont="1" applyFill="1" applyBorder="1" applyAlignment="1">
      <alignment horizontal="center" vertical="center"/>
    </xf>
    <xf numFmtId="41" fontId="15" fillId="0" borderId="3" xfId="0" applyNumberFormat="1" applyFont="1" applyBorder="1" applyAlignment="1">
      <alignment horizontal="center" vertical="center"/>
    </xf>
    <xf numFmtId="0" fontId="21" fillId="6" borderId="3" xfId="0" applyFont="1" applyFill="1" applyBorder="1" applyAlignment="1">
      <alignment vertical="center" wrapText="1"/>
    </xf>
    <xf numFmtId="0" fontId="27" fillId="0" borderId="3" xfId="0" applyFont="1" applyBorder="1" applyAlignment="1">
      <alignment vertical="center"/>
    </xf>
    <xf numFmtId="0" fontId="15" fillId="0" borderId="18" xfId="0" applyFont="1" applyBorder="1" applyAlignment="1">
      <alignment horizontal="center" vertical="center"/>
    </xf>
    <xf numFmtId="0" fontId="30" fillId="6" borderId="20" xfId="0" applyFont="1" applyFill="1" applyBorder="1" applyAlignment="1">
      <alignment horizontal="center" vertical="center" wrapText="1"/>
    </xf>
    <xf numFmtId="0" fontId="15" fillId="0" borderId="26" xfId="0" applyFont="1" applyBorder="1" applyAlignment="1">
      <alignment horizontal="center" vertical="center"/>
    </xf>
    <xf numFmtId="0" fontId="29" fillId="6" borderId="20" xfId="0" applyFont="1" applyFill="1" applyBorder="1" applyAlignment="1">
      <alignment horizontal="center" vertical="center" wrapText="1"/>
    </xf>
    <xf numFmtId="0" fontId="15" fillId="0" borderId="7" xfId="0" applyFont="1" applyBorder="1" applyAlignment="1">
      <alignment horizontal="center" vertical="center"/>
    </xf>
    <xf numFmtId="0" fontId="21" fillId="6" borderId="20" xfId="0" applyFont="1" applyFill="1" applyBorder="1" applyAlignment="1">
      <alignment horizontal="center" vertical="center"/>
    </xf>
    <xf numFmtId="0" fontId="21" fillId="6" borderId="3" xfId="0" applyFont="1" applyFill="1" applyBorder="1" applyAlignment="1">
      <alignment horizontal="center" vertical="center"/>
    </xf>
    <xf numFmtId="0" fontId="28" fillId="0" borderId="3" xfId="0" applyFont="1" applyBorder="1" applyAlignment="1">
      <alignment vertical="center"/>
    </xf>
    <xf numFmtId="0" fontId="21" fillId="0" borderId="0" xfId="0" applyFont="1" applyAlignment="1">
      <alignment vertical="center"/>
    </xf>
    <xf numFmtId="0" fontId="21" fillId="6" borderId="3" xfId="0" applyFont="1" applyFill="1" applyBorder="1" applyAlignment="1">
      <alignment vertical="center"/>
    </xf>
    <xf numFmtId="0" fontId="21" fillId="0" borderId="3" xfId="0" applyFont="1" applyBorder="1" applyAlignment="1">
      <alignment horizontal="left" vertical="center" wrapText="1"/>
    </xf>
    <xf numFmtId="0" fontId="24" fillId="0" borderId="11" xfId="0" applyFont="1" applyBorder="1" applyAlignment="1">
      <alignment horizontal="left" vertical="center"/>
    </xf>
    <xf numFmtId="0" fontId="24" fillId="0" borderId="19" xfId="0" applyFont="1" applyBorder="1" applyAlignment="1">
      <alignment horizontal="left" vertical="center"/>
    </xf>
    <xf numFmtId="0" fontId="24" fillId="0" borderId="18" xfId="0" applyFont="1" applyBorder="1" applyAlignment="1">
      <alignment horizontal="left" vertical="center"/>
    </xf>
    <xf numFmtId="0" fontId="31" fillId="0" borderId="3" xfId="0" applyFont="1" applyBorder="1" applyAlignment="1">
      <alignment vertical="center" wrapText="1"/>
    </xf>
    <xf numFmtId="0" fontId="32" fillId="6" borderId="3" xfId="0" applyFont="1" applyFill="1" applyBorder="1" applyAlignment="1">
      <alignment vertical="center" wrapText="1"/>
    </xf>
    <xf numFmtId="0" fontId="15" fillId="0" borderId="18" xfId="0" applyFont="1" applyBorder="1" applyAlignment="1">
      <alignment horizontal="center" vertical="center" wrapText="1"/>
    </xf>
    <xf numFmtId="0" fontId="13" fillId="0" borderId="3" xfId="0" applyFont="1" applyBorder="1" applyAlignment="1">
      <alignment vertical="center" wrapText="1"/>
    </xf>
    <xf numFmtId="0" fontId="29" fillId="6" borderId="20" xfId="0" applyFont="1" applyFill="1" applyBorder="1" applyAlignment="1">
      <alignment horizontal="center" vertical="center"/>
    </xf>
    <xf numFmtId="0" fontId="27" fillId="0" borderId="3" xfId="0" applyFont="1" applyBorder="1" applyAlignment="1">
      <alignment vertical="center" wrapText="1"/>
    </xf>
    <xf numFmtId="0" fontId="30" fillId="0" borderId="3" xfId="0" applyFont="1" applyBorder="1" applyAlignment="1">
      <alignment vertical="center" wrapText="1"/>
    </xf>
    <xf numFmtId="0" fontId="30" fillId="0" borderId="3" xfId="0" applyFont="1" applyBorder="1" applyAlignment="1">
      <alignment vertical="center"/>
    </xf>
    <xf numFmtId="0" fontId="15" fillId="0" borderId="6" xfId="0" applyFont="1" applyBorder="1" applyAlignment="1">
      <alignment horizontal="left" vertical="center" wrapText="1"/>
    </xf>
    <xf numFmtId="0" fontId="21" fillId="0" borderId="0" xfId="0" applyFont="1" applyAlignment="1">
      <alignment horizontal="left" vertical="center"/>
    </xf>
    <xf numFmtId="0" fontId="30" fillId="6" borderId="3" xfId="0" applyFont="1" applyFill="1" applyBorder="1" applyAlignment="1">
      <alignment horizontal="center" vertical="center" wrapText="1"/>
    </xf>
    <xf numFmtId="0" fontId="29" fillId="6" borderId="3" xfId="0" applyFont="1" applyFill="1" applyBorder="1" applyAlignment="1">
      <alignment horizontal="center" vertical="center" wrapText="1"/>
    </xf>
    <xf numFmtId="0" fontId="24" fillId="0" borderId="0" xfId="0" applyFont="1" applyAlignment="1">
      <alignment horizontal="center" vertical="center"/>
    </xf>
    <xf numFmtId="0" fontId="15" fillId="0" borderId="0" xfId="0" applyFont="1" applyAlignment="1">
      <alignment vertical="center" wrapText="1"/>
    </xf>
    <xf numFmtId="0" fontId="29" fillId="6" borderId="8" xfId="0" applyFont="1" applyFill="1" applyBorder="1" applyAlignment="1">
      <alignment horizontal="center" vertical="center"/>
    </xf>
    <xf numFmtId="41" fontId="15" fillId="0" borderId="0" xfId="0" applyNumberFormat="1" applyFont="1" applyAlignment="1">
      <alignment horizontal="center" vertical="center"/>
    </xf>
    <xf numFmtId="43" fontId="15" fillId="0" borderId="3" xfId="0" applyNumberFormat="1" applyFont="1" applyBorder="1" applyAlignment="1">
      <alignment horizontal="center" vertical="center"/>
    </xf>
    <xf numFmtId="0" fontId="15" fillId="0" borderId="19" xfId="0" applyFont="1" applyBorder="1" applyAlignment="1">
      <alignment horizontal="left" vertical="center"/>
    </xf>
    <xf numFmtId="41" fontId="15" fillId="0" borderId="0" xfId="0" applyNumberFormat="1" applyFont="1" applyAlignment="1">
      <alignment horizontal="left" vertical="center"/>
    </xf>
    <xf numFmtId="166" fontId="15" fillId="0" borderId="0" xfId="0" applyNumberFormat="1" applyFont="1" applyAlignment="1">
      <alignment horizontal="left" vertical="center"/>
    </xf>
    <xf numFmtId="169" fontId="15" fillId="0" borderId="3" xfId="0" applyNumberFormat="1" applyFont="1" applyBorder="1" applyAlignment="1">
      <alignment vertical="center"/>
    </xf>
    <xf numFmtId="169" fontId="24" fillId="0" borderId="3" xfId="0" applyNumberFormat="1" applyFont="1" applyBorder="1" applyAlignment="1">
      <alignment vertical="center"/>
    </xf>
    <xf numFmtId="4" fontId="15" fillId="0" borderId="3" xfId="0" applyNumberFormat="1" applyFont="1" applyBorder="1" applyAlignment="1">
      <alignment vertical="center"/>
    </xf>
    <xf numFmtId="0" fontId="15" fillId="0" borderId="3" xfId="0" quotePrefix="1" applyFont="1" applyBorder="1" applyAlignment="1">
      <alignment horizontal="center" vertical="center"/>
    </xf>
    <xf numFmtId="0" fontId="13" fillId="0" borderId="0" xfId="0" applyFont="1" applyAlignment="1">
      <alignment horizontal="left" vertical="center"/>
    </xf>
    <xf numFmtId="15" fontId="15" fillId="0" borderId="0" xfId="0" applyNumberFormat="1" applyFont="1" applyAlignment="1">
      <alignment horizontal="left" vertical="center"/>
    </xf>
    <xf numFmtId="0" fontId="24" fillId="0" borderId="0" xfId="0" applyFont="1" applyAlignment="1">
      <alignment horizontal="left" vertical="center"/>
    </xf>
    <xf numFmtId="169" fontId="24" fillId="0" borderId="0" xfId="0" applyNumberFormat="1" applyFont="1" applyAlignment="1">
      <alignment vertical="center"/>
    </xf>
    <xf numFmtId="15" fontId="13" fillId="0" borderId="0" xfId="0" applyNumberFormat="1" applyFont="1" applyAlignment="1">
      <alignment horizontal="left" vertical="center"/>
    </xf>
    <xf numFmtId="43" fontId="15" fillId="0" borderId="0" xfId="0" applyNumberFormat="1" applyFont="1" applyAlignment="1">
      <alignment horizontal="center" vertical="center"/>
    </xf>
    <xf numFmtId="43" fontId="15" fillId="0" borderId="0" xfId="0" applyNumberFormat="1" applyFont="1" applyAlignment="1">
      <alignment vertical="center"/>
    </xf>
    <xf numFmtId="166" fontId="15" fillId="0" borderId="0" xfId="0" applyNumberFormat="1" applyFont="1" applyAlignment="1">
      <alignment horizontal="center" vertical="center"/>
    </xf>
    <xf numFmtId="166" fontId="24" fillId="0" borderId="3" xfId="0" applyNumberFormat="1" applyFont="1" applyBorder="1" applyAlignment="1">
      <alignment vertical="center"/>
    </xf>
    <xf numFmtId="0" fontId="24" fillId="0" borderId="2" xfId="0" applyFont="1" applyBorder="1" applyAlignment="1">
      <alignment horizontal="left" vertical="center"/>
    </xf>
    <xf numFmtId="0" fontId="24" fillId="0" borderId="0" xfId="0" applyFont="1" applyAlignment="1">
      <alignment vertical="center"/>
    </xf>
    <xf numFmtId="0" fontId="33" fillId="0" borderId="3" xfId="0" applyFont="1" applyBorder="1" applyAlignment="1">
      <alignment horizontal="center" vertical="center"/>
    </xf>
    <xf numFmtId="0" fontId="13" fillId="0" borderId="3" xfId="0" applyFont="1" applyBorder="1" applyAlignment="1">
      <alignment horizontal="left" vertical="center" wrapText="1"/>
    </xf>
    <xf numFmtId="15" fontId="15" fillId="0" borderId="0" xfId="0" quotePrefix="1" applyNumberFormat="1" applyFont="1" applyAlignment="1">
      <alignment horizontal="left" vertical="center"/>
    </xf>
    <xf numFmtId="15" fontId="15" fillId="0" borderId="0" xfId="0" quotePrefix="1" applyNumberFormat="1" applyFont="1" applyAlignment="1">
      <alignment vertical="center"/>
    </xf>
    <xf numFmtId="0" fontId="15" fillId="0" borderId="2" xfId="0" applyFont="1" applyBorder="1" applyAlignment="1">
      <alignment vertical="center"/>
    </xf>
    <xf numFmtId="0" fontId="21" fillId="0" borderId="0" xfId="0" applyFont="1" applyAlignment="1">
      <alignment wrapText="1"/>
    </xf>
    <xf numFmtId="0" fontId="25" fillId="0" borderId="0" xfId="0" applyFont="1" applyAlignment="1">
      <alignment horizontal="left" vertical="center"/>
    </xf>
    <xf numFmtId="0" fontId="26" fillId="0" borderId="0" xfId="0" applyFont="1" applyAlignment="1">
      <alignment horizontal="center"/>
    </xf>
    <xf numFmtId="0" fontId="34" fillId="0" borderId="0" xfId="1" applyAlignment="1">
      <alignment horizontal="left" vertical="center"/>
    </xf>
    <xf numFmtId="0" fontId="0" fillId="0" borderId="0" xfId="0" applyAlignment="1">
      <alignment horizontal="center"/>
    </xf>
    <xf numFmtId="0" fontId="36" fillId="0" borderId="3" xfId="0" applyFont="1" applyBorder="1" applyAlignment="1">
      <alignment vertical="center" wrapText="1"/>
    </xf>
    <xf numFmtId="0" fontId="35" fillId="5" borderId="13" xfId="0" applyFont="1" applyFill="1" applyBorder="1" applyAlignment="1">
      <alignment horizontal="center" vertical="center"/>
    </xf>
    <xf numFmtId="0" fontId="36" fillId="0" borderId="3" xfId="0" applyFont="1" applyBorder="1" applyAlignment="1">
      <alignment horizontal="center" vertical="center" wrapText="1"/>
    </xf>
    <xf numFmtId="0" fontId="35" fillId="0" borderId="3" xfId="0" applyFont="1" applyBorder="1" applyAlignment="1">
      <alignment horizontal="left" vertical="top" wrapText="1"/>
    </xf>
    <xf numFmtId="0" fontId="35" fillId="0" borderId="0" xfId="0" applyFont="1" applyAlignment="1">
      <alignment horizontal="center" vertical="center"/>
    </xf>
    <xf numFmtId="0" fontId="35" fillId="0" borderId="0" xfId="0" applyFont="1" applyAlignment="1">
      <alignment horizontal="left" vertical="center"/>
    </xf>
    <xf numFmtId="0" fontId="35" fillId="0" borderId="3" xfId="0" applyFont="1" applyBorder="1" applyAlignment="1">
      <alignment horizontal="center" vertical="center"/>
    </xf>
    <xf numFmtId="0" fontId="15" fillId="8" borderId="3" xfId="0" applyFont="1" applyFill="1" applyBorder="1" applyAlignment="1">
      <alignment horizontal="center" vertical="center"/>
    </xf>
    <xf numFmtId="0" fontId="36" fillId="8" borderId="3" xfId="0" applyFont="1" applyFill="1" applyBorder="1" applyAlignment="1">
      <alignment vertical="center" wrapText="1"/>
    </xf>
    <xf numFmtId="0" fontId="36" fillId="8" borderId="3" xfId="0" applyFont="1" applyFill="1" applyBorder="1" applyAlignment="1">
      <alignment horizontal="center" vertical="center" wrapText="1"/>
    </xf>
    <xf numFmtId="0" fontId="15" fillId="8" borderId="3" xfId="0" applyFont="1" applyFill="1" applyBorder="1" applyAlignment="1">
      <alignment horizontal="center" vertical="center" wrapText="1"/>
    </xf>
    <xf numFmtId="0" fontId="15" fillId="8" borderId="3" xfId="0" applyFont="1" applyFill="1" applyBorder="1" applyAlignment="1">
      <alignment horizontal="right" vertical="center" wrapText="1"/>
    </xf>
    <xf numFmtId="167" fontId="15" fillId="8" borderId="3" xfId="0" applyNumberFormat="1" applyFont="1" applyFill="1" applyBorder="1" applyAlignment="1">
      <alignment horizontal="left" vertical="center" wrapText="1"/>
    </xf>
    <xf numFmtId="0" fontId="35" fillId="8" borderId="3" xfId="0" applyFont="1" applyFill="1" applyBorder="1" applyAlignment="1">
      <alignment horizontal="left" vertical="center"/>
    </xf>
    <xf numFmtId="0" fontId="15" fillId="8" borderId="3" xfId="0" applyFont="1" applyFill="1" applyBorder="1" applyAlignment="1">
      <alignment horizontal="center"/>
    </xf>
    <xf numFmtId="0" fontId="35" fillId="8" borderId="3" xfId="0" applyFont="1" applyFill="1" applyBorder="1" applyAlignment="1">
      <alignment vertical="center" wrapText="1"/>
    </xf>
    <xf numFmtId="0" fontId="15" fillId="8" borderId="3" xfId="0" applyFont="1" applyFill="1" applyBorder="1"/>
    <xf numFmtId="0" fontId="15" fillId="8" borderId="3" xfId="0" applyFont="1" applyFill="1" applyBorder="1" applyAlignment="1">
      <alignment horizontal="right" wrapText="1"/>
    </xf>
    <xf numFmtId="0" fontId="35" fillId="8" borderId="3" xfId="0" applyFont="1" applyFill="1" applyBorder="1"/>
    <xf numFmtId="167" fontId="15" fillId="8" borderId="3" xfId="0" applyNumberFormat="1" applyFont="1" applyFill="1" applyBorder="1" applyAlignment="1">
      <alignment horizontal="center" vertical="center"/>
    </xf>
    <xf numFmtId="0" fontId="35" fillId="8" borderId="3" xfId="0" applyFont="1" applyFill="1" applyBorder="1" applyAlignment="1">
      <alignment horizontal="center" vertical="center"/>
    </xf>
    <xf numFmtId="0" fontId="36" fillId="0" borderId="28" xfId="0" applyFont="1" applyBorder="1" applyAlignment="1">
      <alignment horizontal="center" vertical="center" wrapText="1"/>
    </xf>
    <xf numFmtId="15" fontId="13" fillId="3" borderId="4" xfId="0" applyNumberFormat="1" applyFont="1" applyFill="1" applyBorder="1" applyAlignment="1">
      <alignment horizontal="center"/>
    </xf>
    <xf numFmtId="0" fontId="15" fillId="6" borderId="28" xfId="0" applyFont="1" applyFill="1" applyBorder="1" applyAlignment="1">
      <alignment vertical="center" wrapText="1"/>
    </xf>
    <xf numFmtId="0" fontId="15" fillId="6" borderId="28" xfId="0" applyFont="1" applyFill="1" applyBorder="1" applyAlignment="1">
      <alignment horizontal="center" vertical="center" wrapText="1"/>
    </xf>
    <xf numFmtId="0" fontId="15" fillId="0" borderId="28" xfId="0" applyFont="1" applyBorder="1" applyAlignment="1">
      <alignment wrapText="1"/>
    </xf>
    <xf numFmtId="0" fontId="15" fillId="0" borderId="28" xfId="0" applyFont="1" applyBorder="1" applyAlignment="1">
      <alignment horizontal="center" vertical="center"/>
    </xf>
    <xf numFmtId="0" fontId="12" fillId="0" borderId="0" xfId="0" applyFont="1" applyAlignment="1">
      <alignment horizontal="center"/>
    </xf>
    <xf numFmtId="0" fontId="15" fillId="0" borderId="0" xfId="0" quotePrefix="1" applyFont="1" applyAlignment="1">
      <alignment horizontal="left" vertical="center"/>
    </xf>
    <xf numFmtId="0" fontId="11" fillId="0" borderId="0" xfId="0" applyFont="1" applyAlignment="1">
      <alignment horizontal="center"/>
    </xf>
    <xf numFmtId="0" fontId="14" fillId="0" borderId="0" xfId="0" applyFont="1"/>
    <xf numFmtId="0" fontId="17" fillId="0" borderId="0" xfId="0" applyFont="1"/>
    <xf numFmtId="0" fontId="16" fillId="2" borderId="4" xfId="0" applyFont="1" applyFill="1" applyBorder="1" applyAlignment="1">
      <alignment horizontal="center" vertical="center"/>
    </xf>
    <xf numFmtId="0" fontId="14" fillId="0" borderId="5" xfId="0" applyFont="1" applyBorder="1"/>
    <xf numFmtId="1" fontId="13" fillId="3" borderId="4" xfId="0" applyNumberFormat="1" applyFont="1" applyFill="1" applyBorder="1" applyAlignment="1">
      <alignment horizontal="center"/>
    </xf>
    <xf numFmtId="0" fontId="17" fillId="0" borderId="5" xfId="0" applyFont="1" applyBorder="1"/>
    <xf numFmtId="0" fontId="15" fillId="0" borderId="4" xfId="0" applyFont="1" applyBorder="1"/>
    <xf numFmtId="0" fontId="13" fillId="0" borderId="5" xfId="0" applyFont="1" applyBorder="1"/>
    <xf numFmtId="164" fontId="13" fillId="0" borderId="0" xfId="0" applyNumberFormat="1" applyFont="1" applyAlignment="1">
      <alignment horizontal="left"/>
    </xf>
    <xf numFmtId="1" fontId="13" fillId="0" borderId="0" xfId="0" applyNumberFormat="1" applyFont="1" applyAlignment="1">
      <alignment horizontal="left"/>
    </xf>
    <xf numFmtId="0" fontId="13" fillId="0" borderId="4" xfId="0" applyFont="1" applyBorder="1"/>
    <xf numFmtId="0" fontId="15" fillId="0" borderId="5" xfId="0" applyFont="1" applyBorder="1"/>
    <xf numFmtId="0" fontId="13" fillId="0" borderId="28" xfId="0" applyFont="1" applyBorder="1" applyAlignment="1">
      <alignment horizontal="center"/>
    </xf>
    <xf numFmtId="0" fontId="13" fillId="0" borderId="28" xfId="0" applyFont="1" applyBorder="1" applyAlignment="1">
      <alignment horizontal="center" vertical="center"/>
    </xf>
    <xf numFmtId="0" fontId="21" fillId="0" borderId="28" xfId="0" applyFont="1" applyBorder="1" applyAlignment="1">
      <alignment horizontal="center" vertical="center" wrapText="1"/>
    </xf>
    <xf numFmtId="0" fontId="22" fillId="2" borderId="4" xfId="0" applyFont="1" applyFill="1" applyBorder="1" applyAlignment="1">
      <alignment horizontal="center" vertical="center"/>
    </xf>
    <xf numFmtId="0" fontId="22" fillId="2" borderId="24" xfId="0" applyFont="1" applyFill="1" applyBorder="1" applyAlignment="1">
      <alignment horizontal="center" vertical="center"/>
    </xf>
    <xf numFmtId="1" fontId="19" fillId="0" borderId="0" xfId="0" applyNumberFormat="1" applyFont="1" applyAlignment="1">
      <alignment horizontal="left" vertical="top" wrapText="1"/>
    </xf>
    <xf numFmtId="0" fontId="37" fillId="0" borderId="0" xfId="0" applyFont="1"/>
    <xf numFmtId="0" fontId="10" fillId="0" borderId="0" xfId="0" applyFont="1" applyAlignment="1">
      <alignment horizontal="center"/>
    </xf>
    <xf numFmtId="0" fontId="18" fillId="0" borderId="0" xfId="0" applyFont="1"/>
    <xf numFmtId="1" fontId="13" fillId="3" borderId="0" xfId="0" applyNumberFormat="1" applyFont="1" applyFill="1" applyAlignment="1">
      <alignment horizontal="center"/>
    </xf>
    <xf numFmtId="0" fontId="15" fillId="0" borderId="8" xfId="0" applyFont="1" applyBorder="1" applyAlignment="1">
      <alignment horizontal="center" vertical="center"/>
    </xf>
    <xf numFmtId="0" fontId="35" fillId="5" borderId="29" xfId="0" applyFont="1" applyFill="1" applyBorder="1" applyAlignment="1">
      <alignment horizontal="center" vertical="center"/>
    </xf>
    <xf numFmtId="0" fontId="15" fillId="5" borderId="28" xfId="0" applyFont="1" applyFill="1" applyBorder="1" applyAlignment="1">
      <alignment horizontal="center" vertical="center"/>
    </xf>
    <xf numFmtId="0" fontId="15" fillId="5" borderId="28" xfId="0" quotePrefix="1" applyFont="1" applyFill="1" applyBorder="1" applyAlignment="1">
      <alignment horizontal="center" vertical="center"/>
    </xf>
    <xf numFmtId="0" fontId="15" fillId="5" borderId="28" xfId="0" applyFont="1" applyFill="1" applyBorder="1" applyAlignment="1">
      <alignment horizontal="center" vertical="center" wrapText="1"/>
    </xf>
    <xf numFmtId="0" fontId="35" fillId="5" borderId="28" xfId="0" applyFont="1" applyFill="1" applyBorder="1" applyAlignment="1">
      <alignment horizontal="center" vertical="center"/>
    </xf>
    <xf numFmtId="0" fontId="15" fillId="0" borderId="28" xfId="0" applyFont="1" applyBorder="1" applyAlignment="1">
      <alignment horizontal="left" vertical="center"/>
    </xf>
    <xf numFmtId="0" fontId="9" fillId="0" borderId="0" xfId="0" applyFont="1" applyAlignment="1">
      <alignment horizontal="center"/>
    </xf>
    <xf numFmtId="0" fontId="15" fillId="0" borderId="0" xfId="0" quotePrefix="1" applyFont="1" applyAlignment="1">
      <alignment horizontal="center" vertical="center"/>
    </xf>
    <xf numFmtId="0" fontId="8" fillId="0" borderId="0" xfId="0" applyFont="1" applyAlignment="1">
      <alignment horizontal="center"/>
    </xf>
    <xf numFmtId="0" fontId="15" fillId="0" borderId="0" xfId="0" applyFont="1" applyAlignment="1">
      <alignment horizontal="center" wrapText="1"/>
    </xf>
    <xf numFmtId="49" fontId="18" fillId="0" borderId="0" xfId="0" applyNumberFormat="1" applyFont="1"/>
    <xf numFmtId="49" fontId="13" fillId="3" borderId="0" xfId="0" quotePrefix="1" applyNumberFormat="1" applyFont="1" applyFill="1" applyAlignment="1">
      <alignment horizontal="center"/>
    </xf>
    <xf numFmtId="0" fontId="22" fillId="2" borderId="0" xfId="0" applyFont="1" applyFill="1" applyAlignment="1">
      <alignment horizontal="center" vertical="center"/>
    </xf>
    <xf numFmtId="0" fontId="7" fillId="0" borderId="0" xfId="0" applyFont="1" applyAlignment="1">
      <alignment horizontal="center"/>
    </xf>
    <xf numFmtId="0" fontId="15" fillId="0" borderId="0" xfId="0" applyFont="1" applyAlignment="1">
      <alignment wrapText="1"/>
    </xf>
    <xf numFmtId="0" fontId="15" fillId="3" borderId="0" xfId="0" applyFont="1" applyFill="1" applyAlignment="1">
      <alignment horizontal="center" vertical="center"/>
    </xf>
    <xf numFmtId="0" fontId="17" fillId="3" borderId="0" xfId="0" applyFont="1" applyFill="1" applyAlignment="1">
      <alignment horizontal="center" vertical="center"/>
    </xf>
    <xf numFmtId="0" fontId="0" fillId="3" borderId="0" xfId="0" applyFill="1" applyAlignment="1">
      <alignment horizontal="center"/>
    </xf>
    <xf numFmtId="0" fontId="15" fillId="3" borderId="0" xfId="0" applyFont="1" applyFill="1" applyAlignment="1">
      <alignment horizontal="center"/>
    </xf>
    <xf numFmtId="0" fontId="0" fillId="10" borderId="0" xfId="0" applyFill="1" applyAlignment="1">
      <alignment horizontal="center"/>
    </xf>
    <xf numFmtId="0" fontId="15" fillId="10" borderId="0" xfId="0" applyFont="1" applyFill="1" applyAlignment="1">
      <alignment horizontal="center"/>
    </xf>
    <xf numFmtId="0" fontId="6" fillId="10" borderId="0" xfId="0" applyFont="1" applyFill="1" applyAlignment="1">
      <alignment horizontal="center"/>
    </xf>
    <xf numFmtId="0" fontId="13" fillId="0" borderId="0" xfId="0" applyFont="1" applyAlignment="1">
      <alignment wrapText="1"/>
    </xf>
    <xf numFmtId="0" fontId="0" fillId="0" borderId="0" xfId="0" applyAlignment="1">
      <alignment wrapText="1"/>
    </xf>
    <xf numFmtId="0" fontId="16" fillId="2" borderId="8" xfId="0" applyFont="1" applyFill="1" applyBorder="1" applyAlignment="1">
      <alignment horizontal="center" vertical="center" wrapText="1"/>
    </xf>
    <xf numFmtId="1" fontId="13" fillId="3" borderId="8" xfId="0" applyNumberFormat="1" applyFont="1" applyFill="1" applyBorder="1" applyAlignment="1">
      <alignment horizontal="center" wrapText="1"/>
    </xf>
    <xf numFmtId="0" fontId="13" fillId="0" borderId="0" xfId="0" applyFont="1" applyAlignment="1">
      <alignment horizontal="left" wrapText="1"/>
    </xf>
    <xf numFmtId="170" fontId="13" fillId="0" borderId="0" xfId="0" applyNumberFormat="1" applyFont="1" applyAlignment="1">
      <alignment horizontal="left" wrapText="1"/>
    </xf>
    <xf numFmtId="0" fontId="19" fillId="0" borderId="0" xfId="0" applyFont="1" applyAlignment="1">
      <alignment wrapText="1"/>
    </xf>
    <xf numFmtId="0" fontId="13" fillId="0" borderId="3" xfId="0" applyFont="1" applyBorder="1" applyAlignment="1">
      <alignment horizontal="center" wrapText="1"/>
    </xf>
    <xf numFmtId="0" fontId="13" fillId="0" borderId="6" xfId="0" applyFont="1" applyBorder="1" applyAlignment="1">
      <alignment horizontal="center" vertical="center" wrapText="1"/>
    </xf>
    <xf numFmtId="0" fontId="13" fillId="0" borderId="3" xfId="0" applyFont="1" applyBorder="1" applyAlignment="1">
      <alignment horizontal="center" vertical="center" wrapText="1"/>
    </xf>
    <xf numFmtId="0" fontId="31" fillId="0" borderId="3" xfId="0" applyFont="1" applyBorder="1" applyAlignment="1">
      <alignment horizontal="left" vertical="center" wrapText="1"/>
    </xf>
    <xf numFmtId="0" fontId="13" fillId="0" borderId="17" xfId="0" applyFont="1" applyBorder="1" applyAlignment="1">
      <alignment wrapText="1"/>
    </xf>
    <xf numFmtId="0" fontId="13" fillId="0" borderId="3" xfId="0" applyFont="1" applyBorder="1" applyAlignment="1">
      <alignment horizontal="right" wrapText="1"/>
    </xf>
    <xf numFmtId="0" fontId="13" fillId="0" borderId="3" xfId="0" applyFont="1" applyBorder="1" applyAlignment="1">
      <alignment horizontal="left" wrapText="1"/>
    </xf>
    <xf numFmtId="0" fontId="13" fillId="0" borderId="0" xfId="0" applyFont="1" applyAlignment="1">
      <alignment horizontal="right" wrapText="1"/>
    </xf>
    <xf numFmtId="0" fontId="15" fillId="0" borderId="0" xfId="0" applyFont="1" applyAlignment="1">
      <alignment horizontal="left" wrapText="1"/>
    </xf>
    <xf numFmtId="0" fontId="13" fillId="0" borderId="0" xfId="0" applyFont="1" applyAlignment="1">
      <alignment horizontal="center" vertical="center" wrapText="1"/>
    </xf>
    <xf numFmtId="43" fontId="15" fillId="0" borderId="0" xfId="0" applyNumberFormat="1" applyFont="1" applyAlignment="1">
      <alignment wrapText="1"/>
    </xf>
    <xf numFmtId="0" fontId="39" fillId="12" borderId="34" xfId="0" applyFont="1" applyFill="1" applyBorder="1" applyAlignment="1">
      <alignment horizontal="center" vertical="center" wrapText="1" readingOrder="1"/>
    </xf>
    <xf numFmtId="0" fontId="39" fillId="13" borderId="35" xfId="0" applyFont="1" applyFill="1" applyBorder="1" applyAlignment="1">
      <alignment horizontal="center" vertical="center" wrapText="1" readingOrder="1"/>
    </xf>
    <xf numFmtId="0" fontId="39" fillId="12" borderId="35" xfId="0" applyFont="1" applyFill="1" applyBorder="1" applyAlignment="1">
      <alignment horizontal="center" vertical="center" wrapText="1" readingOrder="1"/>
    </xf>
    <xf numFmtId="0" fontId="39" fillId="12" borderId="35" xfId="0" applyFont="1" applyFill="1" applyBorder="1" applyAlignment="1">
      <alignment horizontal="center" vertical="center" readingOrder="1"/>
    </xf>
    <xf numFmtId="0" fontId="39" fillId="14" borderId="3" xfId="0" applyFont="1" applyFill="1" applyBorder="1" applyAlignment="1">
      <alignment horizontal="center" vertical="center" wrapText="1" readingOrder="1"/>
    </xf>
    <xf numFmtId="0" fontId="38" fillId="11" borderId="36" xfId="0" applyFont="1" applyFill="1" applyBorder="1" applyAlignment="1">
      <alignment horizontal="left" vertical="center" readingOrder="1"/>
    </xf>
    <xf numFmtId="14" fontId="38" fillId="11" borderId="37" xfId="0" applyNumberFormat="1" applyFont="1" applyFill="1" applyBorder="1" applyAlignment="1">
      <alignment horizontal="right" vertical="center" readingOrder="1"/>
    </xf>
    <xf numFmtId="0" fontId="38" fillId="11" borderId="37" xfId="0" applyFont="1" applyFill="1" applyBorder="1" applyAlignment="1">
      <alignment horizontal="left" vertical="center" readingOrder="1"/>
    </xf>
    <xf numFmtId="0" fontId="38" fillId="11" borderId="37" xfId="0" applyFont="1" applyFill="1" applyBorder="1" applyAlignment="1">
      <alignment horizontal="right" vertical="center" readingOrder="1"/>
    </xf>
    <xf numFmtId="0" fontId="39" fillId="15" borderId="34" xfId="0" applyFont="1" applyFill="1" applyBorder="1" applyAlignment="1">
      <alignment horizontal="center" vertical="center" readingOrder="1"/>
    </xf>
    <xf numFmtId="0" fontId="5" fillId="0" borderId="0" xfId="0" applyFont="1"/>
    <xf numFmtId="0" fontId="38" fillId="11" borderId="38" xfId="0" applyFont="1" applyFill="1" applyBorder="1" applyAlignment="1">
      <alignment horizontal="left" vertical="center" readingOrder="1"/>
    </xf>
    <xf numFmtId="0" fontId="5" fillId="16" borderId="0" xfId="0" applyFont="1" applyFill="1" applyAlignment="1">
      <alignment wrapText="1"/>
    </xf>
    <xf numFmtId="0" fontId="5" fillId="0" borderId="8" xfId="0" applyFont="1" applyBorder="1"/>
    <xf numFmtId="0" fontId="21" fillId="0" borderId="0" xfId="0" applyFont="1" applyAlignment="1">
      <alignment horizontal="center" vertical="center" wrapText="1"/>
    </xf>
    <xf numFmtId="14" fontId="0" fillId="0" borderId="0" xfId="0" applyNumberFormat="1"/>
    <xf numFmtId="0" fontId="34" fillId="0" borderId="0" xfId="1"/>
    <xf numFmtId="0" fontId="4" fillId="0" borderId="0" xfId="0" applyFont="1" applyAlignment="1">
      <alignment horizontal="center"/>
    </xf>
    <xf numFmtId="0" fontId="3" fillId="0" borderId="0" xfId="0" applyFont="1"/>
    <xf numFmtId="0" fontId="13" fillId="0" borderId="28" xfId="0" applyFont="1" applyBorder="1"/>
    <xf numFmtId="0" fontId="15" fillId="0" borderId="39" xfId="0" applyFont="1" applyBorder="1" applyAlignment="1">
      <alignment horizontal="center" vertical="center"/>
    </xf>
    <xf numFmtId="0" fontId="15" fillId="0" borderId="39" xfId="0" applyFont="1" applyBorder="1" applyAlignment="1">
      <alignment wrapText="1"/>
    </xf>
    <xf numFmtId="0" fontId="15" fillId="0" borderId="40" xfId="0" applyFont="1" applyBorder="1" applyAlignment="1">
      <alignment horizontal="center" vertical="center"/>
    </xf>
    <xf numFmtId="0" fontId="15" fillId="0" borderId="40" xfId="0" applyFont="1" applyBorder="1" applyAlignment="1">
      <alignment wrapText="1"/>
    </xf>
    <xf numFmtId="0" fontId="21" fillId="0" borderId="40" xfId="0" applyFont="1" applyBorder="1" applyAlignment="1">
      <alignment horizontal="center" vertical="center" wrapText="1"/>
    </xf>
    <xf numFmtId="0" fontId="21" fillId="0" borderId="39" xfId="0" applyFont="1" applyBorder="1" applyAlignment="1">
      <alignment horizontal="center" vertical="center" wrapText="1"/>
    </xf>
    <xf numFmtId="0" fontId="15" fillId="0" borderId="8" xfId="0" applyFont="1" applyBorder="1" applyAlignment="1">
      <alignment wrapText="1"/>
    </xf>
    <xf numFmtId="0" fontId="21" fillId="0" borderId="8" xfId="0" applyFont="1" applyBorder="1" applyAlignment="1">
      <alignment horizontal="center" vertical="center" wrapText="1"/>
    </xf>
    <xf numFmtId="0" fontId="2" fillId="0" borderId="0" xfId="0" applyFont="1" applyAlignment="1">
      <alignment horizontal="center"/>
    </xf>
    <xf numFmtId="0" fontId="1" fillId="0" borderId="0" xfId="0" applyFont="1"/>
    <xf numFmtId="0" fontId="13" fillId="0" borderId="0" xfId="0" applyFont="1" applyAlignment="1">
      <alignment horizontal="center"/>
    </xf>
    <xf numFmtId="49" fontId="13" fillId="3" borderId="4" xfId="0" quotePrefix="1" applyNumberFormat="1" applyFont="1" applyFill="1" applyBorder="1" applyAlignment="1">
      <alignment horizontal="left" vertical="top" wrapText="1"/>
    </xf>
    <xf numFmtId="49" fontId="13" fillId="3" borderId="0" xfId="0" quotePrefix="1" applyNumberFormat="1" applyFont="1" applyFill="1" applyAlignment="1">
      <alignment horizontal="left" vertical="top" wrapText="1"/>
    </xf>
    <xf numFmtId="49" fontId="13" fillId="3" borderId="5" xfId="0" quotePrefix="1" applyNumberFormat="1" applyFont="1" applyFill="1" applyBorder="1" applyAlignment="1">
      <alignment horizontal="left" vertical="top" wrapText="1"/>
    </xf>
    <xf numFmtId="1" fontId="13" fillId="3" borderId="0" xfId="0" applyNumberFormat="1" applyFont="1" applyFill="1" applyAlignment="1">
      <alignment horizontal="center"/>
    </xf>
    <xf numFmtId="49" fontId="13" fillId="3" borderId="0" xfId="0" quotePrefix="1" applyNumberFormat="1" applyFont="1" applyFill="1" applyAlignment="1">
      <alignment horizontal="center"/>
    </xf>
    <xf numFmtId="0" fontId="13" fillId="0" borderId="0" xfId="0" applyFont="1"/>
    <xf numFmtId="0" fontId="14" fillId="0" borderId="0" xfId="0" applyFont="1"/>
    <xf numFmtId="0" fontId="17" fillId="0" borderId="0" xfId="0" applyFont="1"/>
    <xf numFmtId="0" fontId="0" fillId="0" borderId="0" xfId="0"/>
    <xf numFmtId="0" fontId="20" fillId="0" borderId="33" xfId="0" applyFont="1" applyBorder="1" applyAlignment="1">
      <alignment horizontal="center"/>
    </xf>
    <xf numFmtId="0" fontId="16" fillId="2" borderId="0" xfId="0" applyFont="1" applyFill="1" applyAlignment="1">
      <alignment horizontal="center" vertical="center"/>
    </xf>
    <xf numFmtId="0" fontId="16" fillId="2" borderId="5" xfId="0" applyFont="1" applyFill="1" applyBorder="1" applyAlignment="1">
      <alignment horizontal="center" vertical="center"/>
    </xf>
    <xf numFmtId="1" fontId="13" fillId="3" borderId="0" xfId="0" quotePrefix="1" applyNumberFormat="1" applyFont="1" applyFill="1" applyAlignment="1">
      <alignment horizontal="center" wrapText="1"/>
    </xf>
    <xf numFmtId="1" fontId="13" fillId="3" borderId="5" xfId="0" quotePrefix="1" applyNumberFormat="1" applyFont="1" applyFill="1" applyBorder="1" applyAlignment="1">
      <alignment horizontal="center" wrapText="1"/>
    </xf>
    <xf numFmtId="0" fontId="16" fillId="2" borderId="4" xfId="0" applyFont="1" applyFill="1" applyBorder="1" applyAlignment="1">
      <alignment horizontal="center" vertical="center"/>
    </xf>
    <xf numFmtId="0" fontId="15" fillId="0" borderId="14" xfId="0" applyFont="1" applyBorder="1" applyAlignment="1">
      <alignment horizontal="right" vertical="center"/>
    </xf>
    <xf numFmtId="0" fontId="18" fillId="0" borderId="15" xfId="0" applyFont="1" applyBorder="1"/>
    <xf numFmtId="0" fontId="15" fillId="0" borderId="17" xfId="0" applyFont="1" applyBorder="1" applyAlignment="1">
      <alignment horizontal="right" vertical="center"/>
    </xf>
    <xf numFmtId="0" fontId="18" fillId="0" borderId="18" xfId="0" applyFont="1" applyBorder="1"/>
    <xf numFmtId="0" fontId="15" fillId="0" borderId="1" xfId="0" applyFont="1" applyBorder="1" applyAlignment="1">
      <alignment horizontal="center" vertical="center"/>
    </xf>
    <xf numFmtId="0" fontId="18" fillId="7" borderId="1" xfId="0" applyFont="1" applyFill="1" applyBorder="1"/>
    <xf numFmtId="0" fontId="18" fillId="6" borderId="1" xfId="0" applyFont="1" applyFill="1" applyBorder="1"/>
    <xf numFmtId="0" fontId="18" fillId="0" borderId="1" xfId="0" applyFont="1" applyBorder="1"/>
    <xf numFmtId="0" fontId="18" fillId="7" borderId="7" xfId="0" applyFont="1" applyFill="1" applyBorder="1"/>
    <xf numFmtId="0" fontId="15" fillId="9" borderId="30" xfId="0" applyFont="1" applyFill="1" applyBorder="1" applyAlignment="1">
      <alignment horizontal="center" vertical="center"/>
    </xf>
    <xf numFmtId="0" fontId="15" fillId="9" borderId="31" xfId="0" applyFont="1" applyFill="1" applyBorder="1" applyAlignment="1">
      <alignment horizontal="center" vertical="center"/>
    </xf>
    <xf numFmtId="0" fontId="15" fillId="9" borderId="32" xfId="0" applyFont="1" applyFill="1" applyBorder="1" applyAlignment="1">
      <alignment horizontal="center" vertical="center"/>
    </xf>
    <xf numFmtId="0" fontId="15" fillId="0" borderId="17" xfId="0" applyFont="1" applyBorder="1" applyAlignment="1">
      <alignment horizontal="left" vertical="center"/>
    </xf>
    <xf numFmtId="0" fontId="18" fillId="0" borderId="19" xfId="0" applyFont="1" applyBorder="1"/>
    <xf numFmtId="0" fontId="24" fillId="0" borderId="17" xfId="0" applyFont="1" applyBorder="1" applyAlignment="1">
      <alignment horizontal="left" vertical="center"/>
    </xf>
    <xf numFmtId="0" fontId="15" fillId="0" borderId="24" xfId="0" applyFont="1" applyBorder="1" applyAlignment="1">
      <alignment horizontal="left" vertical="center"/>
    </xf>
    <xf numFmtId="0" fontId="18" fillId="0" borderId="25" xfId="0" applyFont="1" applyBorder="1"/>
    <xf numFmtId="0" fontId="18" fillId="0" borderId="7" xfId="0" applyFont="1" applyBorder="1"/>
    <xf numFmtId="0" fontId="15" fillId="0" borderId="6" xfId="0" applyFont="1" applyBorder="1" applyAlignment="1">
      <alignment horizontal="center" vertical="center"/>
    </xf>
    <xf numFmtId="0" fontId="18" fillId="0" borderId="11" xfId="0" applyFont="1" applyBorder="1"/>
    <xf numFmtId="0" fontId="18" fillId="0" borderId="23" xfId="0" applyFont="1" applyBorder="1"/>
    <xf numFmtId="41" fontId="15" fillId="0" borderId="6" xfId="0" applyNumberFormat="1" applyFont="1" applyBorder="1" applyAlignment="1">
      <alignment horizontal="center" vertical="center"/>
    </xf>
    <xf numFmtId="0" fontId="27" fillId="6" borderId="17" xfId="0" applyFont="1" applyFill="1" applyBorder="1" applyAlignment="1">
      <alignment horizontal="left" vertical="center"/>
    </xf>
    <xf numFmtId="0" fontId="15" fillId="0" borderId="0" xfId="0" applyFont="1" applyAlignment="1">
      <alignment horizontal="left" vertical="center"/>
    </xf>
    <xf numFmtId="0" fontId="15" fillId="4" borderId="27" xfId="0" applyFont="1" applyFill="1" applyBorder="1" applyAlignment="1">
      <alignment horizontal="center" vertical="center"/>
    </xf>
    <xf numFmtId="0" fontId="18" fillId="0" borderId="26" xfId="0" applyFont="1" applyBorder="1"/>
    <xf numFmtId="0" fontId="18" fillId="0" borderId="24" xfId="0" applyFont="1" applyBorder="1"/>
    <xf numFmtId="0" fontId="15" fillId="0" borderId="17" xfId="0" applyFont="1" applyBorder="1" applyAlignment="1">
      <alignment horizontal="center" vertical="center"/>
    </xf>
    <xf numFmtId="0" fontId="15" fillId="0" borderId="6" xfId="0" applyFont="1" applyBorder="1" applyAlignment="1">
      <alignment horizontal="center" vertical="center" wrapText="1"/>
    </xf>
    <xf numFmtId="0" fontId="13" fillId="0" borderId="0" xfId="0" applyFont="1" applyAlignment="1">
      <alignment wrapText="1"/>
    </xf>
    <xf numFmtId="0" fontId="0" fillId="0" borderId="0" xfId="0" applyAlignment="1">
      <alignment wrapText="1"/>
    </xf>
    <xf numFmtId="0" fontId="20" fillId="0" borderId="25" xfId="0" applyFont="1" applyBorder="1" applyAlignment="1">
      <alignment horizontal="center" wrapText="1"/>
    </xf>
    <xf numFmtId="0" fontId="18" fillId="0" borderId="25" xfId="0" applyFont="1" applyBorder="1" applyAlignment="1">
      <alignment wrapText="1"/>
    </xf>
    <xf numFmtId="0" fontId="13" fillId="0" borderId="0" xfId="0" applyFont="1" applyAlignment="1">
      <alignment horizontal="center" wrapText="1"/>
    </xf>
    <xf numFmtId="0" fontId="14" fillId="0" borderId="0" xfId="0" applyFont="1" applyAlignment="1">
      <alignment wrapText="1"/>
    </xf>
    <xf numFmtId="0" fontId="17" fillId="0" borderId="0" xfId="0" applyFont="1" applyAlignment="1">
      <alignment wrapText="1"/>
    </xf>
  </cellXfs>
  <cellStyles count="2">
    <cellStyle name="Hyperlink" xfId="1" builtinId="8"/>
    <cellStyle name="Normal" xfId="0" builtinId="0"/>
  </cellStyles>
  <dxfs count="57">
    <dxf>
      <fill>
        <patternFill patternType="none"/>
      </fill>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alignment horizontal="center"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solid">
          <fgColor rgb="FFFFFFFF"/>
          <bgColor rgb="FFFFFFFF"/>
        </patternFill>
      </fill>
    </dxf>
    <dxf>
      <fill>
        <patternFill patternType="solid">
          <fgColor rgb="FFF8F9FA"/>
          <bgColor rgb="FFF8F9FA"/>
        </patternFill>
      </fill>
    </dxf>
    <dxf>
      <fill>
        <patternFill patternType="solid">
          <fgColor rgb="FFFFFFFF"/>
          <bgColor rgb="FFFFFFFF"/>
        </patternFill>
      </fill>
    </dxf>
    <dxf>
      <fill>
        <patternFill patternType="solid">
          <fgColor rgb="FFF8F9FA"/>
          <bgColor rgb="FFF8F9FA"/>
        </patternFill>
      </fill>
    </dxf>
    <dxf>
      <fill>
        <patternFill patternType="solid">
          <fgColor rgb="FFF8F9FA"/>
          <bgColor rgb="FFF8F9FA"/>
        </patternFill>
      </fill>
    </dxf>
    <dxf>
      <fill>
        <patternFill patternType="solid">
          <fgColor rgb="FFFFFFFF"/>
          <bgColor rgb="FFFFFFFF"/>
        </patternFill>
      </fill>
    </dxf>
    <dxf>
      <fill>
        <patternFill patternType="solid">
          <fgColor rgb="FFF8F9FA"/>
          <bgColor rgb="FFF8F9FA"/>
        </patternFill>
      </fill>
    </dxf>
    <dxf>
      <fill>
        <patternFill patternType="solid">
          <fgColor rgb="FFFFFFFF"/>
          <bgColor rgb="FFFFFFFF"/>
        </patternFill>
      </fill>
    </dxf>
    <dxf>
      <fill>
        <patternFill patternType="solid">
          <fgColor rgb="FFB4C6E7"/>
          <bgColor rgb="FFB4C6E7"/>
        </patternFill>
      </fill>
    </dxf>
    <dxf>
      <fill>
        <patternFill patternType="solid">
          <fgColor rgb="FFD9E2F3"/>
          <bgColor rgb="FFD9E2F3"/>
        </patternFill>
      </fill>
    </dxf>
    <dxf>
      <fill>
        <patternFill patternType="solid">
          <fgColor theme="1"/>
          <bgColor theme="1"/>
        </patternFill>
      </fill>
    </dxf>
    <dxf>
      <fill>
        <patternFill patternType="solid">
          <fgColor rgb="FFB4C6E7"/>
          <bgColor rgb="FFB4C6E7"/>
        </patternFill>
      </fill>
    </dxf>
    <dxf>
      <fill>
        <patternFill patternType="solid">
          <fgColor rgb="FFD9E2F3"/>
          <bgColor rgb="FFD9E2F3"/>
        </patternFill>
      </fill>
    </dxf>
    <dxf>
      <fill>
        <patternFill patternType="solid">
          <fgColor theme="4"/>
          <bgColor theme="4"/>
        </patternFill>
      </fill>
    </dxf>
    <dxf>
      <fill>
        <patternFill patternType="solid">
          <fgColor rgb="FFB4C6E7"/>
          <bgColor rgb="FFB4C6E7"/>
        </patternFill>
      </fill>
    </dxf>
    <dxf>
      <fill>
        <patternFill patternType="solid">
          <fgColor rgb="FFECECEC"/>
          <bgColor rgb="FFECECEC"/>
        </patternFill>
      </fill>
    </dxf>
    <dxf>
      <fill>
        <patternFill patternType="solid">
          <fgColor theme="0"/>
          <bgColor theme="0"/>
        </patternFill>
      </fill>
    </dxf>
    <dxf>
      <fill>
        <patternFill patternType="solid">
          <fgColor theme="0"/>
          <bgColor theme="0"/>
        </patternFill>
      </fill>
    </dxf>
  </dxfs>
  <tableStyles count="7" defaultTableStyle="TableStyleMedium2" defaultPivotStyle="PivotStyleLight16">
    <tableStyle name="DAFTAR NO DO-style" pivot="0" count="4" xr9:uid="{00000000-0011-0000-FFFF-FFFF00000000}">
      <tableStyleElement type="headerRow" dxfId="56"/>
      <tableStyleElement type="totalRow" dxfId="55"/>
      <tableStyleElement type="firstRowStripe" dxfId="54"/>
      <tableStyleElement type="secondRowStripe" dxfId="53"/>
    </tableStyle>
    <tableStyle name="Daftar PT-style" pivot="0" count="3" xr9:uid="{00000000-0011-0000-FFFF-FFFF01000000}">
      <tableStyleElement type="headerRow" dxfId="52"/>
      <tableStyleElement type="firstRowStripe" dxfId="51"/>
      <tableStyleElement type="secondRowStripe" dxfId="50"/>
    </tableStyle>
    <tableStyle name="Sheet2-style" pivot="0" count="3" xr9:uid="{00000000-0011-0000-FFFF-FFFF02000000}">
      <tableStyleElement type="headerRow" dxfId="49"/>
      <tableStyleElement type="firstRowStripe" dxfId="48"/>
      <tableStyleElement type="secondRowStripe" dxfId="47"/>
    </tableStyle>
    <tableStyle name="Sheet2-style 2" pivot="0" count="2" xr9:uid="{00000000-0011-0000-FFFF-FFFF03000000}">
      <tableStyleElement type="firstRowStripe" dxfId="46"/>
      <tableStyleElement type="secondRowStripe" dxfId="45"/>
    </tableStyle>
    <tableStyle name="Sheet2-style 3" pivot="0" count="2" xr9:uid="{00000000-0011-0000-FFFF-FFFF04000000}">
      <tableStyleElement type="firstRowStripe" dxfId="44"/>
      <tableStyleElement type="secondRowStripe" dxfId="43"/>
    </tableStyle>
    <tableStyle name="Sheet2-style 4" pivot="0" count="2" xr9:uid="{00000000-0011-0000-FFFF-FFFF05000000}">
      <tableStyleElement type="firstRowStripe" dxfId="42"/>
      <tableStyleElement type="secondRowStripe" dxfId="41"/>
    </tableStyle>
    <tableStyle name="Sheet2-style 5" pivot="0" count="2" xr9:uid="{00000000-0011-0000-FFFF-FFFF06000000}">
      <tableStyleElement type="firstRowStripe" dxfId="40"/>
      <tableStyleElement type="secondRowStripe" dxfId="3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114300</xdr:rowOff>
        </xdr:from>
        <xdr:to>
          <xdr:col>11</xdr:col>
          <xdr:colOff>95250</xdr:colOff>
          <xdr:row>3</xdr:row>
          <xdr:rowOff>104775</xdr:rowOff>
        </xdr:to>
        <xdr:sp macro="" textlink="">
          <xdr:nvSpPr>
            <xdr:cNvPr id="2185" name="Button 1161" hidden="1">
              <a:extLst>
                <a:ext uri="{63B3BB69-23CF-44E3-9099-C40C66FF867C}">
                  <a14:compatExt spid="_x0000_s2185"/>
                </a:ext>
                <a:ext uri="{FF2B5EF4-FFF2-40B4-BE49-F238E27FC236}">
                  <a16:creationId xmlns:a16="http://schemas.microsoft.com/office/drawing/2014/main" id="{00000000-0008-0000-0000-00008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&amp; 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186" name="Button 1162" hidden="1">
              <a:extLst>
                <a:ext uri="{63B3BB69-23CF-44E3-9099-C40C66FF867C}">
                  <a14:compatExt spid="_x0000_s2186"/>
                </a:ext>
                <a:ext uri="{FF2B5EF4-FFF2-40B4-BE49-F238E27FC236}">
                  <a16:creationId xmlns:a16="http://schemas.microsoft.com/office/drawing/2014/main" id="{00000000-0008-0000-0000-00008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190" name="Button 1166" hidden="1">
              <a:extLst>
                <a:ext uri="{63B3BB69-23CF-44E3-9099-C40C66FF867C}">
                  <a14:compatExt spid="_x0000_s2190"/>
                </a:ext>
                <a:ext uri="{FF2B5EF4-FFF2-40B4-BE49-F238E27FC236}">
                  <a16:creationId xmlns:a16="http://schemas.microsoft.com/office/drawing/2014/main" id="{00000000-0008-0000-0000-00008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197" name="Button 1173" hidden="1">
              <a:extLst>
                <a:ext uri="{63B3BB69-23CF-44E3-9099-C40C66FF867C}">
                  <a14:compatExt spid="_x0000_s2197"/>
                </a:ext>
                <a:ext uri="{FF2B5EF4-FFF2-40B4-BE49-F238E27FC236}">
                  <a16:creationId xmlns:a16="http://schemas.microsoft.com/office/drawing/2014/main" id="{00000000-0008-0000-0000-00009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199" name="Button 1175" hidden="1">
              <a:extLst>
                <a:ext uri="{63B3BB69-23CF-44E3-9099-C40C66FF867C}">
                  <a14:compatExt spid="_x0000_s2199"/>
                </a:ext>
                <a:ext uri="{FF2B5EF4-FFF2-40B4-BE49-F238E27FC236}">
                  <a16:creationId xmlns:a16="http://schemas.microsoft.com/office/drawing/2014/main" id="{00000000-0008-0000-0000-00009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01" name="Button 1177" hidden="1">
              <a:extLst>
                <a:ext uri="{63B3BB69-23CF-44E3-9099-C40C66FF867C}">
                  <a14:compatExt spid="_x0000_s2201"/>
                </a:ext>
                <a:ext uri="{FF2B5EF4-FFF2-40B4-BE49-F238E27FC236}">
                  <a16:creationId xmlns:a16="http://schemas.microsoft.com/office/drawing/2014/main" id="{00000000-0008-0000-0000-00009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03" name="Button 1179" hidden="1">
              <a:extLst>
                <a:ext uri="{63B3BB69-23CF-44E3-9099-C40C66FF867C}">
                  <a14:compatExt spid="_x0000_s2203"/>
                </a:ext>
                <a:ext uri="{FF2B5EF4-FFF2-40B4-BE49-F238E27FC236}">
                  <a16:creationId xmlns:a16="http://schemas.microsoft.com/office/drawing/2014/main" id="{00000000-0008-0000-0000-00009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05" name="Button 1181" hidden="1">
              <a:extLst>
                <a:ext uri="{63B3BB69-23CF-44E3-9099-C40C66FF867C}">
                  <a14:compatExt spid="_x0000_s2205"/>
                </a:ext>
                <a:ext uri="{FF2B5EF4-FFF2-40B4-BE49-F238E27FC236}">
                  <a16:creationId xmlns:a16="http://schemas.microsoft.com/office/drawing/2014/main" id="{00000000-0008-0000-0000-00009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07" name="Button 1183" hidden="1">
              <a:extLst>
                <a:ext uri="{63B3BB69-23CF-44E3-9099-C40C66FF867C}">
                  <a14:compatExt spid="_x0000_s2207"/>
                </a:ext>
                <a:ext uri="{FF2B5EF4-FFF2-40B4-BE49-F238E27FC236}">
                  <a16:creationId xmlns:a16="http://schemas.microsoft.com/office/drawing/2014/main" id="{00000000-0008-0000-0000-00009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09" name="Button 1185" hidden="1">
              <a:extLst>
                <a:ext uri="{63B3BB69-23CF-44E3-9099-C40C66FF867C}">
                  <a14:compatExt spid="_x0000_s2209"/>
                </a:ext>
                <a:ext uri="{FF2B5EF4-FFF2-40B4-BE49-F238E27FC236}">
                  <a16:creationId xmlns:a16="http://schemas.microsoft.com/office/drawing/2014/main" id="{00000000-0008-0000-0000-0000A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13" name="Button 1189" hidden="1">
              <a:extLst>
                <a:ext uri="{63B3BB69-23CF-44E3-9099-C40C66FF867C}">
                  <a14:compatExt spid="_x0000_s2213"/>
                </a:ext>
                <a:ext uri="{FF2B5EF4-FFF2-40B4-BE49-F238E27FC236}">
                  <a16:creationId xmlns:a16="http://schemas.microsoft.com/office/drawing/2014/main" id="{00000000-0008-0000-0000-0000A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15" name="Button 1191" hidden="1">
              <a:extLst>
                <a:ext uri="{63B3BB69-23CF-44E3-9099-C40C66FF867C}">
                  <a14:compatExt spid="_x0000_s2215"/>
                </a:ext>
                <a:ext uri="{FF2B5EF4-FFF2-40B4-BE49-F238E27FC236}">
                  <a16:creationId xmlns:a16="http://schemas.microsoft.com/office/drawing/2014/main" id="{00000000-0008-0000-0000-0000A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17" name="Button 1193" hidden="1">
              <a:extLst>
                <a:ext uri="{63B3BB69-23CF-44E3-9099-C40C66FF867C}">
                  <a14:compatExt spid="_x0000_s2217"/>
                </a:ext>
                <a:ext uri="{FF2B5EF4-FFF2-40B4-BE49-F238E27FC236}">
                  <a16:creationId xmlns:a16="http://schemas.microsoft.com/office/drawing/2014/main" id="{00000000-0008-0000-0000-0000A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19" name="Butto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23" name="Butto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25" name="Button 1201" hidden="1">
              <a:extLst>
                <a:ext uri="{63B3BB69-23CF-44E3-9099-C40C66FF867C}">
                  <a14:compatExt spid="_x0000_s2225"/>
                </a:ext>
                <a:ext uri="{FF2B5EF4-FFF2-40B4-BE49-F238E27FC236}">
                  <a16:creationId xmlns:a16="http://schemas.microsoft.com/office/drawing/2014/main" id="{00000000-0008-0000-0000-0000B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27" name="Butto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29" name="Butto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33" name="Button 1209" hidden="1">
              <a:extLst>
                <a:ext uri="{63B3BB69-23CF-44E3-9099-C40C66FF867C}">
                  <a14:compatExt spid="_x0000_s2233"/>
                </a:ext>
                <a:ext uri="{FF2B5EF4-FFF2-40B4-BE49-F238E27FC236}">
                  <a16:creationId xmlns:a16="http://schemas.microsoft.com/office/drawing/2014/main" id="{00000000-0008-0000-0000-0000B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35" name="Button 1211" hidden="1">
              <a:extLst>
                <a:ext uri="{63B3BB69-23CF-44E3-9099-C40C66FF867C}">
                  <a14:compatExt spid="_x0000_s2235"/>
                </a:ext>
                <a:ext uri="{FF2B5EF4-FFF2-40B4-BE49-F238E27FC236}">
                  <a16:creationId xmlns:a16="http://schemas.microsoft.com/office/drawing/2014/main" id="{00000000-0008-0000-0000-0000B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37" name="Button 1213" hidden="1">
              <a:extLst>
                <a:ext uri="{63B3BB69-23CF-44E3-9099-C40C66FF867C}">
                  <a14:compatExt spid="_x0000_s2237"/>
                </a:ext>
                <a:ext uri="{FF2B5EF4-FFF2-40B4-BE49-F238E27FC236}">
                  <a16:creationId xmlns:a16="http://schemas.microsoft.com/office/drawing/2014/main" id="{00000000-0008-0000-0000-0000B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39" name="Button 1215" hidden="1">
              <a:extLst>
                <a:ext uri="{63B3BB69-23CF-44E3-9099-C40C66FF867C}">
                  <a14:compatExt spid="_x0000_s2239"/>
                </a:ext>
                <a:ext uri="{FF2B5EF4-FFF2-40B4-BE49-F238E27FC236}">
                  <a16:creationId xmlns:a16="http://schemas.microsoft.com/office/drawing/2014/main" id="{00000000-0008-0000-0000-0000B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44" name="Button 1220" hidden="1">
              <a:extLst>
                <a:ext uri="{63B3BB69-23CF-44E3-9099-C40C66FF867C}">
                  <a14:compatExt spid="_x0000_s2244"/>
                </a:ext>
                <a:ext uri="{FF2B5EF4-FFF2-40B4-BE49-F238E27FC236}">
                  <a16:creationId xmlns:a16="http://schemas.microsoft.com/office/drawing/2014/main" id="{00000000-0008-0000-0000-0000C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46" name="Button 1222" hidden="1">
              <a:extLst>
                <a:ext uri="{63B3BB69-23CF-44E3-9099-C40C66FF867C}">
                  <a14:compatExt spid="_x0000_s2246"/>
                </a:ext>
                <a:ext uri="{FF2B5EF4-FFF2-40B4-BE49-F238E27FC236}">
                  <a16:creationId xmlns:a16="http://schemas.microsoft.com/office/drawing/2014/main" id="{00000000-0008-0000-0000-0000C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48" name="Button 1224" hidden="1">
              <a:extLst>
                <a:ext uri="{63B3BB69-23CF-44E3-9099-C40C66FF867C}">
                  <a14:compatExt spid="_x0000_s2248"/>
                </a:ext>
                <a:ext uri="{FF2B5EF4-FFF2-40B4-BE49-F238E27FC236}">
                  <a16:creationId xmlns:a16="http://schemas.microsoft.com/office/drawing/2014/main" id="{00000000-0008-0000-0000-0000C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50" name="Button 1226" hidden="1">
              <a:extLst>
                <a:ext uri="{63B3BB69-23CF-44E3-9099-C40C66FF867C}">
                  <a14:compatExt spid="_x0000_s2250"/>
                </a:ext>
                <a:ext uri="{FF2B5EF4-FFF2-40B4-BE49-F238E27FC236}">
                  <a16:creationId xmlns:a16="http://schemas.microsoft.com/office/drawing/2014/main" id="{00000000-0008-0000-0000-0000C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52" name="Button 1228" hidden="1">
              <a:extLst>
                <a:ext uri="{63B3BB69-23CF-44E3-9099-C40C66FF867C}">
                  <a14:compatExt spid="_x0000_s2252"/>
                </a:ext>
                <a:ext uri="{FF2B5EF4-FFF2-40B4-BE49-F238E27FC236}">
                  <a16:creationId xmlns:a16="http://schemas.microsoft.com/office/drawing/2014/main" id="{00000000-0008-0000-0000-0000C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54" name="Butto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56" name="Butto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58" name="Button 1234" hidden="1">
              <a:extLst>
                <a:ext uri="{63B3BB69-23CF-44E3-9099-C40C66FF867C}">
                  <a14:compatExt spid="_x0000_s2258"/>
                </a:ext>
                <a:ext uri="{FF2B5EF4-FFF2-40B4-BE49-F238E27FC236}">
                  <a16:creationId xmlns:a16="http://schemas.microsoft.com/office/drawing/2014/main" id="{00000000-0008-0000-0000-0000D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62" name="Button 1238" hidden="1">
              <a:extLst>
                <a:ext uri="{63B3BB69-23CF-44E3-9099-C40C66FF867C}">
                  <a14:compatExt spid="_x0000_s2262"/>
                </a:ext>
                <a:ext uri="{FF2B5EF4-FFF2-40B4-BE49-F238E27FC236}">
                  <a16:creationId xmlns:a16="http://schemas.microsoft.com/office/drawing/2014/main" id="{00000000-0008-0000-0000-0000D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64" name="Butto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66" name="Butto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68" name="Button 1244" hidden="1">
              <a:extLst>
                <a:ext uri="{63B3BB69-23CF-44E3-9099-C40C66FF867C}">
                  <a14:compatExt spid="_x0000_s2268"/>
                </a:ext>
                <a:ext uri="{FF2B5EF4-FFF2-40B4-BE49-F238E27FC236}">
                  <a16:creationId xmlns:a16="http://schemas.microsoft.com/office/drawing/2014/main" id="{00000000-0008-0000-0000-0000D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76200</xdr:rowOff>
        </xdr:from>
        <xdr:to>
          <xdr:col>11</xdr:col>
          <xdr:colOff>47625</xdr:colOff>
          <xdr:row>8</xdr:row>
          <xdr:rowOff>85725</xdr:rowOff>
        </xdr:to>
        <xdr:sp macro="" textlink="">
          <xdr:nvSpPr>
            <xdr:cNvPr id="2271" name="Button 1247" hidden="1">
              <a:extLst>
                <a:ext uri="{63B3BB69-23CF-44E3-9099-C40C66FF867C}">
                  <a14:compatExt spid="_x0000_s2271"/>
                </a:ext>
                <a:ext uri="{FF2B5EF4-FFF2-40B4-BE49-F238E27FC236}">
                  <a16:creationId xmlns:a16="http://schemas.microsoft.com/office/drawing/2014/main" id="{00000000-0008-0000-0000-0000D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11</xdr:row>
          <xdr:rowOff>352425</xdr:rowOff>
        </xdr:from>
        <xdr:to>
          <xdr:col>10</xdr:col>
          <xdr:colOff>571500</xdr:colOff>
          <xdr:row>15</xdr:row>
          <xdr:rowOff>0</xdr:rowOff>
        </xdr:to>
        <xdr:sp macro="" textlink="">
          <xdr:nvSpPr>
            <xdr:cNvPr id="3009" name="Button 1985" hidden="1">
              <a:extLst>
                <a:ext uri="{63B3BB69-23CF-44E3-9099-C40C66FF867C}">
                  <a14:compatExt spid="_x0000_s3009"/>
                </a:ext>
                <a:ext uri="{FF2B5EF4-FFF2-40B4-BE49-F238E27FC236}">
                  <a16:creationId xmlns:a16="http://schemas.microsoft.com/office/drawing/2014/main" id="{00000000-0008-0000-0000-0000C10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J1078">
  <autoFilter ref="A1:J1078" xr:uid="{00000000-000C-0000-FFFF-FFFF00000000}"/>
  <sortState xmlns:xlrd2="http://schemas.microsoft.com/office/spreadsheetml/2017/richdata2" ref="A2:J1066">
    <sortCondition ref="C1:C1066"/>
  </sortState>
  <tableColumns count="10">
    <tableColumn id="1" xr3:uid="{00000000-0010-0000-0000-000001000000}" name="NO"/>
    <tableColumn id="2" xr3:uid="{00000000-0010-0000-0000-000002000000}" name="TANGGAL DO"/>
    <tableColumn id="3" xr3:uid="{00000000-0010-0000-0000-000003000000}" name="NO DO"/>
    <tableColumn id="4" xr3:uid="{00000000-0010-0000-0000-000004000000}" name="NAMA PT"/>
    <tableColumn id="5" xr3:uid="{00000000-0010-0000-0000-000005000000}" name="NO PO"/>
    <tableColumn id="6" xr3:uid="{00000000-0010-0000-0000-000006000000}" name="VERSION"/>
    <tableColumn id="7" xr3:uid="{00000000-0010-0000-0000-000007000000}" name="LINK"/>
    <tableColumn id="8" xr3:uid="{00000000-0010-0000-0000-000008000000}" name="DESKRIPSI"/>
    <tableColumn id="9" xr3:uid="{00000000-0010-0000-0000-000009000000}" name="REMARKS"/>
    <tableColumn id="10" xr3:uid="{00000000-0010-0000-0000-00000A000000}" name="DESKRIPSI2"/>
  </tableColumns>
  <tableStyleInfo name="DAFTAR NO DO-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1:C29">
  <tableColumns count="3">
    <tableColumn id="1" xr3:uid="{00000000-0010-0000-0100-000001000000}" name="NAMA PT" dataDxfId="34"/>
    <tableColumn id="2" xr3:uid="{00000000-0010-0000-0100-000002000000}" name="ALAMAT 1"/>
    <tableColumn id="3" xr3:uid="{00000000-0010-0000-0100-000003000000}" name="ALAMAT 2"/>
  </tableColumns>
  <tableStyleInfo name="Daftar PT-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C16:G23">
  <tableColumns count="5">
    <tableColumn id="1" xr3:uid="{00000000-0010-0000-0200-000001000000}" name="NO"/>
    <tableColumn id="2" xr3:uid="{00000000-0010-0000-0200-000002000000}" name="PPN"/>
    <tableColumn id="3" xr3:uid="{00000000-0010-0000-0200-000003000000}" name="NO DO"/>
    <tableColumn id="4" xr3:uid="{00000000-0010-0000-0200-000004000000}" name="NO PO"/>
    <tableColumn id="5" xr3:uid="{00000000-0010-0000-0200-000005000000}" name="REMARKS(REFERENSI)"/>
  </tableColumns>
  <tableStyleInfo name="Sheet2-sty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4" displayName="Table_4" ref="E155:G159" headerRowCount="0">
  <tableColumns count="3">
    <tableColumn id="1" xr3:uid="{00000000-0010-0000-0300-000001000000}" name="Column1"/>
    <tableColumn id="2" xr3:uid="{00000000-0010-0000-0300-000002000000}" name="Column2"/>
    <tableColumn id="3" xr3:uid="{00000000-0010-0000-0300-000003000000}" name="Column3"/>
  </tableColumns>
  <tableStyleInfo name="Sheet2-style 2"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5" displayName="Table_5" ref="E162:G166" headerRowCount="0">
  <tableColumns count="3">
    <tableColumn id="1" xr3:uid="{00000000-0010-0000-0400-000001000000}" name="Column1"/>
    <tableColumn id="2" xr3:uid="{00000000-0010-0000-0400-000002000000}" name="Column2"/>
    <tableColumn id="3" xr3:uid="{00000000-0010-0000-0400-000003000000}" name="Column3"/>
  </tableColumns>
  <tableStyleInfo name="Sheet2-style 3"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6" displayName="Table_6" ref="J168:K170" headerRowCount="0">
  <tableColumns count="2">
    <tableColumn id="1" xr3:uid="{00000000-0010-0000-0500-000001000000}" name="Column1"/>
    <tableColumn id="2" xr3:uid="{00000000-0010-0000-0500-000002000000}" name="Column2"/>
  </tableColumns>
  <tableStyleInfo name="Sheet2-style 4"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7" displayName="Table_7" ref="E169:G179" headerRowCount="0">
  <tableColumns count="3">
    <tableColumn id="1" xr3:uid="{00000000-0010-0000-0600-000001000000}" name="Column1"/>
    <tableColumn id="2" xr3:uid="{00000000-0010-0000-0600-000002000000}" name="Column2"/>
    <tableColumn id="3" xr3:uid="{00000000-0010-0000-0600-000003000000}" name="Column3"/>
  </tableColumns>
  <tableStyleInfo name="Sheet2-style 5"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E34C8D-39B9-4F06-96B3-713A195F8965}" name="Table_49" displayName="Table_49" ref="I155:K159" headerRowCount="0">
  <tableColumns count="3">
    <tableColumn id="1" xr3:uid="{97E53108-0B1E-4466-8DA1-2F30EFAE4A77}" name="Column1"/>
    <tableColumn id="2" xr3:uid="{E3978A67-F09A-4AC3-883A-4B9FF8028BF5}" name="Column2"/>
    <tableColumn id="3" xr3:uid="{5F6B3190-EEAD-41AE-913E-68A9377E9A23}" name="Column3"/>
  </tableColumns>
  <tableStyleInfo name="Sheet2-style 2"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2C90D8-1267-412C-85EA-6CFD9DC0A0C9}" name="Table_510" displayName="Table_510" ref="E182:G186" headerRowCount="0">
  <tableColumns count="3">
    <tableColumn id="1" xr3:uid="{F1BBB63C-CEB2-41F7-9F2D-A2F304344498}" name="Column1"/>
    <tableColumn id="2" xr3:uid="{4FF48398-C245-475D-B452-6AA6511E4FDF}" name="Column2"/>
    <tableColumn id="3" xr3:uid="{650A19BA-8435-4B2F-9AD9-A4207BEAD584}" name="Column3"/>
  </tableColumns>
  <tableStyleInfo name="Sheet2-style 3" showFirstColumn="1" showLastColumn="1"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7906740-0E1E-4A45-AC96-11590206F861}" name="Table_51011" displayName="Table_51011" ref="E189:G196" headerRowCount="0" headerRowDxfId="7" dataDxfId="6" totalsRowDxfId="5">
  <tableColumns count="3">
    <tableColumn id="1" xr3:uid="{C734715C-57FD-4105-AC42-8B13C83014B0}" name="Column1" dataDxfId="4"/>
    <tableColumn id="2" xr3:uid="{31A69B9D-FBF0-4C2C-997E-858A6BB55682}" name="Column2" dataDxfId="3"/>
    <tableColumn id="3" xr3:uid="{5C14FDC2-069F-48AB-814A-1AEE4F8FC0ED}" name="Column3" dataDxfId="2"/>
  </tableColumns>
  <tableStyleInfo name="Sheet2-style 3"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A1A36F-2C06-4BA4-9445-C4BB5E47AF83}" name="Table_51012" displayName="Table_51012" ref="E199:G204" headerRowCount="0">
  <tableColumns count="3">
    <tableColumn id="1" xr3:uid="{95335698-0A27-4685-B436-CB427B2B27C8}" name="Column1"/>
    <tableColumn id="2" xr3:uid="{151D4556-3ADA-41CC-A50D-B49F4ABB4638}" name="Column2"/>
    <tableColumn id="3" xr3:uid="{B7DDF264-C0F5-4A87-ADB6-93D591A8E3E2}" name="Column3"/>
  </tableColumns>
  <tableStyleInfo name="Sheet2-style 3"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561FE0-DA5B-43CA-92CC-6B2FBF8B8DAA}" name="Table_5101213" displayName="Table_5101213" ref="E206:G210" headerRowCount="0">
  <tableColumns count="3">
    <tableColumn id="1" xr3:uid="{507F6920-3B90-42BC-BFA0-BF755B295CB2}" name="Column1"/>
    <tableColumn id="2" xr3:uid="{F68222F9-3BBD-4DBA-806F-285E04D35561}" name="Column2"/>
    <tableColumn id="3" xr3:uid="{734809CB-C532-4967-98D4-799A22086000}" name="Column3"/>
  </tableColumns>
  <tableStyleInfo name="Sheet2-style 3"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6BA664D-8467-43A2-91DE-B8D430BBE5CF}" name="Table_5101214" displayName="Table_5101214" ref="E213:G217" headerRowCount="0">
  <tableColumns count="3">
    <tableColumn id="1" xr3:uid="{BEC3D3AA-15AE-408A-9A70-62E9D9B9E75D}" name="Column1"/>
    <tableColumn id="2" xr3:uid="{B4B3D107-3263-4B8B-9E2C-DDEFA791B5A8}" name="Column2"/>
    <tableColumn id="3" xr3:uid="{5815E6D9-ED53-4130-B77C-6B519812BDEA}" name="Column3"/>
  </tableColumns>
  <tableStyleInfo name="Sheet2-style 3" showFirstColumn="1" showLastColumn="1"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A1B6903-3A10-42C5-8B93-076DDA37157D}" name="Table_5101216" displayName="Table_5101216" ref="E220:H224" headerRowCount="0">
  <tableColumns count="4">
    <tableColumn id="1" xr3:uid="{2033A607-303F-456F-9353-7280A427A179}" name="Column1"/>
    <tableColumn id="2" xr3:uid="{CC7B6DEE-8734-4071-89E2-96FDB7C94072}" name="Column2"/>
    <tableColumn id="3" xr3:uid="{88CB1852-839F-4620-BFC8-6797075DF9E9}" name="Column3"/>
    <tableColumn id="4" xr3:uid="{473B6AC8-2B52-4F99-B162-39EDD235A856}" name="Column4" dataDxfId="1"/>
  </tableColumns>
  <tableStyleInfo name="Sheet2-style 3"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1" Type="http://schemas.openxmlformats.org/officeDocument/2006/relationships/hyperlink" Target="http://../PT.%20Agro%20Murni/DO%20INV/PT.%20AGRO%20M%20DO%20817%20(PO%20%2024%2000517)%20.xlsm" TargetMode="External"/><Relationship Id="rId170" Type="http://schemas.openxmlformats.org/officeDocument/2006/relationships/hyperlink" Target="file:///C:\Users\Eddri\AppData\Roaming\Microsoft\PT.%20SJIO%20DUMAI\DO%20INV\PT.%20SJIO%20DO%20988%20(PO%20%20033)%20SEMENTARA.xlsm" TargetMode="External"/><Relationship Id="rId268" Type="http://schemas.openxmlformats.org/officeDocument/2006/relationships/hyperlink" Target="file:///C:\Users\Eddri\AppData\Roaming\Microsoft\PT.%20Pacific%20Palmindo%20Industri\DO%20INV\PT.%20PPI%20DO%201080%20(PO%20%204714044855)%2001.xlsm" TargetMode="External"/><Relationship Id="rId475" Type="http://schemas.openxmlformats.org/officeDocument/2006/relationships/hyperlink" Target="file:///C:\Users\Eddri\AppData\Roaming\Microsoft\PT.%20Pacific%20Palmindo%20Industri\DO%20INV\PT.%20PPI%20DO%201272%20(PO%20%204714045796)%2001%20-%20PARTIAL%20-%20N1,2,3,4.xlsm" TargetMode="External"/><Relationship Id="rId682" Type="http://schemas.openxmlformats.org/officeDocument/2006/relationships/hyperlink" Target="file:///C:\Users\Eddri\AppData\Roaming\Microsoft\PT.%20SJIO%20DUMAI\DO%20INV\PT.%20SJIO%20DO%201468%20(PO%20%20940)%2001%20-%20PARTIAL%20-%20N5.xlsm" TargetMode="External"/><Relationship Id="rId128" Type="http://schemas.openxmlformats.org/officeDocument/2006/relationships/hyperlink" Target="file:///C:\Users\Eddri\AppData\Roaming\Microsoft\PT.%20RAILINK%20CABANG%20MEDAN\DO%20INV\PT.%20RAILINK%20CABANG%20MEDAN%20DO%20946%20(PO%20%20)%20.xlsm" TargetMode="External"/><Relationship Id="rId335" Type="http://schemas.openxmlformats.org/officeDocument/2006/relationships/hyperlink" Target="file:///C:\Users\Eddri\AppData\Roaming\Microsoft\PT.%20Able%20Commodities%20Indonesia\DO%20INV\PT.%20ABLE%20DO%201151%20(PO%20%2025900258)%2007%20N2.xlsm" TargetMode="External"/><Relationship Id="rId542" Type="http://schemas.openxmlformats.org/officeDocument/2006/relationships/hyperlink" Target="file:///C:\Users\Eddri\AppData\Roaming\Microsoft\PT.%20SJIO%20DUMAI\DO%20INV\PT.%20SJIO%20DO%201356%20(PO%20%20640)%2001.xlsm" TargetMode="External"/><Relationship Id="rId987" Type="http://schemas.openxmlformats.org/officeDocument/2006/relationships/hyperlink" Target="file:///C:\Users\Eddri\AppData\Roaming\Microsoft\Excel\PT.%20Simpang%20Kanan%20Lestarindo\DO%20INV\PT.%20SKL%20DO%201743%20(PO%20%2026%2000144)%2001%20-%20PARTIAL%20-%20N3.xlsm" TargetMode="External"/><Relationship Id="rId402" Type="http://schemas.openxmlformats.org/officeDocument/2006/relationships/hyperlink" Target="file:///C:\Users\Eddri\AppData\Roaming\Microsoft\PT.%20Agro%20Murni\DO%20INV\PT.%20AGRO%20M%20DO%201211%20(PO%20%2025%2000331)%2001.xlsm" TargetMode="External"/><Relationship Id="rId847" Type="http://schemas.openxmlformats.org/officeDocument/2006/relationships/hyperlink" Target="file:///C:\Users\Eddri\AppData\Roaming\Microsoft\PT.%20Agro%20Murni\DO%20INV\PT.%20AGRO%20M%20DO%201615%20(PO%20%2025%2001093)%2007.xlsm" TargetMode="External"/><Relationship Id="rId1032" Type="http://schemas.openxmlformats.org/officeDocument/2006/relationships/hyperlink" Target="../PT.%20Agro%20Raya%20Mas/DO%20INV/PT.%20ARM%20DO%201781%20(PO%20%2026%2000291)%2007.xlsm" TargetMode="External"/><Relationship Id="rId707" Type="http://schemas.openxmlformats.org/officeDocument/2006/relationships/hyperlink" Target="file:///C:\Users\Eddri\AppData\Roaming\Microsoft\PT.%20Agro%20Raya%20Mas\DO%20INV\PT.%20ARM%20DO%201492%20(PO%20%2025901328)%2007%20-%20PARTIAL%20-%20N1.xlsm" TargetMode="External"/><Relationship Id="rId914" Type="http://schemas.openxmlformats.org/officeDocument/2006/relationships/hyperlink" Target="file:///C:\Users\Eddri\AppData\Roaming\Microsoft\Excel\PT.%20Simpang%20Kanan%20Lestarindo\DO%20INV\PT.%20SKL%20DO%201677%20(PO%20%2025%2000940)%2001.xlsm" TargetMode="External"/><Relationship Id="rId43" Type="http://schemas.openxmlformats.org/officeDocument/2006/relationships/hyperlink" Target="about:blank" TargetMode="External"/><Relationship Id="rId192" Type="http://schemas.openxmlformats.org/officeDocument/2006/relationships/hyperlink" Target="file:///C:\Users\Eddri\AppData\Roaming\Microsoft\PT.%20SJIO%20DUMAI\DO%20INV\PT.%20SJIO%20DO%201012%20(PO%20%20%20)%20REV%201%20sementara.xlsm" TargetMode="External"/><Relationship Id="rId206" Type="http://schemas.openxmlformats.org/officeDocument/2006/relationships/hyperlink" Target="file:///C:\Users\Eddri\AppData\Roaming\Microsoft\PT.%20Pacific%20Palmindo%20Industri\DO%20INV\PT.%20PPI%20DO%201022%20(PO%20%204714044531)%2001%20N4.xlsm" TargetMode="External"/><Relationship Id="rId413" Type="http://schemas.openxmlformats.org/officeDocument/2006/relationships/hyperlink" Target="file:///C:\Users\Eddri\AppData\Roaming\Microsoft\PT.%20Able%20Commodities%20Indonesia\DO%20INV\PT.%20ABLE%20DO%201219%20(PO%20%2025900523)%2007.xlsm" TargetMode="External"/><Relationship Id="rId858" Type="http://schemas.openxmlformats.org/officeDocument/2006/relationships/hyperlink" Target="file:///C:\Users\Eddri\AppData\Roaming\Microsoft\PT.%20Simpang%20Kanan%20Lestarindo\DO%20INV\PT.%20SKL%20DO%201626%20(PO%20%2025%2000922)%2001.xlsm" TargetMode="External"/><Relationship Id="rId1043" Type="http://schemas.openxmlformats.org/officeDocument/2006/relationships/hyperlink" Target="../PT.%20Agro%20Raya%20Mas/DO%20INV/PT.%20ARM%20DO%201788%20(PO%20%2026%2000275)%2007%20-%20PARTIAL%20COMPLETED%20-%20N1.xlsm" TargetMode="External"/><Relationship Id="rId497" Type="http://schemas.openxmlformats.org/officeDocument/2006/relationships/hyperlink" Target="file:///C:\Users\Eddri\AppData\Roaming\Microsoft\PT.%20Pacific%20Palmindo%20Industri\DO%20INV\PT.%20PPI%20DO%201292%20(PO%20%204714045796)%20REV%201%2001%20-%20PARTIAL%20-%20N1,2.xlsm" TargetMode="External"/><Relationship Id="rId620" Type="http://schemas.openxmlformats.org/officeDocument/2006/relationships/hyperlink" Target="file:///C:\Users\Eddri\AppData\Roaming\Microsoft\PT.%20Agro%20Raya%20Mas\DO%20INV\PT.%20ARM%20DO%201424%20(PO%20%20%20)%20DO%20SEMENTARA.xlsm" TargetMode="External"/><Relationship Id="rId718" Type="http://schemas.openxmlformats.org/officeDocument/2006/relationships/hyperlink" Target="file:///C:\Users\Eddri\AppData\Roaming\Microsoft\Excel\%20DO%201502%20(PO%20%20)%2001.xlsm" TargetMode="External"/><Relationship Id="rId925" Type="http://schemas.openxmlformats.org/officeDocument/2006/relationships/hyperlink" Target="file:///C:\Users\Eddri\AppData\Roaming\Microsoft\Excel\PT.%20SWP\DO%20INV\PT.%20SWP%20DO%201687%20(PO%20%204000341075)%2001%20-%20PARTIAL%20-%20N1.xlsm" TargetMode="External"/><Relationship Id="rId357" Type="http://schemas.openxmlformats.org/officeDocument/2006/relationships/hyperlink" Target="file:///C:\Users\Eddri\AppData\Roaming\Microsoft\PT.%20Pacific%20Palmindo%20Industri\DO%20INV\%20DO%201171%20(PO%20%20)%2001.xlsm" TargetMode="External"/><Relationship Id="rId54" Type="http://schemas.openxmlformats.org/officeDocument/2006/relationships/hyperlink" Target="http://../PT.%20Pacific%20Palmindo%20Industri/DO%20INV/PT.%20PPI%20DO%20848%20(PO%20%204714042796)%20.xlsm" TargetMode="External"/><Relationship Id="rId217" Type="http://schemas.openxmlformats.org/officeDocument/2006/relationships/hyperlink" Target="file:///C:\Users\Eddri\AppData\Roaming\Microsoft\Excel\%20DO%201033%20(PO%20%20)%20.xlsm" TargetMode="External"/><Relationship Id="rId564" Type="http://schemas.openxmlformats.org/officeDocument/2006/relationships/hyperlink" Target="file:///C:\Users\Eddri\AppData\Roaming\Microsoft\Excel\%20DO%201374%20(PO%20%20)%2001.xlsm" TargetMode="External"/><Relationship Id="rId771" Type="http://schemas.openxmlformats.org/officeDocument/2006/relationships/hyperlink" Target="file:///C:\Users\Eddri\AppData\Roaming\Microsoft\PT.%20Simpang%20Kanan%20Lestarindo\DO%20INV\PT.%20SKL%20DO%201551%20(PO%20%2025%2000798)%2001.xlsm" TargetMode="External"/><Relationship Id="rId869" Type="http://schemas.openxmlformats.org/officeDocument/2006/relationships/hyperlink" Target="file:///C:\Users\Eddri\AppData\Roaming\Microsoft\Excel\PT.%20Agro%20Raya%20Mas\DO%20INV\PT.%20ARM%20DO%201636%20(PO%20%2025%2000259)%2007%20-%20PARTIAL%20-%20N2,3,4.xlsm" TargetMode="External"/><Relationship Id="rId424" Type="http://schemas.openxmlformats.org/officeDocument/2006/relationships/hyperlink" Target="file:///C:\Users\Eddri\AppData\Roaming\Microsoft\PT.%20Agro%20Murni\DO%20INV\PT.%20AGRO%20M%20DO%201229%20(PO%20%2025%2000331)%2001%20PARTIAL%20COMPLETE%20N1.xlsm" TargetMode="External"/><Relationship Id="rId631" Type="http://schemas.openxmlformats.org/officeDocument/2006/relationships/hyperlink" Target="file:///C:\Users\Eddri\AppData\Roaming\Microsoft\PT.%20Agro%20Raya%20Mas\DO%20INV\PT.%20ARM%20DO%201429%20(PO%20%2025901096)%2007%20-%20PARTIAL%20COMPLETE%20-%20N3.xlsm" TargetMode="External"/><Relationship Id="rId729" Type="http://schemas.openxmlformats.org/officeDocument/2006/relationships/hyperlink" Target="file:///C:\Users\Eddri\AppData\Roaming\Microsoft\PT.%20SJIO%20DUMAI\DO%20INV\PT.%20SJIO%20DO%201512%20(PO%20%20SJIO%20TANK%20PO%202509%201039)%2001%20-%20PARTIAL%20-%20N1,2.xlsm" TargetMode="External"/><Relationship Id="rId1054" Type="http://schemas.openxmlformats.org/officeDocument/2006/relationships/table" Target="../tables/table1.xml"/><Relationship Id="rId270" Type="http://schemas.openxmlformats.org/officeDocument/2006/relationships/hyperlink" Target="file:///C:\Users\Eddri\AppData\Roaming\Microsoft\PT.%20Agro%20Murni\DO%20INV\PT.%20AGRO%20M%20DO%201094%20(PO%20%2025%2000047)%2001.xlsm" TargetMode="External"/><Relationship Id="rId936" Type="http://schemas.openxmlformats.org/officeDocument/2006/relationships/hyperlink" Target="file:///C:\Users\Eddri\AppData\Roaming\Microsoft\Excel\PT.%20Agro%20Raya%20Mas\DO%20INV\PT.%20ARM%20DO%201698%20(PO%20%2026%2000139)%2001.xlsm" TargetMode="External"/><Relationship Id="rId65" Type="http://schemas.openxmlformats.org/officeDocument/2006/relationships/hyperlink" Target="http://../PT.%20Agro%20Murni/DO%20INV/PT.%20AGRO%20M%20DO%20859%20(PO%20%2024%2000538)%20N1%2001.xlsm" TargetMode="External"/><Relationship Id="rId130" Type="http://schemas.openxmlformats.org/officeDocument/2006/relationships/hyperlink" Target="file:///C:\Users\Eddri\AppData\Roaming\Microsoft\PT.%20Pacific%20Palmindo%20Industri\DO%20INV\PT.%20PPI%20DO%20949%20(PO%20%204714043584)%2001.xlsm" TargetMode="External"/><Relationship Id="rId368" Type="http://schemas.openxmlformats.org/officeDocument/2006/relationships/hyperlink" Target="file:///C:\Users\Eddri\AppData\Roaming\Microsoft\PT.%20Able%20Commodities%20Indonesia\DO%20INV\PT.%20ABLE%20DO%201181%20(PO%20%2025900409)%2007.xlsm" TargetMode="External"/><Relationship Id="rId575" Type="http://schemas.openxmlformats.org/officeDocument/2006/relationships/hyperlink" Target="file:///C:\Users\Eddri\AppData\Roaming\Microsoft\PT.%20Agro%20Raya%20Mas\DO%20INV\PT.%20ARM%20DO%201385%20(PO%20%2025900791)%2007.xlsm" TargetMode="External"/><Relationship Id="rId782" Type="http://schemas.openxmlformats.org/officeDocument/2006/relationships/hyperlink" Target="file:///C:\Users\Eddri\AppData\Roaming\Microsoft\PT.%20SJIO%20DUMAI\DO%20INV\PT.%20SJIO%20DO%201562%20(PO%20%20SJIO%20BOILER%20PO%202510%201320)%2001%20-%20PARTIAL%20-%20N1,3,4,5,6.xlsm" TargetMode="External"/><Relationship Id="rId228" Type="http://schemas.openxmlformats.org/officeDocument/2006/relationships/hyperlink" Target="file:///C:\Users\Eddri\AppData\Roaming\Microsoft\PT.%20Pacific%20Palmindo%20Industri\DO%20INV\%20DO%201042%20(PO%20%20)%2001.xlsm" TargetMode="External"/><Relationship Id="rId435" Type="http://schemas.openxmlformats.org/officeDocument/2006/relationships/hyperlink" Target="file:///C:\Users\Eddri\AppData\Roaming\Microsoft\PT.%20Agro%20Murni\DO%20INV\PT.%20AGRO%20M%20DO%201239%20(PO%20%2025%2000345)%2007%20-%20PARTIAL%20-%20N16,24,27.xlsm" TargetMode="External"/><Relationship Id="rId642" Type="http://schemas.openxmlformats.org/officeDocument/2006/relationships/hyperlink" Target="file:///C:\Users\Eddri\AppData\Roaming\Microsoft\PT.%20Simpang%20Kanan%20Lestarindo\DO%20INV\PT.%20SKL%20DO%201428%20(PO%20%2025%2000522)%2001.xlsm" TargetMode="External"/><Relationship Id="rId281" Type="http://schemas.openxmlformats.org/officeDocument/2006/relationships/hyperlink" Target="file:///C:\Users\Eddri\AppData\Roaming\Microsoft\PT.%20SWP\DO%20INV\PT.%20SWP%20DO%201085%20(PO%20%204000271013)%2007.xlsm" TargetMode="External"/><Relationship Id="rId502" Type="http://schemas.openxmlformats.org/officeDocument/2006/relationships/hyperlink" Target="file:///C:\Users\Eddri\AppData\Roaming\Microsoft\Excel\%20DO%201322%20(PO%20%20)%2001.xlsm" TargetMode="External"/><Relationship Id="rId947" Type="http://schemas.openxmlformats.org/officeDocument/2006/relationships/hyperlink" Target="file:///C:\Users\Eddri\AppData\Roaming\Microsoft\Excel\PT.%20SWP\DO%20INV\PT.%20SWP%20DO%201706%20(PO%20%204000341075)%2001%20-%20PARTIAL%20COMPLETED%20-%20N2.xlsm" TargetMode="External"/><Relationship Id="rId76" Type="http://schemas.openxmlformats.org/officeDocument/2006/relationships/hyperlink" Target="http://../PT.%20KIP/DO%20INV/PT.%20KIP%20DO%20870%20(PO%20%2024%2000480)%20.xlsm" TargetMode="External"/><Relationship Id="rId141" Type="http://schemas.openxmlformats.org/officeDocument/2006/relationships/hyperlink" Target="file:///C:\Users\Eddri\AppData\Roaming\Microsoft\PT.%20Pacific%20Palmindo%20Industri\DO%20INV\PT.%20PPI%20DO%20952%20(PO%20%204714043657)%20REV%201%2001.xlsm" TargetMode="External"/><Relationship Id="rId379" Type="http://schemas.openxmlformats.org/officeDocument/2006/relationships/hyperlink" Target="file:///C:\Users\Eddri\AppData\Roaming\Microsoft\PT.%20Able%20Commodities%20Indonesia\DO%20INV\PT.%20ABLE%20DO%201192%20(PO%20%2025900407)%2007.xlsm" TargetMode="External"/><Relationship Id="rId586" Type="http://schemas.openxmlformats.org/officeDocument/2006/relationships/hyperlink" Target="file:///C:\Users\Eddri\AppData\Roaming\Microsoft\PT.%20Pacific%20Palmindo%20Industri\DO%20INV\%20DO%201396%20(PO%20%20)%2001.xlsm" TargetMode="External"/><Relationship Id="rId793" Type="http://schemas.openxmlformats.org/officeDocument/2006/relationships/hyperlink" Target="file:///C:\Users\Eddri\AppData\Roaming\Microsoft\PT.%20SJIO%20DUMAI\DO%20INV\PT.%20SJIO%20DO%201571%20(PO%20%20SJIO%20BOILER%20PO%202511%201409)%2001.xlsm" TargetMode="External"/><Relationship Id="rId807" Type="http://schemas.openxmlformats.org/officeDocument/2006/relationships/hyperlink" Target="file:///C:\Users\Eddri\AppData\Roaming\Microsoft\PT.%20KIP\DO%20INV\PT.%20KIP%20DO%201579%20(PO%20%2025%2000563)%2001.xlsm" TargetMode="External"/><Relationship Id="rId7" Type="http://schemas.openxmlformats.org/officeDocument/2006/relationships/hyperlink" Target="http://../PT.%20Able%20Commodities%20Indonesia/DO%20INV/PT.%20ABLE%20DO%20804%20(PO%20%2024900501)%20.xlsm" TargetMode="External"/><Relationship Id="rId239" Type="http://schemas.openxmlformats.org/officeDocument/2006/relationships/hyperlink" Target="file:///C:\Users\Eddri\AppData\Roaming\Microsoft\PT.%20SJIO%20DUMAI\DO%20INV\PT.%20SJIO%20DO%201053%20(PO%20%20394)%2001.xlsm" TargetMode="External"/><Relationship Id="rId446" Type="http://schemas.openxmlformats.org/officeDocument/2006/relationships/hyperlink" Target="file:///C:\Users\Eddri\AppData\Roaming\Microsoft\PT.%20Agro%20Murni\DO%20INV\PT.%20AGRO%20M%20DO%201248%20(PO%20%2025%2000405)%2007.xlsm" TargetMode="External"/><Relationship Id="rId653" Type="http://schemas.openxmlformats.org/officeDocument/2006/relationships/hyperlink" Target="file:///C:\Users\Eddri\AppData\Roaming\Microsoft\PT.%20Agro%20Raya%20Mas\DO%20INV\PT.%20ARM%20DO%201445%20(PO%20%2025901232)%2007.xlsm" TargetMode="External"/><Relationship Id="rId292" Type="http://schemas.openxmlformats.org/officeDocument/2006/relationships/hyperlink" Target="file:///C:\Users\Eddri\AppData\Roaming\Microsoft\PT.%20KIP\DO%20INV\PT.%20KIP%20DO%201108%20(PO%20%2025%2000051)%2001.xlsm" TargetMode="External"/><Relationship Id="rId306" Type="http://schemas.openxmlformats.org/officeDocument/2006/relationships/hyperlink" Target="file:///C:\Users\Eddri\AppData\Roaming\Microsoft\PT.%20Able%20Commodities%20Indonesia\DO%20INV\PT.%20ABLE%20DO%201122%20(PO%20%2025900135)%2007.xlsm" TargetMode="External"/><Relationship Id="rId860" Type="http://schemas.openxmlformats.org/officeDocument/2006/relationships/hyperlink" Target="file:///C:\Users\Eddri\AppData\Roaming\Microsoft\PT.%20Agro%20Raya%20Mas\DO%20INV\PT.%20ARM%20DO%201628%20(PO%20%2025%2000248)%2007.xlsm" TargetMode="External"/><Relationship Id="rId958" Type="http://schemas.openxmlformats.org/officeDocument/2006/relationships/hyperlink" Target="file:///C:\Users\Eddri\AppData\Roaming\Microsoft\Excel\PT.%20SJIO%20DUMAI\DO%20INV\%20DO%201714%20(PO%20%20)%2001.xlsm" TargetMode="External"/><Relationship Id="rId87" Type="http://schemas.openxmlformats.org/officeDocument/2006/relationships/hyperlink" Target="file:///C:\Users\Eddri\AppData\Roaming\Microsoft\PT.%20Agro%20Murni\DO%20INV\PT.%20AGRO%20M%20DO%20904%20(PO%20%2024%2000577)%20.xlsm" TargetMode="External"/><Relationship Id="rId513" Type="http://schemas.openxmlformats.org/officeDocument/2006/relationships/hyperlink" Target="file:///C:\Users\Eddri\AppData\Roaming\Microsoft\Excel\%20DO%201330%20(PO%20%20)%2007.xlsm" TargetMode="External"/><Relationship Id="rId597" Type="http://schemas.openxmlformats.org/officeDocument/2006/relationships/hyperlink" Target="file:///C:\Users\Eddri\AppData\Roaming\Microsoft\PT.%20Agro%20Raya%20Mas\DO%20INV\PT.%20ARM%20DO%201402%20(PO%20%2025900995)%20REV%201%2007%20-%20PARTIAL%20COMPLETE%20-%20N2,4(2PCS).xlsm" TargetMode="External"/><Relationship Id="rId720" Type="http://schemas.openxmlformats.org/officeDocument/2006/relationships/hyperlink" Target="file:///C:\Users\Eddri\AppData\Roaming\Microsoft\PT.%20SJIO%20DUMAI\DO%20INV\PT.%20SJIO%20DO%201504%20(PO%20%20%20SJIO%20TANK%20PO%202509%201039)%2001%20-%20PARTIAL%20-%20N5,7,8,9.xlsm" TargetMode="External"/><Relationship Id="rId818" Type="http://schemas.openxmlformats.org/officeDocument/2006/relationships/hyperlink" Target="file:///C:\Users\Eddri\AppData\Roaming\Microsoft\PT.%20Agro%20Raya%20Mas\DO%20INV\PT.%20ARM%20DO%201589%20(PO%20%2025%2000119)%2001%20-%20PARTIAL%20COMPLETE%20-%20N1,2.xlsm" TargetMode="External"/><Relationship Id="rId152" Type="http://schemas.openxmlformats.org/officeDocument/2006/relationships/hyperlink" Target="file:///C:\Users\Eddri\AppData\Roaming\Microsoft\PT.%20RAILINK%20CABANG%20MEDAN\DO%20INV\PT.%20RAILINK%20CABANG%20MEDAN%20DO%20972%20(PO%20%200)%2044%20IX%202024%20-%20PEKERJAAN%20PEMINDAHAN%20PINTU%20GERBANG%20DAN%20PEMBUATAN%20JALAN.xlsm" TargetMode="External"/><Relationship Id="rId457" Type="http://schemas.openxmlformats.org/officeDocument/2006/relationships/hyperlink" Target="file:///C:\Users\Eddri\AppData\Roaming\Microsoft\PT.%20Simpang%20Kanan%20Lestarindo\DO%20INV\PT.%20SKL%20DO%201258%20(PO%20%2025%2000304)%2001.xlsm" TargetMode="External"/><Relationship Id="rId1003" Type="http://schemas.openxmlformats.org/officeDocument/2006/relationships/hyperlink" Target="../PT.%20SJIO%20DUMAI/DO%20INV/PT.%20SJIO%20DO%201754%20(PO%20%20SJIO%20REF%20PO%202601%200052)%2001.xlsm" TargetMode="External"/><Relationship Id="rId664" Type="http://schemas.openxmlformats.org/officeDocument/2006/relationships/hyperlink" Target="file:///C:\Users\Eddri\AppData\Roaming\Microsoft\PT.%20Agro%20Raya%20Mas\DO%20INV\PT.%20ARM%20DO%201453%20(PO%20%2025901221)%2007.xlsm" TargetMode="External"/><Relationship Id="rId871" Type="http://schemas.openxmlformats.org/officeDocument/2006/relationships/hyperlink" Target="file:///C:\Users\Eddri\AppData\Roaming\Microsoft\Excel\PT.%20Pacific%20Palmindo%20Industri\DO%20INV\PT.%20PPI%20DO%201638%20(PO%20%204714048196)%2001.xlsm" TargetMode="External"/><Relationship Id="rId969" Type="http://schemas.openxmlformats.org/officeDocument/2006/relationships/hyperlink" Target="file:///C:\Users\Eddri\AppData\Roaming\Microsoft\Excel\PT.%20SJIO%20DUMAI\DO%20INV\PT.%20SJIO%20DO%201725%20(PO%20%20SJIO%20TANK%20PO%202602%200217)%2001.xlsm" TargetMode="External"/><Relationship Id="rId14" Type="http://schemas.openxmlformats.org/officeDocument/2006/relationships/hyperlink" Target="http://../PT.%20Able%20Commodities%20Indonesia/DO%20INV/PT.%20ABLE%20DO%20810%20(PO%20%2024900514)%20.xlsm" TargetMode="External"/><Relationship Id="rId317" Type="http://schemas.openxmlformats.org/officeDocument/2006/relationships/hyperlink" Target="file:///C:\Users\Eddri\AppData\Roaming\Microsoft\PT.%20SJIO%20DUMAI\DO%20INV\PT.%20SJIO%20DO%201133%20(PO%20%20085)%2001%20-%20PENARIKAN%20BARANG.xlsm" TargetMode="External"/><Relationship Id="rId524" Type="http://schemas.openxmlformats.org/officeDocument/2006/relationships/hyperlink" Target="file:///C:\Users\Eddri\AppData\Roaming\Microsoft\PT.%20Agro%20Raya%20Mas\DO%20INV\PT.%20ARM%20DO%201342%20(PO%20%2025900792)%2007.xlsm" TargetMode="External"/><Relationship Id="rId731" Type="http://schemas.openxmlformats.org/officeDocument/2006/relationships/hyperlink" Target="file:///C:\Users\Eddri\AppData\Roaming\Microsoft\PT.%20SJIO%20DUMAI\DO%20INV\PT.%20SJIO%20DO%201514%20(PO%20%20SJIO%20REF%20PO%202509%201031)%2001%20-%20PARTIAL%20-%20N9,11,17,18,19.xlsm" TargetMode="External"/><Relationship Id="rId98" Type="http://schemas.openxmlformats.org/officeDocument/2006/relationships/hyperlink" Target="file:///C:\Users\Eddri\AppData\Roaming\Microsoft\PT.%20Agro%20Murni\DO%20INV\PT.%20AGRO%20M%20DO%20915%20(PO%20%2024%2000690)%20.xlsm" TargetMode="External"/><Relationship Id="rId163" Type="http://schemas.openxmlformats.org/officeDocument/2006/relationships/hyperlink" Target="file:///C:\Users\Eddri\AppData\Roaming\Microsoft\PT.%20SJIO%20DUMAI\DO%20INV\PT.%20SJIO%20DO%20981%20(PO%20%20068)%2001.xlsm" TargetMode="External"/><Relationship Id="rId370" Type="http://schemas.openxmlformats.org/officeDocument/2006/relationships/hyperlink" Target="file:///C:\Users\Eddri\AppData\Roaming\Microsoft\PT.%20Able%20Commodities%20Indonesia\DO%20INV\PT.%20ABLE%20DO%201183%20(PO%20%20%20)%20URGENT%20DO%20SEMENTARA.xlsm" TargetMode="External"/><Relationship Id="rId829" Type="http://schemas.openxmlformats.org/officeDocument/2006/relationships/hyperlink" Target="file:///C:\Users\Eddri\AppData\Roaming\Microsoft\PT.%20SJIO%20DUMAI\DO%20INV\PT.%20SJIO%20DO%201598%20(PO%20%20SJIO%20BOILER%20PO%202511%201406)%2001%20-%20PARTIAL%20COMPLETE%20-%20N1.xlsm" TargetMode="External"/><Relationship Id="rId1014" Type="http://schemas.openxmlformats.org/officeDocument/2006/relationships/hyperlink" Target="../PT.%20Agro%20Murni/DO%20INV/PT.%20AGRO%20M%20DO%201757%20(PO%20%2026%2000168)%20REV%201%2007%20-%20PARTIAL%20-%20N2.xlsm" TargetMode="External"/><Relationship Id="rId230" Type="http://schemas.openxmlformats.org/officeDocument/2006/relationships/hyperlink" Target="file:///C:\Users\Eddri\AppData\Roaming\Microsoft\PT.%20Simpang%20Kanan%20Lestarindo\DO%20INV\PT.%20SKL%20DO%201044%20(PO%20%2024%2001074)%2001.xlsm" TargetMode="External"/><Relationship Id="rId468" Type="http://schemas.openxmlformats.org/officeDocument/2006/relationships/hyperlink" Target="file:///C:\Users\Eddri\AppData\Roaming\Microsoft\PT.%20Simpang%20Kanan%20Lestarindo\DO%20INV\PT.%20SKL%20DO%201267%20(PO%20%2025%2000325)%2001.xlsm" TargetMode="External"/><Relationship Id="rId675" Type="http://schemas.openxmlformats.org/officeDocument/2006/relationships/hyperlink" Target="file:///C:\Users\Eddri\AppData\Roaming\Microsoft\PT.%20Agro%20Raya%20Mas\DO%20INV\PT.%20ARM%20DO%201462%20(PO%20%2025901255)%2001.xlsm" TargetMode="External"/><Relationship Id="rId882" Type="http://schemas.openxmlformats.org/officeDocument/2006/relationships/hyperlink" Target="file:///C:\Users\Eddri\AppData\Roaming\Microsoft\Excel\PT.%20SJIO%20DUMAI\DO%20INV\PT.%20SJIO%20DO%201627%20(PO%20%20SJIO%20TANK%20PO%202511%201506)%20REV%201%2001.xlsm" TargetMode="External"/><Relationship Id="rId25" Type="http://schemas.openxmlformats.org/officeDocument/2006/relationships/hyperlink" Target="about:blank" TargetMode="External"/><Relationship Id="rId328" Type="http://schemas.openxmlformats.org/officeDocument/2006/relationships/hyperlink" Target="file:///C:\Users\Eddri\AppData\Roaming\Microsoft\PT.%20Able%20Commodities%20Indonesia\DO%20INV\PT.%20ABLE%20DO%201144%20(PO%20%20%20)%20URGENT.xlsm" TargetMode="External"/><Relationship Id="rId535" Type="http://schemas.openxmlformats.org/officeDocument/2006/relationships/hyperlink" Target="file:///C:\Users\Eddri\AppData\Roaming\Microsoft\PT.%20Agro%20Raya%20Mas\DO%20INV\PT.%20ARM%20DO%201351%20(PO%20%2025900909)%2001.xlsm" TargetMode="External"/><Relationship Id="rId742" Type="http://schemas.openxmlformats.org/officeDocument/2006/relationships/hyperlink" Target="file:///C:\Users\Eddri\AppData\Roaming\Microsoft\PT.%20Pacific%20Palmindo%20Industri\DO%20INV\PT.%20PPI%20DO%201524%20(PO%20%204714047353)%2001.xlsm" TargetMode="External"/><Relationship Id="rId174" Type="http://schemas.openxmlformats.org/officeDocument/2006/relationships/hyperlink" Target="file:///C:\Users\Eddri\AppData\Roaming\Microsoft\PT.%20Pacific%20Palmindo%20Industri\DO%20INV\PT.%20PPI%20DO%20991%20(PO%20%204714044234)%2001.xlsm" TargetMode="External"/><Relationship Id="rId381" Type="http://schemas.openxmlformats.org/officeDocument/2006/relationships/hyperlink" Target="file:///C:\Users\Eddri\AppData\Roaming\Microsoft\PT.%20Able%20Commodities%20Indonesia\DO%20INV\PT.%20ABLE%20DO%201194%20(PO%20%2025900481)%2007.xlsm" TargetMode="External"/><Relationship Id="rId602" Type="http://schemas.openxmlformats.org/officeDocument/2006/relationships/hyperlink" Target="file:///C:\Users\Eddri\AppData\Roaming\Microsoft\PT.%20SWP\DO%20INV\PT.%20SWP%20DO%201407%20(PO%20%204000290758)%2007.xlsm" TargetMode="External"/><Relationship Id="rId1025" Type="http://schemas.openxmlformats.org/officeDocument/2006/relationships/hyperlink" Target="%20DO%201775%20(PO%20%20)%2001.xlsm" TargetMode="External"/><Relationship Id="rId241" Type="http://schemas.openxmlformats.org/officeDocument/2006/relationships/hyperlink" Target="file:///C:\Users\Eddri\AppData\Roaming\Microsoft\PT.%20SJIO%20DUMAI\DO%20INV\PT.%20SJIO%20DO%201055%20(PO%20%20064)%2001.xlsm" TargetMode="External"/><Relationship Id="rId479" Type="http://schemas.openxmlformats.org/officeDocument/2006/relationships/hyperlink" Target="file:///C:\Users\Eddri\AppData\Roaming\Microsoft\PT.%20Agro%20Murni\DO%20INV\PT.%20AGRO%20M%20DO%201275%20(PO%20%2025%2000426)%2001.xlsm" TargetMode="External"/><Relationship Id="rId686" Type="http://schemas.openxmlformats.org/officeDocument/2006/relationships/hyperlink" Target="file:///C:\Users\Eddri\AppData\Roaming\Microsoft\Excel\%20DO%201472%20(PO%20%20)%2001%20-%20PARTIAL%20-%20N4,5,6,7,8.xlsm" TargetMode="External"/><Relationship Id="rId893" Type="http://schemas.openxmlformats.org/officeDocument/2006/relationships/hyperlink" Target="file:///C:\Users\Eddri\AppData\Roaming\Microsoft\Excel\PT.%20KIP\DO%20INV\PT.%20KIP%20DO%201658%20(PO%20%2026%2000002)%2001.xlsm" TargetMode="External"/><Relationship Id="rId907" Type="http://schemas.openxmlformats.org/officeDocument/2006/relationships/hyperlink" Target="file:///C:\Users\Eddri\AppData\Roaming\Microsoft\Excel\PT.%20KIP\DO%20INV\PT.%20KIP%20DO%201644%20(PO%20%2026%2000021)%20REV%201%2001%20-%20REV1%20-%20BASED%20ON%20OFFICIAL%20PO.xlsm" TargetMode="External"/><Relationship Id="rId36" Type="http://schemas.openxmlformats.org/officeDocument/2006/relationships/hyperlink" Target="http://../PT.%20Pacific%20Palmindo%20Industri/DO%20INV/PT.%20PPI%20DO%20831%20(PO%20%204714042780)%20.xlsm" TargetMode="External"/><Relationship Id="rId339" Type="http://schemas.openxmlformats.org/officeDocument/2006/relationships/hyperlink" Target="file:///C:\Users\Eddri\AppData\Roaming\Microsoft\PT.%20Pacific%20Palmindo%20Industri\DO%20INV\PT.%20PPI%20DO%201155%20(PO%20%204714044991)%2001.xlsm" TargetMode="External"/><Relationship Id="rId546" Type="http://schemas.openxmlformats.org/officeDocument/2006/relationships/hyperlink" Target="file:///C:\Users\Eddri\AppData\Roaming\Microsoft\PT.%20Agro%20Raya%20Mas\DO%20INV\PT.%20ARM%20DO%201357%20(PO%20%2025900907)%20REV%201%2007%20-%20PARTIAL%20-%20N1.xlsm" TargetMode="External"/><Relationship Id="rId753" Type="http://schemas.openxmlformats.org/officeDocument/2006/relationships/hyperlink" Target="file:///C:\Users\Eddri\AppData\Roaming\Microsoft\Excel\%20DO%201534%20(PO%20%20)%2001.xlsm" TargetMode="External"/><Relationship Id="rId101" Type="http://schemas.openxmlformats.org/officeDocument/2006/relationships/hyperlink" Target="file:///C:\Users\Eddri\AppData\Roaming\Microsoft\PT.%20Able%20Commodities%20Indonesia\DO%20INV\PT.%20ABLE%20DO%20918%20(PO%20%2024900693)%20.xlsm" TargetMode="External"/><Relationship Id="rId185" Type="http://schemas.openxmlformats.org/officeDocument/2006/relationships/hyperlink" Target="file:///C:\Users\Eddri\AppData\Roaming\Microsoft\PT.%20Simpang%20Kanan%20Lestarindo\DO%20INV\PT.%20SKL%20DO%201006%20(PO%20%2024%2000991)%2001.xlsm" TargetMode="External"/><Relationship Id="rId406" Type="http://schemas.openxmlformats.org/officeDocument/2006/relationships/hyperlink" Target="file:///C:\Users\Eddri\AppData\Roaming\Microsoft\PT.%20Agro%20Murni\DO%20INV\PT.%20AGRO%20M%20DO%201214%20(PO%20%2025%2000331)%2007%20N2.xlsm" TargetMode="External"/><Relationship Id="rId960" Type="http://schemas.openxmlformats.org/officeDocument/2006/relationships/hyperlink" Target="file:///C:\Users\Eddri\AppData\Roaming\Microsoft\Excel\PT.%20SJIO%20DUMAI\DO%20INV\%20DO%201716%20(PO%20%20)%2001.xlsm" TargetMode="External"/><Relationship Id="rId1036" Type="http://schemas.openxmlformats.org/officeDocument/2006/relationships/hyperlink" Target="../PT.%20PALUTA%20INTI%20SAWIT/DO%20INV/PT.%20PIS%20DO%201783%20(PO%20%2026%2000165)%20REV%201%2001%20-%20PARTIAL%20-%20N2.xlsm" TargetMode="External"/><Relationship Id="rId392" Type="http://schemas.openxmlformats.org/officeDocument/2006/relationships/hyperlink" Target="file:///C:\Users\Eddri\AppData\Roaming\Microsoft\PT.%20Able%20Commodities%20Indonesia\DO%20INV\PT.%20ABLE%20DO%201204%20(PO%20%2025900478)%2001%20N1.xlsm" TargetMode="External"/><Relationship Id="rId613" Type="http://schemas.openxmlformats.org/officeDocument/2006/relationships/hyperlink" Target="file:///C:\Users\Eddri\AppData\Roaming\Microsoft\PT.%20Pacific%20Palmindo%20Industri\DO%20INV\PT.%20PPI%20DO%201418%20(PO%20%204714046496)%2001.xlsm" TargetMode="External"/><Relationship Id="rId697" Type="http://schemas.openxmlformats.org/officeDocument/2006/relationships/hyperlink" Target="file:///C:\Users\Eddri\AppData\Roaming\Microsoft\PT.%20SJIO%20DUMAI\DO%20INV\PT.%20SJIO%20DO%201482%20(PO%20%20940)%2001%20-%20PARTIAL%20-%20N1.xlsm" TargetMode="External"/><Relationship Id="rId820" Type="http://schemas.openxmlformats.org/officeDocument/2006/relationships/hyperlink" Target="file:///C:\Users\Eddri\AppData\Roaming\Microsoft\PT.%20SJIO%20DUMAI\DO%20INV\PT.%20SJIO%20DO%201588%20(PO%20%20SJIO%20BOILER%20PO%202511%201494)%20REV%201%2001%20-%20OFFICIAL.xlsm" TargetMode="External"/><Relationship Id="rId918" Type="http://schemas.openxmlformats.org/officeDocument/2006/relationships/hyperlink" Target="file:///C:\Users\Eddri\AppData\Roaming\Microsoft\Excel\PT.%20SJIO%20DUMAI\DO%20INV\PT.%20SJIO%20DO%201681%20(PO%20%20SJIO%20REF%20PO%202509%201085)%2001.xlsm" TargetMode="External"/><Relationship Id="rId252" Type="http://schemas.openxmlformats.org/officeDocument/2006/relationships/hyperlink" Target="file:///C:\Users\Eddri\AppData\Roaming\Microsoft\PT.%20SJIO%20DUMAI\DO%20INV\%20DO%201066%20(PO%20%20)%2007.xlsm" TargetMode="External"/><Relationship Id="rId47" Type="http://schemas.openxmlformats.org/officeDocument/2006/relationships/hyperlink" Target="http://../PT.%20Agro%20Murni/DO%20INV/PT.%20AGRO%20M%20DO%20841%20(PO%20%2024%2000503)%20N6&amp;8.xlsm" TargetMode="External"/><Relationship Id="rId112" Type="http://schemas.openxmlformats.org/officeDocument/2006/relationships/hyperlink" Target="file:///C:\Users\Eddri\AppData\Roaming\Microsoft\PT.%20Pacific%20Palmindo%20Industri\DO%20INV\PT.%20PPI%20DO%20929%20(PO%20%204714043236)%2001.xlsm" TargetMode="External"/><Relationship Id="rId557" Type="http://schemas.openxmlformats.org/officeDocument/2006/relationships/hyperlink" Target="file:///C:\Users\Eddri\AppData\Roaming\Microsoft\PT.%20KIP\DO%20INV\PT.%20KIP%20DO%201369%20(PO%20%2025%2000321)%2001.xlsm" TargetMode="External"/><Relationship Id="rId764" Type="http://schemas.openxmlformats.org/officeDocument/2006/relationships/hyperlink" Target="file:///C:\Users\Eddri\AppData\Roaming\Microsoft\PT.%20Agro%20Raya%20Mas\DO%20INV\PT.%20ARM%20DO%201544%20(PO%20%2025%2000005)%2007.xlsm" TargetMode="External"/><Relationship Id="rId971" Type="http://schemas.openxmlformats.org/officeDocument/2006/relationships/hyperlink" Target="file:///C:\Users\Eddri\AppData\Roaming\Microsoft\Excel\PT.%20SJIO%20DUMAI\DO%20INV\%20DO%201728%20(PO%20%20)%2001%20-%20PARTIAL%20COMPLETED%20-%20N1,3,4.xlsm" TargetMode="External"/><Relationship Id="rId196" Type="http://schemas.openxmlformats.org/officeDocument/2006/relationships/hyperlink" Target="file:///C:\Users\Eddri\AppData\Roaming\Microsoft\PT.%20Pacific%20Palmindo%20Industri\DO%20INV\PT.%20PPI%20DO%201014%20(PO%20%204714044501)%20REV%201%20N1-4,8.xlsm" TargetMode="External"/><Relationship Id="rId417" Type="http://schemas.openxmlformats.org/officeDocument/2006/relationships/hyperlink" Target="file:///C:\Users\Eddri\AppData\Roaming\Microsoft\PT.%20Simpang%20Kanan%20Lestarindo\DO%20INV\PT.%20SKL%20DO%201223%20(PO%20%2025%2000219)%20.xlsm" TargetMode="External"/><Relationship Id="rId624" Type="http://schemas.openxmlformats.org/officeDocument/2006/relationships/hyperlink" Target="file:///C:\Users\Eddri\AppData\Roaming\Microsoft\PT.%20Agro%20Raya%20Mas\DO%20INV\PT.%20ARM%20DO%201424%20(PO%20%2025901096)%2007%20-%20N1%20(-7PCS,%20TOTAL%2010PCS),%20N2,N4.xlsm" TargetMode="External"/><Relationship Id="rId831" Type="http://schemas.openxmlformats.org/officeDocument/2006/relationships/hyperlink" Target="file:///C:\Users\Eddri\AppData\Roaming\Microsoft\PT.%20Agro%20Murni\DO%20INV\PT.%20AGRO%20M%20DO%201600%20(PO%20%2025%2001052)%2007%20-%20PARTIAL%20-%20N2,3,4.xlsm" TargetMode="External"/><Relationship Id="rId1047" Type="http://schemas.openxmlformats.org/officeDocument/2006/relationships/hyperlink" Target="../PT.%20Agro%20Raya%20Mas/DO%20INV/PT.%20ARM%20DO%201792%20(PO%20%2026%2000228)%2007%20-%20PARTIAL%20-%20N1,2,3,4,7,8.xlsm" TargetMode="External"/><Relationship Id="rId263" Type="http://schemas.openxmlformats.org/officeDocument/2006/relationships/hyperlink" Target="file:///C:\Users\Eddri\AppData\Roaming\Microsoft\PT.%20Able%20Commodities%20Indonesia\DO%20INV\PT.%20ABLE%20DO%201076%20(PO%20%2025900080)%2001%20-%20%20ITEM%20N1.xlsm" TargetMode="External"/><Relationship Id="rId470" Type="http://schemas.openxmlformats.org/officeDocument/2006/relationships/hyperlink" Target="file:///C:\Users\Eddri\AppData\Roaming\Microsoft\PT.%20Able%20Commodities%20Indonesia\DO%20INV\PT.%20ABLE%20DO%201269%20(PO%20%2025900630)%2007.xlsm" TargetMode="External"/><Relationship Id="rId929" Type="http://schemas.openxmlformats.org/officeDocument/2006/relationships/hyperlink" Target="file:///C:\Users\Eddri\AppData\Roaming\Microsoft\Excel\PT.%20Agro%20Murni\DO%20INV\PT.%20AGRO%20M%20DO%201691%20(PO%20%2026%2000016)%2001.xlsm" TargetMode="External"/><Relationship Id="rId58" Type="http://schemas.openxmlformats.org/officeDocument/2006/relationships/hyperlink" Target="http://../PT.%20Able%20Commodities%20Indonesia/DO%20INV/PT.%20ABLE%20DO%20852%20(PO%20%2024900546)%20.xlsm" TargetMode="External"/><Relationship Id="rId123" Type="http://schemas.openxmlformats.org/officeDocument/2006/relationships/hyperlink" Target="file:///C:\Users\Eddri\AppData\Roaming\Microsoft\PT.%20Pacific%20Palmindo%20Industri\DO%20INV\PT.%20PPI%20DO%20941%20(PO%20%204714043340)%2007.xlsm" TargetMode="External"/><Relationship Id="rId330" Type="http://schemas.openxmlformats.org/officeDocument/2006/relationships/hyperlink" Target="file:///C:\Users\Eddri\AppData\Roaming\Microsoft\Excel\%20DO%201146%20(PO%20%20)%2007.xlsm" TargetMode="External"/><Relationship Id="rId568" Type="http://schemas.openxmlformats.org/officeDocument/2006/relationships/hyperlink" Target="file:///C:\Users\Eddri\AppData\Roaming\Microsoft\PT.%20Agro%20Raya%20Mas\DO%20INV\PT.%20ARM%20DO%201378%20(PO%20%2025900995)%2007%20-%20PARTIAL%20-%20N3,N4(-2PCS).xlsm" TargetMode="External"/><Relationship Id="rId775" Type="http://schemas.openxmlformats.org/officeDocument/2006/relationships/hyperlink" Target="file:///C:\Users\Eddri\AppData\Roaming\Microsoft\PT.%20Agro%20Murni\DO%20INV\PT.%20AGRO%20M%20DO%201555%20(PO%20%2025%2000936)%2007.xlsm" TargetMode="External"/><Relationship Id="rId982" Type="http://schemas.openxmlformats.org/officeDocument/2006/relationships/hyperlink" Target="file:///C:\Users\Eddri\AppData\Roaming\Microsoft\Excel\PT.%20Agro%20Murni\DO%20INV\PT.%20AGRO%20M%20DO%201738%20(PO%20%2026%2000229)%2001.xlsm" TargetMode="External"/><Relationship Id="rId428" Type="http://schemas.openxmlformats.org/officeDocument/2006/relationships/hyperlink" Target="file:///C:\Users\Eddri\AppData\Roaming\Microsoft\PT.%20Agro%20Murni\DO%20INV\PT.%20AGRO%20M%20DO%201233%20(PO%20%2025%2000345)%2007%20PARTIAL%20N1,14.xlsm" TargetMode="External"/><Relationship Id="rId635" Type="http://schemas.openxmlformats.org/officeDocument/2006/relationships/hyperlink" Target="file:///C:\Users\Eddri\AppData\Roaming\Microsoft\Excel\%20DO%201432%20(PO%20%20)%2001.xlsm" TargetMode="External"/><Relationship Id="rId842" Type="http://schemas.openxmlformats.org/officeDocument/2006/relationships/hyperlink" Target="file:///C:\Users\Eddri\AppData\Roaming\Microsoft\PT.%20Pacific%20Palmindo%20Industri\DO%20INV\%20DO%201611%20(PO%20%20)%2007.xlsm" TargetMode="External"/><Relationship Id="rId274" Type="http://schemas.openxmlformats.org/officeDocument/2006/relationships/hyperlink" Target="file:///C:\Users\Eddri\AppData\Roaming\Microsoft\PT.%20Able%20Commodities%20Indonesia\DO%20INV\PT.%20ABLE%20DO%201098%20(PO%20%2025900113)%2001%20N6.xlsm" TargetMode="External"/><Relationship Id="rId481" Type="http://schemas.openxmlformats.org/officeDocument/2006/relationships/hyperlink" Target="file:///C:\Users\Eddri\AppData\Roaming\Microsoft\PT.%20Simpang%20Kanan%20Lestarindo\DO%20INV\PT.%20SKL%20DO%201277%20(PO%20%2025%2000331)%2001.xlsm" TargetMode="External"/><Relationship Id="rId702" Type="http://schemas.openxmlformats.org/officeDocument/2006/relationships/hyperlink" Target="file:///C:\Users\Eddri\AppData\Roaming\Microsoft\PT.%20SJIO%20DUMAI\DO%20INV\PT.%20SJIO%20DO%201487%20(PO%20%20SJIO%20TANK%20PO%202508%200924)%2001%20-%20PARTIAL%20-%20N1,3,4,5,7,8,,9,10.xlsm" TargetMode="External"/><Relationship Id="rId69" Type="http://schemas.openxmlformats.org/officeDocument/2006/relationships/hyperlink" Target="http://../PT.%20Agro%20Murni/DO%20INV/PT.%20AGRO%20M%20DO%20863%20(PO%20%2024%2000539)%20.xlsm" TargetMode="External"/><Relationship Id="rId134" Type="http://schemas.openxmlformats.org/officeDocument/2006/relationships/hyperlink" Target="file:///C:\Users\Eddri\AppData\Roaming\Microsoft\PT.%20Pacific%20Palmindo%20Industri\DO%20INV\PT.%20PPI%20DO%20952%20(PO%20%204714043657)%2001.xlsm" TargetMode="External"/><Relationship Id="rId579" Type="http://schemas.openxmlformats.org/officeDocument/2006/relationships/hyperlink" Target="file:///C:\Users\Eddri\AppData\Roaming\Microsoft\PT.%20Agro%20Raya%20Mas\DO%20INV\PT.%20ARM%20DO%201389%20(PO%20%2025901058)%2001.xlsm" TargetMode="External"/><Relationship Id="rId786" Type="http://schemas.openxmlformats.org/officeDocument/2006/relationships/hyperlink" Target="file:///C:\Users\Eddri\AppData\Roaming\Microsoft\PT.%20SJIO%20DUMAI\DO%20INV\PT.%20SJIO%20DO%201562%20(PO%20%20SJIO%20BOILER%20PO%202510%201320)%2001%20-%20PARTIAL%20-%20N1,2,3,4,5,6.xlsm" TargetMode="External"/><Relationship Id="rId993" Type="http://schemas.openxmlformats.org/officeDocument/2006/relationships/hyperlink" Target="file:///C:\Users\Eddri\AppData\Roaming\Microsoft\Excel\PT.%20PALUTA%20INTI%20SAWIT\DO%20INV\PT.%20PIS%20DO%201749%20(PO%20%2026%2000131)%2001.xlsm" TargetMode="External"/><Relationship Id="rId341" Type="http://schemas.openxmlformats.org/officeDocument/2006/relationships/hyperlink" Target="file:///C:\Users\Eddri\AppData\Roaming\Microsoft\PT.%20KIP\DO%20INV\PT.%20KIP%20DO%201157%20(PO%20%2025%2000118)%2001.xlsm" TargetMode="External"/><Relationship Id="rId439" Type="http://schemas.openxmlformats.org/officeDocument/2006/relationships/hyperlink" Target="file:///C:\Users\Eddri\AppData\Roaming\Microsoft\PT.%20SJIO%20DUMAI\DO%20INV\PT.%20SJIO%20DO%201241%20(PO%20%20256)%2001.xlsm" TargetMode="External"/><Relationship Id="rId646" Type="http://schemas.openxmlformats.org/officeDocument/2006/relationships/hyperlink" Target="file:///C:\Users\Eddri\AppData\Roaming\Microsoft\PT.%20Agro%20Raya%20Mas\DO%20INV\PT.%20ARM%20DO%201439%20(PO%20%20%20)%2001%20-%20SEMENTARA%20-%20URGENT.xlsm" TargetMode="External"/><Relationship Id="rId201" Type="http://schemas.openxmlformats.org/officeDocument/2006/relationships/hyperlink" Target="file:///C:\Users\Eddri\AppData\Roaming\Microsoft\PT.%20SJIO%20DUMAI\DO%20INV\PT.%20SJIO%20DO%201018%20(PO%20%20368)%2001%20N1.xlsm" TargetMode="External"/><Relationship Id="rId285" Type="http://schemas.openxmlformats.org/officeDocument/2006/relationships/hyperlink" Target="file:///C:\Users\Eddri\AppData\Roaming\Microsoft\PT.%20SJIO%20DUMAI\DO%20INV\PT.%20SJIO%20DO%201089%20(PO%20%20085)%2001.xlsm" TargetMode="External"/><Relationship Id="rId506" Type="http://schemas.openxmlformats.org/officeDocument/2006/relationships/hyperlink" Target="file:///C:\Users\Eddri\AppData\Roaming\Microsoft\Excel\%20DO%201326%20(PO%20%20)%2007.xlsm" TargetMode="External"/><Relationship Id="rId853" Type="http://schemas.openxmlformats.org/officeDocument/2006/relationships/hyperlink" Target="file:///C:\Users\Eddri\AppData\Roaming\Microsoft\PT.%20Agro%20Raya%20Mas\DO%20INV\PT.%20ARM%20DO%201621%20(PO%20%2025%2000231)%2001.xlsm" TargetMode="External"/><Relationship Id="rId492" Type="http://schemas.openxmlformats.org/officeDocument/2006/relationships/hyperlink" Target="file:///C:\Users\Eddri\AppData\Roaming\Microsoft\PT.%20KIP\DO%20INV\PT.%20KIP%20DO%201288%20(PO%20%2025%2000282)%2001.xlsm" TargetMode="External"/><Relationship Id="rId713" Type="http://schemas.openxmlformats.org/officeDocument/2006/relationships/hyperlink" Target="file:///C:\Users\Eddri\AppData\Roaming\Microsoft\PT.%20Agro%20Murni\DO%20INV\PT.%20AGRO%20M%20DO%201498%20(PO%20%2025%2000362)%2001%20-%20PARTIAL%20-%20N5,7,9,11(-7PCS),14,17,19,21,23.xlsm" TargetMode="External"/><Relationship Id="rId797" Type="http://schemas.openxmlformats.org/officeDocument/2006/relationships/hyperlink" Target="file:///C:\Users\Eddri\AppData\Roaming\Microsoft\PT.%20SJIO%20DUMAI\DO%20INV\PT.%20SJIO%20DO%201576%20(PO%20%20%20)%20SEMENTARA.xlsm" TargetMode="External"/><Relationship Id="rId920" Type="http://schemas.openxmlformats.org/officeDocument/2006/relationships/hyperlink" Target="file:///C:\Users\Eddri\AppData\Roaming\Microsoft\Excel\PT.%20PALUTA%20INTI%20SAWIT\DO%20INV\PT.%20PIS%20DO%201683%20(PO%20%2026%2000009)%2001.xlsm" TargetMode="External"/><Relationship Id="rId145" Type="http://schemas.openxmlformats.org/officeDocument/2006/relationships/hyperlink" Target="file:///C:\Users\Eddri\AppData\Roaming\Microsoft\PT.%20RAILINK%20CABANG%20MEDAN\DO%20INV\PT.%20RAILINK%20CABANG%20MEDAN%20DO%20963%20(PO%20%20%20)%20.xlsm" TargetMode="External"/><Relationship Id="rId352" Type="http://schemas.openxmlformats.org/officeDocument/2006/relationships/hyperlink" Target="file:///C:\Users\Eddri\AppData\Roaming\Microsoft\PT.%20Able%20Commodities%20Indonesia\DO%20INV\PT.%20ABLE%20DO%201166%20(PO%20%2025900362)%2007.xlsm" TargetMode="External"/><Relationship Id="rId212" Type="http://schemas.openxmlformats.org/officeDocument/2006/relationships/hyperlink" Target="file:///C:\Users\Eddri\AppData\Roaming\Microsoft\PT.%20SJIO%20DUMAI\DO%20INV\PT.%20SJIO%20DO%201028%20(PO%20%20372)%2001.xlsm" TargetMode="External"/><Relationship Id="rId657" Type="http://schemas.openxmlformats.org/officeDocument/2006/relationships/hyperlink" Target="file:///C:\Users\Eddri\AppData\Roaming\Microsoft\PT.%20KIP\DO%20INV\PT.%20KIP%20DO%201449%20(PO%20%2025%2000298)%2001.xlsm" TargetMode="External"/><Relationship Id="rId864" Type="http://schemas.openxmlformats.org/officeDocument/2006/relationships/hyperlink" Target="file:///C:\Users\Eddri\AppData\Roaming\Microsoft\PT.%20Agro%20Murni\DO%20INV\PT.%20AGRO%20M%20DO%201625%20(PO%20%2025%2001141)%2007%20-%20PARTIAL%20-%20N1,2,3,4.xlsm" TargetMode="External"/><Relationship Id="rId296" Type="http://schemas.openxmlformats.org/officeDocument/2006/relationships/hyperlink" Target="file:///C:\Users\Eddri\AppData\Roaming\Microsoft\PT.%20Agro%20Murni\DO%20INV\PT.%20AGRO%20M%20DO%201112%20(PO%20%2025%2000125)%2007.xlsm" TargetMode="External"/><Relationship Id="rId517" Type="http://schemas.openxmlformats.org/officeDocument/2006/relationships/hyperlink" Target="file:///C:\Users\Eddri\AppData\Roaming\Microsoft\Excel\%20DO%201335%20(PO%20%20)%20'07%20COMPLETE%20N1.xlsm" TargetMode="External"/><Relationship Id="rId724" Type="http://schemas.openxmlformats.org/officeDocument/2006/relationships/hyperlink" Target="file:///C:\Users\Eddri\AppData\Roaming\Microsoft\PT.%20SJIO%20DUMAI\DO%20INV\PT.%20SJIO%20DO%201503%20(PO%20%20%20SJIO%20REF%20PO%202509%201031)%20REV%201%2001%20-%20PARTIAL%20-%20N5,7,8,10,12,13,15,16.xlsm" TargetMode="External"/><Relationship Id="rId931" Type="http://schemas.openxmlformats.org/officeDocument/2006/relationships/hyperlink" Target="file:///C:\Users\Eddri\AppData\Roaming\Microsoft\Excel\PT.%20SJIO%20DUMAI\DO%20INV\PT.%20SJIO%20DO%201693%20(PO%20%20DO%20SEMENTARA)%2001%20-%20DO%20SEMENTARA.xlsm" TargetMode="External"/><Relationship Id="rId60" Type="http://schemas.openxmlformats.org/officeDocument/2006/relationships/hyperlink" Target="http://../PT.%20Able%20Commodities%20Indonesia/DO%20INV/PT.%20ABLE%20DO%20854%20(PO%20%2024900604)%20.xlsm" TargetMode="External"/><Relationship Id="rId156" Type="http://schemas.openxmlformats.org/officeDocument/2006/relationships/hyperlink" Target="file:///C:\Users\Eddri\AppData\Roaming\Microsoft\PT.%20SJIO%20DUMAI\DO%20INV\PT.%20SJIO%20DO%20975%20(PO%20%20068)%20.xlsm" TargetMode="External"/><Relationship Id="rId363" Type="http://schemas.openxmlformats.org/officeDocument/2006/relationships/hyperlink" Target="file:///C:\Users\Eddri\AppData\Roaming\Microsoft\PT.%20Able%20Commodities%20Indonesia\DO%20INV\PT.%20ABLE%20DO%201177%20(PO%20%2025900262)%2007%20N11%201PCS.xlsm" TargetMode="External"/><Relationship Id="rId570" Type="http://schemas.openxmlformats.org/officeDocument/2006/relationships/hyperlink" Target="file:///C:\Users\Eddri\AppData\Roaming\Microsoft\PT.%20Simpang%20Kanan%20Lestarindo\DO%20INV\PT.%20SKL%20DO%201380%20(PO%20%2025%2000402)%2001.xlsm" TargetMode="External"/><Relationship Id="rId1007" Type="http://schemas.openxmlformats.org/officeDocument/2006/relationships/hyperlink" Target="../PT.%20Agro%20Murni/DO%20INV/%20DO%201758%20(PO%20%20)%20.xlsm" TargetMode="External"/><Relationship Id="rId223" Type="http://schemas.openxmlformats.org/officeDocument/2006/relationships/hyperlink" Target="file:///C:\Users\Eddri\AppData\Roaming\Microsoft\Excel\%20DO%201038%20(PO%20%20)%2007.xlsm" TargetMode="External"/><Relationship Id="rId430" Type="http://schemas.openxmlformats.org/officeDocument/2006/relationships/hyperlink" Target="file:///C:\Users\Eddri\AppData\Roaming\Microsoft\PT.%20Agro%20Murni\DO%20INV\PT.%20AGRO%20M%20DO%201235%20(PO%20%2025%2000345)%2007%20PARTIAL%20N2,6,7,8,11,15,19,23,25,28,30,31.xlsm" TargetMode="External"/><Relationship Id="rId668" Type="http://schemas.openxmlformats.org/officeDocument/2006/relationships/hyperlink" Target="file:///C:\Users\Eddri\AppData\Roaming\Microsoft\PT.%20SJIO%20DUMAI\DO%20INV\PT.%20SJIO%20DO%201457%20(PO%20%20ISI)%20DO%20UNTUK%20EKSPEDISI.xlsm" TargetMode="External"/><Relationship Id="rId875" Type="http://schemas.openxmlformats.org/officeDocument/2006/relationships/hyperlink" Target="file:///C:\Users\Eddri\AppData\Roaming\Microsoft\Excel\PT.%20Agro%20Raya%20Mas\DO%20INV\PT.%20ARM%20DO%201642%20(PO%20%2025%2000252)%2001.xlsm" TargetMode="External"/><Relationship Id="rId18" Type="http://schemas.openxmlformats.org/officeDocument/2006/relationships/hyperlink" Target="about:blank" TargetMode="External"/><Relationship Id="rId528" Type="http://schemas.openxmlformats.org/officeDocument/2006/relationships/hyperlink" Target="file:///C:\Users\Eddri\AppData\Roaming\Microsoft\PT.%20Agro%20Murni\DO%20INV\PT.%20AGRO%20M%20DO%201345%20(PO%20%2025%2000493)%2007.xlsm" TargetMode="External"/><Relationship Id="rId735" Type="http://schemas.openxmlformats.org/officeDocument/2006/relationships/hyperlink" Target="file:///C:\Users\Eddri\AppData\Roaming\Microsoft\PT.%20Agro%20Raya%20Mas\DO%20INV\PT.%20ARM%20DO%201518%20(PO%20%2025901398)%2001.xlsm" TargetMode="External"/><Relationship Id="rId942" Type="http://schemas.openxmlformats.org/officeDocument/2006/relationships/hyperlink" Target="file:///C:\Users\Eddri\AppData\Roaming\Microsoft\Excel\PT.%20Agro%20Raya%20Mas\DO%20INV\PT.%20ARM%20DO%201703%20(PO%20%2026%2000084)%2001%20-%20PARTIAL%20-%20N1%20(1%20UNIT%20FROM%202%20UNIT).xlsm" TargetMode="External"/><Relationship Id="rId167" Type="http://schemas.openxmlformats.org/officeDocument/2006/relationships/hyperlink" Target="file:///C:\Users\Eddri\AppData\Roaming\Microsoft\PT.%20SJIO%20DUMAI\DO%20INV\PT.%20SJIO%20DO%20985%20(PO%20%20074)%2001.xlsm" TargetMode="External"/><Relationship Id="rId374" Type="http://schemas.openxmlformats.org/officeDocument/2006/relationships/hyperlink" Target="file:///C:\Users\Eddri\AppData\Roaming\Microsoft\PT.%20Simpang%20Kanan%20Lestarindo\DO%20INV\PT.%20SKL%20DO%201187%20(PO%20%2025%2000173)%2001.xlsm" TargetMode="External"/><Relationship Id="rId581" Type="http://schemas.openxmlformats.org/officeDocument/2006/relationships/hyperlink" Target="file:///C:\Users\Eddri\AppData\Roaming\Microsoft\PT.%20Agro%20Raya%20Mas\DO%20INV\%20DO%201391%20(PO%20%20)%2001%20-%20PENGGANTI%20ITEM%20SALAH.xlsm" TargetMode="External"/><Relationship Id="rId1018" Type="http://schemas.openxmlformats.org/officeDocument/2006/relationships/hyperlink" Target="../PT.%20KIP/DO%20INV/PT.%20KIP%20DO%201767%20(PO%20%2026%2000162)%2001%20-%20PARTIAL%20-%20N2.xlsm" TargetMode="External"/><Relationship Id="rId71" Type="http://schemas.openxmlformats.org/officeDocument/2006/relationships/hyperlink" Target="http://../PT.%20Agro%20Murni/DO%20INV/PT.%20AGRO%20M%20DO%20865%20(PO%20%2024%2000577)%20N5-8%2007.xlsm" TargetMode="External"/><Relationship Id="rId234" Type="http://schemas.openxmlformats.org/officeDocument/2006/relationships/hyperlink" Target="file:///C:\Users\Eddri\AppData\Roaming\Microsoft\PT.%20Pacific%20Palmindo%20Industri\DO%20INV\PT.%20PPI%20DO%201048%20(PO%20%204714044692)%2001%20N1,3,4.xlsm" TargetMode="External"/><Relationship Id="rId679" Type="http://schemas.openxmlformats.org/officeDocument/2006/relationships/hyperlink" Target="file:///C:\Users\Eddri\AppData\Roaming\Microsoft\PT.%20KIP\DO%20INV\PT.%20KIP%20DO%201465%20(PO%20%2025%2000375)%2001.xlsm" TargetMode="External"/><Relationship Id="rId802" Type="http://schemas.openxmlformats.org/officeDocument/2006/relationships/hyperlink" Target="file:///C:\Users\Eddri\AppData\Roaming\Microsoft\PT.%20SJIO%20DUMAI\DO%20INV\PT.%20SJIO%20DO%201575%20(PO%20%20SJIO%20PROJ%20PO%202510%201191)%2001%20-%20PARTIAL%20-%20N1.xlsm" TargetMode="External"/><Relationship Id="rId886" Type="http://schemas.openxmlformats.org/officeDocument/2006/relationships/hyperlink" Target="file:///C:\Users\Eddri\AppData\Roaming\Microsoft\Excel\PT.%20Agro%20Raya%20Mas\DO%20INV\PT.%20ARM%20DO%201651%20(PO%20%2026%2000022)%2001.xlsm" TargetMode="External"/><Relationship Id="rId2" Type="http://schemas.openxmlformats.org/officeDocument/2006/relationships/hyperlink" Target="about:blank" TargetMode="External"/><Relationship Id="rId29" Type="http://schemas.openxmlformats.org/officeDocument/2006/relationships/hyperlink" Target="http://../PT.%20Simpang%20Kanan%20Lestarindo/DO%20INV/PT.%20SKL%20DO%20824%20(PO%20%2024%2000461)%20.xlsm" TargetMode="External"/><Relationship Id="rId441" Type="http://schemas.openxmlformats.org/officeDocument/2006/relationships/hyperlink" Target="file:///C:\Users\Eddri\AppData\Roaming\Microsoft\Excel\%20DO%201243%20(PO%20%20)%2007.xlsm" TargetMode="External"/><Relationship Id="rId539" Type="http://schemas.openxmlformats.org/officeDocument/2006/relationships/hyperlink" Target="file:///C:\Users\Eddri\AppData\Roaming\Microsoft\GROUP%20Apical%20Group\PT.%20Sari%20Dumai%20Sejati\DO%20INV\PT.%20SDS%20DO%201354%20(PO%20%204500417910)%2007.xlsm" TargetMode="External"/><Relationship Id="rId746" Type="http://schemas.openxmlformats.org/officeDocument/2006/relationships/hyperlink" Target="file:///C:\Users\Eddri\AppData\Roaming\Microsoft\Excel\%20DO%201528%20(PO%20%20)%2007.xlsm" TargetMode="External"/><Relationship Id="rId178" Type="http://schemas.openxmlformats.org/officeDocument/2006/relationships/hyperlink" Target="file:///C:\Users\Eddri\AppData\Roaming\Microsoft\PT.%20SJIO%20DUMAI\DO%20INV\PT.%20SJIO%20DO%20995%20(PO%20%20074)%2001.xlsm" TargetMode="External"/><Relationship Id="rId301" Type="http://schemas.openxmlformats.org/officeDocument/2006/relationships/hyperlink" Target="file:///C:\Users\Eddri\AppData\Roaming\Microsoft\PT.%20Pacific%20Palmindo%20Industri\DO%20INV\PT.%20PPI%20DO%201118%20(PO%20%204714045030)%2001.xlsm" TargetMode="External"/><Relationship Id="rId953" Type="http://schemas.openxmlformats.org/officeDocument/2006/relationships/hyperlink" Target="file:///C:\Users\Eddri\AppData\Roaming\Microsoft\Excel\PT.%20KIP\DO%20INV\PT.%20KIP%20DO%201643%20(PO%20%2026%2000070)%20REV%201%20PO%20PIS,%20PENGIRIMAN%20KIP.xlsm" TargetMode="External"/><Relationship Id="rId1029" Type="http://schemas.openxmlformats.org/officeDocument/2006/relationships/hyperlink" Target="../PT.%20SJIO%20DUMAI/DO%20INV/PT.%20SJIO%20DO%201779%20(PO%20%20SJIO%20REF%20PO%202602%200209)%2001%20-%20PARTIAL%20COMPLETED%20-%20N3,4.xlsm" TargetMode="External"/><Relationship Id="rId82" Type="http://schemas.openxmlformats.org/officeDocument/2006/relationships/hyperlink" Target="file:///C:\Users\Eddri\AppData\Roaming\Microsoft\PT.%20KIP\DO%20INV\PT.%20KIP%20DO%20900%20(PO%20%2024%2000514)%20.xlsm" TargetMode="External"/><Relationship Id="rId385" Type="http://schemas.openxmlformats.org/officeDocument/2006/relationships/hyperlink" Target="file:///C:\Users\Eddri\AppData\Roaming\Microsoft\PT.%20Simpang%20Kanan%20Lestarindo\DO%20INV\PT.%20SKL%20DO%201197%20(PO%20%2025%2000180)%2001.xlsm" TargetMode="External"/><Relationship Id="rId592" Type="http://schemas.openxmlformats.org/officeDocument/2006/relationships/hyperlink" Target="file:///C:\Users\Eddri\AppData\Roaming\Microsoft\PT.%20Agro%20Raya%20Mas\DO%20INV\PT.%20ARM%20DO%201399%20(PO%20%2025900787)%2007%20-%20PARTIAL%20COMPLETE%20-%20N2.xlsm" TargetMode="External"/><Relationship Id="rId606" Type="http://schemas.openxmlformats.org/officeDocument/2006/relationships/hyperlink" Target="file:///C:\Users\Eddri\AppData\Roaming\Microsoft\PT.%20Agro%20Raya%20Mas\DO%20INV\PT.%20ARM%20DO%201412%20(PO%20%20%20)%2001.xlsm" TargetMode="External"/><Relationship Id="rId813" Type="http://schemas.openxmlformats.org/officeDocument/2006/relationships/hyperlink" Target="file:///C:\Users\Eddri\AppData\Roaming\Microsoft\PT.%20Agro%20Raya%20Mas\DO%20INV\PT.%20ARM%20DO%201586%20(PO%20%2025%2000137)%2007.xlsm" TargetMode="External"/><Relationship Id="rId245" Type="http://schemas.openxmlformats.org/officeDocument/2006/relationships/hyperlink" Target="file:///C:\Users\Eddri\AppData\Roaming\Microsoft\PT.%20Agro%20Murni\DO%20INV\PT.%20AGRO%20M%20DO%201059%20(PO%20%2024%2001359)%2007%20N1-3.xlsm" TargetMode="External"/><Relationship Id="rId452" Type="http://schemas.openxmlformats.org/officeDocument/2006/relationships/hyperlink" Target="file:///C:\Users\Eddri\AppData\Roaming\Microsoft\PT.%20KIP\DO%20INV\PT.%20KIP%20DO%201254%20(PO%20%2025%2000207)%2001.xlsm" TargetMode="External"/><Relationship Id="rId897" Type="http://schemas.openxmlformats.org/officeDocument/2006/relationships/hyperlink" Target="file:///C:\Users\Eddri\AppData\Roaming\Microsoft\Excel\PT.%20Agro%20Raya%20Mas\DO%20INV\PT.%20ARM%20DO%201662%20(PO%20%2026%2000027)%2001%20-%20PARTIAL%20-%20N4.xlsm" TargetMode="External"/><Relationship Id="rId105" Type="http://schemas.openxmlformats.org/officeDocument/2006/relationships/hyperlink" Target="file:///C:\Users\Eddri\AppData\Roaming\Microsoft\PT.%20Simpang%20Kanan%20Lestarindo\DO%20INV\PT.%20SKL%20DO%20922%20(PO%20%2024%2000625)%20.xlsm" TargetMode="External"/><Relationship Id="rId312" Type="http://schemas.openxmlformats.org/officeDocument/2006/relationships/hyperlink" Target="file:///C:\Users\Eddri\AppData\Roaming\Microsoft\PT.%20Able%20Commodities%20Indonesia\DO%20INV\PT.%20ABLE%20DO%201127%20(PO%20%2025900219)%2007.xlsm" TargetMode="External"/><Relationship Id="rId757" Type="http://schemas.openxmlformats.org/officeDocument/2006/relationships/hyperlink" Target="file:///C:\Users\Eddri\AppData\Roaming\Microsoft\PT.%20Agro%20Raya%20Mas\DO%20INV\PT.%20ARM%20DO%201538%20(PO%20%2025%2000009)%2001.xlsm" TargetMode="External"/><Relationship Id="rId964" Type="http://schemas.openxmlformats.org/officeDocument/2006/relationships/hyperlink" Target="file:///C:\Users\Eddri\AppData\Roaming\Microsoft\Excel\PoS%20Delivery%20Order312396453763307236\%20DO%201719%20(PO%20%20)%2001.xlsm" TargetMode="External"/><Relationship Id="rId93" Type="http://schemas.openxmlformats.org/officeDocument/2006/relationships/hyperlink" Target="file:///C:\Users\Eddri\AppData\Roaming\Microsoft\PT.%20KIP\DO%20INV\PT.%20KIP%20DO%20910%20(PO%20%2024%2000522)%20.xlsm" TargetMode="External"/><Relationship Id="rId189" Type="http://schemas.openxmlformats.org/officeDocument/2006/relationships/hyperlink" Target="file:///C:\Users\Eddri\AppData\Roaming\Microsoft\PT.%20SJIO%20DUMAI\DO%20INV\PT.%20SJIO%20DO%201010%20(PO%20%20050)%2001.xlsm" TargetMode="External"/><Relationship Id="rId396" Type="http://schemas.openxmlformats.org/officeDocument/2006/relationships/hyperlink" Target="file:///C:\Users\Eddri\AppData\Roaming\Microsoft\PT.%20Able%20Commodities%20Indonesia\DO%20INV\PT.%20ABLE%20DO%201208%20(PO%20%2025900486)%2007.xlsm" TargetMode="External"/><Relationship Id="rId617" Type="http://schemas.openxmlformats.org/officeDocument/2006/relationships/hyperlink" Target="file:///C:\Users\Eddri\AppData\Roaming\Microsoft\PT.%20Agro%20Raya%20Mas\DO%20INV\PT.%20ARM%20DO%201422%20(PO%20%20%20)%20DO%20SEMENTARA.xlsm" TargetMode="External"/><Relationship Id="rId824" Type="http://schemas.openxmlformats.org/officeDocument/2006/relationships/hyperlink" Target="file:///C:\Users\Eddri\AppData\Roaming\Microsoft\PT.%20Agro%20Murni\DO%20INV\PT.%20AGRO%20M%20DO%201593%20(PO%20%2025%2001034)%2007%20-%20PARTIAL%20-%20N1,2.xlsm" TargetMode="External"/><Relationship Id="rId256" Type="http://schemas.openxmlformats.org/officeDocument/2006/relationships/hyperlink" Target="file:///C:\Users\Eddri\AppData\Roaming\Microsoft\PT.%20ENERGI%20UNGGUL%20PERSADA\DO%20INV\%20DO%201069%20(PO%20%20)%20SEMENTARA.xlsm" TargetMode="External"/><Relationship Id="rId463" Type="http://schemas.openxmlformats.org/officeDocument/2006/relationships/hyperlink" Target="file:///C:\Users\Eddri\AppData\Roaming\Microsoft\PT.%20KIP\DO%20INV\PT.%20KIP%20DO%201263%20(PO%20%2025%2000251)%2001.xlsm" TargetMode="External"/><Relationship Id="rId670" Type="http://schemas.openxmlformats.org/officeDocument/2006/relationships/hyperlink" Target="file:///C:\Users\Eddri\AppData\Roaming\Microsoft\PT.%20SJIO%20DUMAI\DO%20INV\PT.%20SJIO%20DO%201458%20(PO%20%20940)%2001%20-%20PARTIAL%20-%20N3,4.xlsm" TargetMode="External"/><Relationship Id="rId116" Type="http://schemas.openxmlformats.org/officeDocument/2006/relationships/hyperlink" Target="file:///C:\Users\Eddri\AppData\Roaming\Microsoft\PT.%20KJA\DO%20INV\PT.%20KJA%20DO%20934%20(PO%20%2024000403)%2007.xlsm" TargetMode="External"/><Relationship Id="rId323" Type="http://schemas.openxmlformats.org/officeDocument/2006/relationships/hyperlink" Target="file:///C:\Users\Eddri\AppData\Roaming\Microsoft\PT.%20Able%20Commodities%20Indonesia\DO%20INV\PT.%20ABLE%20DO%201139%20(PO%20%2025900239)%2007.xlsm" TargetMode="External"/><Relationship Id="rId530" Type="http://schemas.openxmlformats.org/officeDocument/2006/relationships/hyperlink" Target="file:///C:\Users\Eddri\AppData\Roaming\Microsoft\GROUP%20Apical%20Group\PT.%20Sari%20Dumai%20Sejati\DO%20INV\PT.%20SDS%20DO%201346%20(PO%20%204500417082)%2007.xlsm" TargetMode="External"/><Relationship Id="rId768" Type="http://schemas.openxmlformats.org/officeDocument/2006/relationships/hyperlink" Target="file:///C:\Users\Eddri\AppData\Roaming\Microsoft\PT.%20Agro%20Raya%20Mas\DO%20INV\PT.%20ARM%20DO%201548%20(PO%20%2025%2000053)%2001.xlsm" TargetMode="External"/><Relationship Id="rId975" Type="http://schemas.openxmlformats.org/officeDocument/2006/relationships/hyperlink" Target="file:///C:\Users\Eddri\AppData\Roaming\Microsoft\Excel\PT.%20Agro%20Raya%20Mas\DO%20INV\PT.%20ARM%20DO%201732%20(PO%20%2026%2000172)%2007%20-%20PARTIAL%20-%20N2,4,5.xlsm" TargetMode="External"/><Relationship Id="rId20" Type="http://schemas.openxmlformats.org/officeDocument/2006/relationships/hyperlink" Target="about:blank" TargetMode="External"/><Relationship Id="rId628" Type="http://schemas.openxmlformats.org/officeDocument/2006/relationships/hyperlink" Target="file:///C:\Users\Eddri\AppData\Roaming\Microsoft\PT.%20Agro%20Raya%20Mas\DO%20INV\PT.%20ARM%20DO%201423%20(PO%20%2025901127)%2007.xlsm" TargetMode="External"/><Relationship Id="rId835" Type="http://schemas.openxmlformats.org/officeDocument/2006/relationships/hyperlink" Target="file:///C:\Users\Eddri\AppData\Roaming\Microsoft\Excel\%20DO%201604%20(PO%20%20)%2001.xlsm" TargetMode="External"/><Relationship Id="rId267" Type="http://schemas.openxmlformats.org/officeDocument/2006/relationships/hyperlink" Target="file:///C:\Users\Eddri\AppData\Roaming\Microsoft\PT.%20Able%20Commodities%20Indonesia\DO%20INV\PT.%20ABLE%20DO%201079%20(PO%20%2025900075)%2001.xlsm" TargetMode="External"/><Relationship Id="rId474" Type="http://schemas.openxmlformats.org/officeDocument/2006/relationships/hyperlink" Target="file:///C:\Users\Eddri\AppData\Roaming\Microsoft\Excel\%20DO%201271%20(PO%20%20)%2001.xlsm" TargetMode="External"/><Relationship Id="rId1020" Type="http://schemas.openxmlformats.org/officeDocument/2006/relationships/hyperlink" Target="../PT.%20SJIO%20DUMAI/DO%20INV/%20DO%201770%20(PO%20%20)%2001.xlsm" TargetMode="External"/><Relationship Id="rId127" Type="http://schemas.openxmlformats.org/officeDocument/2006/relationships/hyperlink" Target="file:///C:\Users\Eddri\AppData\Roaming\Microsoft\PT.%20Pacific%20Palmindo%20Industri\DO%20INV\PT.%20PPI%20DO%20945%20(PO%20%204714043520)%2007.xlsm" TargetMode="External"/><Relationship Id="rId681" Type="http://schemas.openxmlformats.org/officeDocument/2006/relationships/hyperlink" Target="file:///C:\Users\Eddri\AppData\Roaming\Microsoft\PT.%20Agro%20Raya%20Mas\DO%20INV\PT.%20ARM%20DO%201467%20(PO%20%2025901216)%2001%20-%20PARTIAL%20-%20N2.xlsm" TargetMode="External"/><Relationship Id="rId779" Type="http://schemas.openxmlformats.org/officeDocument/2006/relationships/hyperlink" Target="file:///C:\Users\Eddri\AppData\Roaming\Microsoft\PT.%20SJIO%20DUMAI\DO%20INV\PT.%20SJIO%20DO%201559%20(PO%20%20SJIO%20PROJ%20PO%202510%201345)%2001%20-%20PARTIAL%20-%202,4,5,6,7,10.xlsm" TargetMode="External"/><Relationship Id="rId902" Type="http://schemas.openxmlformats.org/officeDocument/2006/relationships/hyperlink" Target="file:///C:\Users\Eddri\AppData\Roaming\Microsoft\Excel\PT.%20Agro%20Raya%20Mas\DO%20INV\PT.%20ARM%20DO%201667%20(PO%20%2026%2000046)%2001%20-%20PARTIAL%20-%20N1.xlsm" TargetMode="External"/><Relationship Id="rId986" Type="http://schemas.openxmlformats.org/officeDocument/2006/relationships/hyperlink" Target="file:///C:\Users\Eddri\AppData\Roaming\Microsoft\Excel\PT.%20Simpang%20Kanan%20Lestarindo\DO%20INV\PT.%20SKL%20DO%201742%20(PO%20%2026%2000158)%2001.xlsm" TargetMode="External"/><Relationship Id="rId31" Type="http://schemas.openxmlformats.org/officeDocument/2006/relationships/hyperlink" Target="http://../PT.%20Able%20Commodities%20Indonesia/DO%20INV/PT.%20ABLE%20DO%20826%20(PO%20%2024900544)%20N5-8%2007.xlsm" TargetMode="External"/><Relationship Id="rId334" Type="http://schemas.openxmlformats.org/officeDocument/2006/relationships/hyperlink" Target="file:///C:\Users\Eddri\AppData\Roaming\Microsoft\PT.%20Able%20Commodities%20Indonesia\DO%20INV\PT.%20ABLE%20DO%201150%20(PO%20%2025900260)%2007%20N4,5,6.xlsm" TargetMode="External"/><Relationship Id="rId541" Type="http://schemas.openxmlformats.org/officeDocument/2006/relationships/hyperlink" Target="file:///C:\Users\Eddri\AppData\Roaming\Microsoft\PT.%20Agro%20Raya%20Mas\DO%20INV\PT.%20ARM%20DO%201355%20(PO%20%2025900908)%2007%20-%20PARTIAL%20-%20N1.xlsm" TargetMode="External"/><Relationship Id="rId639" Type="http://schemas.openxmlformats.org/officeDocument/2006/relationships/hyperlink" Target="file:///C:\Users\Eddri\AppData\Roaming\Microsoft\PT.%20Agro%20Raya%20Mas\DO%20INV\PT.%20ARM%20DO%201434%20(PO%20%2025901096)%2007%20-%20PATIAL%20COMPLETE%20-%20N1%20(+7SET).xlsm" TargetMode="External"/><Relationship Id="rId180" Type="http://schemas.openxmlformats.org/officeDocument/2006/relationships/hyperlink" Target="file:///C:\Users\Eddri\AppData\Roaming\Microsoft\PT.%20Agro%20Murni\DO%20INV\PT.%20AGRO%20M%20DO%201001%20(PO%20%2024%2000635)%2001.xlsm" TargetMode="External"/><Relationship Id="rId278" Type="http://schemas.openxmlformats.org/officeDocument/2006/relationships/hyperlink" Target="file:///C:\Users\Eddri\AppData\Roaming\Microsoft\PT.%20Able%20Commodities%20Indonesia\DO%20INV\PT.%20ABLE%20DO%201100%20(PO%20%2025900102)%2007.xlsm" TargetMode="External"/><Relationship Id="rId401" Type="http://schemas.openxmlformats.org/officeDocument/2006/relationships/hyperlink" Target="file:///C:\Users\Eddri\AppData\Roaming\Microsoft\PT.%20Agro%20Murni\DO%20INV\PT.%20AGRO%20M%20DO%201211%20(PO%20%2025%2000331)%2001.xlsm" TargetMode="External"/><Relationship Id="rId846" Type="http://schemas.openxmlformats.org/officeDocument/2006/relationships/hyperlink" Target="file:///C:\Users\Eddri\AppData\Roaming\Microsoft\PT.%20Agro%20Murni\DO%20INV\PT.%20AGRO%20M%20DO%201614%20(PO%20%2025%2001092)%2007.xlsm" TargetMode="External"/><Relationship Id="rId1031" Type="http://schemas.openxmlformats.org/officeDocument/2006/relationships/hyperlink" Target="../PT.%20KIP/DO%20INV/PT.%20KIP%20DO%201781%20(PO%20%2026%2000291)%2007.xlsm" TargetMode="External"/><Relationship Id="rId485" Type="http://schemas.openxmlformats.org/officeDocument/2006/relationships/hyperlink" Target="file:///C:\Users\Eddri\AppData\Roaming\Microsoft\GROUP%20Apical%20Group\PT.%20Sari%20Dumai%20Sejati\DO%20INV\PT.%20SDS%20DO%201281%20(PO%20%204500414687)%2007.xlsm" TargetMode="External"/><Relationship Id="rId692" Type="http://schemas.openxmlformats.org/officeDocument/2006/relationships/hyperlink" Target="file:///C:\Users\Eddri\AppData\Roaming\Microsoft\Excel\%20DO%201478%20(PO%20%20)%2007.xlsm" TargetMode="External"/><Relationship Id="rId706" Type="http://schemas.openxmlformats.org/officeDocument/2006/relationships/hyperlink" Target="file:///C:\Users\Eddri\AppData\Roaming\Microsoft\PT.%20SJIO%20DUMAI\DO%20INV\PT.%20SJIO%20DO%201491%20(PO%20%20SJIO%20PROJ%20PO%202509%200996)%2001%20-%20PARTIAL%20-%20N5,8.xlsm" TargetMode="External"/><Relationship Id="rId913" Type="http://schemas.openxmlformats.org/officeDocument/2006/relationships/hyperlink" Target="file:///C:\Users\Eddri\AppData\Roaming\Microsoft\Excel\PT.%20Agro%20Raya%20Mas\DO%20INV\PT.%20ARM%20DO%201676%20(PO%20%2026%2000046)%2001%20-%20PARTIAL%20-%20N2%20(YELLOW).xlsm" TargetMode="External"/><Relationship Id="rId42" Type="http://schemas.openxmlformats.org/officeDocument/2006/relationships/hyperlink" Target="about:blank" TargetMode="External"/><Relationship Id="rId138" Type="http://schemas.openxmlformats.org/officeDocument/2006/relationships/hyperlink" Target="file:///C:\Users\Eddri\AppData\Roaming\Microsoft\PT.%20SWP\DO%20INV\PT.%20SWP%20DO%20957%20(PO%20%204000242869)%2007.xlsm" TargetMode="External"/><Relationship Id="rId345" Type="http://schemas.openxmlformats.org/officeDocument/2006/relationships/hyperlink" Target="file:///C:\Users\Eddri\AppData\Roaming\Microsoft\PT.%20Able%20Commodities%20Indonesia\DO%20INV\PT.%20ABLE%20DO%201161%20(PO%20%2025900314)%2001.xlsm" TargetMode="External"/><Relationship Id="rId552" Type="http://schemas.openxmlformats.org/officeDocument/2006/relationships/hyperlink" Target="file:///C:\Users\Eddri\AppData\Roaming\Microsoft\PT.%20Agro%20Raya%20Mas\DO%20INV\PT.%20ARM%20DO%201365%20(PO%20%2025900955)%2007.xlsm" TargetMode="External"/><Relationship Id="rId997" Type="http://schemas.openxmlformats.org/officeDocument/2006/relationships/hyperlink" Target="file:///C:\Users\Eddri\AppData\Roaming\Microsoft\Excel\PT.%20Agro%20Raya%20Mas\DO%20INV\PT.%20ARM%20DO%201751%20(PO%20%2026%2000220)%2007.xlsm" TargetMode="External"/><Relationship Id="rId191" Type="http://schemas.openxmlformats.org/officeDocument/2006/relationships/hyperlink" Target="file:///C:\Users\Eddri\AppData\Roaming\Microsoft\PT.%20SJIO%20DUMAI\DO%20INV\PT.%20SJIO%20DO%201012%20(PO%20%20%20)%20sementara.xlsm" TargetMode="External"/><Relationship Id="rId205" Type="http://schemas.openxmlformats.org/officeDocument/2006/relationships/hyperlink" Target="file:///C:\Users\Eddri\AppData\Roaming\Microsoft\PT.%20Pacific%20Palmindo%20Industri\DO%20INV\PT.%20PPI%20DO%201021%20(PO%20%204714044531)%2001%20N1-3.xlsm" TargetMode="External"/><Relationship Id="rId412" Type="http://schemas.openxmlformats.org/officeDocument/2006/relationships/hyperlink" Target="file:///C:\Users\Eddri\AppData\Roaming\Microsoft\PT.%20Simpang%20Kanan%20Lestarindo\DO%20INV\PT.%20SKL%20DO%201218%20(PO%20%2025%2000198)%2001.xlsm" TargetMode="External"/><Relationship Id="rId857" Type="http://schemas.openxmlformats.org/officeDocument/2006/relationships/hyperlink" Target="file:///C:\Users\Eddri\AppData\Roaming\Microsoft\PT.%20Agro%20Murni\DO%20INV\PT.%20AGRO%20M%20DO%201625%20(PO%20%2025%2001141)%2007%20-%20PARTIAL%20-%20N1,2,3,4.xlsm" TargetMode="External"/><Relationship Id="rId1042" Type="http://schemas.openxmlformats.org/officeDocument/2006/relationships/hyperlink" Target="../PT.%20Pacific%20Palmindo%20Industri/DO%20INV/PT.%20PPI%20DO%201787%20(PO%20%204714048831)%2001%20-%20PARTIAL%20-%20N2.xlsm" TargetMode="External"/><Relationship Id="rId289" Type="http://schemas.openxmlformats.org/officeDocument/2006/relationships/hyperlink" Target="file:///C:\Users\Eddri\AppData\Roaming\Microsoft\PT.%20Able%20Commodities%20Indonesia\DO%20INV\PT.%20ABLE%20DO%201105%20(PO%20%2025900113)%2007%20N1,N5.xlsm" TargetMode="External"/><Relationship Id="rId496" Type="http://schemas.openxmlformats.org/officeDocument/2006/relationships/hyperlink" Target="file:///C:\Users\Eddri\AppData\Roaming\Microsoft\PT.%20Pacific%20Palmindo%20Industri\DO%20INV\PT.%20PPI%20DO%201272%20(PO%20%204714045796)%20REV%201%2001%20-%20PARTIAL%20-%20N3,4.xlsm" TargetMode="External"/><Relationship Id="rId717" Type="http://schemas.openxmlformats.org/officeDocument/2006/relationships/hyperlink" Target="file:///C:\Users\Eddri\AppData\Roaming\Microsoft\Excel\%20DO%201502%20(PO%20%20)%2001.xlsm" TargetMode="External"/><Relationship Id="rId924" Type="http://schemas.openxmlformats.org/officeDocument/2006/relationships/hyperlink" Target="file:///C:\Users\Eddri\AppData\Roaming\Microsoft\Excel\PT.%20Pacific%20Palmindo%20Industri\DO%20INV\PT.%20PPI%20DO%201686%20(PO%20%204714048403)%2001.xlsm" TargetMode="External"/><Relationship Id="rId53" Type="http://schemas.openxmlformats.org/officeDocument/2006/relationships/hyperlink" Target="about:blank" TargetMode="External"/><Relationship Id="rId149" Type="http://schemas.openxmlformats.org/officeDocument/2006/relationships/hyperlink" Target="file:///C:\Users\Eddri\AppData\Roaming\Microsoft\PT.%20SJIO%20DUMAI\DO%20INV\PT.%20SJIO%20DO%20967%20(PO%20%20316)%2001.xlsm" TargetMode="External"/><Relationship Id="rId356" Type="http://schemas.openxmlformats.org/officeDocument/2006/relationships/hyperlink" Target="file:///C:\Users\Eddri\AppData\Roaming\Microsoft\PT.%20Pacific%20Palmindo%20Industri\DO%20INV\PT.%20PPI%20DO%201170%20(PO%20%204714045191)%2001%20N1,2,4,5,6.xlsm" TargetMode="External"/><Relationship Id="rId563" Type="http://schemas.openxmlformats.org/officeDocument/2006/relationships/hyperlink" Target="file:///C:\Users\Eddri\AppData\Roaming\Microsoft\PT.%20Pacific%20Palmindo%20Industri\DO%20INV\PT.%20PPI%20DO%201373%20(PO%20%204714046496)%2001%20-%20PARTIAL%20-%20N3.xlsm" TargetMode="External"/><Relationship Id="rId770" Type="http://schemas.openxmlformats.org/officeDocument/2006/relationships/hyperlink" Target="file:///C:\Users\Eddri\AppData\Roaming\Microsoft\PT.%20SJIO%20DUMAI\DO%20INV\PT.%20SJIO%20DO%201550%20(PO%20%20SJIO%20TANK%20PO%202508%200924)%2001%20-%20PARTIAL%20COMPLETE%20-%20N6.xlsm" TargetMode="External"/><Relationship Id="rId216" Type="http://schemas.openxmlformats.org/officeDocument/2006/relationships/hyperlink" Target="file:///C:\Users\Eddri\AppData\Roaming\Microsoft\Excel\%20DO%201032%20(PO%20%20)%20.xlsm" TargetMode="External"/><Relationship Id="rId423" Type="http://schemas.openxmlformats.org/officeDocument/2006/relationships/hyperlink" Target="file:///C:\Users\Eddri\AppData\Roaming\Microsoft\PT.%20Simpang%20Kanan%20Lestarindo\DO%20INV\PT.%20SKL%20DO%201228%20(PO%20%2025%2000231)%2001.xlsm" TargetMode="External"/><Relationship Id="rId868" Type="http://schemas.openxmlformats.org/officeDocument/2006/relationships/hyperlink" Target="file:///C:\Users\Eddri\AppData\Roaming\Microsoft\Excel\PT.%20Agro%20Raya%20Mas\DO%20INV\PT.%20ARM%20DO%201635%20(PO%20%2025%2000241)%2007%20-%20PARTIAL%20-%20N1,3.xlsm" TargetMode="External"/><Relationship Id="rId1053" Type="http://schemas.openxmlformats.org/officeDocument/2006/relationships/printerSettings" Target="../printerSettings/printerSettings2.bin"/><Relationship Id="rId630" Type="http://schemas.openxmlformats.org/officeDocument/2006/relationships/hyperlink" Target="file:///C:\Users\Eddri\AppData\Roaming\Microsoft\PT.%20Simpang%20Kanan%20Lestarindo\DO%20INV\PT.%20SKL%20DO%201428%20(PO%20%20%20)%20DO%20SEMENTARA.xlsm" TargetMode="External"/><Relationship Id="rId728" Type="http://schemas.openxmlformats.org/officeDocument/2006/relationships/hyperlink" Target="file:///C:\Users\Eddri\AppData\Roaming\Microsoft\PT.%20SJIO%20DUMAI\DO%20INV\PT.%20SJIO%20DO%201511%20(PO%20%20SJIO%20REF%20PO%202509%201031)%2001%20-%20PARTIAL%20-%20N4.xlsm" TargetMode="External"/><Relationship Id="rId935" Type="http://schemas.openxmlformats.org/officeDocument/2006/relationships/hyperlink" Target="file:///C:\Users\Eddri\AppData\Roaming\Microsoft\Excel\PT.%20Agro%20Raya%20Mas\DO%20INV\PT.%20ARM%20DO%201697%20(PO%20%2026%2000140)%2001.xlsm" TargetMode="External"/><Relationship Id="rId64" Type="http://schemas.openxmlformats.org/officeDocument/2006/relationships/hyperlink" Target="about:blank" TargetMode="External"/><Relationship Id="rId367" Type="http://schemas.openxmlformats.org/officeDocument/2006/relationships/hyperlink" Target="file:///C:\Users\Eddri\AppData\Roaming\Microsoft\PT.%20Able%20Commodities%20Indonesia\DO%20INV\PT.%20ABLE%20DO%201180%20(PO%20%2025900406)%2007.xlsm" TargetMode="External"/><Relationship Id="rId574" Type="http://schemas.openxmlformats.org/officeDocument/2006/relationships/hyperlink" Target="file:///C:\Users\Eddri\AppData\Roaming\Microsoft\PT.%20Agro%20Raya%20Mas\DO%20INV\PT.%20ARM%20DO%201384%20(PO%20%2025900925)%2007.xlsm" TargetMode="External"/><Relationship Id="rId227" Type="http://schemas.openxmlformats.org/officeDocument/2006/relationships/hyperlink" Target="file:///C:\Users\Eddri\AppData\Roaming\Microsoft\PT.%20Pacific%20Palmindo%20Industri\DO%20INV\PT.%20PPI%20DO%201041%20(PO%20%204714044612)%2001%20N4,6.xlsm" TargetMode="External"/><Relationship Id="rId781" Type="http://schemas.openxmlformats.org/officeDocument/2006/relationships/hyperlink" Target="file:///C:\Users\Eddri\AppData\Roaming\Microsoft\PT.%20SJIO%20DUMAI\DO%20INV\PT.%20SJIO%20DO%201561%20(PO%20%20SJIO%20BOILER%20PO%202510%201320)%2001%20-%20PARTIAL%20-%20N7.xlsm" TargetMode="External"/><Relationship Id="rId879" Type="http://schemas.openxmlformats.org/officeDocument/2006/relationships/hyperlink" Target="file:///C:\Users\Eddri\AppData\Roaming\Microsoft\Excel\PT.%20SJIO%20DUMAI\DO%20INV\PT.%20SJIO%20DO%201646%20(PO%20%20SJIO%20REF%20PO%202512%201688)%2001.xlsm" TargetMode="External"/><Relationship Id="rId434" Type="http://schemas.openxmlformats.org/officeDocument/2006/relationships/hyperlink" Target="file:///C:\Users\Eddri\AppData\Roaming\Microsoft\PT.%20Able%20Commodities%20Indonesia\DO%20INV\PT.%20ABLE%20DO%201238%20(PO%20%2025900610)%2007.xlsm" TargetMode="External"/><Relationship Id="rId641" Type="http://schemas.openxmlformats.org/officeDocument/2006/relationships/hyperlink" Target="file:///C:\Users\Eddri\AppData\Roaming\Microsoft\PT.%20Pacific%20Palmindo%20Industri\DO%20INV\PT.%20PPI%20DO%201436%20(PO%20%204714046794)%2001.xlsm" TargetMode="External"/><Relationship Id="rId739" Type="http://schemas.openxmlformats.org/officeDocument/2006/relationships/hyperlink" Target="file:///C:\Users\Eddri\AppData\Roaming\Microsoft\PT.%20Agro%20Murni\DO%20INV\PT.%20AGRO%20M%20DO%201521%20(PO%20%2025%2000345)%2007%20-%20PARTIAL%20PENGIRIMAN%20KE%202%20-%20N4.xlsm" TargetMode="External"/><Relationship Id="rId280" Type="http://schemas.openxmlformats.org/officeDocument/2006/relationships/hyperlink" Target="file:///C:\Users\Eddri\AppData\Roaming\Microsoft\PT.%20Simpang%20Kanan%20Lestarindo\DO%20INV\PT.%20SKL%20DO%201084%20(PO%20%2025%2000062)%2001.xlsm" TargetMode="External"/><Relationship Id="rId501" Type="http://schemas.openxmlformats.org/officeDocument/2006/relationships/hyperlink" Target="file:///C:\Users\Eddri\AppData\Roaming\Microsoft\PT.%20Agro%20Murni\DO%20INV\PT.%20AGRO%20M%20DO%201296%20(PO%20%2025%2000362)%2001%20-%20PARTIAL%20-%20N25.xlsm" TargetMode="External"/><Relationship Id="rId946" Type="http://schemas.openxmlformats.org/officeDocument/2006/relationships/hyperlink" Target="file:///C:\Users\Eddri\AppData\Roaming\Microsoft\Excel\PT.%20PALUTA%20INTI%20SAWIT\DO%20INV\PT.%20PIS%20DO%201705%20(PO%20%2026%2000018)%2001.xlsm" TargetMode="External"/><Relationship Id="rId75" Type="http://schemas.openxmlformats.org/officeDocument/2006/relationships/hyperlink" Target="http://../PT.%20KIP/DO%20INV/PT.%20KIP%20DO%20869%20(PO%20%2024%2000466)%20.xlsm" TargetMode="External"/><Relationship Id="rId140" Type="http://schemas.openxmlformats.org/officeDocument/2006/relationships/hyperlink" Target="file:///C:\Users\Eddri\AppData\Roaming\Microsoft\PT.%20Pacific%20Palmindo%20Industri\DO%20INV\PT.%20PPI%20DO%20959%20(PO%20%204714043733)%2001.xlsm" TargetMode="External"/><Relationship Id="rId378" Type="http://schemas.openxmlformats.org/officeDocument/2006/relationships/hyperlink" Target="file:///C:\Users\Eddri\AppData\Roaming\Microsoft\PT.%20Able%20Commodities%20Indonesia\DO%20INV\PT.%20ABLE%20DO%201191%20(PO%20%2025900404)%2007.xlsm" TargetMode="External"/><Relationship Id="rId585" Type="http://schemas.openxmlformats.org/officeDocument/2006/relationships/hyperlink" Target="file:///C:\Users\Eddri\AppData\Roaming\Microsoft\PT.%20Pacific%20Palmindo%20Industri\DO%20INV\PT.%20PPI%20DO%201395%20(PO%20%204714046355)%2007%20-%20PARTIAL%20COMPLETE%20-%20N2.xlsm" TargetMode="External"/><Relationship Id="rId792" Type="http://schemas.openxmlformats.org/officeDocument/2006/relationships/hyperlink" Target="file:///C:\Users\Eddri\AppData\Roaming\Microsoft\PT.%20Pacific%20Palmindo%20Industri\DO%20INV\PT.%20PPI%20DO%201570%20(PO%20%204714047724)%2001.xlsm" TargetMode="External"/><Relationship Id="rId806" Type="http://schemas.openxmlformats.org/officeDocument/2006/relationships/hyperlink" Target="file:///C:\Users\Eddri\AppData\Roaming\Microsoft\PT.%20SJIO%20DUMAI\DO%20INV\PT.%20SJIO%20DO%201578%20(PO%20%20%20)%2001%20-%20DO%20SEMENTARA%20-%20Quote%202740.xlsm" TargetMode="External"/><Relationship Id="rId6" Type="http://schemas.openxmlformats.org/officeDocument/2006/relationships/hyperlink" Target="about:blank" TargetMode="External"/><Relationship Id="rId238" Type="http://schemas.openxmlformats.org/officeDocument/2006/relationships/hyperlink" Target="file:///C:\Users\Eddri\AppData\Roaming\Microsoft\PT.%20Pacific%20Palmindo%20Industri\DO%20INV\PT.%20PPI%20DO%201052%20(PO%20%204714044692)%2001%20N2.xlsm" TargetMode="External"/><Relationship Id="rId445" Type="http://schemas.openxmlformats.org/officeDocument/2006/relationships/hyperlink" Target="file:///C:\Users\Eddri\AppData\Roaming\Microsoft\PT.%20Agro%20Murni\DO%20INV\PT.%20AGRO%20M%20DO%201247%20(PO%20%2025%2000391)%2001.xlsm" TargetMode="External"/><Relationship Id="rId652" Type="http://schemas.openxmlformats.org/officeDocument/2006/relationships/hyperlink" Target="file:///C:\Users\Eddri\AppData\Roaming\Microsoft\PT.%20SJIO%20DUMAI\DO%20INV\PT.%20SJIO%20DO%201444%20(PO%20%20862)%2001.xlsm" TargetMode="External"/><Relationship Id="rId291" Type="http://schemas.openxmlformats.org/officeDocument/2006/relationships/hyperlink" Target="file:///C:\Users\Eddri\AppData\Roaming\Microsoft\PT.%20Simpang%20Kanan%20Lestarindo\DO%20INV\PT.%20SKL%20DO%201107%20(PO%20%2025%2000065)%2001.xlsm" TargetMode="External"/><Relationship Id="rId305" Type="http://schemas.openxmlformats.org/officeDocument/2006/relationships/hyperlink" Target="file:///C:\Users\Eddri\AppData\Roaming\Microsoft\PT.%20Agro%20Murni\DO%20INV\PT.%20AGRO%20M%20DO%201121%20(PO%20%2025%2000078)%2001.xlsm" TargetMode="External"/><Relationship Id="rId512" Type="http://schemas.openxmlformats.org/officeDocument/2006/relationships/hyperlink" Target="file:///C:\Users\Eddri\AppData\Roaming\Microsoft\Excel\%20DO%201325%20(PO%20%20)%2007.xlsm" TargetMode="External"/><Relationship Id="rId957" Type="http://schemas.openxmlformats.org/officeDocument/2006/relationships/hyperlink" Target="file:///C:\Users\Eddri\AppData\Roaming\Microsoft\Excel\PT.%20SJIO%20DUMAI\DO%20INV\PT.%20SJIO%20DO%201713%20(PO%20%20SJIO%20REF%20PO%202511%201413)%2001.xlsm" TargetMode="External"/><Relationship Id="rId86" Type="http://schemas.openxmlformats.org/officeDocument/2006/relationships/hyperlink" Target="file:///C:\Users\Eddri\AppData\Roaming\Microsoft\PT.%20Agro%20Murni\DO%20INV\PT.%20AGRO%20M%20DO%20902%20(PO%20%2024%2000683)%20.xlsm" TargetMode="External"/><Relationship Id="rId151" Type="http://schemas.openxmlformats.org/officeDocument/2006/relationships/hyperlink" Target="file:///C:\Users\Eddri\AppData\Roaming\Microsoft\PT.%20RAILINK%20CABANG%20MEDAN\DO%20INV\PT.%20RAILINK%20CABANG%20MEDAN%20DO%20971%20(PO%20%200)%2040%20IX%202024%20-%20LANTAI%20LIFTING%20JACK%20DAN%20PENGECETAN%20SPOOR%20KOLONG.xlsm" TargetMode="External"/><Relationship Id="rId389" Type="http://schemas.openxmlformats.org/officeDocument/2006/relationships/hyperlink" Target="file:///C:\Users\Eddri\AppData\Roaming\Microsoft\PT.%20Able%20Commodities%20Indonesia\DO%20INV\PT.%20ABLE%20DO%201201%20(PO%20%2025900382)%20N1.xlsm" TargetMode="External"/><Relationship Id="rId596" Type="http://schemas.openxmlformats.org/officeDocument/2006/relationships/hyperlink" Target="file:///C:\Users\Eddri\AppData\Roaming\Microsoft\PT.%20Agro%20Raya%20Mas\DO%20INV\PT.%20ARM%20DO%201402%20(PO%20%2025900995)%2007%20-%20PARTIAL%20COMPLETE%20-%20N4(2PCS).xlsm" TargetMode="External"/><Relationship Id="rId817" Type="http://schemas.openxmlformats.org/officeDocument/2006/relationships/hyperlink" Target="file:///C:\Users\Eddri\AppData\Roaming\Microsoft\PT.%20SJIO%20DUMAI\DO%20INV\PT.%20SJIO%20DO%201588%20(PO%20%20%20)%2001%20-%20DO%20SEMENTARA%20-%20Quote%202740%20-%20(+3BTG)%20complete%204%20batang.xlsm" TargetMode="External"/><Relationship Id="rId1002" Type="http://schemas.openxmlformats.org/officeDocument/2006/relationships/hyperlink" Target="../PT.%20PALUTA%20INTI%20SAWIT/DO%20INV/PT.%20PIS%20DO%201753%20(PO%20%2026%2000096)%2001%20-%20PARTIAL%20COMPLETED%20-%20N1.xlsm" TargetMode="External"/><Relationship Id="rId249" Type="http://schemas.openxmlformats.org/officeDocument/2006/relationships/hyperlink" Target="file:///C:\Users\Eddri\AppData\Roaming\Microsoft\PT.%20SJIO%20DUMAI\DO%20INV\PT.%20SJIO%20DO%201063%20(PO%20%20009)%2001.xlsm" TargetMode="External"/><Relationship Id="rId456" Type="http://schemas.openxmlformats.org/officeDocument/2006/relationships/hyperlink" Target="file:///C:\Users\Eddri\AppData\Roaming\Microsoft\PT.%20KIP\DO%20INV\PT.%20KIP%20DO%201252%20(PO%20%2025%2000232)%2001.xlsm" TargetMode="External"/><Relationship Id="rId663" Type="http://schemas.openxmlformats.org/officeDocument/2006/relationships/hyperlink" Target="file:///C:\Users\Eddri\AppData\Roaming\Microsoft\PT.%20Agro%20Raya%20Mas\DO%20INV\PT.%20ARM%20DO%201439%20(PO%20%2025901201)%2001.xlsm" TargetMode="External"/><Relationship Id="rId870" Type="http://schemas.openxmlformats.org/officeDocument/2006/relationships/hyperlink" Target="file:///C:\Users\Eddri\AppData\Roaming\Microsoft\Excel\PT.%20Agro%20Raya%20Mas\DO%20INV\PT.%20ARM%20DO%201637%20(PO%20%2025%2000231)%2001%20-%20Pickup%2018%20des%2025,%20Delivery%20and%20Refilled%2029%20Des%2025.xlsm" TargetMode="External"/><Relationship Id="rId13" Type="http://schemas.openxmlformats.org/officeDocument/2006/relationships/hyperlink" Target="about:blank" TargetMode="External"/><Relationship Id="rId109" Type="http://schemas.openxmlformats.org/officeDocument/2006/relationships/hyperlink" Target="file:///C:\Users\Eddri\AppData\Roaming\Microsoft\PT.%20Simpang%20Kanan%20Lestarindo\DO%20INV\PT.%20SKL%20DO%20926%20(PO%20%2024%2000644)%20.xlsm" TargetMode="External"/><Relationship Id="rId316" Type="http://schemas.openxmlformats.org/officeDocument/2006/relationships/hyperlink" Target="file:///C:\Users\Eddri\AppData\Roaming\Microsoft\PT.%20Pacific%20Palmindo%20Industri\DO%20INV\PT.%20PPI%20DO%201132%20(PO%20%204714045086)%2001.xlsm" TargetMode="External"/><Relationship Id="rId523" Type="http://schemas.openxmlformats.org/officeDocument/2006/relationships/hyperlink" Target="file:///C:\Users\Eddri\AppData\Roaming\Microsoft\PT.%20Simpang%20Kanan%20Lestarindo\DO%20INV\PT.%20SKL%20DO%201341%20(PO%20%2025%2000416)%2001.xlsm" TargetMode="External"/><Relationship Id="rId968" Type="http://schemas.openxmlformats.org/officeDocument/2006/relationships/hyperlink" Target="file:///C:\Users\Eddri\AppData\Roaming\Microsoft\Excel\PT.%20Agro%20Raya%20Mas\DO%20INV\PT.%20ARM%20DO%201726%20(PO%20%2026%2000209)%2001.xlsm" TargetMode="External"/><Relationship Id="rId97" Type="http://schemas.openxmlformats.org/officeDocument/2006/relationships/hyperlink" Target="file:///C:\Users\Eddri\AppData\Roaming\Microsoft\PT.%20Simpang%20Kanan%20Lestarindo\DO%20INV\PT.%20SKL%20DO%20914%20(PO%20%2024%2000595)%20.xlsm" TargetMode="External"/><Relationship Id="rId730" Type="http://schemas.openxmlformats.org/officeDocument/2006/relationships/hyperlink" Target="file:///C:\Users\Eddri\AppData\Roaming\Microsoft\PT.%20SJIO%20DUMAI\DO%20INV\PT.%20SJIO%20DO%201513%20(PO%20%20SJIO%20TANK%20PO%202504%200355)%2001%20-%20PARTIAL%20-%20N6.xlsm" TargetMode="External"/><Relationship Id="rId828" Type="http://schemas.openxmlformats.org/officeDocument/2006/relationships/hyperlink" Target="file:///C:\Users\Eddri\AppData\Roaming\Microsoft\PT.%20SJIO%20DUMAI\DO%20INV\PT.%20SJIO%20DO%201597%20(PO%20%20SJIO%20BOILER%20PO%202511%201406)%2001%20-%20PARTIAL%20-%20N2,3.xlsm" TargetMode="External"/><Relationship Id="rId1013" Type="http://schemas.openxmlformats.org/officeDocument/2006/relationships/hyperlink" Target="../PT.%20Agro%20Murni/DO%20INV/PT.%20AGRO%20M%20DO%201757%20(PO%20%2026%2000168)%20REV%201%2007%20-%20PARTIAL%20-%20N2.xlsm" TargetMode="External"/><Relationship Id="rId162" Type="http://schemas.openxmlformats.org/officeDocument/2006/relationships/hyperlink" Target="file:///C:\Users\Eddri\AppData\Roaming\Microsoft\PT.%20SJIO%20DUMAI\DO%20INV\PT.%20SJIO%20DO%20980%20(PO%20%20033)%2001.xlsm" TargetMode="External"/><Relationship Id="rId467" Type="http://schemas.openxmlformats.org/officeDocument/2006/relationships/hyperlink" Target="file:///C:\Users\Eddri\AppData\Roaming\Microsoft\PT.%20SJIO%20DUMAI\DO%20INV\PT.%20SJIO%20DO%201266%20(PO%20%20389)%2001.xlsm" TargetMode="External"/><Relationship Id="rId674" Type="http://schemas.openxmlformats.org/officeDocument/2006/relationships/hyperlink" Target="file:///C:\Users\Eddri\AppData\Roaming\Microsoft\PT.%20Agro%20Raya%20Mas\DO%20INV\PT.%20ARM%20DO%201462%20(PO%20%2045896)%2001.xlsm" TargetMode="External"/><Relationship Id="rId881" Type="http://schemas.openxmlformats.org/officeDocument/2006/relationships/hyperlink" Target="file:///C:\Users\Eddri\AppData\Roaming\Microsoft\Excel\PT.%20Agro%20Raya%20Mas\DO%20INV\PT.%20ARM%20DO%201648%20(PO%20%2025%2000296)%2007%20-%20PARTIAL%20-%20N4,5,8.xlsm" TargetMode="External"/><Relationship Id="rId979" Type="http://schemas.openxmlformats.org/officeDocument/2006/relationships/hyperlink" Target="file:///C:\Users\Eddri\AppData\Roaming\Microsoft\Excel\PT.%20PALUTA%20INTI%20SAWIT\DO%20INV\PT.%20PIS%20DO%201735%20(PO%20%20BLM%20ADA)%20DO%20SEMENTARA.xlsm" TargetMode="External"/><Relationship Id="rId24" Type="http://schemas.openxmlformats.org/officeDocument/2006/relationships/hyperlink" Target="about:blank" TargetMode="External"/><Relationship Id="rId327" Type="http://schemas.openxmlformats.org/officeDocument/2006/relationships/hyperlink" Target="file:///C:\Users\Eddri\AppData\Roaming\Microsoft\PT.%20Able%20Commodities%20Indonesia\DO%20INV\PT.%20ABLE%20DO%201143%20(PO%20%2025900235)%2007.xlsm" TargetMode="External"/><Relationship Id="rId534" Type="http://schemas.openxmlformats.org/officeDocument/2006/relationships/hyperlink" Target="file:///C:\Users\Eddri\AppData\Roaming\Microsoft\PT.%20Agro%20Raya%20Mas\DO%20INV\PT.%20ARM%20DO%201350%20(PO%20%2025900908)%2007%20-%20PARTIAL%20-%20N2,3,5.xlsm" TargetMode="External"/><Relationship Id="rId741" Type="http://schemas.openxmlformats.org/officeDocument/2006/relationships/hyperlink" Target="file:///C:\Users\Eddri\AppData\Roaming\Microsoft\PT.%20Pacific%20Palmindo%20Industri\DO%20INV\PT.%20PPI%20DO%201523%20(PO%20%204714047304)%2001.xlsm" TargetMode="External"/><Relationship Id="rId839" Type="http://schemas.openxmlformats.org/officeDocument/2006/relationships/hyperlink" Target="file:///C:\Users\Eddri\AppData\Roaming\Microsoft\PT.%20Agro%20Raya%20Mas\DO%20INV\PT.%20ARM%20DO%201608%20(PO%20%2025%2000161)%2001.xlsm" TargetMode="External"/><Relationship Id="rId173" Type="http://schemas.openxmlformats.org/officeDocument/2006/relationships/hyperlink" Target="file:///C:\Users\Eddri\AppData\Roaming\Microsoft\PT.%20SJIO%20DUMAI\DO%20INV\PT.%20SJIO%20DO%20990%20(PO%20%20074)%20REV%201%20N6%2001.xlsm" TargetMode="External"/><Relationship Id="rId380" Type="http://schemas.openxmlformats.org/officeDocument/2006/relationships/hyperlink" Target="file:///C:\Users\Eddri\AppData\Roaming\Microsoft\PT.%20Able%20Commodities%20Indonesia\DO%20INV\PT.%20ABLE%20DO%201193%20(PO%20%2025900408)%2007.xlsm" TargetMode="External"/><Relationship Id="rId601" Type="http://schemas.openxmlformats.org/officeDocument/2006/relationships/hyperlink" Target="file:///C:\Users\Eddri\AppData\Roaming\Microsoft\PT.%20SWP\DO%20INV\PT.%20SWP%20DO%201406%20(PO%20%204000293835)%2007.xlsm" TargetMode="External"/><Relationship Id="rId1024" Type="http://schemas.openxmlformats.org/officeDocument/2006/relationships/hyperlink" Target="../PT.%20KIP/DO%20INV/PT.%20KIP%20DO%201774%20(PO%20%20EMENTARA)%20DO%20SEMENTARA.xlsm" TargetMode="External"/><Relationship Id="rId240" Type="http://schemas.openxmlformats.org/officeDocument/2006/relationships/hyperlink" Target="file:///C:\Users\Eddri\AppData\Roaming\Microsoft\PT.%20SJIO%20DUMAI\DO%20INV\PT.%20SJIO%20DO%201054%20(PO%20%20382)%2001.xlsm" TargetMode="External"/><Relationship Id="rId478" Type="http://schemas.openxmlformats.org/officeDocument/2006/relationships/hyperlink" Target="file:///C:\Users\Eddri\AppData\Roaming\Microsoft\PT.%20Agro%20Murni\DO%20INV\PT.%20AGRO%20M%20DO%201274%20(PO%20%2025%2000362)%2001%20-%20PARTIAL%20-%20N15,16.xlsm" TargetMode="External"/><Relationship Id="rId685" Type="http://schemas.openxmlformats.org/officeDocument/2006/relationships/hyperlink" Target="file:///C:\Users\Eddri\AppData\Roaming\Microsoft\PT.%20Simpang%20Kanan%20Lestarindo\DO%20INV\PT.%20SKL%20DO%201471%20(PO%20%2025%2000567)%2001.xlsm" TargetMode="External"/><Relationship Id="rId892" Type="http://schemas.openxmlformats.org/officeDocument/2006/relationships/hyperlink" Target="file:///C:\Users\Eddri\AppData\Roaming\Microsoft\Excel\PT.%20Agro%20Raya%20Mas\DO%20INV\PT.%20ARM%20DO%201657%20(PO%20%2026%2000033)%2007.xlsm" TargetMode="External"/><Relationship Id="rId906" Type="http://schemas.openxmlformats.org/officeDocument/2006/relationships/hyperlink" Target="file:///C:\Users\Eddri\AppData\Roaming\Microsoft\Excel\PT.%20Agro%20Raya%20Mas\DO%20INV\PT.%20ARM%20DO%201671%20(PO%20%2025%2000296)%2007%20-%20PARTIAL%20-%20N6.xlsm" TargetMode="External"/><Relationship Id="rId35" Type="http://schemas.openxmlformats.org/officeDocument/2006/relationships/hyperlink" Target="about:blank" TargetMode="External"/><Relationship Id="rId100" Type="http://schemas.openxmlformats.org/officeDocument/2006/relationships/hyperlink" Target="file:///C:\Users\Eddri\AppData\Roaming\Microsoft\PT.%20Agro%20Murni\DO%20INV\PT.%20AGRO%20M%20DO%20917%20(PO%20%2024%2000572)%20.xlsm" TargetMode="External"/><Relationship Id="rId338" Type="http://schemas.openxmlformats.org/officeDocument/2006/relationships/hyperlink" Target="file:///C:\Users\Eddri\AppData\Roaming\Microsoft\PT.%20Agro%20Murni\DO%20INV\PT.%20AGRO%20M%20DO%201154%20(PO%20%2025%2000090)%2001.xlsm" TargetMode="External"/><Relationship Id="rId545" Type="http://schemas.openxmlformats.org/officeDocument/2006/relationships/hyperlink" Target="file:///C:\Users\Eddri\AppData\Roaming\Microsoft\PT.%20SJIO%20DUMAI\DO%20INV\PT.%20SJIO%20DO%201359%20(PO%20%20454)%2001.xlsm" TargetMode="External"/><Relationship Id="rId752" Type="http://schemas.openxmlformats.org/officeDocument/2006/relationships/hyperlink" Target="file:///C:\Users\Eddri\AppData\Roaming\Microsoft\PT.%20Pacific%20Palmindo%20Industri\DO%20INV\PT.%20PPI%20DO%201533%20(PO%20%204714047416)%2001.xlsm" TargetMode="External"/><Relationship Id="rId184" Type="http://schemas.openxmlformats.org/officeDocument/2006/relationships/hyperlink" Target="file:///C:\Users\Eddri\AppData\Roaming\Microsoft\PT.%20SJIO%20DUMAI\DO%20INV\PT.%20SJIO%20DO%201005%20(PO%20%20082)%2001.xlsm" TargetMode="External"/><Relationship Id="rId391" Type="http://schemas.openxmlformats.org/officeDocument/2006/relationships/hyperlink" Target="file:///C:\Users\Eddri\AppData\Roaming\Microsoft\PT.%20Able%20Commodities%20Indonesia\DO%20INV\PT.%20ABLE%20DO%201203%20(PO%20%2025900495)%20N1.xlsm" TargetMode="External"/><Relationship Id="rId405" Type="http://schemas.openxmlformats.org/officeDocument/2006/relationships/hyperlink" Target="file:///C:\Users\Eddri\AppData\Roaming\Microsoft\PT.%20Agro%20Murni\DO%20INV\PT.%20AGRO%20M%20DO%201214%20(PO%20%2025%2000331)%2001.xlsm" TargetMode="External"/><Relationship Id="rId612" Type="http://schemas.openxmlformats.org/officeDocument/2006/relationships/hyperlink" Target="file:///C:\Users\Eddri\AppData\Roaming\Microsoft\Excel\%20DO%201417%20(PO%20%20)%2007.xlsm" TargetMode="External"/><Relationship Id="rId1035" Type="http://schemas.openxmlformats.org/officeDocument/2006/relationships/hyperlink" Target="../PT.%20Agro%20Raya%20Mas/DO%20INV/PT.%20ARM%20DO%201784%20(PO%20%2026%2000275)%2001%20-%20PARTIAL%20-%20N2.xlsm" TargetMode="External"/><Relationship Id="rId251" Type="http://schemas.openxmlformats.org/officeDocument/2006/relationships/hyperlink" Target="file:///C:\Users\Eddri\AppData\Roaming\Microsoft\PT.%20Agro%20Murni\DO%20INV\PT.%20AGRO%20M%20DO%201065%20(PO%20%2024%2001378)%2007%20N2,4,6,8,10,11.xlsm" TargetMode="External"/><Relationship Id="rId489" Type="http://schemas.openxmlformats.org/officeDocument/2006/relationships/hyperlink" Target="file:///C:\Users\Eddri\AppData\Roaming\Microsoft\PT.%20Agro%20Murni\DO%20INV\PT.%20AGRO%20M%20DO%201285%20(PO%20%2025%2000431)%2007%20-%20PARTIAL%20-%20N1.xlsm" TargetMode="External"/><Relationship Id="rId696" Type="http://schemas.openxmlformats.org/officeDocument/2006/relationships/hyperlink" Target="file:///C:\Users\Eddri\AppData\Roaming\Microsoft\Excel\%20DO%201481%20(PO%20%20)%2001%20-%20PARTIAL%20COMPLETE%20-%20N9,10,11.xlsm" TargetMode="External"/><Relationship Id="rId917" Type="http://schemas.openxmlformats.org/officeDocument/2006/relationships/hyperlink" Target="file:///C:\Users\Eddri\AppData\Roaming\Microsoft\Excel\PT.%20SJIO%20DUMAI\DO%20INV\PT.%20SJIO%20DO%201680%20(PO%20%20SJIO%20REF%20PO%202509%201065)%2001.xlsm" TargetMode="External"/><Relationship Id="rId46" Type="http://schemas.openxmlformats.org/officeDocument/2006/relationships/hyperlink" Target="http://../PT.%20Agro%20Murni/DO%20INV/PT.%20AGRO%20M%20DO%20840%20(PO%20%2024%2000539)%20N1,3&amp;4%2007.xlsm" TargetMode="External"/><Relationship Id="rId349" Type="http://schemas.openxmlformats.org/officeDocument/2006/relationships/hyperlink" Target="file:///C:\Users\Eddri\AppData\Roaming\Microsoft\PT.%20Able%20Commodities%20Indonesia\DO%20INV\PT.%20ABLE%20DO%201161%20(PO%20%2025900314)%2007.xlsm" TargetMode="External"/><Relationship Id="rId556" Type="http://schemas.openxmlformats.org/officeDocument/2006/relationships/hyperlink" Target="file:///C:\Users\Eddri\AppData\Roaming\Microsoft\PT.%20Agro%20Raya%20Mas\DO%20INV\PT.%20ARM%20DO%201367%20(PO%20%2025900907)%20REV%201%2007%20-%20PARTIAL%20-%20N2,3.xlsm" TargetMode="External"/><Relationship Id="rId763" Type="http://schemas.openxmlformats.org/officeDocument/2006/relationships/hyperlink" Target="file:///C:\Users\Eddri\AppData\Roaming\Microsoft\PT.%20SJIO%20DUMAI\DO%20INV\PT.%20SJIO%20DO%201543%20(PO%20%20SJIO%20BOILER%20PO%202510%201246)%2001.xlsm" TargetMode="External"/><Relationship Id="rId111" Type="http://schemas.openxmlformats.org/officeDocument/2006/relationships/hyperlink" Target="file:///C:\Users\Eddri\AppData\Roaming\Microsoft\PT.%20Able%20Commodities%20Indonesia\DO%20INV\PT.%20ABLE%20DO%20928%20(PO%20%2024900727)%20.xlsm" TargetMode="External"/><Relationship Id="rId195" Type="http://schemas.openxmlformats.org/officeDocument/2006/relationships/hyperlink" Target="file:///C:\Users\Eddri\AppData\Roaming\Microsoft\PT.%20Pacific%20Palmindo%20Industri\DO%20INV\PT.%20PPI%20DO%201014%20(PO%20%204714044501)%20N1-4,7,8.xlsm" TargetMode="External"/><Relationship Id="rId209" Type="http://schemas.openxmlformats.org/officeDocument/2006/relationships/hyperlink" Target="file:///C:\Users\Eddri\AppData\Roaming\Microsoft\PT.%20Simpang%20Kanan%20Lestarindo\DO%20INV\PT.%20SKL%20DO%201025%20(PO%20%2024%2001050)%2001.xlsm" TargetMode="External"/><Relationship Id="rId416" Type="http://schemas.openxmlformats.org/officeDocument/2006/relationships/hyperlink" Target="file:///C:\Users\Eddri\AppData\Roaming\Microsoft\PT.%20KIP\DO%20INV\PT.%20KIP%20DO%201222%20(PO%20%2025%2000158)%20.xlsm" TargetMode="External"/><Relationship Id="rId970" Type="http://schemas.openxmlformats.org/officeDocument/2006/relationships/hyperlink" Target="file:///C:\Users\Eddri\AppData\Roaming\Microsoft\Excel\PT.%20SJIO%20DUMAI\DO%20INV\%20DO%201727%20(PO%20%20)%2001%20-%20PARTIAL%20COMPLETED%20-%20N3,4,5.xlsm" TargetMode="External"/><Relationship Id="rId1046" Type="http://schemas.openxmlformats.org/officeDocument/2006/relationships/hyperlink" Target="../PT.%20Agro%20Raya%20Mas/DO%20INV/PT.%20ARM%20DO%201791%20(PO%20%2026%2000228)%2007%20-%20PARTIAL%20-%20N5,9.xlsm" TargetMode="External"/><Relationship Id="rId623" Type="http://schemas.openxmlformats.org/officeDocument/2006/relationships/hyperlink" Target="file:///C:\Users\Eddri\AppData\Roaming\Microsoft\PT.%20Agro%20Raya%20Mas\DO%20INV\PT.%20ARM%20DO%201422%20(PO%20%2025901116)%2007.xlsm" TargetMode="External"/><Relationship Id="rId830" Type="http://schemas.openxmlformats.org/officeDocument/2006/relationships/hyperlink" Target="file:///C:\Users\Eddri\AppData\Roaming\Microsoft\PT.%20Agro%20Raya%20Mas\DO%20INV\PT.%20ARM%20DO%201599%20(PO%20%2025%2000176)%2001.xlsm" TargetMode="External"/><Relationship Id="rId928" Type="http://schemas.openxmlformats.org/officeDocument/2006/relationships/hyperlink" Target="file:///C:\Users\Eddri\AppData\Roaming\Microsoft\Excel\PoS%20Delivery%20Order312396453763307236\%20DO%201690%20(PO%20%20)%20HASIL%20PERBAIKAN.xlsm" TargetMode="External"/><Relationship Id="rId57" Type="http://schemas.openxmlformats.org/officeDocument/2006/relationships/hyperlink" Target="http://../PT.%20Agro%20Murni/DO%20INV/PT.%20AGRO%20M%20DO%20851%20(PO%20%2024%2000546)%20N15.xlsm" TargetMode="External"/><Relationship Id="rId262" Type="http://schemas.openxmlformats.org/officeDocument/2006/relationships/hyperlink" Target="file:///C:\Users\Eddri\AppData\Roaming\Microsoft\PT.%20Able%20Commodities%20Indonesia\DO%20INV\PT.%20ABLE%20DO%201075%20(PO%20%2025900080)%2007%20-%20%20ITEM%20N3.xlsm" TargetMode="External"/><Relationship Id="rId567" Type="http://schemas.openxmlformats.org/officeDocument/2006/relationships/hyperlink" Target="file:///C:\Users\Eddri\AppData\Roaming\Microsoft\PT.%20Agro%20Raya%20Mas\DO%20INV\PT.%20ARM%20DO%201377%20(PO%20%2025900981)%2007.xlsm" TargetMode="External"/><Relationship Id="rId122" Type="http://schemas.openxmlformats.org/officeDocument/2006/relationships/hyperlink" Target="file:///C:\Users\Eddri\AppData\Roaming\Microsoft\PT.%20Pacific%20Palmindo%20Industri\DO%20INV\PT.%20PPI%20DO%20940%20(PO%20%204714043369)%2007.xlsm" TargetMode="External"/><Relationship Id="rId774" Type="http://schemas.openxmlformats.org/officeDocument/2006/relationships/hyperlink" Target="file:///C:\Users\Eddri\AppData\Roaming\Microsoft\PT.%20Simpang%20Kanan%20Lestarindo\DO%20INV\PT.%20SKL%20DO%201554%20(PO%20%2025%2000794)%2001.xlsm" TargetMode="External"/><Relationship Id="rId981" Type="http://schemas.openxmlformats.org/officeDocument/2006/relationships/hyperlink" Target="file:///C:\Users\Eddri\AppData\Roaming\Microsoft\Excel\PoS%20Delivery%20Order312396453763307236\%20DO%201737%20(PO%20%20)%2001%20-%20PARTIAL%20COMPLETED%20-%20N2%20(COMPLETED).xlsm" TargetMode="External"/><Relationship Id="rId427" Type="http://schemas.openxmlformats.org/officeDocument/2006/relationships/hyperlink" Target="file:///C:\Users\Eddri\AppData\Roaming\Microsoft\PT.%20Agro%20Murni\DO%20INV\PT.%20AGRO%20M%20DO%201232%20(PO%20%2025%2000345)%2007%20PARTIAL%20N3,4,5,9,12,13,17,18,20,21,22,26,32.xlsm" TargetMode="External"/><Relationship Id="rId634" Type="http://schemas.openxmlformats.org/officeDocument/2006/relationships/hyperlink" Target="file:///C:\Users\Eddri\AppData\Roaming\Microsoft\Excel\%20DO%201334%20(PO%20%20)%2001.xlsm" TargetMode="External"/><Relationship Id="rId841" Type="http://schemas.openxmlformats.org/officeDocument/2006/relationships/hyperlink" Target="file:///C:\Users\Eddri\AppData\Roaming\Microsoft\PT.%20Pacific%20Palmindo%20Industri\DO%20INV\PT.%20PPI%20DO%201610%20(PO%20%204714047937)%2001.xlsm" TargetMode="External"/><Relationship Id="rId273" Type="http://schemas.openxmlformats.org/officeDocument/2006/relationships/hyperlink" Target="file:///C:\Users\Eddri\AppData\Roaming\Microsoft\PT.%20Able%20Commodities%20Indonesia\DO%20INV\PT.%20ABLE%20DO%201097%20(PO%20%20259900104)%2001%20N1.xlsm" TargetMode="External"/><Relationship Id="rId480" Type="http://schemas.openxmlformats.org/officeDocument/2006/relationships/hyperlink" Target="file:///C:\Users\Eddri\AppData\Roaming\Microsoft\Excel\%20DO%201276%20(PO%20%20)%2007%20-%20PARTIAL%20-%20N3.xlsm" TargetMode="External"/><Relationship Id="rId701" Type="http://schemas.openxmlformats.org/officeDocument/2006/relationships/hyperlink" Target="file:///C:\Users\Eddri\AppData\Roaming\Microsoft\PT.%20SJIO%20DUMAI\DO%20INV\PT.%20SJIO%20DO%201486%20(PO%20%20SJIO%20PROJ%20PO%202509%200996)%2001%20-%20PARTIAL%20-%20N1,6.xlsm" TargetMode="External"/><Relationship Id="rId939" Type="http://schemas.openxmlformats.org/officeDocument/2006/relationships/hyperlink" Target="file:///C:\Users\Eddri\AppData\Roaming\Microsoft\Excel\PT.%20Agro%20Raya%20Mas\DO%20INV\PT.%20ARM%20DO%201697%20(PO%20%2026%2000140)%20REV%201%2001%20-%20PARTIAL%20-%20N3.xlsm" TargetMode="External"/><Relationship Id="rId68" Type="http://schemas.openxmlformats.org/officeDocument/2006/relationships/hyperlink" Target="http://../PT.%20Agro%20Murni/DO%20INV/PT.%20AGRO%20M%20DO%20862%20(PO%20%2024%2000503)%20N6,%207,%208,%209,10%20,11,%2012.xlsm" TargetMode="External"/><Relationship Id="rId133" Type="http://schemas.openxmlformats.org/officeDocument/2006/relationships/hyperlink" Target="file:///C:\Users\Eddri\AppData\Roaming\Microsoft\PT.%20Pacific%20Palmindo%20Industri\DO%20INV\PT.%20PPI%20DO%20953%20(PO%20%204714043612)%2001.xlsm" TargetMode="External"/><Relationship Id="rId340" Type="http://schemas.openxmlformats.org/officeDocument/2006/relationships/hyperlink" Target="file:///C:\Users\Eddri\AppData\Roaming\Microsoft\PT.%20KIP\DO%20INV\PT.%20KIP%20DO%201156%20(PO%20%2025%2000102)%2001.xlsm" TargetMode="External"/><Relationship Id="rId578" Type="http://schemas.openxmlformats.org/officeDocument/2006/relationships/hyperlink" Target="file:///C:\Users\Eddri\AppData\Roaming\Microsoft\PT.%20Agro%20Raya%20Mas\DO%20INV\PT.%20ARM%20DO%201388%20(PO%20%2025901065)%2007.xlsm" TargetMode="External"/><Relationship Id="rId785" Type="http://schemas.openxmlformats.org/officeDocument/2006/relationships/hyperlink" Target="file:///C:\Users\Eddri\AppData\Roaming\Microsoft\PT.%20Agro%20Raya%20Mas\DO%20INV\PT.%20ARM%20DO%201565%20(PO%20%2025%2000067)%2001.xlsm" TargetMode="External"/><Relationship Id="rId992" Type="http://schemas.openxmlformats.org/officeDocument/2006/relationships/hyperlink" Target="file:///C:\Users\Eddri\AppData\Roaming\Microsoft\Excel\PT.%20PALUTA%20INTI%20SAWIT\DO%20INV\PT.%20PIS%20DO%201748%20(PO%20%2026%2000096)%2001.xlsm" TargetMode="External"/><Relationship Id="rId200" Type="http://schemas.openxmlformats.org/officeDocument/2006/relationships/hyperlink" Target="file:///C:\Users\Eddri\AppData\Roaming\Microsoft\PT.%20SJIO%20DUMAI\DO%20INV\PT.%20SJIO%20DO%201017%20(PO%20%20368)%2001%20N1.xlsm" TargetMode="External"/><Relationship Id="rId438" Type="http://schemas.openxmlformats.org/officeDocument/2006/relationships/hyperlink" Target="file:///C:\Users\Eddri\AppData\Roaming\Microsoft\PT.%20Agro%20Murni\DO%20INV\PT.%20AGRO%20M%20DO%201236%20(PO%20%2025%2000362)%2001%20PARTIAL%20N18,20,22,24.xlsm" TargetMode="External"/><Relationship Id="rId645" Type="http://schemas.openxmlformats.org/officeDocument/2006/relationships/hyperlink" Target="file:///C:\Users\Eddri\AppData\Roaming\Microsoft\PT.%20Simpang%20Kanan%20Lestarindo\DO%20INV\PT.%20SKL%20DO%201438%20(PO%20%2025%2000527)%2001.xlsm" TargetMode="External"/><Relationship Id="rId852" Type="http://schemas.openxmlformats.org/officeDocument/2006/relationships/hyperlink" Target="file:///C:\Users\Eddri\AppData\Roaming\Microsoft\PT.%20Agro%20Raya%20Mas\DO%20INV\PT.%20ARM%20DO%201620%20(PO%20%2025%2000234)%2001%20-%20PARTIAL%20-%20N1.xlsm" TargetMode="External"/><Relationship Id="rId284" Type="http://schemas.openxmlformats.org/officeDocument/2006/relationships/hyperlink" Target="file:///C:\Users\Eddri\AppData\Roaming\Microsoft\PT.%20SJIO%20DUMAI\DO%20INV\PT.%20SJIO%20DO%201088%20(PO%20%20095)%2001.xlsm" TargetMode="External"/><Relationship Id="rId491" Type="http://schemas.openxmlformats.org/officeDocument/2006/relationships/hyperlink" Target="file:///C:\Users\Eddri\AppData\Roaming\Microsoft\GROUP%20Apical%20Group\PT.%20Sari%20Dumai%20Sejati\DO%20INV\PT.%20SDS%20DO%201287%20(PO%20%204500414492)%2007.xlsm" TargetMode="External"/><Relationship Id="rId505" Type="http://schemas.openxmlformats.org/officeDocument/2006/relationships/hyperlink" Target="file:///C:\Users\Eddri\AppData\Roaming\Microsoft\PT.%20SJIO%20DUMAI\DO%20INV\%20DO%201325%20(PO%20%20)%2007.xlsm" TargetMode="External"/><Relationship Id="rId712" Type="http://schemas.openxmlformats.org/officeDocument/2006/relationships/hyperlink" Target="file:///C:\Users\Eddri\AppData\Roaming\Microsoft\PT.%20SWP\DO%20INV\PT.%20SWP%20DO%201497%20(PO%20%204000313851)%2001.xlsm" TargetMode="External"/><Relationship Id="rId79" Type="http://schemas.openxmlformats.org/officeDocument/2006/relationships/hyperlink" Target="file:///C:\Users\Eddri\AppData\Roaming\Microsoft\Excel\%20DO%20897%20(PO%20%20)%20.xlsm" TargetMode="External"/><Relationship Id="rId144" Type="http://schemas.openxmlformats.org/officeDocument/2006/relationships/hyperlink" Target="file:///C:\Users\Eddri\AppData\Roaming\Microsoft\PT.%20Pacific%20Palmindo%20Industri\DO%20INV\PT.%20PPI%20DO%20962%20(PO%20%204714043838)%2001.xlsm" TargetMode="External"/><Relationship Id="rId589" Type="http://schemas.openxmlformats.org/officeDocument/2006/relationships/hyperlink" Target="file:///C:\Users\Eddri\AppData\Roaming\Microsoft\PT.%20SWP\DO%20INV\PT.%20SWP%20DO%201387%20(PO%20%204000302971)%2007.xlsm" TargetMode="External"/><Relationship Id="rId796" Type="http://schemas.openxmlformats.org/officeDocument/2006/relationships/hyperlink" Target="file:///C:\Users\Eddri\AppData\Roaming\Microsoft\PT.%20Pacific%20Palmindo%20Industri\DO%20INV\PT.%20PPI%20DO%201574%20(PO%20%204714047772)%2007.xlsm" TargetMode="External"/><Relationship Id="rId351" Type="http://schemas.openxmlformats.org/officeDocument/2006/relationships/hyperlink" Target="file:///C:\Users\Eddri\AppData\Roaming\Microsoft\PT.%20Able%20Commodities%20Indonesia\DO%20INV\PT.%20ABLE%20DO%201165%20(PO%20%2025900363)%2007.xlsm" TargetMode="External"/><Relationship Id="rId449" Type="http://schemas.openxmlformats.org/officeDocument/2006/relationships/hyperlink" Target="file:///C:\Users\Eddri\AppData\Roaming\Microsoft\PT.%20KIP\DO%20INV\PT.%20KIP%20DO%201251%20(PO%20%2025%2000219)%2001.xlsm" TargetMode="External"/><Relationship Id="rId656" Type="http://schemas.openxmlformats.org/officeDocument/2006/relationships/hyperlink" Target="file:///C:\Users\Eddri\AppData\Roaming\Microsoft\PT.%20Agro%20Raya%20Mas\DO%20INV\PT.%20ARM%20DO%201448%20(PO%20%2025901209)%2001.xlsm" TargetMode="External"/><Relationship Id="rId863" Type="http://schemas.openxmlformats.org/officeDocument/2006/relationships/hyperlink" Target="file:///C:\Users\Eddri\AppData\Roaming\Microsoft\Excel\PT.%20Agro%20Murni\DO%20INV\PT.%20AGRO%20M%20DO%201631%20(PO%20%2025%2001141)%2007%20-%20PARTIAL%20-%205,6,7,8.xlsm" TargetMode="External"/><Relationship Id="rId211" Type="http://schemas.openxmlformats.org/officeDocument/2006/relationships/hyperlink" Target="file:///C:\Users\Eddri\AppData\Roaming\Microsoft\PT.%20Simpang%20Kanan%20Lestarindo\DO%20INV\PT.%20SKL%20DO%201027%20(PO%20%2024%2001044)%2001.xlsm" TargetMode="External"/><Relationship Id="rId295" Type="http://schemas.openxmlformats.org/officeDocument/2006/relationships/hyperlink" Target="file:///C:\Users\Eddri\AppData\Roaming\Microsoft\PT.%20SJIO%20DUMAI\DO%20INV\PT.%20SJIO%20DO%201111%20(PO%20%20078)%2001.xlsm" TargetMode="External"/><Relationship Id="rId309" Type="http://schemas.openxmlformats.org/officeDocument/2006/relationships/hyperlink" Target="file:///C:\Users\Eddri\AppData\Roaming\Microsoft\Excel\%20DO%201124%20(PO%20%20)%2007.xlsm" TargetMode="External"/><Relationship Id="rId516" Type="http://schemas.openxmlformats.org/officeDocument/2006/relationships/hyperlink" Target="file:///C:\Users\Eddri\AppData\Roaming\Microsoft\Excel\%20DO%201333%20(PO%20%20)%20'07%20-%20PARTIAL%20-%20N6,7,8.xlsm" TargetMode="External"/><Relationship Id="rId723" Type="http://schemas.openxmlformats.org/officeDocument/2006/relationships/hyperlink" Target="file:///C:\Users\Eddri\AppData\Roaming\Microsoft\PT.%20Agro%20Raya%20Mas\DO%20INV\PT.%20ARM%20DO%201507%20(PO%20%2025901328)%2007%20-%20PARTIAL%20-%20N2.xlsm" TargetMode="External"/><Relationship Id="rId930" Type="http://schemas.openxmlformats.org/officeDocument/2006/relationships/hyperlink" Target="file:///C:\Users\Eddri\AppData\Roaming\Microsoft\Excel\PT.%20Agro%20Raya%20Mas\DO%20INV\PT.%20ARM%20DO%201692%20(PO%20%2026%2000100)%2007%20-%20PARTIAL%20COMPLETED%20-%20N1,2,3,5,6.xlsm" TargetMode="External"/><Relationship Id="rId1006" Type="http://schemas.openxmlformats.org/officeDocument/2006/relationships/hyperlink" Target="../PT.%20Agro%20Murni/DO%20INV/PT.%20AGRO%20M%20DO%201757%20(PO%20%2026%2000168)%2001.xlsm" TargetMode="External"/><Relationship Id="rId155" Type="http://schemas.openxmlformats.org/officeDocument/2006/relationships/hyperlink" Target="file:///C:\Users\Eddri\AppData\Roaming\Microsoft\PT.%20SJIO%20DUMAI\DO%20INV\PT.%20SJIO%20DO%20974%20(PO%20%20068)%20.xlsm" TargetMode="External"/><Relationship Id="rId362" Type="http://schemas.openxmlformats.org/officeDocument/2006/relationships/hyperlink" Target="file:///C:\Users\Eddri\AppData\Roaming\Microsoft\PT.%20Simpang%20Kanan%20Lestarindo\DO%20INV\PT.%20SKL%20DO%201176%20(PO%20%2025%2000055)%2001.xlsm" TargetMode="External"/><Relationship Id="rId222" Type="http://schemas.openxmlformats.org/officeDocument/2006/relationships/hyperlink" Target="file:///C:\Users\Eddri\AppData\Roaming\Microsoft\PT.%20Simpang%20Kanan%20Lestarindo\DO%20INV\PT.%20SKL%20DO%201037%20(PO%20%2024%2001058)%2001.xlsm" TargetMode="External"/><Relationship Id="rId667" Type="http://schemas.openxmlformats.org/officeDocument/2006/relationships/hyperlink" Target="file:///C:\Users\Eddri\AppData\Roaming\Microsoft\PT.%20SJIO%20DUMAI\DO%20INV\PT.%20SJIO%20DO%201456%20(PO%20%20944)%2001%20-%20PARTIAL%20-%20N1,2,3,5,6.xlsm" TargetMode="External"/><Relationship Id="rId874" Type="http://schemas.openxmlformats.org/officeDocument/2006/relationships/hyperlink" Target="file:///C:\Users\Eddri\AppData\Roaming\Microsoft\Excel\PT.%20Agro%20Raya%20Mas\DO%20INV\PT.%20ARM%20DO%201641%20(PO%20%2025%2000278)%2001.xlsm" TargetMode="External"/><Relationship Id="rId17" Type="http://schemas.openxmlformats.org/officeDocument/2006/relationships/hyperlink" Target="about:blank" TargetMode="External"/><Relationship Id="rId527" Type="http://schemas.openxmlformats.org/officeDocument/2006/relationships/hyperlink" Target="file:///C:\Users\Eddri\AppData\Roaming\Microsoft\PT.%20Agro%20Murni\DO%20INV\PT.%20AGRO%20M%20DO%201345%20(PO%20%2025%2000493)%2007.xlsm" TargetMode="External"/><Relationship Id="rId734" Type="http://schemas.openxmlformats.org/officeDocument/2006/relationships/hyperlink" Target="file:///C:\Users\Eddri\AppData\Roaming\Microsoft\Excel\%20DO%201517%20(PO%20%20)%2001.xlsm" TargetMode="External"/><Relationship Id="rId941" Type="http://schemas.openxmlformats.org/officeDocument/2006/relationships/hyperlink" Target="file:///C:\Users\Eddri\AppData\Roaming\Microsoft\Excel\PT.%20Agro%20Raya%20Mas\DO%20INV\PT.%20ARM%20DO%201702%20(PO%20%2026%2000130)%2001.xlsm" TargetMode="External"/><Relationship Id="rId70" Type="http://schemas.openxmlformats.org/officeDocument/2006/relationships/hyperlink" Target="http://../PT.%20Agro%20Murni/DO%20INV/PT.%20AGRO%20M%20DO%20864%20(PO%20%2024%2000497)%20.xlsm" TargetMode="External"/><Relationship Id="rId166" Type="http://schemas.openxmlformats.org/officeDocument/2006/relationships/hyperlink" Target="file:///C:\Users\Eddri\AppData\Roaming\Microsoft\PT.%20SJIO%20DUMAI\DO%20INV\PT.%20SJIO%20DO%20984%20(PO%20%20074)%2001.xlsm" TargetMode="External"/><Relationship Id="rId373" Type="http://schemas.openxmlformats.org/officeDocument/2006/relationships/hyperlink" Target="file:///C:\Users\Eddri\AppData\Roaming\Microsoft\PT.%20Able%20Commodities%20Indonesia\DO%20INV\PT.%20ABLE%20DO%201186%20(PO%20%2025900410)%2007.xlsm" TargetMode="External"/><Relationship Id="rId580" Type="http://schemas.openxmlformats.org/officeDocument/2006/relationships/hyperlink" Target="file:///C:\Users\Eddri\AppData\Roaming\Microsoft\PT.%20Agro%20Raya%20Mas\DO%20INV\PT.%20ARM%20DO%201390%20(PO%20%2025901027)%2001.xlsm" TargetMode="External"/><Relationship Id="rId801" Type="http://schemas.openxmlformats.org/officeDocument/2006/relationships/hyperlink" Target="file:///C:\Users\Eddri\AppData\Roaming\Microsoft\PT.%20SJIO%20DUMAI\DO%20INV\PT.%20SJIO%20DO%201576%20(PO%20%20SJIO%20PROJ%20PO%202510%201191)%2001%20-%20PARTIAL%20-%20N2.xlsm" TargetMode="External"/><Relationship Id="rId1017" Type="http://schemas.openxmlformats.org/officeDocument/2006/relationships/hyperlink" Target="../PT.%20KIP/DO%20INV/PT.%20KIP%20DO%201766%20(PO%20%2026%2000125)%2001%20-%20PARTIAL%20%20COMPLETED%20-%20N3.xlsm" TargetMode="External"/><Relationship Id="rId1" Type="http://schemas.openxmlformats.org/officeDocument/2006/relationships/hyperlink" Target="about:blank" TargetMode="External"/><Relationship Id="rId233" Type="http://schemas.openxmlformats.org/officeDocument/2006/relationships/hyperlink" Target="file:///C:\Users\Eddri\AppData\Roaming\Microsoft\PT.%20Pacific%20Palmindo%20Industri\DO%20INV\PT.%20PPI%20DO%201047%20(PO%20%204714044625)%2007.xlsm" TargetMode="External"/><Relationship Id="rId440" Type="http://schemas.openxmlformats.org/officeDocument/2006/relationships/hyperlink" Target="file:///C:\Users\Eddri\AppData\Roaming\Microsoft\PT.%20Simpang%20Kanan%20Lestarindo\DO%20INV\PT.%20SKL%20DO%201242%20(PO%20%2025%2000244)%2001.xlsm" TargetMode="External"/><Relationship Id="rId678" Type="http://schemas.openxmlformats.org/officeDocument/2006/relationships/hyperlink" Target="file:///C:\Users\Eddri\AppData\Roaming\Microsoft\PT.%20KIP\DO%20INV\PT.%20KIP%20DO%201464%20(PO%20%2025%2000419)%2001.xlsm" TargetMode="External"/><Relationship Id="rId885" Type="http://schemas.openxmlformats.org/officeDocument/2006/relationships/hyperlink" Target="file:///C:\Users\Eddri\AppData\Roaming\Microsoft\Excel\PT.%20Agro%20Raya%20Mas\DO%20INV\PT.%20ARM%20DO%201650%20(PO%20%2025%2000288)%2007%20-%20PARTIAL%20-%20N1.xlsm" TargetMode="External"/><Relationship Id="rId28" Type="http://schemas.openxmlformats.org/officeDocument/2006/relationships/hyperlink" Target="http://../PT.%20Able%20Commodities%20Indonesia/DO%20INV/PT.%20ABLE%20DO%20823%20(PO%20%2024900553)%20.xlsm" TargetMode="External"/><Relationship Id="rId300" Type="http://schemas.openxmlformats.org/officeDocument/2006/relationships/hyperlink" Target="file:///C:\Users\Eddri\AppData\Roaming\Microsoft\PT.%20Pacific%20Palmindo%20Industri\DO%20INV\PT.%20PPI%20DO%201117%20(PO%20%204714045030)%2001.xlsm" TargetMode="External"/><Relationship Id="rId538" Type="http://schemas.openxmlformats.org/officeDocument/2006/relationships/hyperlink" Target="file:///C:\Users\Eddri\AppData\Roaming\Microsoft\PT.%20Agro%20Raya%20Mas\DO%20INV\PT.%20ARM%20DO%201353%20(PO%20%2025900926)%2007.xlsm" TargetMode="External"/><Relationship Id="rId745" Type="http://schemas.openxmlformats.org/officeDocument/2006/relationships/hyperlink" Target="file:///C:\Users\Eddri\AppData\Roaming\Microsoft\Excel\%20DO%201527%20(PO%20%20)%2001.xlsm" TargetMode="External"/><Relationship Id="rId952" Type="http://schemas.openxmlformats.org/officeDocument/2006/relationships/hyperlink" Target="file:///C:\Users\Eddri\AppData\Roaming\Microsoft\Excel\PT.%20SJIO%20DUMAI\DO%20INV\PT.%20SJIO%20DO%201693%20(PO%20%20SJIO%20REF%20PO%202512%201624)%2001.xlsm" TargetMode="External"/><Relationship Id="rId81" Type="http://schemas.openxmlformats.org/officeDocument/2006/relationships/hyperlink" Target="file:///C:\Users\Eddri\AppData\Roaming\Microsoft\PT.%20Able%20Commodities%20Indonesia\DO%20INV\PT.%20ABLE%20DO%20899%20(PO%20%2024900689)%20.xlsm" TargetMode="External"/><Relationship Id="rId177" Type="http://schemas.openxmlformats.org/officeDocument/2006/relationships/hyperlink" Target="file:///C:\Users\Eddri\AppData\Roaming\Microsoft\PT.%20Pacific%20Palmindo%20Industri\DO%20INV\%20DO%20994%20(PO%20%20)%2001.xlsm" TargetMode="External"/><Relationship Id="rId384" Type="http://schemas.openxmlformats.org/officeDocument/2006/relationships/hyperlink" Target="file:///C:\Users\Eddri\AppData\Roaming\Microsoft\PT.%20Pacific%20Palmindo%20Industri\DO%20INV\PT.%20PPI%20DO%201196%20(PO%20%204714045317)%2001.xlsm" TargetMode="External"/><Relationship Id="rId591" Type="http://schemas.openxmlformats.org/officeDocument/2006/relationships/hyperlink" Target="file:///C:\Users\Eddri\AppData\Roaming\Microsoft\PT.%20Agro%20Raya%20Mas\DO%20INV\PT.%20ARM%20DO%201394%20(PO%20%2025900995)%20REV%201%2007%20-%20PARTIAL%20COMPLETE%20-%20N2.xlsm" TargetMode="External"/><Relationship Id="rId605" Type="http://schemas.openxmlformats.org/officeDocument/2006/relationships/hyperlink" Target="file:///C:\Users\Eddri\AppData\Roaming\Microsoft\PT.%20Simpang%20Kanan%20Lestarindo\DO%20INV\PT.%20SKL%20DO%201410%20(PO%20%2025%2000446)%2001.xlsm" TargetMode="External"/><Relationship Id="rId812" Type="http://schemas.openxmlformats.org/officeDocument/2006/relationships/hyperlink" Target="file:///C:\Users\Eddri\AppData\Roaming\Microsoft\PT.%20Agro%20Raya%20Mas\DO%20INV\PT.%20ARM%20DO%201584%20(PO%20%2025%2000132)%2007%20-%20PARTIAL%20-%20N1.xlsm" TargetMode="External"/><Relationship Id="rId1028" Type="http://schemas.openxmlformats.org/officeDocument/2006/relationships/hyperlink" Target="../PT.%20SJIO%20DUMAI/DO%20INV/PT.%20SJIO%20DO%201778%20(PO%20%20SJIO%20REF%20PO%202601%200052)%2001%20-%20PARTIAL%20COMPLETED%20-%20N2%20(COMPLETED%203%20PACK).xlsm" TargetMode="External"/><Relationship Id="rId244" Type="http://schemas.openxmlformats.org/officeDocument/2006/relationships/hyperlink" Target="file:///C:\Users\Eddri\AppData\Roaming\Microsoft\PT.%20Able%20Commodities%20Indonesia\DO%20INV\PT.%20ABLE%20DO%201058%20(PO%20%2025900020)%2007.xlsm" TargetMode="External"/><Relationship Id="rId689" Type="http://schemas.openxmlformats.org/officeDocument/2006/relationships/hyperlink" Target="file:///C:\Users\Eddri\AppData\Roaming\Microsoft\PT.%20Simpang%20Kanan%20Lestarindo\DO%20INV\PT.%20SKL%20DO%201475%20(PO%20%2025%2000591)%2001.xlsm" TargetMode="External"/><Relationship Id="rId896" Type="http://schemas.openxmlformats.org/officeDocument/2006/relationships/hyperlink" Target="file:///C:\Users\Eddri\AppData\Roaming\Microsoft\Excel\PT.%20Simpang%20Kanan%20Lestarindo\DO%20INV\PT.%20SKL%20DO%201661%20(PO%20%2026%2000042)%2001.xlsm" TargetMode="External"/><Relationship Id="rId39" Type="http://schemas.openxmlformats.org/officeDocument/2006/relationships/hyperlink" Target="http://../PT.%20KIP/DO%20INV/PT.%20KIP%20DO%20834%20(PO%20%2024%2000424)%20.xlsm" TargetMode="External"/><Relationship Id="rId451" Type="http://schemas.openxmlformats.org/officeDocument/2006/relationships/hyperlink" Target="file:///C:\Users\Eddri\AppData\Roaming\Microsoft\PT.%20Pacific%20Palmindo%20Industri\DO%20INV\PT.%20PPI%20DO%201253%20(PO%20%204714045692)%2001.xlsm" TargetMode="External"/><Relationship Id="rId549" Type="http://schemas.openxmlformats.org/officeDocument/2006/relationships/hyperlink" Target="file:///C:\Users\Eddri\AppData\Roaming\Microsoft\PT.%20Simpang%20Kanan%20Lestarindo\DO%20INV\PT.%20SKL%20DO%201362%20(PO%20%2025%2000421)%2001.xlsm" TargetMode="External"/><Relationship Id="rId756" Type="http://schemas.openxmlformats.org/officeDocument/2006/relationships/hyperlink" Target="file:///C:\Users\Eddri\AppData\Roaming\Microsoft\PT.%20Simpang%20Kanan%20Lestarindo\DO%20INV\PT.%20SKL%20DO%201537%20(PO%20%20EMENTARA)%20DO%20SEMENTARA.xlsm" TargetMode="External"/><Relationship Id="rId104" Type="http://schemas.openxmlformats.org/officeDocument/2006/relationships/hyperlink" Target="file:///C:\Users\Eddri\AppData\Roaming\Microsoft\PT.%20Able%20Commodities%20Indonesia\DO%20INV\PT.%20ABLE%20DO%20921%20(PO%20%2024900690)%20n1%2001.xlsm" TargetMode="External"/><Relationship Id="rId188" Type="http://schemas.openxmlformats.org/officeDocument/2006/relationships/hyperlink" Target="file:///C:\Users\Eddri\AppData\Roaming\Microsoft\PT.%20SJIO%20DUMAI\DO%20INV\PT.%20SJIO%20DO%201009%20(PO%20%20053)%2001.xlsm" TargetMode="External"/><Relationship Id="rId311" Type="http://schemas.openxmlformats.org/officeDocument/2006/relationships/hyperlink" Target="file:///C:\Users\Eddri\AppData\Roaming\Microsoft\PT.%20Able%20Commodities%20Indonesia\DO%20INV\PT.%20ABLE%20DO%201126%20(PO%20%2025900186)%2001%20N1-4.xlsm" TargetMode="External"/><Relationship Id="rId395" Type="http://schemas.openxmlformats.org/officeDocument/2006/relationships/hyperlink" Target="file:///C:\Users\Eddri\AppData\Roaming\Microsoft\PT.%20Able%20Commodities%20Indonesia\DO%20INV\PT.%20ABLE%20DO%201207%20(PO%20%2025900495)%2007%20%20N2,3,4.xlsm" TargetMode="External"/><Relationship Id="rId409" Type="http://schemas.openxmlformats.org/officeDocument/2006/relationships/hyperlink" Target="file:///C:\Users\Eddri\AppData\Roaming\Microsoft\PT.%20Agro%20Murni\DO%20INV\PT.%20AGRO%20M%20DO%201215%20(PO%20%2025%2000337)%20REV%201%2007.xlsm" TargetMode="External"/><Relationship Id="rId963" Type="http://schemas.openxmlformats.org/officeDocument/2006/relationships/hyperlink" Target="file:///C:\Users\Eddri\AppData\Roaming\Microsoft\Excel\PoS%20Delivery%20Order312396453763307236\%20DO%201718%20(PO%20%20)%2001%20-%20PARTIAL%20-%20N1.xlsm" TargetMode="External"/><Relationship Id="rId1039" Type="http://schemas.openxmlformats.org/officeDocument/2006/relationships/hyperlink" Target="../PT.%20SJIO%20DUMAI/DO%20INV/PT.%20SJIO%20DO%201768%20(PO%20%20SJIO%20BOILER%20PO%202602%200305)%20REV%201%2001%20-%20PARTIAL%20-%20N1,3.xlsm" TargetMode="External"/><Relationship Id="rId92" Type="http://schemas.openxmlformats.org/officeDocument/2006/relationships/hyperlink" Target="file:///C:\Users\Eddri\AppData\Roaming\Microsoft\PT.%20KIP\DO%20INV\PT.%20KIP%20DO%20909%20(PO%20%2024%2000496)%20.xlsm" TargetMode="External"/><Relationship Id="rId616" Type="http://schemas.openxmlformats.org/officeDocument/2006/relationships/hyperlink" Target="file:///C:\Users\Eddri\AppData\Roaming\Microsoft\PT.%20Agro%20Raya%20Mas\DO%20INV\PT.%20ARM%20DO%201421%20(PO%20%20%20)%20DO%20SEMENTARA.xlsm" TargetMode="External"/><Relationship Id="rId823" Type="http://schemas.openxmlformats.org/officeDocument/2006/relationships/hyperlink" Target="file:///C:\Users\Eddri\AppData\Roaming\Microsoft\PT.%20Agro%20Murni\DO%20INV\PT.%20AGRO%20M%20DO%201592%20(PO%20%2025%2001051)%2007%20-%20PARTIAL%20-%20N1,3.xlsm" TargetMode="External"/><Relationship Id="rId255" Type="http://schemas.openxmlformats.org/officeDocument/2006/relationships/hyperlink" Target="file:///C:\Users\Eddri\AppData\Roaming\Microsoft\PT.%20ENERGI%20UNGGUL%20PERSADA\DO%20INV\PT.ENERGI%20UNGGUL%20PERSADA%20DO%201068%20(PO%20%201002027560)%2007.xlsm" TargetMode="External"/><Relationship Id="rId462" Type="http://schemas.openxmlformats.org/officeDocument/2006/relationships/hyperlink" Target="file:///C:\Users\Eddri\AppData\Roaming\Microsoft\PT.%20KIP\DO%20INV\PT.%20KIP%20DO%201262%20(PO%20%2025%2000246)%2001.xlsm" TargetMode="External"/><Relationship Id="rId115" Type="http://schemas.openxmlformats.org/officeDocument/2006/relationships/hyperlink" Target="file:///C:\Users\Eddri\AppData\Roaming\Microsoft\PT.%20SJIO%20DUMAI\DO%20INV\PT.%20SJIO%20DO%20933%20(PO%20%20256)%2001.xlsm" TargetMode="External"/><Relationship Id="rId322" Type="http://schemas.openxmlformats.org/officeDocument/2006/relationships/hyperlink" Target="file:///C:\Users\Eddri\AppData\Roaming\Microsoft\PT.%20Able%20Commodities%20Indonesia\DO%20INV\PT.%20ABLE%20DO%201138%20(PO%20%2025900240)%2007.xlsm" TargetMode="External"/><Relationship Id="rId767" Type="http://schemas.openxmlformats.org/officeDocument/2006/relationships/hyperlink" Target="file:///C:\Users\Eddri\AppData\Roaming\Microsoft\PT.%20Agro%20Raya%20Mas\DO%20INV\PT.%20ARM%20DO%201547%20(PO%20%2025901416)%2007%20-%20PARTIAL%20(COMPLETED)%20-%20N1,2.xlsm" TargetMode="External"/><Relationship Id="rId974" Type="http://schemas.openxmlformats.org/officeDocument/2006/relationships/hyperlink" Target="file:///C:\Users\Eddri\AppData\Roaming\Microsoft\Excel\PT.%20Agro%20Raya%20Mas\DO%20INV\PT.%20ARM%20DO%201731%20(PO%20%2026%2000189)%2001.xlsm" TargetMode="External"/><Relationship Id="rId199" Type="http://schemas.openxmlformats.org/officeDocument/2006/relationships/hyperlink" Target="file:///C:\Users\Eddri\AppData\Roaming\Microsoft\PT.%20SJIO%20DUMAI\DO%20INV\PT.%20SJIO%20DO%201016%20(PO%20%20087)%2001%20N2.xlsm" TargetMode="External"/><Relationship Id="rId627" Type="http://schemas.openxmlformats.org/officeDocument/2006/relationships/hyperlink" Target="file:///C:\Users\Eddri\AppData\Roaming\Microsoft\PT.%20Simpang%20Kanan%20Lestarindo\DO%20INV\PT.%20SKL%20DO%201426%20(PO%20%2025%2000495)%2001.xlsm" TargetMode="External"/><Relationship Id="rId834" Type="http://schemas.openxmlformats.org/officeDocument/2006/relationships/hyperlink" Target="file:///C:\Users\Eddri\AppData\Roaming\Microsoft\Excel\%20DO%201603%20(PO%20%20)%2001.xlsm" TargetMode="External"/><Relationship Id="rId266" Type="http://schemas.openxmlformats.org/officeDocument/2006/relationships/hyperlink" Target="file:///C:\Users\Eddri\AppData\Roaming\Microsoft\PT.%20Able%20Commodities%20Indonesia\DO%20INV\PT.%20ABLE%20DO%201078%20(PO%20%2025900056)%2001.xlsm" TargetMode="External"/><Relationship Id="rId473" Type="http://schemas.openxmlformats.org/officeDocument/2006/relationships/hyperlink" Target="file:///C:\Users\Eddri\AppData\Roaming\Microsoft\PT.%20Able%20Commodities%20Indonesia\DO%20INV\%20DO%201269%20(PO%20%20)%2007.xlsm" TargetMode="External"/><Relationship Id="rId680" Type="http://schemas.openxmlformats.org/officeDocument/2006/relationships/hyperlink" Target="file:///C:\Users\Eddri\AppData\Roaming\Microsoft\PT.%20Agro%20Raya%20Mas\DO%20INV\PT.%20ARM%20DO%201466%20(PO%20%2025901275)%2007.xlsm" TargetMode="External"/><Relationship Id="rId901" Type="http://schemas.openxmlformats.org/officeDocument/2006/relationships/hyperlink" Target="file:///C:\Users\Eddri\AppData\Roaming\Microsoft\Excel\PT.%20Agro%20Raya%20Mas\DO%20INV\PT.%20ARM%20DO%201666%20(PO%20%2025%2000296)%2007%20-%20PARTIAL%20-%20N1.xlsm" TargetMode="External"/><Relationship Id="rId30" Type="http://schemas.openxmlformats.org/officeDocument/2006/relationships/hyperlink" Target="http://../PT.%20Simpang%20Kanan%20Lestarindo/DO%20INV/PT.%20SKL%20DO%20825%20(PO%20%2024%2000467)%20.xlsm" TargetMode="External"/><Relationship Id="rId126" Type="http://schemas.openxmlformats.org/officeDocument/2006/relationships/hyperlink" Target="file:///C:\Users\Eddri\AppData\Roaming\Microsoft\PT.%20Pacific%20Palmindo%20Industri\DO%20INV\PT.%20PPI%20DO%20944%20(PO%20%204714043436)%2001.xlsm" TargetMode="External"/><Relationship Id="rId333" Type="http://schemas.openxmlformats.org/officeDocument/2006/relationships/hyperlink" Target="file:///C:\Users\Eddri\AppData\Roaming\Microsoft\PT.%20Able%20Commodities%20Indonesia\DO%20INV\PT.%20ABLE%20DO%201149%20(PO%20%2025900231)%2007.xlsm" TargetMode="External"/><Relationship Id="rId540" Type="http://schemas.openxmlformats.org/officeDocument/2006/relationships/hyperlink" Target="file:///C:\Users\Eddri\AppData\Roaming\Microsoft\GROUP%20Apical%20Group\PT.%20Sari%20Dumai%20Sejati\DO%20INV\PT.%20SDS%20DO%201354%20(PO%20%204500417910)%2007.xlsm" TargetMode="External"/><Relationship Id="rId778" Type="http://schemas.openxmlformats.org/officeDocument/2006/relationships/hyperlink" Target="file:///C:\Users\Eddri\AppData\Roaming\Microsoft\PT.%20Simpang%20Kanan%20Lestarindo\DO%20INV\PT.%20SKL%20DO%201558%20(PO%20%2025%2000825)%2001.xlsm" TargetMode="External"/><Relationship Id="rId985" Type="http://schemas.openxmlformats.org/officeDocument/2006/relationships/hyperlink" Target="file:///C:\Users\Eddri\AppData\Roaming\Microsoft\Excel\PT.%20Pacific%20Palmindo%20Industri\DO%20INV\PT.%20PPI%20DO%201741%20(PO%20%20SAMPLE)%20SAMPLE.xlsm" TargetMode="External"/><Relationship Id="rId638" Type="http://schemas.openxmlformats.org/officeDocument/2006/relationships/hyperlink" Target="file:///C:\Users\Eddri\AppData\Roaming\Microsoft\PT.%20Agro%20Raya%20Mas\DO%20INV\PT.%20ARM%20DO%201420%20(PO%20%2025900942)%2007%20-%20PARTIAL%20COMPLETE%20-%20N6(10PCS),13,20,21.xlsm" TargetMode="External"/><Relationship Id="rId845" Type="http://schemas.openxmlformats.org/officeDocument/2006/relationships/hyperlink" Target="file:///C:\Users\Eddri\AppData\Roaming\Microsoft\PT.%20Agro%20Murni\DO%20INV\PT.%20AGRO%20M%20DO%201614%20(PO%20%2025%2001092)%2007.xlsm" TargetMode="External"/><Relationship Id="rId1030" Type="http://schemas.openxmlformats.org/officeDocument/2006/relationships/hyperlink" Target="../PT.%20KIP/DO%20INV/PT.%20KIP%20DO%201780%20(PO%20%20EMENTARA)%20DO%20SEMENTARA.xlsm" TargetMode="External"/><Relationship Id="rId277" Type="http://schemas.openxmlformats.org/officeDocument/2006/relationships/hyperlink" Target="file:///C:\Users\Eddri\AppData\Roaming\Microsoft\PT.%20Able%20Commodities%20Indonesia\DO%20INV\PT.%20ABLE%20DO%201099%20(PO%20%2025900104)%2007%20N2-3.xlsm" TargetMode="External"/><Relationship Id="rId400" Type="http://schemas.openxmlformats.org/officeDocument/2006/relationships/hyperlink" Target="file:///C:\Users\Eddri\AppData\Roaming\Microsoft\PT.%20Agro%20Murni\DO%20INV\PT.%20AGRO%20M%20DO%201210%20(PO%20%2025%2000313)%2001.xlsm" TargetMode="External"/><Relationship Id="rId484" Type="http://schemas.openxmlformats.org/officeDocument/2006/relationships/hyperlink" Target="file:///C:\Users\Eddri\AppData\Roaming\Microsoft\PT.%20Simpang%20Kanan%20Lestarindo\DO%20INV\PT.%20SKL%20DO%201280%20(PO%20%2025%2000310)%2001.xlsm" TargetMode="External"/><Relationship Id="rId705" Type="http://schemas.openxmlformats.org/officeDocument/2006/relationships/hyperlink" Target="file:///C:\Users\Eddri\AppData\Roaming\Microsoft\PT.%20KIP\DO%20INV\PT.%20KIP%20DO%201490%20(PO%20%2025%2000321)%2001.xlsm" TargetMode="External"/><Relationship Id="rId137" Type="http://schemas.openxmlformats.org/officeDocument/2006/relationships/hyperlink" Target="file:///C:\Users\Eddri\AppData\Roaming\Microsoft\PT.%20RAILINK%20CABANG%20MEDAN\DO%20INV\PT.%20RAILINK%20CABANG%20MEDAN%20DO%20956%20(PO%20%20%20)%20.xlsm" TargetMode="External"/><Relationship Id="rId344" Type="http://schemas.openxmlformats.org/officeDocument/2006/relationships/hyperlink" Target="file:///C:\Users\Eddri\AppData\Roaming\Microsoft\PT.%20Simpang%20Kanan%20Lestarindo\DO%20INV\PT.%20SKL%20DO%201158%20(PO%20%2025%2000131)%2001.xlsm" TargetMode="External"/><Relationship Id="rId691" Type="http://schemas.openxmlformats.org/officeDocument/2006/relationships/hyperlink" Target="file:///C:\Users\Eddri\AppData\Roaming\Microsoft\Excel\%20DO%201477%20(PO%20%20)%2001%20-%20PARTIAL%20-%20N1,2,3,12,13,14,15.xlsm" TargetMode="External"/><Relationship Id="rId789" Type="http://schemas.openxmlformats.org/officeDocument/2006/relationships/hyperlink" Target="file:///C:\Users\Eddri\AppData\Roaming\Microsoft\PT.%20Simpang%20Kanan%20Lestarindo\DO%20INV\PT.%20SKL%20DO%201567%20(PO%20%2025%2000828)%2001.xlsm" TargetMode="External"/><Relationship Id="rId912" Type="http://schemas.openxmlformats.org/officeDocument/2006/relationships/hyperlink" Target="file:///C:\Users\Eddri\AppData\Roaming\Microsoft\Excel\PT.%20Agro%20Raya%20Mas\DO%20INV\PT.%20ARM%20DO%201668%20(PO%20%2026%2000046)%20REV%201%2001%20-%20PARTIAL%20-%20N2%20(RED,GREEN).xlsm" TargetMode="External"/><Relationship Id="rId996" Type="http://schemas.openxmlformats.org/officeDocument/2006/relationships/hyperlink" Target="file:///C:\Users\Eddri\AppData\Roaming\Microsoft\Excel\PT.%20Agro%20Raya%20Mas\DO%20INV\PT.%20ARM%20DO%201750%20(PO%20%2026%2000231)%2001.xlsm" TargetMode="External"/><Relationship Id="rId41" Type="http://schemas.openxmlformats.org/officeDocument/2006/relationships/hyperlink" Target="http://../PT.%20Agro%20Murni/DO%20INV/PT.%20AGRO%20M%20DO%20836%20(PO%20%2024%2000517)%20.xlsm" TargetMode="External"/><Relationship Id="rId551" Type="http://schemas.openxmlformats.org/officeDocument/2006/relationships/hyperlink" Target="file:///C:\Users\Eddri\AppData\Roaming\Microsoft\PT.%20Agro%20Murni\DO%20INV\PT.%20AGRO%20M%20DO%201364%20(PO%20%2025%2000405)%2007%20-%20BARANG%20PERGANTIAN.xlsm" TargetMode="External"/><Relationship Id="rId649" Type="http://schemas.openxmlformats.org/officeDocument/2006/relationships/hyperlink" Target="file:///C:\Users\Eddri\AppData\Roaming\Microsoft\PT.%20Pacific%20Palmindo%20Industri\DO%20INV\PT.%20PPI%20DO%201441%20(PO%20%204714045796)%2001%20-%20PARTIAL%20COMPLETE.xlsm" TargetMode="External"/><Relationship Id="rId856" Type="http://schemas.openxmlformats.org/officeDocument/2006/relationships/hyperlink" Target="file:///C:\Users\Eddri\AppData\Roaming\Microsoft\PT.%20Agro%20Raya%20Mas\DO%20INV\PT.%20ARM%20DO%201624%20(PO%20%2025%2000222)%2001.xlsm" TargetMode="External"/><Relationship Id="rId190" Type="http://schemas.openxmlformats.org/officeDocument/2006/relationships/hyperlink" Target="file:///C:\Users\Eddri\AppData\Roaming\Microsoft\PT.%20Simpang%20Kanan%20Lestarindo\DO%20INV\PT.%20SKL%20DO%201011%20(PO%20%2024%2001017)%2001.xlsm" TargetMode="External"/><Relationship Id="rId204" Type="http://schemas.openxmlformats.org/officeDocument/2006/relationships/hyperlink" Target="file:///C:\Users\Eddri\AppData\Roaming\Microsoft\PT.%20Simpang%20Kanan%20Lestarindo\DO%20INV\PT.%20SKL%20DO%201020%20(PO%20%2024%2001033)%2001.xlsm" TargetMode="External"/><Relationship Id="rId288" Type="http://schemas.openxmlformats.org/officeDocument/2006/relationships/hyperlink" Target="file:///C:\Users\Eddri\AppData\Roaming\Microsoft\PT.%20Able%20Commodities%20Indonesia\DO%20INV\PT.%20ABLE%20DO%201104%20(PO%20%2025900113)%2007%20N1,N5.xlsm" TargetMode="External"/><Relationship Id="rId411" Type="http://schemas.openxmlformats.org/officeDocument/2006/relationships/hyperlink" Target="file:///C:\Users\Eddri\AppData\Roaming\Microsoft\PT.%20KIP\DO%20INV\PT.%20KIP%20DO%201217%20(PO%20%2025%2000156)%2001.xlsm" TargetMode="External"/><Relationship Id="rId509" Type="http://schemas.openxmlformats.org/officeDocument/2006/relationships/hyperlink" Target="file:///C:\Users\Eddri\AppData\Roaming\Microsoft\PT.%20Simpang%20Kanan%20Lestarindo\DO%20INV\PT.%20SKL%20DO%201327%20(PO%20%2025%2000370)%2001.xlsm" TargetMode="External"/><Relationship Id="rId1041" Type="http://schemas.openxmlformats.org/officeDocument/2006/relationships/hyperlink" Target="../PT.%20Pacific%20Palmindo%20Industri/DO%20INV/PT.%20PPI%20DO%201786%20(PO%20%204714048836)%2007.xlsm" TargetMode="External"/><Relationship Id="rId495" Type="http://schemas.openxmlformats.org/officeDocument/2006/relationships/hyperlink" Target="file:///C:\Users\Eddri\AppData\Roaming\Microsoft\PT.%20Pacific%20Palmindo%20Industri\DO%20INV\PT.%20PPI%20DO%201291%20(PO%20%204714046073)%2007.xlsm" TargetMode="External"/><Relationship Id="rId716" Type="http://schemas.openxmlformats.org/officeDocument/2006/relationships/hyperlink" Target="file:///C:\Users\Eddri\AppData\Roaming\Microsoft\Excel\%20DO%201501%20(PO%20%20)%2001.xlsm" TargetMode="External"/><Relationship Id="rId923" Type="http://schemas.openxmlformats.org/officeDocument/2006/relationships/hyperlink" Target="file:///C:\Users\Eddri\AppData\Roaming\Microsoft\Excel\PT.%20SATU\DO%20INV\PT.%20SATU%20DO%201685%20(PO%20%20%20%20)%20.xlsm" TargetMode="External"/><Relationship Id="rId52" Type="http://schemas.openxmlformats.org/officeDocument/2006/relationships/hyperlink" Target="about:blank" TargetMode="External"/><Relationship Id="rId148" Type="http://schemas.openxmlformats.org/officeDocument/2006/relationships/hyperlink" Target="file:///C:\Users\Eddri\AppData\Roaming\Microsoft\PT.%20Pacific%20Palmindo%20Industri\DO%20INV\PT.%20PPI%20DO%20966%20(PO%20%204714043908)%2001.xlsm" TargetMode="External"/><Relationship Id="rId355" Type="http://schemas.openxmlformats.org/officeDocument/2006/relationships/hyperlink" Target="file:///C:\Users\Eddri\AppData\Roaming\Microsoft\PT.%20Able%20Commodities%20Indonesia\DO%20INV\PT.%20ABLE%20DO%201169%20(PO%20%2025900262)%2007%20N2,9,10,11(-1PCS).xlsm" TargetMode="External"/><Relationship Id="rId562" Type="http://schemas.openxmlformats.org/officeDocument/2006/relationships/hyperlink" Target="file:///C:\Users\Eddri\AppData\Roaming\Microsoft\PT.%20Pacific%20Palmindo%20Industri\DO%20INV\PT.%20PPI%20DO%201372%20(PO%20%204714046355)%2001.xlsm" TargetMode="External"/><Relationship Id="rId215" Type="http://schemas.openxmlformats.org/officeDocument/2006/relationships/hyperlink" Target="file:///C:\Users\Eddri\AppData\Roaming\Microsoft\Excel\%20DO%201031%20(PO%20%20)%20EXCLUDE%20PPN.xlsm" TargetMode="External"/><Relationship Id="rId422" Type="http://schemas.openxmlformats.org/officeDocument/2006/relationships/hyperlink" Target="file:///C:\Users\Eddri\AppData\Roaming\Microsoft\PT.%20Able%20Commodities%20Indonesia\DO%20INV\PT.%20ABLE%20DO%201227%20(PO%20%2025900559)%2007%20PARTIAL%20N2.xlsm" TargetMode="External"/><Relationship Id="rId867" Type="http://schemas.openxmlformats.org/officeDocument/2006/relationships/hyperlink" Target="file:///C:\Users\Eddri\AppData\Roaming\Microsoft\Excel\PT.%20Agro%20Raya%20Mas\DO%20INV\PT.%20ARM%20DO%201634%20(PO%20%2025%2000197)%2001%20-%20PARTIAL%20COMPLETE%20-%20135%20ROLL%20(TOTAL%20238%20ROLL).xlsm" TargetMode="External"/><Relationship Id="rId1052" Type="http://schemas.openxmlformats.org/officeDocument/2006/relationships/hyperlink" Target="../PT.%20KIP/DO%20INV/PT.%20KIP%20DO%201796%20(PO%20%2026%2000162)%2001%20-%20PARTIAL%20COMPLETED%20-%20N1.xlsm" TargetMode="External"/><Relationship Id="rId299" Type="http://schemas.openxmlformats.org/officeDocument/2006/relationships/hyperlink" Target="file:///C:\Users\Eddri\AppData\Roaming\Microsoft\PT.%20Pacific%20Palmindo%20Industri\DO%20INV\PT.%20PPI%20DO%201116%20(PO%20%204714044991)%2001.xlsm" TargetMode="External"/><Relationship Id="rId727" Type="http://schemas.openxmlformats.org/officeDocument/2006/relationships/hyperlink" Target="file:///C:\Users\Eddri\AppData\Roaming\Microsoft\PT.%20SJIO%20DUMAI\DO%20INV\PT.%20SJIO%20DO%201510%20(PO%20%20SJIO%20REF%20PO%202509%201031)%2001%20-%20PARTIAL%20-%20N1,2,3,6,14.xlsm" TargetMode="External"/><Relationship Id="rId934" Type="http://schemas.openxmlformats.org/officeDocument/2006/relationships/hyperlink" Target="file:///C:\Users\Eddri\AppData\Roaming\Microsoft\Excel\PT.%20Agro%20Raya%20Mas\DO%20INV\PT.%20ARM%20DO%201696%20(PO%20%2026%2000143)%2001.xlsm" TargetMode="External"/><Relationship Id="rId63" Type="http://schemas.openxmlformats.org/officeDocument/2006/relationships/hyperlink" Target="http://../PT.%20Agro%20Murni/DO%20INV/PT.%20AGRO%20M%20DO%20857%20(PO%20%2024%2000501)%20.xlsm" TargetMode="External"/><Relationship Id="rId159" Type="http://schemas.openxmlformats.org/officeDocument/2006/relationships/hyperlink" Target="file:///C:\Users\Eddri\AppData\Roaming\Microsoft\PT.%20SJIO%20DUMAI\DO%20INV\PT.%20SJIO%20DO%20977%20(PO%20%20033)%20N1,4,5.xlsm" TargetMode="External"/><Relationship Id="rId366" Type="http://schemas.openxmlformats.org/officeDocument/2006/relationships/hyperlink" Target="file:///C:\Users\Eddri\AppData\Roaming\Microsoft\PT.%20Able%20Commodities%20Indonesia\DO%20INV\PT.%20ABLE%20DO%201179%20(PO%20%2025900405)%2007.xlsm" TargetMode="External"/><Relationship Id="rId573" Type="http://schemas.openxmlformats.org/officeDocument/2006/relationships/hyperlink" Target="file:///C:\Users\Eddri\AppData\Roaming\Microsoft\PT.%20Agro%20Raya%20Mas\DO%20INV\PT.%20ARM%20DO%201383%20(PO%20%2025900995)%2007%20-%20PARTIAL%20-%20N1.xlsm" TargetMode="External"/><Relationship Id="rId780" Type="http://schemas.openxmlformats.org/officeDocument/2006/relationships/hyperlink" Target="file:///C:\Users\Eddri\AppData\Roaming\Microsoft\PT.%20SJIO%20DUMAI\DO%20INV\PT.%20SJIO%20DO%201560%20(PO%20%20SJIO%20BOILER%20PO%202510%201314)%2001.xlsm" TargetMode="External"/><Relationship Id="rId226" Type="http://schemas.openxmlformats.org/officeDocument/2006/relationships/hyperlink" Target="file:///C:\Users\Eddri\AppData\Roaming\Microsoft\PT.%20Pacific%20Palmindo%20Industri\DO%20INV\PT.%20PPI%20DO%201040%20(PO%20%204714044625)%2001%20N2.xlsm" TargetMode="External"/><Relationship Id="rId433" Type="http://schemas.openxmlformats.org/officeDocument/2006/relationships/hyperlink" Target="file:///C:\Users\Eddri\AppData\Roaming\Microsoft\PT.%20Able%20Commodities%20Indonesia\DO%20INV\PT.%20ABLE%20DO%201237%20(PO%20%2025900080)%2001%20PARTIAL%20COMPLETE%20%20-%20N2.xlsm" TargetMode="External"/><Relationship Id="rId878" Type="http://schemas.openxmlformats.org/officeDocument/2006/relationships/hyperlink" Target="file:///C:\Users\Eddri\AppData\Roaming\Microsoft\Excel\PoS%20Delivery%20Order312396453763307236\%20DO%201645%20(PO%20%20)%2001.xlsm" TargetMode="External"/><Relationship Id="rId640" Type="http://schemas.openxmlformats.org/officeDocument/2006/relationships/hyperlink" Target="file:///C:\Users\Eddri\AppData\Roaming\Microsoft\PT.%20Pacific%20Palmindo%20Industri\DO%20INV\PT.%20PPI%20DO%201435%20(PO%20%204714046813)%2001.xlsm" TargetMode="External"/><Relationship Id="rId738" Type="http://schemas.openxmlformats.org/officeDocument/2006/relationships/hyperlink" Target="file:///C:\Users\Eddri\AppData\Roaming\Microsoft\PT.%20Agro%20Murni\DO%20INV\PT.%20AGRO%20M%20DO%201521%20(PO%20%2025%2000024)%2007%20-%20PARTIAL%20PENGIRIMAN%20KE%202%20-%20N4.xlsm" TargetMode="External"/><Relationship Id="rId945" Type="http://schemas.openxmlformats.org/officeDocument/2006/relationships/hyperlink" Target="file:///C:\Users\Eddri\AppData\Roaming\Microsoft\Excel\PT.%20PALUTA%20INTI%20SAWIT\DO%20INV\PT.%20PIS%20DO%201704%20(PO%20%2026%2000052)%2001.xlsm" TargetMode="External"/><Relationship Id="rId74" Type="http://schemas.openxmlformats.org/officeDocument/2006/relationships/hyperlink" Target="http://../PT.%20KIP/DO%20INV/PT.%20KIP%20DO%20868%20(PO%20%2024%2000462)%20.xlsm" TargetMode="External"/><Relationship Id="rId377" Type="http://schemas.openxmlformats.org/officeDocument/2006/relationships/hyperlink" Target="file:///C:\Users\Eddri\AppData\Roaming\Microsoft\PT.%20Able%20Commodities%20Indonesia\DO%20INV\PT.%20ABLE%20DO%201190%20(PO%20%2025900403)%2007.xlsm" TargetMode="External"/><Relationship Id="rId500" Type="http://schemas.openxmlformats.org/officeDocument/2006/relationships/hyperlink" Target="file:///C:\Users\Eddri\AppData\Roaming\Microsoft\PT.%20SWP\DO%20INV\PT.%20SWP%20DO%201295%20(PO%20%204000293614)%2007.xlsm" TargetMode="External"/><Relationship Id="rId584" Type="http://schemas.openxmlformats.org/officeDocument/2006/relationships/hyperlink" Target="file:///C:\Users\Eddri\AppData\Roaming\Microsoft\PT.%20Agro%20Raya%20Mas\DO%20INV\PT.%20ARM%20DO%201394%20(PO%20%2025900995)%2007%20-%20PARTIAL%20COMPLETE%20-%20N2.xlsm" TargetMode="External"/><Relationship Id="rId805" Type="http://schemas.openxmlformats.org/officeDocument/2006/relationships/hyperlink" Target="file:///C:\Users\Eddri\AppData\Roaming\Microsoft\PT.%20SJIO%20DUMAI\DO%20INV\PT.%20SJIO%20DO%201578%20(PO%20%20%20)%2001%20-%20DO%20SEMENTARA%20-%20Quote%202740.xlsm" TargetMode="External"/><Relationship Id="rId5" Type="http://schemas.openxmlformats.org/officeDocument/2006/relationships/hyperlink" Target="http://../PT.%20Pacific%20Palmindo%20Industri/DO%20INV/PT.%20PPI%20DO%20802%20(PO%20%204714042580)%20.xlsm" TargetMode="External"/><Relationship Id="rId237" Type="http://schemas.openxmlformats.org/officeDocument/2006/relationships/hyperlink" Target="file:///C:\Users\Eddri\AppData\Roaming\Microsoft\PT.%20Agro%20Murni\DO%20INV\PT.%20AGRO%20M%20DO%201051%20(PO%20%2024%2000510)%2007.xlsm" TargetMode="External"/><Relationship Id="rId791" Type="http://schemas.openxmlformats.org/officeDocument/2006/relationships/hyperlink" Target="file:///C:\Users\Eddri\AppData\Roaming\Microsoft\PT.%20Agro%20Raya%20Mas\DO%20INV\PT.%20ARM%20DO%201569%20(PO%20%2025%2000081)%2007.xlsm" TargetMode="External"/><Relationship Id="rId889" Type="http://schemas.openxmlformats.org/officeDocument/2006/relationships/hyperlink" Target="file:///C:\Users\Eddri\AppData\Roaming\Microsoft\Excel\PT.%20Agro%20Raya%20Mas\DO%20INV\PT.%20ARM%20DO%201654%20(PO%20%2026%2000017)%2001.xlsm" TargetMode="External"/><Relationship Id="rId444" Type="http://schemas.openxmlformats.org/officeDocument/2006/relationships/hyperlink" Target="file:///C:\Users\Eddri\AppData\Roaming\Microsoft\PT.%20Simpang%20Kanan%20Lestarindo\DO%20INV\PT.%20SKL%20DO%201246%20(PO%20%2025%2000253)%2001.xlsm" TargetMode="External"/><Relationship Id="rId651" Type="http://schemas.openxmlformats.org/officeDocument/2006/relationships/hyperlink" Target="file:///C:\Users\Eddri\AppData\Roaming\Microsoft\PT.%20Agro%20Raya%20Mas\DO%20INV\PT.%20ARM%20DO%201443%20(PO%20%20%20)%2001%20-%20SEMENTARA.xlsm" TargetMode="External"/><Relationship Id="rId749" Type="http://schemas.openxmlformats.org/officeDocument/2006/relationships/hyperlink" Target="file:///C:\Users\Eddri\AppData\Roaming\Microsoft\PT.%20Agro%20Raya%20Mas\DO%20INV\PT.%20ARM%20DO%201530%20(PO%20%2025901416)%2001%20-%20PARTIAL%20-%20N3,4,7.xlsm" TargetMode="External"/><Relationship Id="rId290" Type="http://schemas.openxmlformats.org/officeDocument/2006/relationships/hyperlink" Target="file:///C:\Users\Eddri\AppData\Roaming\Microsoft\PT.%20SJIO%20DUMAI\DO%20INV\PT.%20SJIO%20DO%201106%20(PO%20%20085)%2001%20-%20REPLACE%20BIASA%20MENJADI%20FULLDRAT.xlsm" TargetMode="External"/><Relationship Id="rId304" Type="http://schemas.openxmlformats.org/officeDocument/2006/relationships/hyperlink" Target="file:///C:\Users\Eddri\AppData\Roaming\Microsoft\PT.%20Able%20Commodities%20Indonesia\DO%20INV\PT.%20ABLE%20DO%201120%20(PO%20%2025900185)%2007.xlsm" TargetMode="External"/><Relationship Id="rId388" Type="http://schemas.openxmlformats.org/officeDocument/2006/relationships/hyperlink" Target="file:///C:\Users\Eddri\AppData\Roaming\Microsoft\PT.%20Able%20Commodities%20Indonesia\DO%20INV\PT.%20ABLE%20DO%201200%20(PO%20%2025900260)%20N1,2,3.xlsm" TargetMode="External"/><Relationship Id="rId511" Type="http://schemas.openxmlformats.org/officeDocument/2006/relationships/hyperlink" Target="file:///C:\Users\Eddri\AppData\Roaming\Microsoft\Excel\%20DO%201329%20(PO%20%20)%2007.xlsm" TargetMode="External"/><Relationship Id="rId609" Type="http://schemas.openxmlformats.org/officeDocument/2006/relationships/hyperlink" Target="file:///C:\Users\Eddri\AppData\Roaming\Microsoft\PT.%20KIP\DO%20INV\PT.%20KIP%20DO%201414%20(PO%20%2025%2000303)%2001.xlsm" TargetMode="External"/><Relationship Id="rId956" Type="http://schemas.openxmlformats.org/officeDocument/2006/relationships/hyperlink" Target="file:///C:\Users\Eddri\AppData\Roaming\Microsoft\Excel\PT.%20Agro%20Raya%20Mas\DO%20INV\PT.%20ARM%20DO%201712%20(PO%20%2026%2000084)%2001%20-%20PARTIAL%20COMPLETED%20-%20N1%20(2%20UNIT%20DELIVERED).xlsm" TargetMode="External"/><Relationship Id="rId85" Type="http://schemas.openxmlformats.org/officeDocument/2006/relationships/hyperlink" Target="file:///C:\Users\Eddri\AppData\Roaming\Microsoft\PT.%20Agro%20Murni\DO%20INV\PT.%20AGRO%20M%20DO%20903%20(PO%20%2024%2000614)%20.xlsm" TargetMode="External"/><Relationship Id="rId150" Type="http://schemas.openxmlformats.org/officeDocument/2006/relationships/hyperlink" Target="file:///C:\Users\Eddri\AppData\Roaming\Microsoft\PT.%20SJIO%20DUMAI\DO%20INV\PT.%20SJIO%20DO%20968%20(PO%20%20056)%2001.xlsm" TargetMode="External"/><Relationship Id="rId595" Type="http://schemas.openxmlformats.org/officeDocument/2006/relationships/hyperlink" Target="file:///C:\Users\Eddri\AppData\Roaming\Microsoft\PT.%20Agro%20Raya%20Mas\DO%20INV\PT.%20ARM%20DO%201402%20(PO%20%2025900995)%2007%20-%20PARTIAL%20COMPLETE%20-%20N4(2PCS).xlsm" TargetMode="External"/><Relationship Id="rId816" Type="http://schemas.openxmlformats.org/officeDocument/2006/relationships/hyperlink" Target="file:///C:\Users\Eddri\AppData\Roaming\Microsoft\PT.%20SJIO%20DUMAI\DO%20INV\PT.%20SJIO%20DO%201588%20(PO%20%20%20)%2001%20-%20DO%20SEMENTARA%20-%20Quote%202740%20-%20(+3BTG)%20complete%204%20batang.xlsm" TargetMode="External"/><Relationship Id="rId1001" Type="http://schemas.openxmlformats.org/officeDocument/2006/relationships/hyperlink" Target="../PT.%20SJIO%20DUMAI/DO%20INV/PT.%20SJIO%20DO%201752%20(PO%20%20SJIO%20REF%20PO%202602%200208)%2001.xlsm" TargetMode="External"/><Relationship Id="rId248" Type="http://schemas.openxmlformats.org/officeDocument/2006/relationships/hyperlink" Target="file:///C:\Users\Eddri\AppData\Roaming\Microsoft\PT.%20Able%20Commodities%20Indonesia\DO%20INV\PT.%20ABLE%20DO%201062%20(PO%20%2025900026)%2007.xlsm" TargetMode="External"/><Relationship Id="rId455" Type="http://schemas.openxmlformats.org/officeDocument/2006/relationships/hyperlink" Target="file:///C:\Users\Eddri\AppData\Roaming\Microsoft\PT.%20Agro%20Murni\DO%20INV\PT.%20AGRO%20M%20DO%201257%20(PO%20%2025%2000379)%2001.xlsm" TargetMode="External"/><Relationship Id="rId662" Type="http://schemas.openxmlformats.org/officeDocument/2006/relationships/hyperlink" Target="file:///C:\Users\Eddri\AppData\Roaming\Microsoft\PT.%20Agro%20Raya%20Mas\DO%20INV\PT.%20ARM%20DO%201437%20(PO%20%2025901203)%2001.xlsm" TargetMode="External"/><Relationship Id="rId12" Type="http://schemas.openxmlformats.org/officeDocument/2006/relationships/hyperlink" Target="http://../PT.%20Agro%20Murni/DO%20INV/PT.%20AGRO%20M%20DO%20808%20(PO%20%2024%2000530)%20.xlsm" TargetMode="External"/><Relationship Id="rId108" Type="http://schemas.openxmlformats.org/officeDocument/2006/relationships/hyperlink" Target="file:///C:\Users\Eddri\AppData\Roaming\Microsoft\PT.%20Simpang%20Kanan%20Lestarindo\DO%20INV\%20DO%20925%20(PO%20%20)%20.xlsm" TargetMode="External"/><Relationship Id="rId315" Type="http://schemas.openxmlformats.org/officeDocument/2006/relationships/hyperlink" Target="file:///C:\Users\Eddri\AppData\Roaming\Microsoft\PT.%20SJIO%20DUMAI\DO%20INV\PT.%20SJIO%20DO%201131%20(PO%20%20113)%2001.xlsm" TargetMode="External"/><Relationship Id="rId522" Type="http://schemas.openxmlformats.org/officeDocument/2006/relationships/hyperlink" Target="file:///C:\Users\Eddri\AppData\Roaming\Microsoft\PT.%20Pacific%20Palmindo%20Industri\DO%20INV\PT.%20PPI%20DO%201340%20(PO%20%204714046298)%2001.xlsm" TargetMode="External"/><Relationship Id="rId967" Type="http://schemas.openxmlformats.org/officeDocument/2006/relationships/hyperlink" Target="file:///C:\Users\Eddri\AppData\Roaming\Microsoft\Excel\PoS%20Delivery%20Order312396453763307236\%20DO%201722%20(PO%20%20)%2001%20-%20PARTIAL%20-%20N1,2,6,7,8,9,10,11,12,13,14,15.xlsm" TargetMode="External"/><Relationship Id="rId96" Type="http://schemas.openxmlformats.org/officeDocument/2006/relationships/hyperlink" Target="file:///C:\Users\Eddri\AppData\Roaming\Microsoft\PT.%20Simpang%20Kanan%20Lestarindo\DO%20INV\PT.%20SKL%20DO%20913%20(PO%20%2024%2000606)%20.xlsm" TargetMode="External"/><Relationship Id="rId161" Type="http://schemas.openxmlformats.org/officeDocument/2006/relationships/hyperlink" Target="file:///C:\Users\Eddri\AppData\Roaming\Microsoft\PT.%20Pacific%20Palmindo%20Industri\DO%20INV\PT.%20PPI%20DO%20979%20(PO%20%204714044156)%2001.xlsm" TargetMode="External"/><Relationship Id="rId399" Type="http://schemas.openxmlformats.org/officeDocument/2006/relationships/hyperlink" Target="file:///C:\Users\Eddri\AppData\Roaming\Microsoft\PT.%20Agro%20Murni\DO%20INV\PT.%20AGRO%20M%20DO%201205%20(PO%20%2025%2000309)%20REV%202%2007.xlsm" TargetMode="External"/><Relationship Id="rId827" Type="http://schemas.openxmlformats.org/officeDocument/2006/relationships/hyperlink" Target="file:///C:\Users\Eddri\AppData\Roaming\Microsoft\PT.%20Agro%20Raya%20Mas\DO%20INV\PT.%20ARM%20DO%201596%20(PO%20%2025%2000132)%2007%20-%20PARTIAL%20COMPLETE%20-%20N4.xlsm" TargetMode="External"/><Relationship Id="rId1012" Type="http://schemas.openxmlformats.org/officeDocument/2006/relationships/hyperlink" Target="../PT.%20Agro%20Murni/DO%20INV/PT.%20AGRO%20M%20DO%201763%20(PO%20%2026%2000290)%2001.xlsm" TargetMode="External"/><Relationship Id="rId259" Type="http://schemas.openxmlformats.org/officeDocument/2006/relationships/hyperlink" Target="file:///C:\Users\Eddri\AppData\Roaming\Microsoft\PT.%20Pacific%20Palmindo%20Industri\DO%20INV\PT.%20PPI%20DO%201072%20(PO%20%204714044840)%2001.xlsm" TargetMode="External"/><Relationship Id="rId466" Type="http://schemas.openxmlformats.org/officeDocument/2006/relationships/hyperlink" Target="file:///C:\Users\Eddri\AppData\Roaming\Microsoft\Excel\%20DO%201227%20(PO%20%20)%20REV%201%2007%20PARTIAL%20N2%20-%20REV1.xlsm" TargetMode="External"/><Relationship Id="rId673" Type="http://schemas.openxmlformats.org/officeDocument/2006/relationships/hyperlink" Target="file:///C:\Users\Eddri\AppData\Roaming\Microsoft\PT.%20Pacific%20Palmindo%20Industri\DO%20INV\PT.%20PPI%20DO%201461%20(PO%20%204714046991)%2007.xlsm" TargetMode="External"/><Relationship Id="rId880" Type="http://schemas.openxmlformats.org/officeDocument/2006/relationships/hyperlink" Target="file:///C:\Users\Eddri\AppData\Roaming\Microsoft\Excel\PT.%20SATU\DO%20INV\PT.%20SATU%20DO%201647%20(PO%2025%20006)%2001.xlsm" TargetMode="External"/><Relationship Id="rId23" Type="http://schemas.openxmlformats.org/officeDocument/2006/relationships/hyperlink" Target="about:blank" TargetMode="External"/><Relationship Id="rId119" Type="http://schemas.openxmlformats.org/officeDocument/2006/relationships/hyperlink" Target="file:///C:\Users\Eddri\AppData\Roaming\Microsoft\PT.%20SWP\DO%20INV\PT.%20SWP%20DO%20937%20(PO%20%204000237275)%2007.xlsm" TargetMode="External"/><Relationship Id="rId326" Type="http://schemas.openxmlformats.org/officeDocument/2006/relationships/hyperlink" Target="file:///C:\Users\Eddri\AppData\Roaming\Microsoft\PT.%20Able%20Commodities%20Indonesia\DO%20INV\PT.%20ABLE%20DO%201142%20(PO%20%2025900236)%2007.xlsm" TargetMode="External"/><Relationship Id="rId533" Type="http://schemas.openxmlformats.org/officeDocument/2006/relationships/hyperlink" Target="file:///C:\Users\Eddri\AppData\Roaming\Microsoft\PT.%20Agro%20Raya%20Mas\DO%20INV\PT.%20ARM%20DO%201349%20(PO%20%2025900924)%2007.xlsm" TargetMode="External"/><Relationship Id="rId978" Type="http://schemas.openxmlformats.org/officeDocument/2006/relationships/hyperlink" Target="file:///C:\Users\Eddri\AppData\Roaming\Microsoft\Excel\PT.%20SJIO%20DUMAI\DO%20INV\PT.%20SJIO%20DO%201734%20(PO%20%20BLM%20ADA)%20DO%20SEMENTARA.xlsm" TargetMode="External"/><Relationship Id="rId740" Type="http://schemas.openxmlformats.org/officeDocument/2006/relationships/hyperlink" Target="file:///C:\Users\Eddri\AppData\Roaming\Microsoft\PT.%20Pacific%20Palmindo%20Industri\DO%20INV\PT.%20PPI%20DO%201522%20(PO%20%204714047349)%2001.xlsm" TargetMode="External"/><Relationship Id="rId838" Type="http://schemas.openxmlformats.org/officeDocument/2006/relationships/hyperlink" Target="file:///C:\Users\Eddri\AppData\Roaming\Microsoft\PT.%20Agro%20Murni\DO%20INV\PT.%20AGRO%20M%20DO%201607%20(PO%20%2025%2001052)%2007%20-%20PARTIAL%20COMPLETE%20-%20N1.xlsm" TargetMode="External"/><Relationship Id="rId1023" Type="http://schemas.openxmlformats.org/officeDocument/2006/relationships/hyperlink" Target="../PT.%20Agro%20Murni/DO%20INV/PT.%20AGRO%20M%20DO%201773%20(PO%20%2026%2000168)%2007%20-%20PARTIAL%20-%20N1.xlsm" TargetMode="External"/><Relationship Id="rId172" Type="http://schemas.openxmlformats.org/officeDocument/2006/relationships/hyperlink" Target="file:///C:\Users\Eddri\AppData\Roaming\Microsoft\PT.%20SJIO%20DUMAI\DO%20INV\PT.%20SJIO%20DO%20989%20(PO%20%20074)%20REV%201%20.xlsm" TargetMode="External"/><Relationship Id="rId477" Type="http://schemas.openxmlformats.org/officeDocument/2006/relationships/hyperlink" Target="file:///C:\Users\Eddri\AppData\Roaming\Microsoft\PT.%20Agro%20Murni\DO%20INV\PT.%20AGRO%20M%20DO%201274%20(PO%20%2025%2000362)%2007%20-%20PARTIAL%20-%20N15,16.xlsm" TargetMode="External"/><Relationship Id="rId600" Type="http://schemas.openxmlformats.org/officeDocument/2006/relationships/hyperlink" Target="file:///C:\Users\Eddri\AppData\Roaming\Microsoft\Excel\%20DO%201405%20(PO%20%20)%2001.xlsm" TargetMode="External"/><Relationship Id="rId684" Type="http://schemas.openxmlformats.org/officeDocument/2006/relationships/hyperlink" Target="file:///C:\Users\Eddri\AppData\Roaming\Microsoft\PT.%20Simpang%20Kanan%20Lestarindo\DO%20INV\%20DO%201470%20(PO%20%20)%2001.xlsm" TargetMode="External"/><Relationship Id="rId337" Type="http://schemas.openxmlformats.org/officeDocument/2006/relationships/hyperlink" Target="file:///C:\Users\Eddri\AppData\Roaming\Microsoft\PT.%20Able%20Commodities%20Indonesia\DO%20INV\PT.%20ABLE%20DO%201153%20(PO%20%2025900258)%2007%20N2.xlsm" TargetMode="External"/><Relationship Id="rId891" Type="http://schemas.openxmlformats.org/officeDocument/2006/relationships/hyperlink" Target="file:///C:\Users\Eddri\AppData\Roaming\Microsoft\Excel\PT.%20Agro%20Raya%20Mas\DO%20INV\PT.%20ARM%20DO%201656%20(PO%20%2025%2000304)%2007%20-%20PARTIAL%20-%20N1.xlsm" TargetMode="External"/><Relationship Id="rId905" Type="http://schemas.openxmlformats.org/officeDocument/2006/relationships/hyperlink" Target="file:///C:\Users\Eddri\AppData\Roaming\Microsoft\Excel\PT.%20KIP\DO%20INV\PT.%20KIP%20DO%201670%20(PO%20%20EMENTARA)%20DO%20SEMENTARA.xlsm" TargetMode="External"/><Relationship Id="rId989" Type="http://schemas.openxmlformats.org/officeDocument/2006/relationships/hyperlink" Target="file:///C:\Users\Eddri\AppData\Roaming\Microsoft\Excel\PT.%20KIP\DO%20INV\PT.%20KIP%20DO%201745%20(PO%20%2026%2000140)%2001%20-%20PARTIAL%20-%20N1,2.xlsm" TargetMode="External"/><Relationship Id="rId34" Type="http://schemas.openxmlformats.org/officeDocument/2006/relationships/hyperlink" Target="about:blank" TargetMode="External"/><Relationship Id="rId544" Type="http://schemas.openxmlformats.org/officeDocument/2006/relationships/hyperlink" Target="file:///C:\Users\Eddri\AppData\Roaming\Microsoft\PT.%20Agro%20Raya%20Mas\DO%20INV\PT.%20ARM%20DO%201358%20(PO%20%2025900948)%2007.xlsm" TargetMode="External"/><Relationship Id="rId751" Type="http://schemas.openxmlformats.org/officeDocument/2006/relationships/hyperlink" Target="file:///C:\Users\Eddri\AppData\Roaming\Microsoft\PT.%20Agro%20Murni\DO%20INV\PT.%20AGRO%20M%20DO%201532%20(PO%20%2025%2000176)%2001.xlsm" TargetMode="External"/><Relationship Id="rId849" Type="http://schemas.openxmlformats.org/officeDocument/2006/relationships/hyperlink" Target="file:///C:\Users\Eddri\AppData\Roaming\Microsoft\PT.%20SWP\DO%20INV\PT.%20SWP%20DO%201617%20(PO%20%204000327387)%2001.xlsm" TargetMode="External"/><Relationship Id="rId183" Type="http://schemas.openxmlformats.org/officeDocument/2006/relationships/hyperlink" Target="file:///C:\Users\Eddri\AppData\Roaming\Microsoft\PT.%20SATU\DO%20INV\PT.%20SATU%20DO%201004%20(PO%2024%20001)%2001.xlsm" TargetMode="External"/><Relationship Id="rId390" Type="http://schemas.openxmlformats.org/officeDocument/2006/relationships/hyperlink" Target="file:///C:\Users\Eddri\AppData\Roaming\Microsoft\PT.%20Able%20Commodities%20Indonesia\DO%20INV\PT.%20ABLE%20DO%201202%20(PO%20%2025900262)%20N8.xlsm" TargetMode="External"/><Relationship Id="rId404" Type="http://schemas.openxmlformats.org/officeDocument/2006/relationships/hyperlink" Target="file:///C:\Users\Eddri\AppData\Roaming\Microsoft\PT.%20Simpang%20Kanan%20Lestarindo\DO%20INV\PT.%20SKL%20DO%201213%20(PO%20%2025%2000206)%2001.xlsm" TargetMode="External"/><Relationship Id="rId611" Type="http://schemas.openxmlformats.org/officeDocument/2006/relationships/hyperlink" Target="file:///C:\Users\Eddri\AppData\Roaming\Microsoft\Excel\%20DO%201416%20(PO%20%20)%2001.xlsm" TargetMode="External"/><Relationship Id="rId1034" Type="http://schemas.openxmlformats.org/officeDocument/2006/relationships/hyperlink" Target="../PT.%20PALUTA%20INTI%20SAWIT/DO%20INV/PT.%20PIS%20DO%201783%20(PO%20%2026%2000165)%2001%20-%20PARTIAL%20-%20N2.xlsm" TargetMode="External"/><Relationship Id="rId250" Type="http://schemas.openxmlformats.org/officeDocument/2006/relationships/hyperlink" Target="file:///C:\Users\Eddri\AppData\Roaming\Microsoft\PT.%20SJIO%20DUMAI\DO%20INV\PT.%20SJIO%20DO%201064%20(PO%20%20002)%2001.xlsm" TargetMode="External"/><Relationship Id="rId488" Type="http://schemas.openxmlformats.org/officeDocument/2006/relationships/hyperlink" Target="file:///C:\Users\Eddri\AppData\Roaming\Microsoft\PT.%20Agro%20Murni\DO%20INV\PT.%20AGRO%20M%20DO%201284%20(PO%20%2025%2000345)%2007%20-%20PARTIAL%20-%20N10,29.xlsm" TargetMode="External"/><Relationship Id="rId695" Type="http://schemas.openxmlformats.org/officeDocument/2006/relationships/hyperlink" Target="file:///C:\Users\Eddri\AppData\Roaming\Microsoft\Excel\%20DO%201481%20(PO%20%20)%2001%20-%20PARTIAL%20COMPLETE%20-%20N9,10,11.xlsm" TargetMode="External"/><Relationship Id="rId709" Type="http://schemas.openxmlformats.org/officeDocument/2006/relationships/hyperlink" Target="file:///C:\Users\Eddri\AppData\Roaming\Microsoft\PT.%20Agro%20Raya%20Mas\DO%20INV\PT.%20ARM%20DO%201494%20(PO%20%20SEMENTARA)%2001%20-%20DO%20SEMENTARA.xlsm" TargetMode="External"/><Relationship Id="rId916" Type="http://schemas.openxmlformats.org/officeDocument/2006/relationships/hyperlink" Target="file:///C:\Users\Eddri\AppData\Roaming\Microsoft\Excel\PT.%20Agro%20Raya%20Mas\DO%20INV\PT.%20ARM%20DO%201679%20(PO%20%2026%2000084)%2001%20-%20PARTIAL%20-%20N2.xlsm" TargetMode="External"/><Relationship Id="rId45" Type="http://schemas.openxmlformats.org/officeDocument/2006/relationships/hyperlink" Target="about:blank" TargetMode="External"/><Relationship Id="rId110" Type="http://schemas.openxmlformats.org/officeDocument/2006/relationships/hyperlink" Target="file:///C:\Users\Eddri\AppData\Roaming\Microsoft\PT.%20Pacific%20Palmindo%20Industri\DO%20INV\PT.%20PPI%20DO%20927%20(PO%20%204714043184)%20.xlsm" TargetMode="External"/><Relationship Id="rId348" Type="http://schemas.openxmlformats.org/officeDocument/2006/relationships/hyperlink" Target="file:///C:\Users\Eddri\AppData\Roaming\Microsoft\PT.%20Able%20Commodities%20Indonesia\DO%20INV\PT.%20ABLE%20DO%201164%20(PO%20%2025900180)%2007.xlsm" TargetMode="External"/><Relationship Id="rId555" Type="http://schemas.openxmlformats.org/officeDocument/2006/relationships/hyperlink" Target="file:///C:\Users\Eddri\AppData\Roaming\Microsoft\PT.%20Agro%20Raya%20Mas\DO%20INV\PT.%20ARM%20DO%201368%20(PO%20%2025900908)%2007%20-%20PARTIAL%20-%20N4.xlsm" TargetMode="External"/><Relationship Id="rId762" Type="http://schemas.openxmlformats.org/officeDocument/2006/relationships/hyperlink" Target="file:///C:\Users\Eddri\AppData\Roaming\Microsoft\PT.%20SJIO%20DUMAI\DO%20INV\PT.%20SJIO%20DO%201542%20(PO%20%20SJIO%20REF%20PO%202510%201337)%20REV%201%2001.xlsm" TargetMode="External"/><Relationship Id="rId194" Type="http://schemas.openxmlformats.org/officeDocument/2006/relationships/hyperlink" Target="file:///C:\Users\Eddri\AppData\Roaming\Microsoft\PT.%20SJIO%20DUMAI\DO%20INV\PT.%20SJIO%20DO%201013%20(PO%20%20053)%20N1,4.xlsm" TargetMode="External"/><Relationship Id="rId208" Type="http://schemas.openxmlformats.org/officeDocument/2006/relationships/hyperlink" Target="file:///C:\Users\Eddri\AppData\Roaming\Microsoft\PT.%20Simpang%20Kanan%20Lestarindo\DO%20INV\PT.%20SKL%20DO%201024%20(PO%20%2024%2001036)%2001.xlsm" TargetMode="External"/><Relationship Id="rId415" Type="http://schemas.openxmlformats.org/officeDocument/2006/relationships/hyperlink" Target="file:///C:\Users\Eddri\AppData\Roaming\Microsoft\PT.%20SJIO%20DUMAI\DO%20INV\PT.%20SJIO%20DO%201221%20(PO%20%20242)%20.xlsm" TargetMode="External"/><Relationship Id="rId622" Type="http://schemas.openxmlformats.org/officeDocument/2006/relationships/hyperlink" Target="file:///C:\Users\Eddri\AppData\Roaming\Microsoft\PT.%20Agro%20Raya%20Mas\DO%20INV\PT.%20ARM%20DO%201421%20(PO%20%2025901117)%2007.xlsm" TargetMode="External"/><Relationship Id="rId1045" Type="http://schemas.openxmlformats.org/officeDocument/2006/relationships/hyperlink" Target="../PT.%20Agro%20Raya%20Mas/DO%20INV/%20DO%201790%20(PO%20%20)%2007.xlsm" TargetMode="External"/><Relationship Id="rId261" Type="http://schemas.openxmlformats.org/officeDocument/2006/relationships/hyperlink" Target="file:///C:\Users\Eddri\AppData\Roaming\Microsoft\PT.%20Able%20Commodities%20Indonesia\DO%20INV\PT.%20ABLE%20DO%201074%20(PO%20%2025900028)%2007%20-%20%20ITEM%20N1-3%20+%20INCLUDE%20PEMASANGAN%20+%20COMMISSIONING.xlsm" TargetMode="External"/><Relationship Id="rId499" Type="http://schemas.openxmlformats.org/officeDocument/2006/relationships/hyperlink" Target="file:///C:\Users\Eddri\AppData\Roaming\Microsoft\PT.%20KIP\DO%20INV\PT.%20KIP%20DO%201294%20(PO%20%2025%2000281)%2001.xlsm" TargetMode="External"/><Relationship Id="rId927" Type="http://schemas.openxmlformats.org/officeDocument/2006/relationships/hyperlink" Target="file:///C:\Users\Eddri\AppData\Roaming\Microsoft\Excel\PT.%20KIP\DO%20INV\PT.%20KIP%20DO%201689%20(PO%20%2026%2000023)%2001.xlsm" TargetMode="External"/><Relationship Id="rId56" Type="http://schemas.openxmlformats.org/officeDocument/2006/relationships/hyperlink" Target="http://../PT.%20Agro%20Murni/DO%20INV/PT.%20AGRO%20M%20DO%20850%20(PO%20%2024%2000495)%20N3.xlsm" TargetMode="External"/><Relationship Id="rId359" Type="http://schemas.openxmlformats.org/officeDocument/2006/relationships/hyperlink" Target="file:///C:\Users\Eddri\AppData\Roaming\Microsoft\PT.%20Able%20Commodities%20Indonesia\DO%20INV\PT.%20ABLE%20DO%201173%20(PO%20%2025900259)%20.xlsm" TargetMode="External"/><Relationship Id="rId566" Type="http://schemas.openxmlformats.org/officeDocument/2006/relationships/hyperlink" Target="file:///C:\Users\Eddri\AppData\Roaming\Microsoft\PT.%20SWP\DO%20INV\PT.%20SWP%20DO%201376%20(PO%20%204000298388)%2007.xlsm" TargetMode="External"/><Relationship Id="rId773" Type="http://schemas.openxmlformats.org/officeDocument/2006/relationships/hyperlink" Target="file:///C:\Users\Eddri\AppData\Roaming\Microsoft\PT.%20KIP\DO%20INV\PT.%20KIP%20DO%201553%20(PO%20%2025%2000441)%2001%20-%20PENGGANTI%202%20PCS%20RUSAK.xlsm" TargetMode="External"/><Relationship Id="rId121" Type="http://schemas.openxmlformats.org/officeDocument/2006/relationships/hyperlink" Target="file:///C:\Users\Eddri\AppData\Roaming\Microsoft\PT.%20Pacific%20Palmindo%20Industri\DO%20INV\%20DO%20939%20(PO%20%20)%2001.xlsm" TargetMode="External"/><Relationship Id="rId219" Type="http://schemas.openxmlformats.org/officeDocument/2006/relationships/hyperlink" Target="file:///C:\Users\Eddri\AppData\Roaming\Microsoft\PT.%20Pacific%20Palmindo%20Industri\DO%20INV\PT.%20PPI%20DO%201035%20(PO%20%204714044652)%2001.xlsm" TargetMode="External"/><Relationship Id="rId426" Type="http://schemas.openxmlformats.org/officeDocument/2006/relationships/hyperlink" Target="file:///C:\Users\Eddri\AppData\Roaming\Microsoft\PT.%20Able%20Commodities%20Indonesia\DO%20INV\PT.%20ABLE%20DO%201231%20(PO%20%2025900226)%2001.xlsm" TargetMode="External"/><Relationship Id="rId633" Type="http://schemas.openxmlformats.org/officeDocument/2006/relationships/hyperlink" Target="file:///C:\Users\Eddri\AppData\Roaming\Microsoft\PT.%20Agro%20Raya%20Mas\DO%20INV\%20DO%201431%20(PO%20%20)%2007%20-%20PARTIAL%20COMPLETE%20-%20%20+1PCS.xlsm" TargetMode="External"/><Relationship Id="rId980" Type="http://schemas.openxmlformats.org/officeDocument/2006/relationships/hyperlink" Target="file:///C:\Users\Eddri\AppData\Roaming\Microsoft\Excel\PT.%20Pacific%20Palmindo%20Industri\DO%20INV\PT.%20PPI%20DO%201736%20(PO%20%204714048671)%2007%20-%20PARTIAL%20COMPLETED%20-%2018%20PLUS%208.xlsm" TargetMode="External"/><Relationship Id="rId840" Type="http://schemas.openxmlformats.org/officeDocument/2006/relationships/hyperlink" Target="file:///C:\Users\Eddri\AppData\Roaming\Microsoft\PT.%20Agro%20Murni\DO%20INV\PT.%20AGRO%20M%20DO%201609%20(PO%20%2025%2001034)%2001%20-%20PARTIAL%20COMPLETE%20-%20N4.xlsm" TargetMode="External"/><Relationship Id="rId938" Type="http://schemas.openxmlformats.org/officeDocument/2006/relationships/hyperlink" Target="file:///C:\Users\Eddri\AppData\Roaming\Microsoft\Excel\PT.%20Pacific%20Palmindo%20Industri\DO%20INV\PT.%20PPI%20DO%201700%20(PO%20%204714048421)%2001.xlsm" TargetMode="External"/><Relationship Id="rId67" Type="http://schemas.openxmlformats.org/officeDocument/2006/relationships/hyperlink" Target="about:blank" TargetMode="External"/><Relationship Id="rId272" Type="http://schemas.openxmlformats.org/officeDocument/2006/relationships/hyperlink" Target="file:///C:\Users\Eddri\AppData\Roaming\Microsoft\PT.%20Pacific%20Palmindo%20Industri\DO%20INV\PT.%20PPI%20DO%201096%20(PO%20%204714044961)%2001.xlsm" TargetMode="External"/><Relationship Id="rId577" Type="http://schemas.openxmlformats.org/officeDocument/2006/relationships/hyperlink" Target="file:///C:\Users\Eddri\AppData\Roaming\Microsoft\PT.%20SWP\DO%20INV\PT.%20SWP%20DO%201387%20(PO%20%20None)%20hanya%20sebagai%20bukti%20terima%20RING%20ROTARY.xlsm" TargetMode="External"/><Relationship Id="rId700" Type="http://schemas.openxmlformats.org/officeDocument/2006/relationships/hyperlink" Target="file:///C:\Users\Eddri\AppData\Roaming\Microsoft\PT.%20SJIO%20DUMAI\DO%20INV\PT.%20SJIO%20DO%201485%20(PO%20%20924)%2001%20-%20PARTIAL%20-%20N2.xlsm" TargetMode="External"/><Relationship Id="rId132" Type="http://schemas.openxmlformats.org/officeDocument/2006/relationships/hyperlink" Target="file:///C:\Users\Eddri\AppData\Roaming\Microsoft\PT.%20Pacific%20Palmindo%20Industri\DO%20INV\PT.%20PPI%20DO%20951%20(PO%20%204714043586)%2001.xlsm" TargetMode="External"/><Relationship Id="rId784" Type="http://schemas.openxmlformats.org/officeDocument/2006/relationships/hyperlink" Target="file:///C:\Users\Eddri\AppData\Roaming\Microsoft\PT.%20Agro%20Raya%20Mas\DO%20INV\PT.%20ARM%20DO%201564%20(PO%20%2025%2000073)%2001.xlsm" TargetMode="External"/><Relationship Id="rId991" Type="http://schemas.openxmlformats.org/officeDocument/2006/relationships/hyperlink" Target="file:///C:\Users\Eddri\AppData\Roaming\Microsoft\Excel\PT.%20PALUTA%20INTI%20SAWIT\DO%20INV\PT.%20PIS%20DO%201747%20(PO%20%2026%2000096)%2001%20-%20PARTIAL%20-%20N2,3.xlsm" TargetMode="External"/><Relationship Id="rId437" Type="http://schemas.openxmlformats.org/officeDocument/2006/relationships/hyperlink" Target="file:///C:\Users\Eddri\AppData\Roaming\Microsoft\PT.%20SWP\DO%20INV\PT.%20SWP%20DO%201240%20(PO%20%204000281328)%2001.xlsm" TargetMode="External"/><Relationship Id="rId644" Type="http://schemas.openxmlformats.org/officeDocument/2006/relationships/hyperlink" Target="file:///C:\Users\Eddri\AppData\Roaming\Microsoft\PT.%20Agro%20Raya%20Mas\DO%20INV\PT.%20ARM%20DO%201437%20(PO%20%20%20)%20SEMENTARA%20-%20URGENT.xlsm" TargetMode="External"/><Relationship Id="rId851" Type="http://schemas.openxmlformats.org/officeDocument/2006/relationships/hyperlink" Target="file:///C:\Users\Eddri\AppData\Roaming\Microsoft\PT.%20Simpang%20Kanan%20Lestarindo\DO%20INV\PT.%20SKL%20DO%201619%20(PO%20%2025%2000913)%2001%20-%20PARTIAL%20-%20N5,7.xlsm" TargetMode="External"/><Relationship Id="rId283" Type="http://schemas.openxmlformats.org/officeDocument/2006/relationships/hyperlink" Target="file:///C:\Users\Eddri\AppData\Roaming\Microsoft\PT.%20Pacific%20Palmindo%20Industri\DO%20INV\PT.%20PPI%20DO%201087%20(PO%20%204714044996)%2001.xlsm" TargetMode="External"/><Relationship Id="rId490" Type="http://schemas.openxmlformats.org/officeDocument/2006/relationships/hyperlink" Target="file:///C:\Users\Eddri\AppData\Roaming\Microsoft\PT.%20Agro%20Murni\DO%20INV\PT.%20AGRO%20M%20DO%201286%20(PO%20%2025%2000362)%2001%20-%20PARTIAL%20-%20N12,13.xlsm" TargetMode="External"/><Relationship Id="rId504" Type="http://schemas.openxmlformats.org/officeDocument/2006/relationships/hyperlink" Target="file:///C:\Users\Eddri\AppData\Roaming\Microsoft\PT.%20SJIO%20DUMAI\DO%20INV\PT.%20SJIO%20DO%201324%20(PO%20%20%20)%20'01%20-%20DO%20SEMENTARA.xlsm" TargetMode="External"/><Relationship Id="rId711" Type="http://schemas.openxmlformats.org/officeDocument/2006/relationships/hyperlink" Target="file:///C:\Users\Eddri\AppData\Roaming\Microsoft\PT.%20SJIO%20DUMAI\DO%20INV\PT.%20SJIO%20DO%201496%20(PO%20%20SJIO%20PROJ%20PO%202509%200996)%2001%20-%20PARTIAL%20-%20N2,3,4,7.xlsm" TargetMode="External"/><Relationship Id="rId949" Type="http://schemas.openxmlformats.org/officeDocument/2006/relationships/hyperlink" Target="file:///C:\Users\Eddri\AppData\Roaming\Microsoft\Excel\PT.%20SATU\DO%20INV\PT.%20SATU%20DO%201685%20(PO%2026%20001)%20REV%201%2001.xlsm" TargetMode="External"/><Relationship Id="rId78" Type="http://schemas.openxmlformats.org/officeDocument/2006/relationships/hyperlink" Target="file:///C:\Users\Eddri\AppData\Roaming\Microsoft\Excel\%20DO%20896%20(PO%20%20)%20.xlsm" TargetMode="External"/><Relationship Id="rId143" Type="http://schemas.openxmlformats.org/officeDocument/2006/relationships/hyperlink" Target="file:///C:\Users\Eddri\AppData\Roaming\Microsoft\PT.%20SWP\DO%20INV\PT.%20SWP%20DO%20961%20(PO%20%204000241631)%2007.xlsm" TargetMode="External"/><Relationship Id="rId350" Type="http://schemas.openxmlformats.org/officeDocument/2006/relationships/hyperlink" Target="file:///C:\Users\Eddri\AppData\Roaming\Microsoft\PT.%20Able%20Commodities%20Indonesia\DO%20INV\PT.%20ABLE%20DO%201161%20(PO%20%2025900314)%2007.xlsm" TargetMode="External"/><Relationship Id="rId588" Type="http://schemas.openxmlformats.org/officeDocument/2006/relationships/hyperlink" Target="file:///C:\Users\Eddri\AppData\Roaming\Microsoft\PT.%20Agro%20Murni\DO%20INV\PT.%20AGRO%20M%20DO%201398%20(PO%20%2025%2000594)%2001%20-%20PARTIAL%20COMPLETE%20-%20N1.xlsm" TargetMode="External"/><Relationship Id="rId795" Type="http://schemas.openxmlformats.org/officeDocument/2006/relationships/hyperlink" Target="file:///C:\Users\Eddri\AppData\Roaming\Microsoft\PT.%20Agro%20Raya%20Mas\DO%20INV\PT.%20ARM%20DO%201573%20(PO%20%2025%2000120)%2001.xlsm" TargetMode="External"/><Relationship Id="rId809" Type="http://schemas.openxmlformats.org/officeDocument/2006/relationships/hyperlink" Target="file:///C:\Users\Eddri\AppData\Roaming\Microsoft\PT.%20Agro%20Raya%20Mas\DO%20INV\PT.%20ARM%20DO%201581%20(PO%20%2025%2000118)%2001.xlsm" TargetMode="External"/><Relationship Id="rId9" Type="http://schemas.openxmlformats.org/officeDocument/2006/relationships/hyperlink" Target="http://../PT.%20Able%20Commodities%20Indonesia/DO%20INV/PT.%20ABLE%20DO%20806%20(PO%20%2024900510)%20.xlsm" TargetMode="External"/><Relationship Id="rId210" Type="http://schemas.openxmlformats.org/officeDocument/2006/relationships/hyperlink" Target="file:///C:\Users\Eddri\AppData\Roaming\Microsoft\PT.%20Simpang%20Kanan%20Lestarindo\DO%20INV\PT.%20SKL%20DO%201026%20(PO%20%2024%2001048)%2001.xlsm" TargetMode="External"/><Relationship Id="rId448" Type="http://schemas.openxmlformats.org/officeDocument/2006/relationships/hyperlink" Target="file:///C:\Users\Eddri\AppData\Roaming\Microsoft\PT.%20KIP\DO%20INV\PT.%20KIP%20DO%201250%20(PO%20%2025%2000215)%2001.xlsm" TargetMode="External"/><Relationship Id="rId655" Type="http://schemas.openxmlformats.org/officeDocument/2006/relationships/hyperlink" Target="file:///C:\Users\Eddri\AppData\Roaming\Microsoft\PT.%20SJIO%20DUMAI\DO%20INV\PT.%20SJIO%20DO%201447%20(PO%20%20834)%2001.xlsm" TargetMode="External"/><Relationship Id="rId862" Type="http://schemas.openxmlformats.org/officeDocument/2006/relationships/hyperlink" Target="file:///C:\Users\Eddri\AppData\Roaming\Microsoft\Excel\PT.%20Agro%20Raya%20Mas\DO%20INV\PT.%20ARM%20DO%201630%20(PO%20%2025%2000197)%2001%20-%20PARTIAL%20103%20ROL%20FROM%20238%20ROL%20(-135%20ROL).xlsm" TargetMode="External"/><Relationship Id="rId294" Type="http://schemas.openxmlformats.org/officeDocument/2006/relationships/hyperlink" Target="file:///C:\Users\Eddri\AppData\Roaming\Microsoft\PT.%20Agro%20Murni\DO%20INV\PT.%20AGRO%20M%20DO%201110%20(PO%20%2025%2000125)%2007.xlsm" TargetMode="External"/><Relationship Id="rId308" Type="http://schemas.openxmlformats.org/officeDocument/2006/relationships/hyperlink" Target="file:///C:\Users\Eddri\AppData\Roaming\Microsoft\Excel\%20DO%201124%20(PO%20%20)%20SEMENTARA.xlsm" TargetMode="External"/><Relationship Id="rId515" Type="http://schemas.openxmlformats.org/officeDocument/2006/relationships/hyperlink" Target="file:///C:\Users\Eddri\AppData\Roaming\Microsoft\Excel\%20DO%201332%20(PO%20%20)%20'07%20-%20PARTIAL%20-%20N2.xlsm" TargetMode="External"/><Relationship Id="rId722" Type="http://schemas.openxmlformats.org/officeDocument/2006/relationships/hyperlink" Target="file:///C:\Users\Eddri\AppData\Roaming\Microsoft\PT.%20Agro%20Murni\DO%20INV\PT.%20AGRO%20M%20DO%201506%20(PO%20%2025%2000362)%2001%20-%20PARTIAL%20-%20N1.xlsm" TargetMode="External"/><Relationship Id="rId89" Type="http://schemas.openxmlformats.org/officeDocument/2006/relationships/hyperlink" Target="file:///C:\Users\Eddri\AppData\Roaming\Microsoft\PT.%20KIP\DO%20INV\%20DO%20906%20(PO%20%20)%20.xlsm" TargetMode="External"/><Relationship Id="rId154" Type="http://schemas.openxmlformats.org/officeDocument/2006/relationships/hyperlink" Target="file:///C:\Users\Eddri\AppData\Roaming\Microsoft\PT.%20SJIO%20DUMAI\DO%20INV\PT.%20SJIO%20DO%20974%20(PO%20%20068)%20.xlsm" TargetMode="External"/><Relationship Id="rId361" Type="http://schemas.openxmlformats.org/officeDocument/2006/relationships/hyperlink" Target="file:///C:\Users\Eddri\AppData\Roaming\Microsoft\PT.%20Pacific%20Palmindo%20Industri\DO%20INV\PT.%20PPI%20DO%201175%20(PO%20%204714045191)%2001%20N3.xlsm" TargetMode="External"/><Relationship Id="rId599" Type="http://schemas.openxmlformats.org/officeDocument/2006/relationships/hyperlink" Target="file:///C:\Users\Eddri\AppData\Roaming\Microsoft\PT.%20KIP\DO%20INV\PT.%20KIP%20DO%201404%20(PO%20%2025%2000337)%2001.xlsm" TargetMode="External"/><Relationship Id="rId1005" Type="http://schemas.openxmlformats.org/officeDocument/2006/relationships/hyperlink" Target="../PT.%20SJIO%20DUMAI/DO%20INV/%20DO%201756%20(PO%20%20)%2001.xlsm" TargetMode="External"/><Relationship Id="rId459" Type="http://schemas.openxmlformats.org/officeDocument/2006/relationships/hyperlink" Target="file:///C:\Users\Eddri\AppData\Roaming\Microsoft\Excel\%20DO%201259%20(PO%20%20)%20'07%20-%20PARTIAL%20COMPLETE%20-%20N2.xlsm" TargetMode="External"/><Relationship Id="rId666" Type="http://schemas.openxmlformats.org/officeDocument/2006/relationships/hyperlink" Target="file:///C:\Users\Eddri\AppData\Roaming\Microsoft\PT.%20SJIO%20DUMAI\DO%20INV\PT.%20SJIO%20DO%201455%20(PO%20%20940)%2001%20-%20PARTIAL%20-%20N6,7,8,9,10,11.xlsm" TargetMode="External"/><Relationship Id="rId873" Type="http://schemas.openxmlformats.org/officeDocument/2006/relationships/hyperlink" Target="file:///C:\Users\Eddri\AppData\Roaming\Microsoft\Excel\PT.%20Agro%20Murni\DO%20INV\PT.%20AGRO%20M%20DO%201640%20(PO%20%2025%2001114)%2001.xlsm" TargetMode="External"/><Relationship Id="rId16" Type="http://schemas.openxmlformats.org/officeDocument/2006/relationships/hyperlink" Target="about:blank" TargetMode="External"/><Relationship Id="rId221" Type="http://schemas.openxmlformats.org/officeDocument/2006/relationships/hyperlink" Target="file:///C:\Users\Eddri\AppData\Roaming\Microsoft\PT.%20Pacific%20Palmindo%20Industri\DO%20INV\PT.%20PPI%20DO%201036%20(PO%20%204714044646)%2001.xlsm" TargetMode="External"/><Relationship Id="rId319" Type="http://schemas.openxmlformats.org/officeDocument/2006/relationships/hyperlink" Target="file:///C:\Users\Eddri\AppData\Roaming\Microsoft\PT.%20SJIO%20DUMAI\DO%20INV\PT.%20SJIO%20DO%201135%20(PO%20%20072)%2001%20N2,3.xlsm" TargetMode="External"/><Relationship Id="rId526" Type="http://schemas.openxmlformats.org/officeDocument/2006/relationships/hyperlink" Target="file:///C:\Users\Eddri\AppData\Roaming\Microsoft\PT.%20Agro%20Raya%20Mas\DO%20INV\PT.%20ARM%20DO%201344%20(PO%20%2025900824)%2001%20-%20PARTIAL%20COMPLETE%20-%20N1.xlsm" TargetMode="External"/><Relationship Id="rId733" Type="http://schemas.openxmlformats.org/officeDocument/2006/relationships/hyperlink" Target="file:///C:\Users\Eddri\AppData\Roaming\Microsoft\PT.%20KIP\DO%20INV\PT.%20KIP%20DO%201516%20(PO%20%2025%2000441)%2001.xlsm" TargetMode="External"/><Relationship Id="rId940" Type="http://schemas.openxmlformats.org/officeDocument/2006/relationships/hyperlink" Target="file:///C:\Users\Eddri\AppData\Roaming\Microsoft\Excel\PT.%20Agro%20Raya%20Mas\DO%20INV\PT.%20ARM%20DO%201701%20(PO%20%2026%2000140)%2001%20-%20PARTIAL%20-%20N1,2.xlsm" TargetMode="External"/><Relationship Id="rId1016" Type="http://schemas.openxmlformats.org/officeDocument/2006/relationships/hyperlink" Target="../PT.%20KIP/DO%20INV/PT.%20KIP%20DO%201765%20(PO%20%2026%2000140)%2001%20-%20PARTIAL%20-%20N4,5,6.xlsm" TargetMode="External"/><Relationship Id="rId165" Type="http://schemas.openxmlformats.org/officeDocument/2006/relationships/hyperlink" Target="file:///C:\Users\Eddri\AppData\Roaming\Microsoft\PT.%20Pacific%20Palmindo%20Industri\DO%20INV\PT.%20PPI%20DO%20983%20(PO%20%204714044137)%2001.xlsm" TargetMode="External"/><Relationship Id="rId372" Type="http://schemas.openxmlformats.org/officeDocument/2006/relationships/hyperlink" Target="file:///C:\Users\Eddri\AppData\Roaming\Microsoft\PT.%20Able%20Commodities%20Indonesia\DO%20INV\PT.%20ABLE%20DO%201185%20(PO%20%2025900382)%20N2.xlsm" TargetMode="External"/><Relationship Id="rId677" Type="http://schemas.openxmlformats.org/officeDocument/2006/relationships/hyperlink" Target="file:///C:\Users\Eddri\AppData\Roaming\Microsoft\PT.%20SJIO%20DUMAI\DO%20INV\PT.%20SJIO%20DO%201463%20(PO%20%20944)%2001%20-%20PARTIAL%20COMPLETE%20-%20N4,7.xlsm" TargetMode="External"/><Relationship Id="rId800" Type="http://schemas.openxmlformats.org/officeDocument/2006/relationships/hyperlink" Target="file:///C:\Users\Eddri\AppData\Roaming\Microsoft\PT.%20SJIO%20DUMAI\DO%20INV\PT.%20SJIO%20DO%201576%20(PO%20%20SJIO%20PROJ%20PO%202510%201191)%2001.xlsm" TargetMode="External"/><Relationship Id="rId232" Type="http://schemas.openxmlformats.org/officeDocument/2006/relationships/hyperlink" Target="file:///C:\Users\Eddri\AppData\Roaming\Microsoft\PT.%20Pacific%20Palmindo%20Industri\DO%20INV\PT.%20PPI%20DO%201046%20(PO%20%204714044695)%2007.xlsm" TargetMode="External"/><Relationship Id="rId884" Type="http://schemas.openxmlformats.org/officeDocument/2006/relationships/hyperlink" Target="file:///C:\Users\Eddri\AppData\Roaming\Microsoft\Excel\PT.%20Agro%20Raya%20Mas\DO%20INV\PT.%20ARM%20DO%201650%20(PO%20%2025%2000288)%2007%20-%20PARTIAL%20-%20N1.xlsm" TargetMode="External"/><Relationship Id="rId27" Type="http://schemas.openxmlformats.org/officeDocument/2006/relationships/hyperlink" Target="about:blank" TargetMode="External"/><Relationship Id="rId537" Type="http://schemas.openxmlformats.org/officeDocument/2006/relationships/hyperlink" Target="file:///C:\Users\Eddri\AppData\Roaming\Microsoft\PT.%20Agro%20Raya%20Mas\DO%20INV\PT.%20ARM%20DO%201353%20(PO%20%2025900926)%2007.xlsm" TargetMode="External"/><Relationship Id="rId744" Type="http://schemas.openxmlformats.org/officeDocument/2006/relationships/hyperlink" Target="file:///C:\Users\Eddri\AppData\Roaming\Microsoft\PT.%20Agro%20Raya%20Mas\DO%20INV\PT.%20ARM%20DO%201526%20(PO%20%2025901416)%2001%20-%20PARTIAL%20-%20N5,6.xlsm" TargetMode="External"/><Relationship Id="rId951" Type="http://schemas.openxmlformats.org/officeDocument/2006/relationships/hyperlink" Target="file:///C:\Users\Eddri\AppData\Roaming\Microsoft\Excel\PT.%20Pacific%20Palmindo%20Industri\DO%20INV\PT.%20PPI%20DO%201709%20(PO%20%204714048449)%2007.xlsm" TargetMode="External"/><Relationship Id="rId80" Type="http://schemas.openxmlformats.org/officeDocument/2006/relationships/hyperlink" Target="file:///C:\Users\Eddri\AppData\Roaming\Microsoft\PT.%20Pacific%20Palmindo%20Industri\DO%20INV\PT.%20PPI%20DO%20898%20(PO%20%204714042954)%20.xlsm" TargetMode="External"/><Relationship Id="rId176" Type="http://schemas.openxmlformats.org/officeDocument/2006/relationships/hyperlink" Target="file:///C:\Users\Eddri\AppData\Roaming\Microsoft\PT.%20Pacific%20Palmindo%20Industri\DO%20INV\PT.%20PPI%20DO%20993%20(PO%20%204714044309)%2001.xlsm" TargetMode="External"/><Relationship Id="rId383" Type="http://schemas.openxmlformats.org/officeDocument/2006/relationships/hyperlink" Target="file:///C:\Users\Eddri\AppData\Roaming\Microsoft\PT.%20Pacific%20Palmindo%20Industri\DO%20INV\PT.%20PPI%20DO%201196%20(PO%20%204714045317)%2007.xlsm" TargetMode="External"/><Relationship Id="rId590" Type="http://schemas.openxmlformats.org/officeDocument/2006/relationships/hyperlink" Target="file:///C:\Users\Eddri\AppData\Roaming\Microsoft\PT.%20Agro%20Raya%20Mas\DO%20INV\PT.%20ARM%20DO%201388%20(PO%20%2025901065)%20REV%201%2007.xlsm" TargetMode="External"/><Relationship Id="rId604" Type="http://schemas.openxmlformats.org/officeDocument/2006/relationships/hyperlink" Target="file:///C:\Users\Eddri\AppData\Roaming\Microsoft\PT.%20Simpang%20Kanan%20Lestarindo\DO%20INV\PT.%20SKL%20DO%201409%20(PO%20%2025%2000460)%2001%20-%20PARTIAL%20COMPLETE%20-%20N1,6.xlsm" TargetMode="External"/><Relationship Id="rId811" Type="http://schemas.openxmlformats.org/officeDocument/2006/relationships/hyperlink" Target="file:///C:\Users\Eddri\AppData\Roaming\Microsoft\PT.%20Agro%20Raya%20Mas\DO%20INV\PT.%20ARM%20DO%201583%20(PO%20%2025%2000119)%2001%20-%20PARTIAL%20-%20N3.xlsm" TargetMode="External"/><Relationship Id="rId1027" Type="http://schemas.openxmlformats.org/officeDocument/2006/relationships/hyperlink" Target="../PT.%20Simpang%20Kanan%20Lestarindo/DO%20INV/PT.%20SKL%20DO%201777%20(PO%20%2026%2000183)%2001.xlsm" TargetMode="External"/><Relationship Id="rId243" Type="http://schemas.openxmlformats.org/officeDocument/2006/relationships/hyperlink" Target="file:///C:\Users\Eddri\AppData\Roaming\Microsoft\PT.%20Pacific%20Palmindo%20Industri\DO%20INV\PT.%20PPI%20DO%201057%20(PO%20%204714044767)%2007.xlsm" TargetMode="External"/><Relationship Id="rId450" Type="http://schemas.openxmlformats.org/officeDocument/2006/relationships/hyperlink" Target="file:///C:\Users\Eddri\AppData\Roaming\Microsoft\PT.%20KIP\DO%20INV\PT.%20KIP%20DO%201252%20(PO%20%20%20)%20SEMENTARA.xlsm" TargetMode="External"/><Relationship Id="rId688" Type="http://schemas.openxmlformats.org/officeDocument/2006/relationships/hyperlink" Target="file:///C:\Users\Eddri\AppData\Roaming\Microsoft\PT.%20Simpang%20Kanan%20Lestarindo\DO%20INV\PT.%20SKL%20DO%201474%20(PO%20%2025%2000617)%2001.xlsm" TargetMode="External"/><Relationship Id="rId895" Type="http://schemas.openxmlformats.org/officeDocument/2006/relationships/hyperlink" Target="file:///C:\Users\Eddri\AppData\Roaming\Microsoft\Excel\PT.%20Simpang%20Kanan%20Lestarindo\DO%20INV\PT.%20SKL%20DO%201660%20(PO%20%2026%2000036)%2001.xlsm" TargetMode="External"/><Relationship Id="rId909" Type="http://schemas.openxmlformats.org/officeDocument/2006/relationships/hyperlink" Target="file:///C:\Users\Eddri\AppData\Roaming\Microsoft\Excel\PT.%20Agro%20Raya%20Mas\DO%20INV\PT.%20ARM%20DO%201673%20(PO%20%2025%2000288)%2007%20-%20PARTIAL%20COMPLETED%20-%20N2.xlsm" TargetMode="External"/><Relationship Id="rId38" Type="http://schemas.openxmlformats.org/officeDocument/2006/relationships/hyperlink" Target="http://../PT.%20Simpang%20Kanan%20Lestarindo/DO%20INV/PT.%20SKL%20DO%20833%20(PO%20%2024%2000478)%20.xlsm" TargetMode="External"/><Relationship Id="rId103" Type="http://schemas.openxmlformats.org/officeDocument/2006/relationships/hyperlink" Target="file:///C:\Users\Eddri\AppData\Roaming\Microsoft\PT.%20Able%20Commodities%20Indonesia\DO%20INV\PT.%20ABLE%20DO%20920%20(PO%20%2024900690)%20.xlsm" TargetMode="External"/><Relationship Id="rId310" Type="http://schemas.openxmlformats.org/officeDocument/2006/relationships/hyperlink" Target="file:///C:\Users\Eddri\AppData\Roaming\Microsoft\PT.%20Pacific%20Palmindo%20Industri\DO%20INV\PT.%20PPI%20DO%201125%20(PO%20%204714045030)%2001%20N6.xlsm" TargetMode="External"/><Relationship Id="rId548" Type="http://schemas.openxmlformats.org/officeDocument/2006/relationships/hyperlink" Target="file:///C:\Users\Eddri\AppData\Roaming\Microsoft\PT.%20Pacific%20Palmindo%20Industri\DO%20INV\PT.%20PPI%20DO%201361%20(PO%20%204714046355)%2001%20-%20PARTIAL%20-%20N1.xlsm" TargetMode="External"/><Relationship Id="rId755" Type="http://schemas.openxmlformats.org/officeDocument/2006/relationships/hyperlink" Target="file:///C:\Users\Eddri\AppData\Roaming\Microsoft\PT.%20Agro%20Murni\DO%20INV\PT.%20AGRO%20M%20DO%201536%20(PO%20%2025%2000362)%2001%20-%20PARTIAL%20-%20N10(COMPLETE).xlsm" TargetMode="External"/><Relationship Id="rId962" Type="http://schemas.openxmlformats.org/officeDocument/2006/relationships/hyperlink" Target="file:///C:\Users\Eddri\AppData\Roaming\Microsoft\Excel\PT.%20KIP\DO%20INV\PT.%20KIP%20DO%201717%20(PO%20%20EMENTARA)%2001.xlsm" TargetMode="External"/><Relationship Id="rId91" Type="http://schemas.openxmlformats.org/officeDocument/2006/relationships/hyperlink" Target="file:///C:\Users\Eddri\AppData\Roaming\Microsoft\PT.%20Agro%20Murni\DO%20INV\PT.%20AGRO%20M%20DO%20908%20(PO%20%2024%2000546)%20.xlsm" TargetMode="External"/><Relationship Id="rId187" Type="http://schemas.openxmlformats.org/officeDocument/2006/relationships/hyperlink" Target="file:///C:\Users\Eddri\AppData\Roaming\Microsoft\PT.%20SJIO%20DUMAI\DO%20INV\PT.%20SJIO%20DO%201008%20(PO%20%20043)%2001.xlsm" TargetMode="External"/><Relationship Id="rId394" Type="http://schemas.openxmlformats.org/officeDocument/2006/relationships/hyperlink" Target="file:///C:\Users\Eddri\AppData\Roaming\Microsoft\PT.%20Able%20Commodities%20Indonesia\DO%20INV\PT.%20ABLE%20DO%201206%20(PO%20%2025900407)%2007%20N2.xlsm" TargetMode="External"/><Relationship Id="rId408" Type="http://schemas.openxmlformats.org/officeDocument/2006/relationships/hyperlink" Target="file:///C:\Users\Eddri\AppData\Roaming\Microsoft\PT.%20Agro%20Murni\DO%20INV\PT.%20AGRO%20M%20DO%201214%20(PO%20%2025%2000331)%20REV%201%2007%20N2.xlsm" TargetMode="External"/><Relationship Id="rId615" Type="http://schemas.openxmlformats.org/officeDocument/2006/relationships/hyperlink" Target="file:///C:\Users\Eddri\AppData\Roaming\Microsoft\PT.%20Agro%20Raya%20Mas\DO%20INV\PT.%20ARM%20DO%201420%20(PO%20%2025900942)%2007%20-%20PARTIAL%20COMPLETE%20-%20N6(10PCS),13,20,21.xlsm" TargetMode="External"/><Relationship Id="rId822" Type="http://schemas.openxmlformats.org/officeDocument/2006/relationships/hyperlink" Target="file:///C:\Users\Eddri\AppData\Roaming\Microsoft\PT.%20Agro%20Raya%20Mas\DO%20INV\PT.%20ARM%20DO%201591%20(PO%20%2025%2000132)%2007%20-%20PARTIAL%20-%20N2,3.xlsm" TargetMode="External"/><Relationship Id="rId1038" Type="http://schemas.openxmlformats.org/officeDocument/2006/relationships/hyperlink" Target="../PT.%20SJIO%20DUMAI/DO%20INV/PT.%20SJIO%20DO%201785%20(PO%20%20SJIO%20BOILER%20PO%202602%200305)%2001%20-%20PARTIAL%20COMPLETED%20-%20N2.xlsm" TargetMode="External"/><Relationship Id="rId254" Type="http://schemas.openxmlformats.org/officeDocument/2006/relationships/hyperlink" Target="file:///C:\Users\Eddri\AppData\Roaming\Microsoft\PT.%20ENERGI%20UNGGUL%20PERSADA\DO%20INV\PT.ENERGI%20UNGGUL%20PERSADA%20DO%201068%20(PO%20%201002027560)%2007%20N4,5.xlsm" TargetMode="External"/><Relationship Id="rId699" Type="http://schemas.openxmlformats.org/officeDocument/2006/relationships/hyperlink" Target="file:///C:\Users\Eddri\AppData\Roaming\Microsoft\PT.%20Agro%20Raya%20Mas\DO%20INV\PT.%20ARM%20DO%201484%20(PO%20%2025901327)%2007.xlsm" TargetMode="External"/><Relationship Id="rId49" Type="http://schemas.openxmlformats.org/officeDocument/2006/relationships/hyperlink" Target="http://../PT.%20Simpang%20Kanan%20Lestarindo/DO%20INV/PT.%20SKL%20DO%20843%20(PO%20%2024%2000498)%20.xlsm" TargetMode="External"/><Relationship Id="rId114" Type="http://schemas.openxmlformats.org/officeDocument/2006/relationships/hyperlink" Target="file:///C:\Users\Eddri\AppData\Roaming\Microsoft\PT.%20Pacific%20Palmindo%20Industri\DO%20INV\PT.%20PPI%20DO%20931%20(PO%20%204714043221)%2001.xlsm" TargetMode="External"/><Relationship Id="rId461" Type="http://schemas.openxmlformats.org/officeDocument/2006/relationships/hyperlink" Target="file:///C:\Users\Eddri\AppData\Roaming\Microsoft\Excel\%20DO%201261%20(PO%20%20)%20'07.xlsm" TargetMode="External"/><Relationship Id="rId559" Type="http://schemas.openxmlformats.org/officeDocument/2006/relationships/hyperlink" Target="file:///C:\Users\Eddri\AppData\Roaming\Microsoft\PT.%20Simpang%20Kanan%20Lestarindo\DO%20INV\PT.%20SKL%20DO%201370%20(PO%20%20%20)%2001%20-%20SEMENTARA%20-%20URGENT.xlsm" TargetMode="External"/><Relationship Id="rId766" Type="http://schemas.openxmlformats.org/officeDocument/2006/relationships/hyperlink" Target="file:///C:\Users\Eddri\AppData\Roaming\Microsoft\PT.%20KIP\DO%20INV\PT.%20KIP%20DO%201546%20(PO%20%2025%2000537)%2001.xlsm" TargetMode="External"/><Relationship Id="rId198" Type="http://schemas.openxmlformats.org/officeDocument/2006/relationships/hyperlink" Target="file:///C:\Users\Eddri\AppData\Roaming\Microsoft\PT.%20Pacific%20Palmindo%20Industri\DO%20INV\PT.%20PPI%20DO%201015%20(PO%20%204714044501)%2001.xlsm" TargetMode="External"/><Relationship Id="rId321" Type="http://schemas.openxmlformats.org/officeDocument/2006/relationships/hyperlink" Target="file:///C:\Users\Eddri\AppData\Roaming\Microsoft\PT.%20Able%20Commodities%20Indonesia\DO%20INV\PT.%20ABLE%20DO%201137%20(PO%20%2025900261)%2007.xlsm" TargetMode="External"/><Relationship Id="rId419" Type="http://schemas.openxmlformats.org/officeDocument/2006/relationships/hyperlink" Target="file:///C:\Users\Eddri\AppData\Roaming\Microsoft\GROUP%20Apical%20Group\PT.%20Sari%20Dumai%20Sejati\DO%20INV\PT.%20SDS%20DO%201224%20(PO%20%204500409407)%20.xlsm" TargetMode="External"/><Relationship Id="rId626" Type="http://schemas.openxmlformats.org/officeDocument/2006/relationships/hyperlink" Target="file:///C:\Users\Eddri\AppData\Roaming\Microsoft\PT.%20Simpang%20Kanan%20Lestarindo\DO%20INV\PT.%20SKL%20DO%201425%20(PO%20%2025%2000489)%2001.xlsm" TargetMode="External"/><Relationship Id="rId973" Type="http://schemas.openxmlformats.org/officeDocument/2006/relationships/hyperlink" Target="file:///C:\Users\Eddri\AppData\Roaming\Microsoft\Excel\PT.%20Pacific%20Palmindo%20Industri\DO%20INV\PT.%20PPI%20DO%201730%20(PO%20%204714048671)%2001%20-%20PARTIAL%20-%2025%20PCS%20FROM%2026%20PCS%20(-1PCS).xlsm" TargetMode="External"/><Relationship Id="rId1049" Type="http://schemas.openxmlformats.org/officeDocument/2006/relationships/hyperlink" Target="../PT.%20Simpang%20Kanan%20Lestarindo/DO%20INV/PT.%20SKL%20DO%201761%20(PO%20%2026%2000144)%2001%20-%20PARTIAL%20-%20N1,2.xlsm" TargetMode="External"/><Relationship Id="rId833" Type="http://schemas.openxmlformats.org/officeDocument/2006/relationships/hyperlink" Target="file:///C:\Users\Eddri\AppData\Roaming\Microsoft\Excel\%20DO%201602%20(PO%20%20)%2001.xlsm" TargetMode="External"/><Relationship Id="rId265" Type="http://schemas.openxmlformats.org/officeDocument/2006/relationships/hyperlink" Target="file:///C:\Users\Eddri\AppData\Roaming\Microsoft\PT.%20Simpang%20Kanan%20Lestarindo\DO%20INV\PT.%20SKL%20DO%201077%20(PO%20%2025%2000028)%2001.xlsm" TargetMode="External"/><Relationship Id="rId472" Type="http://schemas.openxmlformats.org/officeDocument/2006/relationships/hyperlink" Target="file:///C:\Users\Eddri\AppData\Roaming\Microsoft\PT.%20Able%20Commodities%20Indonesia\DO%20INV\%20DO%201268%20(PO%20%20)%2007.xlsm" TargetMode="External"/><Relationship Id="rId900" Type="http://schemas.openxmlformats.org/officeDocument/2006/relationships/hyperlink" Target="file:///C:\Users\Eddri\AppData\Roaming\Microsoft\Excel\PT.%20Agro%20Raya%20Mas\DO%20INV\PT.%20ARM%20DO%201665%20(PO%20%2025%2000259)%2007%20-%20PARTIAL%20COMPLETED%20-%20N1.xlsm" TargetMode="External"/><Relationship Id="rId125" Type="http://schemas.openxmlformats.org/officeDocument/2006/relationships/hyperlink" Target="file:///C:\Users\Eddri\AppData\Roaming\Microsoft\PT.%20SWP\DO%20INV\PT.%20SWP%20DO%20943%20(PO%20%204000235459)%20.xlsm" TargetMode="External"/><Relationship Id="rId332" Type="http://schemas.openxmlformats.org/officeDocument/2006/relationships/hyperlink" Target="file:///C:\Users\Eddri\AppData\Roaming\Microsoft\Excel\%20DO%201148%20(PO%20%20)%2007.xlsm" TargetMode="External"/><Relationship Id="rId777" Type="http://schemas.openxmlformats.org/officeDocument/2006/relationships/hyperlink" Target="file:///C:\Users\Eddri\AppData\Roaming\Microsoft\PT.%20Simpang%20Kanan%20Lestarindo\DO%20INV\PT.%20SKL%20DO%201557%20(PO%20%2025%2000822)%2001.xlsm" TargetMode="External"/><Relationship Id="rId984" Type="http://schemas.openxmlformats.org/officeDocument/2006/relationships/hyperlink" Target="file:///C:\Users\Eddri\AppData\Roaming\Microsoft\Excel\PT.%20Agro%20Raya%20Mas\DO%20INV\PT.%20ARM%20DO%201740%20(PO%20%2026%2000209)%2001.xlsm" TargetMode="External"/><Relationship Id="rId637" Type="http://schemas.openxmlformats.org/officeDocument/2006/relationships/hyperlink" Target="file:///C:\Users\Eddri\AppData\Roaming\Microsoft\PT.%20Agro%20Raya%20Mas\DO%20INV\PT.%20ARM%20DO%201419%20(PO%20%2025900952)%2007.xlsm" TargetMode="External"/><Relationship Id="rId844" Type="http://schemas.openxmlformats.org/officeDocument/2006/relationships/hyperlink" Target="file:///C:\Users\Eddri\AppData\Roaming\Microsoft\Excel\%20DO%201613%20(PO%20%20)%2001%20-%20PARTIAL%20COMPLETED%20-%20N2.xlsm" TargetMode="External"/><Relationship Id="rId276" Type="http://schemas.openxmlformats.org/officeDocument/2006/relationships/hyperlink" Target="file:///C:\Users\Eddri\AppData\Roaming\Microsoft\Excel\%20DO%201082%20(PO%20%20)%2007.xlsm" TargetMode="External"/><Relationship Id="rId483" Type="http://schemas.openxmlformats.org/officeDocument/2006/relationships/hyperlink" Target="file:///C:\Users\Eddri\AppData\Roaming\Microsoft\PT.%20SJIO%20DUMAI\DO%20INV\PT.%20SJIO%20DO%201279%20(PO%20%20435)%2001%20-%20PARTIAL%20-%20N1,2,3.xlsm" TargetMode="External"/><Relationship Id="rId690" Type="http://schemas.openxmlformats.org/officeDocument/2006/relationships/hyperlink" Target="file:///C:\Users\Eddri\AppData\Roaming\Microsoft\PT.%20Simpang%20Kanan%20Lestarindo\DO%20INV\PT.%20SKL%20DO%201476%20(PO%20%2025%2000587)%2001.xlsm" TargetMode="External"/><Relationship Id="rId704" Type="http://schemas.openxmlformats.org/officeDocument/2006/relationships/hyperlink" Target="file:///C:\Users\Eddri\AppData\Roaming\Microsoft\PT.%20Simpang%20Kanan%20Lestarindo\DO%20INV\PT.%20SKL%20DO%201489%20(PO%20%2025%2000632)%2001.xlsm" TargetMode="External"/><Relationship Id="rId911" Type="http://schemas.openxmlformats.org/officeDocument/2006/relationships/hyperlink" Target="file:///C:\Users\Eddri\AppData\Roaming\Microsoft\Excel\PT.%20Agro%20Raya%20Mas\DO%20INV\PT.%20ARM%20DO%201675%20(PO%20%2026%2000027)%2001%20-%20PARTIAL%20-%20N1,2,3.xlsm" TargetMode="External"/><Relationship Id="rId40" Type="http://schemas.openxmlformats.org/officeDocument/2006/relationships/hyperlink" Target="about:blank" TargetMode="External"/><Relationship Id="rId136" Type="http://schemas.openxmlformats.org/officeDocument/2006/relationships/hyperlink" Target="file:///C:\Users\Eddri\AppData\Roaming\Microsoft\PT.%20SJIO%20DUMAI\DO%20INV\PT.%20SJIO%20DO%20955%20(PO%20%20269)%2007.xlsm" TargetMode="External"/><Relationship Id="rId343" Type="http://schemas.openxmlformats.org/officeDocument/2006/relationships/hyperlink" Target="file:///C:\Users\Eddri\AppData\Roaming\Microsoft\PT.%20Simpang%20Kanan%20Lestarindo\DO%20INV\PT.%20SKL%20DO%201160%20(PO%20%2025%2000125)%2001.xlsm" TargetMode="External"/><Relationship Id="rId550" Type="http://schemas.openxmlformats.org/officeDocument/2006/relationships/hyperlink" Target="file:///C:\Users\Eddri\AppData\Roaming\Microsoft\PT.%20SJIO%20DUMAI\DO%20INV\PT.%20SJIO%20DO%201363%20(PO%20%20667)%2001.xlsm" TargetMode="External"/><Relationship Id="rId788" Type="http://schemas.openxmlformats.org/officeDocument/2006/relationships/hyperlink" Target="file:///C:\Users\Eddri\AppData\Roaming\Microsoft\PT.%20SJIO%20DUMAI\DO%20INV\PT.%20SJIO%20DO%201566%20(PO%20%20SJIO%20PROJ%20PO%202510%201345)%2001%20-%20PARTIAL%20COMPLETE%20-%20N1,3,11.xlsm" TargetMode="External"/><Relationship Id="rId995" Type="http://schemas.openxmlformats.org/officeDocument/2006/relationships/hyperlink" Target="file:///C:\Users\Eddri\AppData\Roaming\Microsoft\Excel\PT.%20PALUTA%20INTI%20SAWIT\DO%20INV\PT.%20PIS%20DO%201748%20(PO%20%2026%2000096)%20REV%201%2001.xlsm" TargetMode="External"/><Relationship Id="rId203" Type="http://schemas.openxmlformats.org/officeDocument/2006/relationships/hyperlink" Target="file:///C:\Users\Eddri\AppData\Roaming\Microsoft\PT.%20Pacific%20Palmindo%20Industri\DO%20INV\PT.%20PPI%20DO%201019%20(PO%20%204714044571)%2001.xlsm" TargetMode="External"/><Relationship Id="rId648" Type="http://schemas.openxmlformats.org/officeDocument/2006/relationships/hyperlink" Target="file:///C:\Users\Eddri\AppData\Roaming\Microsoft\PT.%20Pacific%20Palmindo%20Industri\DO%20INV\PT.%20PPI%20DO%201440%20(PO%20%204714045796)%2001%20-%20PARTIAL%20COMPLETE.xlsm" TargetMode="External"/><Relationship Id="rId855" Type="http://schemas.openxmlformats.org/officeDocument/2006/relationships/hyperlink" Target="file:///C:\Users\Eddri\AppData\Roaming\Microsoft\PT.%20Simpang%20Kanan%20Lestarindo\DO%20INV\PT.%20SKL%20DO%201623%20(PO%20%2025%2000946)%2001.xlsm" TargetMode="External"/><Relationship Id="rId1040" Type="http://schemas.openxmlformats.org/officeDocument/2006/relationships/hyperlink" Target="../PT.%20Pacific%20Palmindo%20Industri/DO%20INV/PT.%20PPI%20DO%201769%20(PO%20%204714048836)%2001.xlsm" TargetMode="External"/><Relationship Id="rId287" Type="http://schemas.openxmlformats.org/officeDocument/2006/relationships/hyperlink" Target="file:///C:\Users\Eddri\AppData\Roaming\Microsoft\PT.%20Able%20Commodities%20Indonesia\DO%20INV\PT.%20ABLE%20DO%201103%20(PO%20%2025900120)%2007.xlsm" TargetMode="External"/><Relationship Id="rId410" Type="http://schemas.openxmlformats.org/officeDocument/2006/relationships/hyperlink" Target="file:///C:\Users\Eddri\AppData\Roaming\Microsoft\PT.%20Simpang%20Kanan%20Lestarindo\DO%20INV\PT.%20SKL%20DO%201216%20(PO%20%2025%2000213)%2001.xlsm" TargetMode="External"/><Relationship Id="rId494" Type="http://schemas.openxmlformats.org/officeDocument/2006/relationships/hyperlink" Target="file:///C:\Users\Eddri\AppData\Roaming\Microsoft\PT.%20SJIO%20DUMAI\DO%20INV\PT.%20SJIO%20DO%201290%20(PO%20%20435)%2001%20%20-%20PARTIAL%20COMPLETE%20-%20N4.xlsm" TargetMode="External"/><Relationship Id="rId508" Type="http://schemas.openxmlformats.org/officeDocument/2006/relationships/hyperlink" Target="file:///C:\Users\Eddri\AppData\Roaming\Microsoft\PT.%20Simpang%20Kanan%20Lestarindo\DO%20INV\%20DO%201326%20(PO%20%20)%2007.xlsm" TargetMode="External"/><Relationship Id="rId715" Type="http://schemas.openxmlformats.org/officeDocument/2006/relationships/hyperlink" Target="file:///C:\Users\Eddri\AppData\Roaming\Microsoft\PT.%20Simpang%20Kanan%20Lestarindo\DO%20INV\PT.%20SKL%20DO%201500%20(PO%20%2025%2000653)%2001.xlsm" TargetMode="External"/><Relationship Id="rId922" Type="http://schemas.openxmlformats.org/officeDocument/2006/relationships/hyperlink" Target="file:///C:\Users\Eddri\AppData\Roaming\Microsoft\Excel\PT.%20Agro%20Raya%20Mas\DO%20INV\PT.%20ARM%20DO%201684%20(PO%20%2026%2000100)%2007%20-%20PARTIAL%20-%20N4.xlsm" TargetMode="External"/><Relationship Id="rId147" Type="http://schemas.openxmlformats.org/officeDocument/2006/relationships/hyperlink" Target="file:///C:\Users\Eddri\AppData\Roaming\Microsoft\PT.%20SWP\DO%20INV\PT.%20SWP%20DO%20965%20(PO%20%204000244354)%2001.xlsm" TargetMode="External"/><Relationship Id="rId354" Type="http://schemas.openxmlformats.org/officeDocument/2006/relationships/hyperlink" Target="file:///C:\Users\Eddri\AppData\Roaming\Microsoft\PT.%20Able%20Commodities%20Indonesia\DO%20INV\PT.%20ABLE%20DO%201168%20(PO%20%2025900291)%2007.xlsm" TargetMode="External"/><Relationship Id="rId799" Type="http://schemas.openxmlformats.org/officeDocument/2006/relationships/hyperlink" Target="file:///C:\Users\Eddri\AppData\Roaming\Microsoft\PT.%20SJIO%20DUMAI\DO%20INV\PT.%20SJIO%20DO%201575%20(PO%20%20SJIO%20PROJ%20PO%202510%201191)%2001.xlsm" TargetMode="External"/><Relationship Id="rId51" Type="http://schemas.openxmlformats.org/officeDocument/2006/relationships/hyperlink" Target="about:blank" TargetMode="External"/><Relationship Id="rId561" Type="http://schemas.openxmlformats.org/officeDocument/2006/relationships/hyperlink" Target="file:///C:\Users\Eddri\AppData\Roaming\Microsoft\PT.%20Pacific%20Palmindo%20Industri\DO%20INV\PT.%20PPI%20DO%201371%20(PO%20%204714046439)%2007%20-%20PARTIAL%20COMPLETE%20-%20N4.xlsm" TargetMode="External"/><Relationship Id="rId659" Type="http://schemas.openxmlformats.org/officeDocument/2006/relationships/hyperlink" Target="file:///C:\Users\Eddri\AppData\Roaming\Microsoft\PT.%20SWP\DO%20INV\PT.%20SWP%20DO%201451%20(PO%20%204000300278)%2007.xlsm" TargetMode="External"/><Relationship Id="rId866" Type="http://schemas.openxmlformats.org/officeDocument/2006/relationships/hyperlink" Target="file:///C:\Users\Eddri\AppData\Roaming\Microsoft\Excel\PT.%20Pacific%20Palmindo%20Industri\DO%20INV\PT.%20PPI%20DO%201633%20(PO%20%204714048132)%2001.xlsm" TargetMode="External"/><Relationship Id="rId214" Type="http://schemas.openxmlformats.org/officeDocument/2006/relationships/hyperlink" Target="file:///C:\Users\Eddri\AppData\Roaming\Microsoft\PT.%20Simpang%20Kanan%20Lestarindo\DO%20INV\PT.%20SKL%20DO%201030%20(PO%20%2024%2001031)%2001.xlsm" TargetMode="External"/><Relationship Id="rId298" Type="http://schemas.openxmlformats.org/officeDocument/2006/relationships/hyperlink" Target="file:///C:\Users\Eddri\AppData\Roaming\Microsoft\PT.%20KIP\DO%20INV\PT.%20KIP%20DO%201115%20(PO%20%2025%2000028)%2001.xlsm" TargetMode="External"/><Relationship Id="rId421" Type="http://schemas.openxmlformats.org/officeDocument/2006/relationships/hyperlink" Target="file:///C:\Users\Eddri\AppData\Roaming\Microsoft\PT.%20Able%20Commodities%20Indonesia\DO%20INV\PT.%20ABLE%20DO%201226%20(PO%20%2025900478)%20.xlsm" TargetMode="External"/><Relationship Id="rId519" Type="http://schemas.openxmlformats.org/officeDocument/2006/relationships/hyperlink" Target="file:///C:\Users\Eddri\AppData\Roaming\Microsoft\PT.%20Simpang%20Kanan%20Lestarindo\DO%20INV\PT.%20SKL%20DO%201337%20(PO%20%2025%2000390)%2001.xlsm" TargetMode="External"/><Relationship Id="rId1051" Type="http://schemas.openxmlformats.org/officeDocument/2006/relationships/hyperlink" Target="../PT.%20KIP/DO%20INV/PT.%20KIP%20DO%201795%20(PO%20%2026%2000140)%2001%20-%20PARTIAL%20COMPLETED%20-%20N3.xlsm" TargetMode="External"/><Relationship Id="rId158" Type="http://schemas.openxmlformats.org/officeDocument/2006/relationships/hyperlink" Target="file:///C:\Users\Eddri\AppData\Roaming\Microsoft\PT.%20SJIO%20DUMAI\DO%20INV\PT.%20SJIO%20DO%20976%20(PO%20%20033)%20.xlsm" TargetMode="External"/><Relationship Id="rId726" Type="http://schemas.openxmlformats.org/officeDocument/2006/relationships/hyperlink" Target="file:///C:\Users\Eddri\AppData\Roaming\Microsoft\PT.%20SATU\DO%20INV\PT.%20SATU%20DO%201509%20(PO%2025%20007)%2001.xlsm" TargetMode="External"/><Relationship Id="rId933" Type="http://schemas.openxmlformats.org/officeDocument/2006/relationships/hyperlink" Target="file:///C:\Users\Eddri\AppData\Roaming\Microsoft\Excel\PT.%20Agro%20Raya%20Mas\DO%20INV\PT.%20ARM%20DO%201695%20(PO%20%2026%2000146)%2001%20-%20PARTIAL%20-%2010%20SHEET%20FROM%2030%20SHEET.xlsm" TargetMode="External"/><Relationship Id="rId1009" Type="http://schemas.openxmlformats.org/officeDocument/2006/relationships/hyperlink" Target="%20DO%201760%20(PO%20%20)%2001.xlsm" TargetMode="External"/><Relationship Id="rId62" Type="http://schemas.openxmlformats.org/officeDocument/2006/relationships/hyperlink" Target="http://../PT.%20Agro%20Murni/DO%20INV/PT.%20AGRO%20M%20DO%20856%20(PO%20%2024%2000495)%20N1&amp;2.xlsm" TargetMode="External"/><Relationship Id="rId365" Type="http://schemas.openxmlformats.org/officeDocument/2006/relationships/hyperlink" Target="file:///C:\Users\Eddri\AppData\Roaming\Microsoft\PT.%20Able%20Commodities%20Indonesia\DO%20INV\PT.%20ABLE%20DO%201178%20(PO%20%2025900180)%2007%20N5%205PCS.xlsm" TargetMode="External"/><Relationship Id="rId572" Type="http://schemas.openxmlformats.org/officeDocument/2006/relationships/hyperlink" Target="file:///C:\Users\Eddri\AppData\Roaming\Microsoft\PT.%20Pacific%20Palmindo%20Industri\DO%20INV\PT.%20PPI%20DO%201382%20(PO%20%204714046496)%2001%20-%20PARTIAL%20-%20N1(-1PCS),%20N2.xlsm" TargetMode="External"/><Relationship Id="rId225" Type="http://schemas.openxmlformats.org/officeDocument/2006/relationships/hyperlink" Target="file:///C:\Users\Eddri\AppData\Roaming\Microsoft\PT.%20Pacific%20Palmindo%20Industri\DO%20INV\PT.%20PPI%20DO%201040%20(PO%20%204714044625)%2001.xlsm" TargetMode="External"/><Relationship Id="rId432" Type="http://schemas.openxmlformats.org/officeDocument/2006/relationships/hyperlink" Target="file:///C:\Users\Eddri\AppData\Roaming\Microsoft\PT.%20Able%20Commodities%20Indonesia\DO%20INV\PT.%20ABLE%20DO%201237%20(PO%20%2025900080)%2001%20PARTIAL%20COMPLETE%20%20-%20N2.xlsm" TargetMode="External"/><Relationship Id="rId877" Type="http://schemas.openxmlformats.org/officeDocument/2006/relationships/hyperlink" Target="file:///C:\Users\Eddri\AppData\Roaming\Microsoft\Excel\PT.%20KIP\DO%20INV\PT.%20KIP%20DO%201644%20(PO%20%20EMENTARA)%2001%20-%20DO%20SEMENTARA%20-%20URGENT.xlsm" TargetMode="External"/><Relationship Id="rId737" Type="http://schemas.openxmlformats.org/officeDocument/2006/relationships/hyperlink" Target="file:///C:\Users\Eddri\AppData\Roaming\Microsoft\PT.%20Agro%20Murni\DO%20INV\PT.%20AGRO%20M%20DO%201520%20(PO%20%2025%2000024)%2001.xlsm" TargetMode="External"/><Relationship Id="rId944" Type="http://schemas.openxmlformats.org/officeDocument/2006/relationships/hyperlink" Target="file:///C:\Users\Eddri\AppData\Roaming\Microsoft\Excel\PT.%20Agro%20Raya%20Mas\DO%20INV\%20DO%201694%20(PO%20%20)%20REV%201%2007.xlsm" TargetMode="External"/><Relationship Id="rId73" Type="http://schemas.openxmlformats.org/officeDocument/2006/relationships/hyperlink" Target="about:blank" TargetMode="External"/><Relationship Id="rId169" Type="http://schemas.openxmlformats.org/officeDocument/2006/relationships/hyperlink" Target="file:///C:\Users\Eddri\AppData\Roaming\Microsoft\PT.%20SJIO%20DUMAI\DO%20INV\PT.%20SJIO%20DO%20987%20(PO%20%20033)%20.xlsm" TargetMode="External"/><Relationship Id="rId376" Type="http://schemas.openxmlformats.org/officeDocument/2006/relationships/hyperlink" Target="file:///C:\Users\Eddri\AppData\Roaming\Microsoft\PT.%20Able%20Commodities%20Indonesia\DO%20INV\PT.%20ABLE%20DO%201189%20(PO%20%2025900402)%2007.xlsm" TargetMode="External"/><Relationship Id="rId583" Type="http://schemas.openxmlformats.org/officeDocument/2006/relationships/hyperlink" Target="file:///C:\Users\Eddri\AppData\Roaming\Microsoft\PT.%20Agro%20Murni\DO%20INV\PT.%20AGRO%20M%20DO%201393%20(PO%20%2025%2000594)%2001%20-%20PARTIAL%20-%20N2.xlsm" TargetMode="External"/><Relationship Id="rId790" Type="http://schemas.openxmlformats.org/officeDocument/2006/relationships/hyperlink" Target="file:///C:\Users\Eddri\AppData\Roaming\Microsoft\PT.%20Agro%20Raya%20Mas\DO%20INV\PT.%20ARM%20DO%201568%20(PO%20%2025%2000087)%2007.xlsm" TargetMode="External"/><Relationship Id="rId804" Type="http://schemas.openxmlformats.org/officeDocument/2006/relationships/hyperlink" Target="file:///C:\Users\Eddri\AppData\Roaming\Microsoft\PT.%20Pacific%20Palmindo%20Industri\DO%20INV\PT.%20PPI%20DO%201577%20(PO%20%204714047772)%2007%20-%20PARTIAL%20-%20N2.xlsm" TargetMode="External"/><Relationship Id="rId4" Type="http://schemas.openxmlformats.org/officeDocument/2006/relationships/hyperlink" Target="http://../PT.%20Able%20Commodities%20Indonesia/DO%20INV/PT.%20ABLE%20DO%20801%20(PO%20%2024900522)%20.xlsm" TargetMode="External"/><Relationship Id="rId236" Type="http://schemas.openxmlformats.org/officeDocument/2006/relationships/hyperlink" Target="file:///C:\Users\Eddri\AppData\Roaming\Microsoft\PT.%20Agro%20Murni\DO%20INV\PT.%20AGRO%20M%20DO%201050%20(PO%20%2024%2000661)%2007%20N2,3.xlsm" TargetMode="External"/><Relationship Id="rId443" Type="http://schemas.openxmlformats.org/officeDocument/2006/relationships/hyperlink" Target="file:///C:\Users\Eddri\AppData\Roaming\Microsoft\PT.%20Simpang%20Kanan%20Lestarindo\DO%20INV\PT.%20SKL%20DO%201245%20(PO%20%2025%2000263)%2001.xlsm" TargetMode="External"/><Relationship Id="rId650" Type="http://schemas.openxmlformats.org/officeDocument/2006/relationships/hyperlink" Target="file:///C:\Users\Eddri\AppData\Roaming\Microsoft\PT.%20Agro%20Raya%20Mas\DO%20INV\PT.%20ARM%20DO%201442%20(PO%20%2025901238)%2001.xlsm" TargetMode="External"/><Relationship Id="rId888" Type="http://schemas.openxmlformats.org/officeDocument/2006/relationships/hyperlink" Target="file:///C:\Users\Eddri\AppData\Roaming\Microsoft\Excel\PT.%20Pacific%20Palmindo%20Industri\DO%20INV\PT.%20PPI%20DO%201653%20(PO%20%204714048246)%2007.xlsm" TargetMode="External"/><Relationship Id="rId303" Type="http://schemas.openxmlformats.org/officeDocument/2006/relationships/hyperlink" Target="file:///C:\Users\Eddri\AppData\Roaming\Microsoft\PT.%20Able%20Commodities%20Indonesia\DO%20INV\PT.%20ABLE%20DO%201119%20(PO%20%2025900185)%2007.xlsm" TargetMode="External"/><Relationship Id="rId748" Type="http://schemas.openxmlformats.org/officeDocument/2006/relationships/hyperlink" Target="file:///C:\Users\Eddri\AppData\Roaming\Microsoft\PT.%20Agro%20Raya%20Mas\DO%20INV\PT.%20ARM%20DO%201529%20(PO%20%2025901374)%20REV%201%2001%20-%20PARTIAL%20-%20N1,2,5.xlsm" TargetMode="External"/><Relationship Id="rId955" Type="http://schemas.openxmlformats.org/officeDocument/2006/relationships/hyperlink" Target="file:///C:\Users\Eddri\AppData\Roaming\Microsoft\Excel\PT.%20Agro%20Raya%20Mas\DO%20INV\PT.%20ARM%20DO%201711%20(PO%20%2026%2000146)%2001.xlsm" TargetMode="External"/><Relationship Id="rId84" Type="http://schemas.openxmlformats.org/officeDocument/2006/relationships/hyperlink" Target="file:///C:\Users\Eddri\AppData\Roaming\Microsoft\PT.%20Agro%20Murni\DO%20INV\PT.%20AGRO%20M%20DO%20901%20(PO%20%2024%2000546)%20REV%201%20.xlsm" TargetMode="External"/><Relationship Id="rId387" Type="http://schemas.openxmlformats.org/officeDocument/2006/relationships/hyperlink" Target="file:///C:\Users\Eddri\AppData\Roaming\Microsoft\PT.%20Able%20Commodities%20Indonesia\DO%20INV\PT.%20ABLE%20DO%201199%20(PO%20%2025900389)%20N2.xlsm" TargetMode="External"/><Relationship Id="rId510" Type="http://schemas.openxmlformats.org/officeDocument/2006/relationships/hyperlink" Target="file:///C:\Users\Eddri\AppData\Roaming\Microsoft\GROUP%20Apical%20Group\PT.%20Sari%20Dumai%20Sejati\DO%20INV\PT.%20SDS%20DO%201328%20(PO%20%204500414687)%2007%20-%20PERGANTIAN.xlsm" TargetMode="External"/><Relationship Id="rId594" Type="http://schemas.openxmlformats.org/officeDocument/2006/relationships/hyperlink" Target="file:///C:\Users\Eddri\AppData\Roaming\Microsoft\PT.%20Agro%20Raya%20Mas\DO%20INV\PT.%20ARM%20DO%201401%20(PO%20%2025901019)%2007.xlsm" TargetMode="External"/><Relationship Id="rId608" Type="http://schemas.openxmlformats.org/officeDocument/2006/relationships/hyperlink" Target="file:///C:\Users\Eddri\AppData\Roaming\Microsoft\PT.%20KIP\DO%20INV\PT.%20KIP%20DO%201413%20(PO%20%2025%2000332)%2001.xlsm" TargetMode="External"/><Relationship Id="rId815" Type="http://schemas.openxmlformats.org/officeDocument/2006/relationships/hyperlink" Target="file:///C:\Users\Eddri\AppData\Roaming\Microsoft\PT.%20SWP\DO%20INV\PT.%20SWP%20DO%201587%20(PO%20%20%20)%20TOOLS%20PT%20API%20UNTUK%20PROYEK.xlsm" TargetMode="External"/><Relationship Id="rId247" Type="http://schemas.openxmlformats.org/officeDocument/2006/relationships/hyperlink" Target="file:///C:\Users\Eddri\AppData\Roaming\Microsoft\PT.%20Agro%20Murni\DO%20INV\PT.%20AGRO%20M%20DO%201061%20(PO%20%2024%2001378)%2007%20N1,3,5,7,9.xlsm" TargetMode="External"/><Relationship Id="rId899" Type="http://schemas.openxmlformats.org/officeDocument/2006/relationships/hyperlink" Target="file:///C:\Users\Eddri\AppData\Roaming\Microsoft\Excel\PT.%20Agro%20Raya%20Mas\DO%20INV\PT.%20ARM%20DO%201664%20(PO%20%2025%2000241)%2007%20-%20PARTIAL%20COMPLETED%20-%20N4.xlsm" TargetMode="External"/><Relationship Id="rId1000" Type="http://schemas.openxmlformats.org/officeDocument/2006/relationships/hyperlink" Target="file:///C:\Users\Eddri\AppData\Roaming\Microsoft\Excel\PT.%20KIP\DO%20INV\PT.%20KIP%20DO%201717%20(PO%20%2026%2000145)%2001.xlsm" TargetMode="External"/><Relationship Id="rId107" Type="http://schemas.openxmlformats.org/officeDocument/2006/relationships/hyperlink" Target="file:///C:\Users\Eddri\AppData\Roaming\Microsoft\PT.%20Simpang%20Kanan%20Lestarindo\DO%20INV\PT.%20SKL%20DO%20924%20(PO%20%2024%2000643)%20.xlsm" TargetMode="External"/><Relationship Id="rId454" Type="http://schemas.openxmlformats.org/officeDocument/2006/relationships/hyperlink" Target="file:///C:\Users\Eddri\AppData\Roaming\Microsoft\GROUP%20Apical%20Group\PT.%20Apical%20Kao%20Chemicals\DO%20INV\PT.%20AKC%20DO%201256%20(PO%20%204500412767)%2007.xlsm" TargetMode="External"/><Relationship Id="rId661" Type="http://schemas.openxmlformats.org/officeDocument/2006/relationships/hyperlink" Target="file:///C:\Users\Eddri\AppData\Roaming\Microsoft\PT.%20SWP\DO%20INV\PT.%20SWP%20DO%201452%20(PO%20%204000299720)%2007.xlsm" TargetMode="External"/><Relationship Id="rId759" Type="http://schemas.openxmlformats.org/officeDocument/2006/relationships/hyperlink" Target="file:///C:\Users\Eddri\AppData\Roaming\Microsoft\PT.%20Agro%20Raya%20Mas\DO%20INV\PT.%20ARM%20DO%201540%20(PO%20%2025%2000029)%2007.xlsm" TargetMode="External"/><Relationship Id="rId966" Type="http://schemas.openxmlformats.org/officeDocument/2006/relationships/hyperlink" Target="file:///C:\Users\Eddri\AppData\Roaming\Microsoft\Excel\PoS%20Delivery%20Order312396453763307236\%20DO%201721%20(PO%20%20)%2001%20-%20PARTIAL%20-%20N2,5.xlsm" TargetMode="External"/><Relationship Id="rId11" Type="http://schemas.openxmlformats.org/officeDocument/2006/relationships/hyperlink" Target="http://../PT.%20Agro%20Murni/DO%20INV/PT.%20AGRO%20M%20DO%20808%20(PO%20%20%20)%20NO%20PO%20KOSONG.xlsm" TargetMode="External"/><Relationship Id="rId314" Type="http://schemas.openxmlformats.org/officeDocument/2006/relationships/hyperlink" Target="file:///C:\Users\Eddri\AppData\Roaming\Microsoft\PT.%20Agro%20Murni\DO%20INV\PT.%20AGRO%20M%20DO%201130%20(PO%20%2025%2000090)%2001.xlsm" TargetMode="External"/><Relationship Id="rId398" Type="http://schemas.openxmlformats.org/officeDocument/2006/relationships/hyperlink" Target="file:///C:\Users\Eddri\AppData\Roaming\Microsoft\Excel\%20DO%201209%20(PO%20%20)%2007.xlsm" TargetMode="External"/><Relationship Id="rId521" Type="http://schemas.openxmlformats.org/officeDocument/2006/relationships/hyperlink" Target="file:///C:\Users\Eddri\AppData\Roaming\Microsoft\PT.%20Pacific%20Palmindo%20Industri\DO%20INV\PT.%20PPI%20DO%201339%20(PO%20%204714046127)%2001.xlsm" TargetMode="External"/><Relationship Id="rId619" Type="http://schemas.openxmlformats.org/officeDocument/2006/relationships/hyperlink" Target="file:///C:\Users\Eddri\AppData\Roaming\Microsoft\PT.%20Agro%20Raya%20Mas\DO%20INV\PT.%20ARM%20DO%201424%20(PO%20%20%20)%20DO%20SEMENTARA.xlsm" TargetMode="External"/><Relationship Id="rId95" Type="http://schemas.openxmlformats.org/officeDocument/2006/relationships/hyperlink" Target="file:///C:\Users\Eddri\AppData\Roaming\Microsoft\PT.%20Able%20Commodities%20Indonesia\DO%20INV\PT.%20ABLE%20DO%20912%20(PO%20%2024900303)%20.xlsm" TargetMode="External"/><Relationship Id="rId160" Type="http://schemas.openxmlformats.org/officeDocument/2006/relationships/hyperlink" Target="file:///C:\Users\Eddri\AppData\Roaming\Microsoft\PT.%20RAILINK%20CABANG%20MEDAN\DO%20INV\PT.%20RAILINK%20CABANG%20MEDAN%20DO%20978%20(PO%20%20%20)%20.xlsm" TargetMode="External"/><Relationship Id="rId826" Type="http://schemas.openxmlformats.org/officeDocument/2006/relationships/hyperlink" Target="file:///C:\Users\Eddri\AppData\Roaming\Microsoft\PT.%20Agro%20Murni\DO%20INV\PT.%20AGRO%20M%20DO%201595%20(PO%20%2025%2001051)%2007%20-%20PARTIAL%20COMPLETE%20-%20N2.xlsm" TargetMode="External"/><Relationship Id="rId1011" Type="http://schemas.openxmlformats.org/officeDocument/2006/relationships/hyperlink" Target="%20DO%201762%20(PO%20%20)%2001.xlsm" TargetMode="External"/><Relationship Id="rId258" Type="http://schemas.openxmlformats.org/officeDocument/2006/relationships/hyperlink" Target="file:///C:\Users\Eddri\AppData\Roaming\Microsoft\PT.%20Agro%20Murni\DO%20INV\PT.%20AGRO%20M%20DO%201071%20(PO%20%2025%2000036)%2001%20-%20URGENT.xlsm" TargetMode="External"/><Relationship Id="rId465" Type="http://schemas.openxmlformats.org/officeDocument/2006/relationships/hyperlink" Target="file:///C:\Users\Eddri\AppData\Roaming\Microsoft\PT.%20Agro%20Murni\DO%20INV\%20DO%201265%20(PO%20%20)%2001.xlsm" TargetMode="External"/><Relationship Id="rId672" Type="http://schemas.openxmlformats.org/officeDocument/2006/relationships/hyperlink" Target="file:///C:\Users\Eddri\AppData\Roaming\Microsoft\PT.%20Simpang%20Kanan%20Lestarindo\DO%20INV\PT.%20SKL%20DO%201460%20(PO%20%2025%2000585)%2001.xlsm" TargetMode="External"/><Relationship Id="rId22" Type="http://schemas.openxmlformats.org/officeDocument/2006/relationships/hyperlink" Target="about:blank" TargetMode="External"/><Relationship Id="rId118" Type="http://schemas.openxmlformats.org/officeDocument/2006/relationships/hyperlink" Target="file:///C:\Users\Eddri\AppData\Roaming\Microsoft\PT.%20Pacific%20Palmindo%20Industri\DO%20INV\PT.%20PPI%20DO%20936%20(PO%20%204714043340)%2007.xlsm" TargetMode="External"/><Relationship Id="rId325" Type="http://schemas.openxmlformats.org/officeDocument/2006/relationships/hyperlink" Target="file:///C:\Users\Eddri\AppData\Roaming\Microsoft\PT.%20Able%20Commodities%20Indonesia\DO%20INV\PT.%20ABLE%20DO%201141%20(PO%20%2025900237)%2007.xlsm" TargetMode="External"/><Relationship Id="rId532" Type="http://schemas.openxmlformats.org/officeDocument/2006/relationships/hyperlink" Target="file:///C:\Users\Eddri\AppData\Roaming\Microsoft\PT.%20Agro%20Raya%20Mas\DO%20INV\PT.%20ARM%20DO%201348%20(PO%20%2025900742)%2007%20-%20PARTIAL%20COMPLETE%20-%20N1,2,3,4,5.xlsm" TargetMode="External"/><Relationship Id="rId977" Type="http://schemas.openxmlformats.org/officeDocument/2006/relationships/hyperlink" Target="file:///C:\Users\Eddri\AppData\Roaming\Microsoft\Excel\PT.%20Agro%20Raya%20Mas\DO%20INV\PT.%20ARM%20DO%201733%20(PO%20%2026%2000224)%2007.xlsm" TargetMode="External"/><Relationship Id="rId171" Type="http://schemas.openxmlformats.org/officeDocument/2006/relationships/hyperlink" Target="file:///C:\Users\Eddri\AppData\Roaming\Microsoft\PT.%20SJIO%20DUMAI\DO%20INV\PT.%20SJIO%20DO%20989%20(PO%20%20074)%20.xlsm" TargetMode="External"/><Relationship Id="rId837" Type="http://schemas.openxmlformats.org/officeDocument/2006/relationships/hyperlink" Target="file:///C:\Users\Eddri\AppData\Roaming\Microsoft\PT.%20KIP\DO%20INV\PT.%20KIP%20DO%201606%20(PO%20%2025%2000606)%2001.xlsm" TargetMode="External"/><Relationship Id="rId1022" Type="http://schemas.openxmlformats.org/officeDocument/2006/relationships/hyperlink" Target="../PT.%20SJIO%20DUMAI/DO%20INV/%20DO%201772%20(PO%20%20)%2001.xlsm" TargetMode="External"/><Relationship Id="rId269" Type="http://schemas.openxmlformats.org/officeDocument/2006/relationships/hyperlink" Target="file:///C:\Users\Eddri\AppData\Roaming\Microsoft\PT.%20Able%20Commodities%20Indonesia\DO%20INV\PT.%20ABLE%20DO%201093%20(PO%20%2025900045)%2007.xlsm" TargetMode="External"/><Relationship Id="rId476" Type="http://schemas.openxmlformats.org/officeDocument/2006/relationships/hyperlink" Target="file:///C:\Users\Eddri\AppData\Roaming\Microsoft\GROUP%20Apical%20Group\PT.%20Apical%20Kao%20Chemicals\DO%20INV\PT.%20AKC%20DO%201273%20(PO%20%204500413575)%2007.xlsm" TargetMode="External"/><Relationship Id="rId683" Type="http://schemas.openxmlformats.org/officeDocument/2006/relationships/hyperlink" Target="file:///C:\Users\Eddri\AppData\Roaming\Microsoft\PT.%20Simpang%20Kanan%20Lestarindo\DO%20INV\PT.%20SKL%20DO%201469%20(PO%20%2025%2000572)%2001.xlsm" TargetMode="External"/><Relationship Id="rId890" Type="http://schemas.openxmlformats.org/officeDocument/2006/relationships/hyperlink" Target="file:///C:\Users\Eddri\AppData\Roaming\Microsoft\Excel\PT.%20Agro%20Raya%20Mas\DO%20INV\PT.%20ARM%20DO%201655%20(PO%20%2025%2000296)%2007%20-%20PARTIAL%20-%20N2,3.xlsm" TargetMode="External"/><Relationship Id="rId904" Type="http://schemas.openxmlformats.org/officeDocument/2006/relationships/hyperlink" Target="file:///C:\Users\Eddri\AppData\Roaming\Microsoft\Excel\PT.%20Pacific%20Palmindo%20Industri\DO%20INV\PT.%20PPI%20DO%201669%20(PO%20%204714048346)%2007.xlsm" TargetMode="External"/><Relationship Id="rId33" Type="http://schemas.openxmlformats.org/officeDocument/2006/relationships/hyperlink" Target="http://../PT.%20Agro%20Murni/DO%20INV/PT.%20AGRO%20M%20DO%20828%20(PO%20%2024%2000503)%20N2-3.xlsm" TargetMode="External"/><Relationship Id="rId129" Type="http://schemas.openxmlformats.org/officeDocument/2006/relationships/hyperlink" Target="file:///C:\Users\Eddri\AppData\Roaming\Microsoft\PT.%20Pacific%20Palmindo%20Industri\DO%20INV\PT.%20PPI%20DO%20948%20(PO%20%204714043501)%2001.xlsm" TargetMode="External"/><Relationship Id="rId336" Type="http://schemas.openxmlformats.org/officeDocument/2006/relationships/hyperlink" Target="file:///C:\Users\Eddri\AppData\Roaming\Microsoft\PT.%20Able%20Commodities%20Indonesia\DO%20INV\PT.%20ABLE%20DO%201152%20(PO%20%2025900262)%2007%20N1,3,4,5,6,7.xlsm" TargetMode="External"/><Relationship Id="rId543" Type="http://schemas.openxmlformats.org/officeDocument/2006/relationships/hyperlink" Target="file:///C:\Users\Eddri\AppData\Roaming\Microsoft\PT.%20Agro%20Raya%20Mas\DO%20INV\PT.%20ARM%20DO%201357%20(PO%20%2025900907)%2007%20-%20PARTIAL%20-%20N1.xlsm" TargetMode="External"/><Relationship Id="rId988" Type="http://schemas.openxmlformats.org/officeDocument/2006/relationships/hyperlink" Target="file:///C:\Users\Eddri\AppData\Roaming\Microsoft\Excel\PT.%20KIP\DO%20INV\PT.%20KIP%20DO%201744%20(PO%20%2026%2000125)%2001%20-%20PARTIAL%20-%20N1,2,4,5.xlsm" TargetMode="External"/><Relationship Id="rId182" Type="http://schemas.openxmlformats.org/officeDocument/2006/relationships/hyperlink" Target="file:///C:\Users\Eddri\AppData\Roaming\Microsoft\PT.%20Pacific%20Palmindo%20Industri\DO%20INV\PT.%20PPI%20DO%201003%20(PO%20%204714044342)%2001.xlsm" TargetMode="External"/><Relationship Id="rId403" Type="http://schemas.openxmlformats.org/officeDocument/2006/relationships/hyperlink" Target="file:///C:\Users\Eddri\AppData\Roaming\Microsoft\PT.%20Simpang%20Kanan%20Lestarindo\DO%20INV\PT.%20SKL%20DO%201212%20(PO%20%2025%2000192)%2001.xlsm" TargetMode="External"/><Relationship Id="rId750" Type="http://schemas.openxmlformats.org/officeDocument/2006/relationships/hyperlink" Target="file:///C:\Users\Eddri\AppData\Roaming\Microsoft\PT.%20Simpang%20Kanan%20Lestarindo\DO%20INV\PT.%20SKL%20DO%201531%20(PO%20%2025%2000698)%2001.xlsm" TargetMode="External"/><Relationship Id="rId848" Type="http://schemas.openxmlformats.org/officeDocument/2006/relationships/hyperlink" Target="file:///C:\Users\Eddri\AppData\Roaming\Microsoft\PT.%20KIP\DO%20INV\PT.%20KIP%20DO%201616%20(PO%20%2025%2000624)%2001.xlsm" TargetMode="External"/><Relationship Id="rId1033" Type="http://schemas.openxmlformats.org/officeDocument/2006/relationships/hyperlink" Target="../PT.%20Agro%20Murni/DO%20INV/PT.%20AGRO%20M%20DO%201782%20(PO%20%2026%2000143)%2007%20-%20PARTIAL%20-%20N1,N2(-28PCS),N3.xlsm" TargetMode="External"/><Relationship Id="rId487" Type="http://schemas.openxmlformats.org/officeDocument/2006/relationships/hyperlink" Target="file:///C:\Users\Eddri\AppData\Roaming\Microsoft\PT.%20Simpang%20Kanan%20Lestarindo\DO%20INV\PT.%20SKL%20DO%201283%20(PO%20%2025%2000336)%2001.xlsm" TargetMode="External"/><Relationship Id="rId610" Type="http://schemas.openxmlformats.org/officeDocument/2006/relationships/hyperlink" Target="file:///C:\Users\Eddri\AppData\Roaming\Microsoft\PT.%20Simpang%20Kanan%20Lestarindo\DO%20INV\PT.%20SKL%20DO%201415%20(PO%20%2025%2000465)%2001.xlsm" TargetMode="External"/><Relationship Id="rId694" Type="http://schemas.openxmlformats.org/officeDocument/2006/relationships/hyperlink" Target="file:///C:\Users\Eddri\AppData\Roaming\Microsoft\Excel\%20DO%201480%20(PO%20%20)%2007.xlsm" TargetMode="External"/><Relationship Id="rId708" Type="http://schemas.openxmlformats.org/officeDocument/2006/relationships/hyperlink" Target="file:///C:\Users\Eddri\AppData\Roaming\Microsoft\PT.%20SJIO%20DUMAI\DO%20INV\PT.%20SJIO%20DO%201493%20(PO%20%20SJIO%20TANK%20PO%202509%200977)%2001.xlsm" TargetMode="External"/><Relationship Id="rId915" Type="http://schemas.openxmlformats.org/officeDocument/2006/relationships/hyperlink" Target="file:///C:\Users\Eddri\AppData\Roaming\Microsoft\Excel\PT.%20Agro%20Raya%20Mas\DO%20INV\PT.%20ARM%20DO%201678%20(PO%20%2026%2000060)%2001.xlsm" TargetMode="External"/><Relationship Id="rId347" Type="http://schemas.openxmlformats.org/officeDocument/2006/relationships/hyperlink" Target="file:///C:\Users\Eddri\AppData\Roaming\Microsoft\PT.%20SJIO%20DUMAI\DO%20INV\PT.%20SJIO%20DO%201163%20(PO%20%20140)%2001.xlsm" TargetMode="External"/><Relationship Id="rId999" Type="http://schemas.openxmlformats.org/officeDocument/2006/relationships/hyperlink" Target="file:///C:\Users\Eddri\AppData\Roaming\Microsoft\Excel\PT.%20PALUTA%20INTI%20SAWIT\DO%20INV\PT.%20PIS%20DO%201748%20(PO%20%2026%2000107)%20REV%201%2001.xlsm" TargetMode="External"/><Relationship Id="rId44" Type="http://schemas.openxmlformats.org/officeDocument/2006/relationships/hyperlink" Target="http://../PT.%20KIP/DO%20INV/PT.%20KIP%20DO%20838%20(PO%20%2024%2000477)%20.xlsm" TargetMode="External"/><Relationship Id="rId554" Type="http://schemas.openxmlformats.org/officeDocument/2006/relationships/hyperlink" Target="file:///C:\Users\Eddri\AppData\Roaming\Microsoft\PT.%20Agro%20Raya%20Mas\DO%20INV\PT.%20ARM%20DO%201367%20(PO%20%2025900907)%2007%20-%20PARTIAL%20-%20N1.xlsm" TargetMode="External"/><Relationship Id="rId761" Type="http://schemas.openxmlformats.org/officeDocument/2006/relationships/hyperlink" Target="file:///C:\Users\Eddri\AppData\Roaming\Microsoft\PT.%20SJIO%20DUMAI\DO%20INV\PT.%20SJIO%20DO%201542%20(PO%20%20SJIO%20REF%20PO%202510%201337)%2001%20-%20PARTIAL%20-%20N5,6,7,8.xlsm" TargetMode="External"/><Relationship Id="rId859" Type="http://schemas.openxmlformats.org/officeDocument/2006/relationships/hyperlink" Target="file:///C:\Users\Eddri\AppData\Roaming\Microsoft\PT.%20SJIO%20DUMAI\DO%20INV\PT.%20SJIO%20DO%201627%20(PO%20%20%20)%2001%20-%20DO%20SEMENTARA.xlsm" TargetMode="External"/><Relationship Id="rId193" Type="http://schemas.openxmlformats.org/officeDocument/2006/relationships/hyperlink" Target="file:///C:\Users\Eddri\AppData\Roaming\Microsoft\PT.%20Pacific%20Palmindo%20Industri\DO%20INV\PT.%20PPI%20DO%201003%20(PO%20%204714044342)%2001%20rev1.xlsm" TargetMode="External"/><Relationship Id="rId207" Type="http://schemas.openxmlformats.org/officeDocument/2006/relationships/hyperlink" Target="file:///C:\Users\Eddri\AppData\Roaming\Microsoft\PT.%20Agro%20Murni\DO%20INV\PT.%20AGRO%20M%20DO%201023%20(PO%20%2024%2000635)%2007.xlsm" TargetMode="External"/><Relationship Id="rId414" Type="http://schemas.openxmlformats.org/officeDocument/2006/relationships/hyperlink" Target="file:///C:\Users\Eddri\AppData\Roaming\Microsoft\PT.%20Able%20Commodities%20Indonesia\DO%20INV\PT.%20ABLE%20DO%201220%20(PO%20%2025900551)%2007.xlsm" TargetMode="External"/><Relationship Id="rId498" Type="http://schemas.openxmlformats.org/officeDocument/2006/relationships/hyperlink" Target="file:///C:\Users\Eddri\AppData\Roaming\Microsoft\PT.%20KIP\DO%20INV\PT.%20KIP%20DO%201293%20(PO%20%2025%2000280)%2001.xlsm" TargetMode="External"/><Relationship Id="rId621" Type="http://schemas.openxmlformats.org/officeDocument/2006/relationships/hyperlink" Target="file:///C:\Users\Eddri\AppData\Roaming\Microsoft\PT.%20Agro%20Raya%20Mas\DO%20INV\PT.%20ARM%20DO%201412%20(PO%20%2025901106)%2001.xlsm" TargetMode="External"/><Relationship Id="rId1044" Type="http://schemas.openxmlformats.org/officeDocument/2006/relationships/hyperlink" Target="../PT.%20Agro%20Raya%20Mas/DO%20INV/PT.%20ARM%20DO%201789%20(PO%20%2026%2000228)%2007%20-%20PARTIAL%20-%20N8.xlsm" TargetMode="External"/><Relationship Id="rId260" Type="http://schemas.openxmlformats.org/officeDocument/2006/relationships/hyperlink" Target="file:///C:\Users\Eddri\AppData\Roaming\Microsoft\PT.%20Pacific%20Palmindo%20Industri\DO%20INV\PT.%20PPI%20DO%201073%20(PO%20%204714044855)%2001%20N1-3.xlsm" TargetMode="External"/><Relationship Id="rId719" Type="http://schemas.openxmlformats.org/officeDocument/2006/relationships/hyperlink" Target="file:///C:\Users\Eddri\AppData\Roaming\Microsoft\PT.%20SJIO%20DUMAI\DO%20INV\PT.%20SJIO%20DO%201503%20(PO%20%20%20SJIO%20REF%20PO%202509%201031)%2001%20-%20PARTIAL%20-%20N7,8,10,12,13,15,16.xlsm" TargetMode="External"/><Relationship Id="rId926" Type="http://schemas.openxmlformats.org/officeDocument/2006/relationships/hyperlink" Target="file:///C:\Users\Eddri\AppData\Roaming\Microsoft\Excel\PT.%20Simpang%20Kanan%20Lestarindo\DO%20INV\PT.%20SKL%20DO%201688%20(PO%20%2026%2000053)%2001.xlsm" TargetMode="External"/><Relationship Id="rId55" Type="http://schemas.openxmlformats.org/officeDocument/2006/relationships/hyperlink" Target="http://../PT.%20Pacific%20Palmindo%20Industri/DO%20INV/%20DO%20849%20(PO%20%20)%20.xlsm" TargetMode="External"/><Relationship Id="rId120" Type="http://schemas.openxmlformats.org/officeDocument/2006/relationships/hyperlink" Target="file:///C:\Users\Eddri\AppData\Roaming\Microsoft\PT.%20Pacific%20Palmindo%20Industri\DO%20INV\PT.%20PPI%20DO%20938%20(PO%20%204714043225)%2001.xlsm" TargetMode="External"/><Relationship Id="rId358" Type="http://schemas.openxmlformats.org/officeDocument/2006/relationships/hyperlink" Target="file:///C:\Users\Eddri\AppData\Roaming\Microsoft\PT.%20Agro%20Murni\DO%20INV\PT.%20AGRO%20M%20DO%201172%20(PO%20%2025%2000121)%20.xlsm" TargetMode="External"/><Relationship Id="rId565" Type="http://schemas.openxmlformats.org/officeDocument/2006/relationships/hyperlink" Target="file:///C:\Users\Eddri\AppData\Roaming\Microsoft\Excel\%20DO%201375%20(PO%20%20)%2001.xlsm" TargetMode="External"/><Relationship Id="rId772" Type="http://schemas.openxmlformats.org/officeDocument/2006/relationships/hyperlink" Target="file:///C:\Users\Eddri\AppData\Roaming\Microsoft\PT.%20Simpang%20Kanan%20Lestarindo\DO%20INV\PT.%20SKL%20DO%201552%20(PO%20%2025%2000820)%2001%20-%20PENGGANTI%20DO%201545.xlsm" TargetMode="External"/><Relationship Id="rId218" Type="http://schemas.openxmlformats.org/officeDocument/2006/relationships/hyperlink" Target="file:///C:\Users\Eddri\AppData\Roaming\Microsoft\PT.%20Pacific%20Palmindo%20Industri\DO%20INV\PT.%20PPI%20DO%201034%20(PO%20%204714044565)%2001.xlsm" TargetMode="External"/><Relationship Id="rId425" Type="http://schemas.openxmlformats.org/officeDocument/2006/relationships/hyperlink" Target="file:///C:\Users\Eddri\AppData\Roaming\Microsoft\GROUP%20Apical%20Group\PT.%20Sari%20Dumai%20Sejati\DO%20INV\PT.%20SDS%20DO%201230%20(PO%20%204500409407)%2007%20%20PARTIAL%20COMPLETE%20N2,3,4.xlsm" TargetMode="External"/><Relationship Id="rId632" Type="http://schemas.openxmlformats.org/officeDocument/2006/relationships/hyperlink" Target="file:///C:\Users\Eddri\AppData\Roaming\Microsoft\PT.%20Agro%20Raya%20Mas\DO%20INV\PT.%20ARM%20DO%201430%20(PO%20%2025901103)%2007.xlsm" TargetMode="External"/><Relationship Id="rId271" Type="http://schemas.openxmlformats.org/officeDocument/2006/relationships/hyperlink" Target="file:///C:\Users\Eddri\AppData\Roaming\Microsoft\PT.%20Agro%20Murni\DO%20INV\PT.%20AGRO%20M%20DO%201095%20(PO%20%2024%2001378)%20REPLACE%20REFER%20TO%20DO%201061.xlsm" TargetMode="External"/><Relationship Id="rId937" Type="http://schemas.openxmlformats.org/officeDocument/2006/relationships/hyperlink" Target="file:///C:\Users\Eddri\AppData\Roaming\Microsoft\Excel\PT.%20Agro%20Raya%20Mas\DO%20INV\PT.%20ARM%20DO%201699%20(PO%20%2026%2000135)%2001.xlsm" TargetMode="External"/><Relationship Id="rId66" Type="http://schemas.openxmlformats.org/officeDocument/2006/relationships/hyperlink" Target="about:blank" TargetMode="External"/><Relationship Id="rId131" Type="http://schemas.openxmlformats.org/officeDocument/2006/relationships/hyperlink" Target="file:///C:\Users\Eddri\AppData\Roaming\Microsoft\PT.%20Pacific%20Palmindo%20Industri\DO%20INV\PT.%20PPI%20DO%20950%20(PO%20%204714043586)%2001.xlsm" TargetMode="External"/><Relationship Id="rId369" Type="http://schemas.openxmlformats.org/officeDocument/2006/relationships/hyperlink" Target="file:///C:\Users\Eddri\AppData\Roaming\Microsoft\PT.%20Able%20Commodities%20Indonesia\DO%20INV\PT.%20ABLE%20DO%201182%20(PO%20%2025900389)%2007%20N1.xlsm" TargetMode="External"/><Relationship Id="rId576" Type="http://schemas.openxmlformats.org/officeDocument/2006/relationships/hyperlink" Target="file:///C:\Users\Eddri\AppData\Roaming\Microsoft\PT.%20Agro%20Raya%20Mas\DO%20INV\PT.%20ARM%20DO%201386%20(PO%20%2025901049)%2007.xlsm" TargetMode="External"/><Relationship Id="rId783" Type="http://schemas.openxmlformats.org/officeDocument/2006/relationships/hyperlink" Target="file:///C:\Users\Eddri\AppData\Roaming\Microsoft\PT.%20Agro%20Raya%20Mas\DO%20INV\PT.%20ARM%20DO%201563%20(PO%20%2025%2000078)%2001.xlsm" TargetMode="External"/><Relationship Id="rId990" Type="http://schemas.openxmlformats.org/officeDocument/2006/relationships/hyperlink" Target="file:///C:\Users\Eddri\AppData\Roaming\Microsoft\Excel\PT.%20SJIO%20DUMAI\DO%20INV\PT.%20SJIO%20DO%201746%20(PO%20%20SJIO%20REF%20PO%202602%200210)%2001.xlsm" TargetMode="External"/><Relationship Id="rId229" Type="http://schemas.openxmlformats.org/officeDocument/2006/relationships/hyperlink" Target="file:///C:\Users\Eddri\AppData\Roaming\Microsoft\PT.%20Agro%20Murni\DO%20INV\PT.%20AGRO%20M%20DO%201043%20(PO%20%2024%2000510)%2007%20N1.xlsm" TargetMode="External"/><Relationship Id="rId436" Type="http://schemas.openxmlformats.org/officeDocument/2006/relationships/hyperlink" Target="file:///C:\Users\Eddri\AppData\Roaming\Microsoft\PT.%20Agro%20Murni\DO%20INV\PT.%20AGRO%20M%20DO%201235%20(PO%20%2025%2000345)%2007%20PARTIAL%20N2,6,7,8,11,15,19,23,25,28,30,31.xlsm" TargetMode="External"/><Relationship Id="rId643" Type="http://schemas.openxmlformats.org/officeDocument/2006/relationships/hyperlink" Target="file:///C:\Users\Eddri\AppData\Roaming\Microsoft\PT.%20Simpang%20Kanan%20Lestarindo\DO%20INV\PT.%20SKL%20DO%201370%20(PO%20%2025%2000517)%2001.xlsm" TargetMode="External"/><Relationship Id="rId850" Type="http://schemas.openxmlformats.org/officeDocument/2006/relationships/hyperlink" Target="file:///C:\Users\Eddri\AppData\Roaming\Microsoft\PT.%20SJIO%20DUMAI\DO%20INV\PT.%20SJIO%20DO%201618%20(PO%20%20SJIO%20BOILER%20PO%202511%201470)%2001.xlsm" TargetMode="External"/><Relationship Id="rId948" Type="http://schemas.openxmlformats.org/officeDocument/2006/relationships/hyperlink" Target="file:///C:\Users\Eddri\AppData\Roaming\Microsoft\Excel\PT.%20Simpang%20Kanan%20Lestarindo\DO%20INV\PT.%20SKL%20DO%201707%20(PO%20%2026%2000081)%2001.xlsm" TargetMode="External"/><Relationship Id="rId77" Type="http://schemas.openxmlformats.org/officeDocument/2006/relationships/hyperlink" Target="http://../PT.%20Agro%20Murni/DO%20INV/PT.%20AGRO%20M%20DO%20871%20(PO%20%2024%2000503)%20.xlsm" TargetMode="External"/><Relationship Id="rId282" Type="http://schemas.openxmlformats.org/officeDocument/2006/relationships/hyperlink" Target="file:///C:\Users\Eddri\AppData\Roaming\Microsoft\PT.%20KIP\DO%20INV\PT.%20KIP%20DO%201086%20(PO%20%2025%2000028)%2001.xlsm" TargetMode="External"/><Relationship Id="rId503" Type="http://schemas.openxmlformats.org/officeDocument/2006/relationships/hyperlink" Target="file:///C:\Users\Eddri\AppData\Roaming\Microsoft\PT.%20KIP\DO%20INV\PT.%20KIP%20DO%201323%20(PO%20%2025%2000307)%2001.xlsm" TargetMode="External"/><Relationship Id="rId587" Type="http://schemas.openxmlformats.org/officeDocument/2006/relationships/hyperlink" Target="file:///C:\Users\Eddri\AppData\Roaming\Microsoft\PT.%20Simpang%20Kanan%20Lestarindo\DO%20INV\PT.%20SKL%20DO%201397%20(PO%20%2025%2000460)%2001.xlsm" TargetMode="External"/><Relationship Id="rId710" Type="http://schemas.openxmlformats.org/officeDocument/2006/relationships/hyperlink" Target="file:///C:\Users\Eddri\AppData\Roaming\Microsoft\PT.%20Agro%20Raya%20Mas\DO%20INV\PT.%20ARM%20DO%201495%20(PO%20%2025901337)%2001.xlsm" TargetMode="External"/><Relationship Id="rId808" Type="http://schemas.openxmlformats.org/officeDocument/2006/relationships/hyperlink" Target="file:///C:\Users\Eddri\AppData\Roaming\Microsoft\PT.%20Agro%20Raya%20Mas\DO%20INV\PT.%20ARM%20DO%201580%20(PO%20%2025%2000116)%2001.xlsm" TargetMode="External"/><Relationship Id="rId8" Type="http://schemas.openxmlformats.org/officeDocument/2006/relationships/hyperlink" Target="about:blank" TargetMode="External"/><Relationship Id="rId142" Type="http://schemas.openxmlformats.org/officeDocument/2006/relationships/hyperlink" Target="file:///C:\Users\Eddri\AppData\Roaming\Microsoft\PT.%20Pacific%20Palmindo%20Industri\DO%20INV\PT.%20PPI%20DO%20960%20(PO%20%204714043798)%2001.xlsm" TargetMode="External"/><Relationship Id="rId447" Type="http://schemas.openxmlformats.org/officeDocument/2006/relationships/hyperlink" Target="file:///C:\Users\Eddri\AppData\Roaming\Microsoft\PT.%20KIP\DO%20INV\PT.%20KIP%20DO%201249%20(PO%20%2025%2000222)%2001.xlsm" TargetMode="External"/><Relationship Id="rId794" Type="http://schemas.openxmlformats.org/officeDocument/2006/relationships/hyperlink" Target="file:///C:\Users\Eddri\AppData\Roaming\Microsoft\PT.%20Agro%20Raya%20Mas\DO%20INV\PT.%20ARM%20DO%201572%20(PO%20%2025%2000108)%2001.xlsm" TargetMode="External"/><Relationship Id="rId654" Type="http://schemas.openxmlformats.org/officeDocument/2006/relationships/hyperlink" Target="file:///C:\Users\Eddri\AppData\Roaming\Microsoft\PT.%20Agro%20Raya%20Mas\DO%20INV\PT.%20ARM%20DO%201446%20(PO%20%2025901233)%2007.xlsm" TargetMode="External"/><Relationship Id="rId861" Type="http://schemas.openxmlformats.org/officeDocument/2006/relationships/hyperlink" Target="file:///C:\Users\Eddri\AppData\Roaming\Microsoft\PT.%20Simpang%20Kanan%20Lestarindo\DO%20INV\PT.%20SKL%20DO%201629%20(PO%20%2025%2000913)%2001%20-%20PARTIAL%20-%20N4.xlsm" TargetMode="External"/><Relationship Id="rId959" Type="http://schemas.openxmlformats.org/officeDocument/2006/relationships/hyperlink" Target="file:///C:\Users\Eddri\AppData\Roaming\Microsoft\Excel\PT.%20SJIO%20DUMAI\DO%20INV\%20DO%201715%20(PO%20%20)%2001.xlsm" TargetMode="External"/><Relationship Id="rId293" Type="http://schemas.openxmlformats.org/officeDocument/2006/relationships/hyperlink" Target="file:///C:\Users\Eddri\AppData\Roaming\Microsoft\PT.%20KIP\DO%20INV\PT.%20KIP%20DO%201109%20(PO%20%2025%2000055)%2001.xlsm" TargetMode="External"/><Relationship Id="rId307" Type="http://schemas.openxmlformats.org/officeDocument/2006/relationships/hyperlink" Target="file:///C:\Users\Eddri\AppData\Roaming\Microsoft\PT.%20Able%20Commodities%20Indonesia\DO%20INV\PT.%20ABLE%20DO%201123%20(PO%20%2025900213)%2007.xlsm" TargetMode="External"/><Relationship Id="rId514" Type="http://schemas.openxmlformats.org/officeDocument/2006/relationships/hyperlink" Target="file:///C:\Users\Eddri\AppData\Roaming\Microsoft\Excel\%20DO%201331%20(PO%20%20)%20'07%20-%20PARTIAL%20-%20N1.xlsm" TargetMode="External"/><Relationship Id="rId721" Type="http://schemas.openxmlformats.org/officeDocument/2006/relationships/hyperlink" Target="file:///C:\Users\Eddri\AppData\Roaming\Microsoft\PT.%20SJIO%20DUMAI\DO%20INV\PT.%20SJIO%20DO%201505%20(PO%20%20%20SJIO%20TANK%20PO%202504%200355)%2001%20-%20PARTIAL%20-%20N1,4,5.xlsm" TargetMode="External"/><Relationship Id="rId88" Type="http://schemas.openxmlformats.org/officeDocument/2006/relationships/hyperlink" Target="file:///C:\Users\Eddri\AppData\Roaming\Microsoft\PT.%20KIP\DO%20INV\PT.%20KIP%20DO%20905%20(PO%20%200)%20.xlsm" TargetMode="External"/><Relationship Id="rId153" Type="http://schemas.openxmlformats.org/officeDocument/2006/relationships/hyperlink" Target="file:///C:\Users\Eddri\AppData\Roaming\Microsoft\PT.%20SJIO%20DUMAI\DO%20INV\PT.%20SJIO%20DO%20973%20(PO%20%20%20)%20.xlsm" TargetMode="External"/><Relationship Id="rId360" Type="http://schemas.openxmlformats.org/officeDocument/2006/relationships/hyperlink" Target="file:///C:\Users\Eddri\AppData\Roaming\Microsoft\PT.%20SJIO%20DUMAI\DO%20INV\PT.%20SJIO%20DO%201174%20(PO%20%20072)%2001.xlsm" TargetMode="External"/><Relationship Id="rId598" Type="http://schemas.openxmlformats.org/officeDocument/2006/relationships/hyperlink" Target="file:///C:\Users\Eddri\AppData\Roaming\Microsoft\PT.%20Agro%20Raya%20Mas\DO%20INV\%20DO%201403%20(PO%20%20)%20%20.xlsm" TargetMode="External"/><Relationship Id="rId819" Type="http://schemas.openxmlformats.org/officeDocument/2006/relationships/hyperlink" Target="file:///C:\Users\Eddri\AppData\Roaming\Microsoft\PT.%20Simpang%20Kanan%20Lestarindo\DO%20INV\PT.%20SKL%20DO%201590%20(PO%20%2025%2000867)%2001.xlsm" TargetMode="External"/><Relationship Id="rId1004" Type="http://schemas.openxmlformats.org/officeDocument/2006/relationships/hyperlink" Target="../PT.%20SJIO%20DUMAI/DO%20INV/PT.%20SJIO%20DO%201755%20(PO%20%20SJIO%20REF%20PO%202601%200052)%2001%20-%20PARTIAL%20-%20N1.xlsm" TargetMode="External"/><Relationship Id="rId220" Type="http://schemas.openxmlformats.org/officeDocument/2006/relationships/hyperlink" Target="file:///C:\Users\Eddri\AppData\Roaming\Microsoft\PT.%20Pacific%20Palmindo%20Industri\DO%20INV\PT.%20PPI%20DO%201035%20(PO%20%204714044652)%2001.xlsm" TargetMode="External"/><Relationship Id="rId458" Type="http://schemas.openxmlformats.org/officeDocument/2006/relationships/hyperlink" Target="file:///C:\Users\Eddri\AppData\Roaming\Microsoft\Excel\%20DO%201259%20(PO%20%20)%20'07%20-%20PARTIAL%20COMPLETE%20-%20N2.xlsm" TargetMode="External"/><Relationship Id="rId665" Type="http://schemas.openxmlformats.org/officeDocument/2006/relationships/hyperlink" Target="file:///C:\Users\Eddri\AppData\Roaming\Microsoft\PT.%20Agro%20Raya%20Mas\DO%20INV\PT.%20ARM%20DO%201454%20(PO%20%2025901153)%2001.xlsm" TargetMode="External"/><Relationship Id="rId872" Type="http://schemas.openxmlformats.org/officeDocument/2006/relationships/hyperlink" Target="file:///C:\Users\Eddri\AppData\Roaming\Microsoft\Excel\PT.%20Agro%20Raya%20Mas\DO%20INV\PT.%20ARM%20DO%201639%20(PO%20%2025%2000241)%2007%20-%20PARTIAL%20-%20N2.xlsm" TargetMode="External"/><Relationship Id="rId15" Type="http://schemas.openxmlformats.org/officeDocument/2006/relationships/hyperlink" Target="about:blank" TargetMode="External"/><Relationship Id="rId318" Type="http://schemas.openxmlformats.org/officeDocument/2006/relationships/hyperlink" Target="file:///C:\Users\Eddri\AppData\Roaming\Microsoft\PT.%20Able%20Commodities%20Indonesia\DO%20INV\PT.%20ABLE%20DO%201134%20(PO%20%2025900278)%2007.xlsm" TargetMode="External"/><Relationship Id="rId525" Type="http://schemas.openxmlformats.org/officeDocument/2006/relationships/hyperlink" Target="file:///C:\Users\Eddri\AppData\Roaming\Microsoft\PT.%20Agro%20Raya%20Mas\DO%20INV\PT.%20ARM%20DO%201343%20(PO%20%2025900839)%2007.xlsm" TargetMode="External"/><Relationship Id="rId732" Type="http://schemas.openxmlformats.org/officeDocument/2006/relationships/hyperlink" Target="file:///C:\Users\Eddri\AppData\Roaming\Microsoft\PT.%20SJIO%20DUMAI\DO%20INV\PT.%20SJIO%20DO%201515%20(PO%20%20SJIO%20TANK%20PO%202509%201039)%2001%20-%20PARTIAL%20-%20N4.xlsm" TargetMode="External"/><Relationship Id="rId99" Type="http://schemas.openxmlformats.org/officeDocument/2006/relationships/hyperlink" Target="file:///C:\Users\Eddri\AppData\Roaming\Microsoft\PT.%20Agro%20Murni\DO%20INV\PT.%20AGRO%20M%20DO%20916%20(PO%20%2024%2000572)%20.xlsm" TargetMode="External"/><Relationship Id="rId164" Type="http://schemas.openxmlformats.org/officeDocument/2006/relationships/hyperlink" Target="file:///C:\Users\Eddri\AppData\Roaming\Microsoft\PT.%20SJIO%20DUMAI\DO%20INV\%20DO%20982%20(PO%20%20)%2007.xlsm" TargetMode="External"/><Relationship Id="rId371" Type="http://schemas.openxmlformats.org/officeDocument/2006/relationships/hyperlink" Target="file:///C:\Users\Eddri\AppData\Roaming\Microsoft\PT.%20Able%20Commodities%20Indonesia\DO%20INV\PT.%20ABLE%20DO%201184%20(PO%20%2025900383)%2007.xlsm" TargetMode="External"/><Relationship Id="rId1015" Type="http://schemas.openxmlformats.org/officeDocument/2006/relationships/hyperlink" Target="../PT.%20Agro%20Murni/DO%20INV/%20DO%201764%20(PO%20%20)%2001.xlsm" TargetMode="External"/><Relationship Id="rId469" Type="http://schemas.openxmlformats.org/officeDocument/2006/relationships/hyperlink" Target="file:///C:\Users\Eddri\AppData\Roaming\Microsoft\PT.%20Able%20Commodities%20Indonesia\DO%20INV\PT.%20ABLE%20DO%201268%20(PO%20%2025900616)%2007.xlsm" TargetMode="External"/><Relationship Id="rId676" Type="http://schemas.openxmlformats.org/officeDocument/2006/relationships/hyperlink" Target="file:///C:\Users\Eddri\AppData\Roaming\Microsoft\PT.%20Simpang%20Kanan%20Lestarindo\DO%20INV\PT.%20SKL%20DO%201463%20(PO%20%20508%200944)%2001%20-%20PARTIAL%20COMPLETE%20-%20N4,7.xlsm" TargetMode="External"/><Relationship Id="rId883" Type="http://schemas.openxmlformats.org/officeDocument/2006/relationships/hyperlink" Target="file:///C:\Users\Eddri\AppData\Roaming\Microsoft\Excel\PT.%20KIP\DO%20INV\PT.%20KIP%20DO%201649%20(PO%20%2025%2000637)%2001.xlsm" TargetMode="External"/><Relationship Id="rId26" Type="http://schemas.openxmlformats.org/officeDocument/2006/relationships/hyperlink" Target="about:blank" TargetMode="External"/><Relationship Id="rId231" Type="http://schemas.openxmlformats.org/officeDocument/2006/relationships/hyperlink" Target="file:///C:\Users\Eddri\AppData\Roaming\Microsoft\PT.%20SJIO%20DUMAI\DO%20INV\PT.%20SJIO%20DO%201045%20(PO%20%20385)%2001.xlsm" TargetMode="External"/><Relationship Id="rId329" Type="http://schemas.openxmlformats.org/officeDocument/2006/relationships/hyperlink" Target="file:///C:\Users\Eddri\AppData\Roaming\Microsoft\PT.%20Able%20Commodities%20Indonesia\DO%20INV\PT.%20ABLE%20DO%201145%20(PO%20%2025900279)%2007.xlsm" TargetMode="External"/><Relationship Id="rId536" Type="http://schemas.openxmlformats.org/officeDocument/2006/relationships/hyperlink" Target="file:///C:\Users\Eddri\AppData\Roaming\Microsoft\PT.%20SWP\DO%20INV\PT.%20SWP%20DO%201352%20(PO%20%204000289619)%2007.xlsm" TargetMode="External"/><Relationship Id="rId175" Type="http://schemas.openxmlformats.org/officeDocument/2006/relationships/hyperlink" Target="file:///C:\Users\Eddri\AppData\Roaming\Microsoft\PT.%20SJIO%20DUMAI\DO%20INV\PT.%20SJIO%20DO%20992%20(PO%20%20074)%2001.xlsm" TargetMode="External"/><Relationship Id="rId743" Type="http://schemas.openxmlformats.org/officeDocument/2006/relationships/hyperlink" Target="file:///C:\Users\Eddri\AppData\Roaming\Microsoft\PT.%20Agro%20Raya%20Mas\DO%20INV\PT.%20ARM%20DO%201525%20(PO%20%2025901374)%2001%20-%20PARTIAL%20-%20N3,4.xlsm" TargetMode="External"/><Relationship Id="rId950" Type="http://schemas.openxmlformats.org/officeDocument/2006/relationships/hyperlink" Target="file:///C:\Users\Eddri\AppData\Roaming\Microsoft\Excel\PoS%20Delivery%20Order312396453763307236\%20DO%201708%20(PO%20%20)%2001.xlsm" TargetMode="External"/><Relationship Id="rId1026" Type="http://schemas.openxmlformats.org/officeDocument/2006/relationships/hyperlink" Target="%20DO%201776%20(PO%20%20)%2001.xlsm" TargetMode="External"/><Relationship Id="rId382" Type="http://schemas.openxmlformats.org/officeDocument/2006/relationships/hyperlink" Target="file:///C:\Users\Eddri\AppData\Roaming\Microsoft\PT.%20Able%20Commodities%20Indonesia\DO%20INV\PT.%20ABLE%20DO%201195%20(PO%20%2025900477)%2007.xlsm" TargetMode="External"/><Relationship Id="rId603" Type="http://schemas.openxmlformats.org/officeDocument/2006/relationships/hyperlink" Target="file:///C:\Users\Eddri\AppData\Roaming\Microsoft\PT.%20KIP\DO%20INV\PT.%20KIP%20DO%201408%20(PO%20%2025%2000330)%2001.xlsm" TargetMode="External"/><Relationship Id="rId687" Type="http://schemas.openxmlformats.org/officeDocument/2006/relationships/hyperlink" Target="file:///C:\Users\Eddri\AppData\Roaming\Microsoft\PT.%20Agro%20Murni\DO%20INV\PT.%20AGRO%20M%20DO%201473%20(PO%20%2025%2000748)%2001.xlsm" TargetMode="External"/><Relationship Id="rId810" Type="http://schemas.openxmlformats.org/officeDocument/2006/relationships/hyperlink" Target="file:///C:\Users\Eddri\AppData\Roaming\Microsoft\PT.%20Agro%20Raya%20Mas\DO%20INV\PT.%20ARM%20DO%201582%20(PO%20%2025%2000103)%2001.xlsm" TargetMode="External"/><Relationship Id="rId908" Type="http://schemas.openxmlformats.org/officeDocument/2006/relationships/hyperlink" Target="file:///C:\Users\Eddri\AppData\Roaming\Microsoft\Excel\PT.%20Agro%20Raya%20Mas\DO%20INV\PT.%20ARM%20DO%201672%20(PO%20%2025%2000296)%2007%20-%20PARTIAL%20COMPLETED%20-%20N7.xlsm" TargetMode="External"/><Relationship Id="rId242" Type="http://schemas.openxmlformats.org/officeDocument/2006/relationships/hyperlink" Target="file:///C:\Users\Eddri\AppData\Roaming\Microsoft\PT.%20SJIO%20DUMAI\DO%20INV\PT.%20SJIO%20DO%201056%20(PO%20%20090)%2001.xlsm" TargetMode="External"/><Relationship Id="rId894" Type="http://schemas.openxmlformats.org/officeDocument/2006/relationships/hyperlink" Target="file:///C:\Users\Eddri\AppData\Roaming\Microsoft\Excel\PT.%20KIP\DO%20INV\PT.%20KIP%20DO%201659%20(PO%20%2025%2000621)%2001.xlsm" TargetMode="External"/><Relationship Id="rId37" Type="http://schemas.openxmlformats.org/officeDocument/2006/relationships/hyperlink" Target="http://../PT.%20Simpang%20Kanan%20Lestarindo/DO%20INV/PT.%20SKL%20DO%20832%20(PO%20%2024%2000491)%20.xlsm" TargetMode="External"/><Relationship Id="rId102" Type="http://schemas.openxmlformats.org/officeDocument/2006/relationships/hyperlink" Target="file:///C:\Users\Eddri\AppData\Roaming\Microsoft\PT.%20Able%20Commodities%20Indonesia\DO%20INV\PT.%20ABLE%20DO%20919%20(PO%20%2024900697)%20.xlsm" TargetMode="External"/><Relationship Id="rId547" Type="http://schemas.openxmlformats.org/officeDocument/2006/relationships/hyperlink" Target="file:///C:\Users\Eddri\AppData\Roaming\Microsoft\PT.%20Pacific%20Palmindo%20Industri\DO%20INV\PT.%20PPI%20DO%201360%20(PO%20%204714046439)%2007%20-%20PARTIAL%20-%20N1,2,3.xlsm" TargetMode="External"/><Relationship Id="rId754" Type="http://schemas.openxmlformats.org/officeDocument/2006/relationships/hyperlink" Target="file:///C:\Users\Eddri\AppData\Roaming\Microsoft\PT.%20Agro%20Murni\DO%20INV\PT.%20AGRO%20M%20DO%201535%20(PO%20%2025%2000362)%2001%20-%20PARTIAL%20-%20N10(-16BOX),%20N11(COMPLETE).xlsm" TargetMode="External"/><Relationship Id="rId961" Type="http://schemas.openxmlformats.org/officeDocument/2006/relationships/hyperlink" Target="file:///C:\Users\Eddri\AppData\Roaming\Microsoft\Excel\PT.%20KIP\DO%20INV\PT.%20KIP%20DO%201717%20(PO%20%20EMENTARA)%2001.xlsm" TargetMode="External"/><Relationship Id="rId90" Type="http://schemas.openxmlformats.org/officeDocument/2006/relationships/hyperlink" Target="file:///C:\Users\Eddri\AppData\Roaming\Microsoft\PT.%20Agro%20Murni\DO%20INV\PT.%20AGRO%20M%20DO%20907%20(PO%20%2024%2000614)%20.xlsm" TargetMode="External"/><Relationship Id="rId186" Type="http://schemas.openxmlformats.org/officeDocument/2006/relationships/hyperlink" Target="file:///C:\Users\Eddri\AppData\Roaming\Microsoft\PT.%20SJIO%20DUMAI\DO%20INV\PT.%20SJIO%20DO%201007%20(PO%20%20082)%2001.xlsm" TargetMode="External"/><Relationship Id="rId393" Type="http://schemas.openxmlformats.org/officeDocument/2006/relationships/hyperlink" Target="file:///C:\Users\Eddri\AppData\Roaming\Microsoft\PT.%20Agro%20Murni\DO%20INV\PT.%20AGRO%20M%20DO%201205%20(PO%20%2025%2000309)%2007.xlsm" TargetMode="External"/><Relationship Id="rId407" Type="http://schemas.openxmlformats.org/officeDocument/2006/relationships/hyperlink" Target="file:///C:\Users\Eddri\AppData\Roaming\Microsoft\PT.%20Agro%20Murni\DO%20INV\PT.%20AGRO%20M%20DO%201215%20(PO%20%2025%2000337)%2007.xlsm" TargetMode="External"/><Relationship Id="rId614" Type="http://schemas.openxmlformats.org/officeDocument/2006/relationships/hyperlink" Target="file:///C:\Users\Eddri\AppData\Roaming\Microsoft\PT.%20Agro%20Raya%20Mas\DO%20INV\PT.%20ARM%20DO%201419%20(PO%20%2025900952)%2007.xlsm" TargetMode="External"/><Relationship Id="rId821" Type="http://schemas.openxmlformats.org/officeDocument/2006/relationships/hyperlink" Target="file:///C:\Users\Eddri\AppData\Roaming\Microsoft\PT.%20SJIO%20DUMAI\DO%20INV\PT.%20SJIO%20DO%201578%20(PO%20%20SJIO%20BOILER%20PO%202511%201494)%20REV%201%2001%20-%20OFFICIAL.xlsm" TargetMode="External"/><Relationship Id="rId1037" Type="http://schemas.openxmlformats.org/officeDocument/2006/relationships/hyperlink" Target="../PT.%20SJIO%20DUMAI/DO%20INV/PT.%20SJIO%20DO%201785%20(PO%20%20SJIO%20BOILER%20PO%202602%200305)%2001%20-%20PARTIAL%20COMPLETED%20-%20N2.xlsm" TargetMode="External"/><Relationship Id="rId253" Type="http://schemas.openxmlformats.org/officeDocument/2006/relationships/hyperlink" Target="file:///C:\Users\Eddri\AppData\Roaming\Microsoft\PT.%20Agro%20Murni\DO%20INV\PT.%20AGRO%20M%20DO%201067%20(PO%20%2024%2001359)%2007%20N4,5.xlsm" TargetMode="External"/><Relationship Id="rId460" Type="http://schemas.openxmlformats.org/officeDocument/2006/relationships/hyperlink" Target="file:///C:\Users\Eddri\AppData\Roaming\Microsoft\Excel\%20DO%201260%20(PO%20%20)%20'07.xlsm" TargetMode="External"/><Relationship Id="rId698" Type="http://schemas.openxmlformats.org/officeDocument/2006/relationships/hyperlink" Target="file:///C:\Users\Eddri\AppData\Roaming\Microsoft\PT.%20SJIO%20DUMAI\DO%20INV\PT.%20SJIO%20DO%201483%20(PO%20%20940)%2001%20-%20PARTIAL%20-%20N2.xlsm" TargetMode="External"/><Relationship Id="rId919" Type="http://schemas.openxmlformats.org/officeDocument/2006/relationships/hyperlink" Target="file:///C:\Users\Eddri\AppData\Roaming\Microsoft\Excel\PoS%20Delivery%20Order312396453763307236\%20DO%201682%20(PO%20%20)%2007.xlsm" TargetMode="External"/><Relationship Id="rId48" Type="http://schemas.openxmlformats.org/officeDocument/2006/relationships/hyperlink" Target="http://../PT.%20Pacific%20Palmindo%20Industri/DO%20INV/PT.%20PPI%20DO%20842%20(PO%20%204714042629)%20.xlsm" TargetMode="External"/><Relationship Id="rId113" Type="http://schemas.openxmlformats.org/officeDocument/2006/relationships/hyperlink" Target="file:///C:\Users\Eddri\AppData\Roaming\Microsoft\PT.%20Pacific%20Palmindo%20Industri\DO%20INV\PT.%20PPI%20DO%20930%20(PO%20%204714043221)%2001.xlsm" TargetMode="External"/><Relationship Id="rId320" Type="http://schemas.openxmlformats.org/officeDocument/2006/relationships/hyperlink" Target="file:///C:\Users\Eddri\AppData\Roaming\Microsoft\PT.%20Able%20Commodities%20Indonesia\DO%20INV\PT.%20ABLE%20DO%201136%20(PO%20%2025900263)%2007.xlsm" TargetMode="External"/><Relationship Id="rId558" Type="http://schemas.openxmlformats.org/officeDocument/2006/relationships/hyperlink" Target="file:///C:\Users\Eddri\AppData\Roaming\Microsoft\PT.%20KIP\DO%20INV\PT.%20KIP%20DO%201369%20(PO%20%2025%2000321)%2001.xlsm" TargetMode="External"/><Relationship Id="rId765" Type="http://schemas.openxmlformats.org/officeDocument/2006/relationships/hyperlink" Target="file:///C:\Users\Eddri\AppData\Roaming\Microsoft\PT.%20Simpang%20Kanan%20Lestarindo\DO%20INV\PT.%20SKL%20DO%201545%20(PO%20%20EMENTARA)%2001.xlsm" TargetMode="External"/><Relationship Id="rId972" Type="http://schemas.openxmlformats.org/officeDocument/2006/relationships/hyperlink" Target="file:///C:\Users\Eddri\AppData\Roaming\Microsoft\Excel\PT.%20SJIO%20DUMAI\DO%20INV\%20DO%201729%20(PO%20%20)%2001%20-%20PARTIAL%20-%20N2(-1PCS),%20N3.xlsm" TargetMode="External"/><Relationship Id="rId197" Type="http://schemas.openxmlformats.org/officeDocument/2006/relationships/hyperlink" Target="file:///C:\Users\Eddri\AppData\Roaming\Microsoft\PT.%20Pacific%20Palmindo%20Industri\DO%20INV\PT.%20PPI%20DO%201015%20(PO%20%204714044501)%2001.xlsm" TargetMode="External"/><Relationship Id="rId418" Type="http://schemas.openxmlformats.org/officeDocument/2006/relationships/hyperlink" Target="file:///C:\Users\Eddri\AppData\Roaming\Microsoft\GROUP%20Apical%20Group\PT.%20Sari%20Dumai%20Sejati\DO%20INV\PT.%20SARI%20DUMAI%20SEJATI%20DO%201224%20(PO%20%204500409407)%20.xlsm" TargetMode="External"/><Relationship Id="rId625" Type="http://schemas.openxmlformats.org/officeDocument/2006/relationships/hyperlink" Target="file:///C:\Users\Eddri\AppData\Roaming\Microsoft\PT.%20Agro%20Raya%20Mas\DO%20INV\PT.%20ARM%20DO%201424%20(PO%20%2025901096)%2007%20-%20N1%20(-7PCS,%20TOTAL%2010PCS),%20N2,N4.xlsm" TargetMode="External"/><Relationship Id="rId832" Type="http://schemas.openxmlformats.org/officeDocument/2006/relationships/hyperlink" Target="file:///C:\Users\Eddri\AppData\Roaming\Microsoft\PT.%20Agro%20Murni\DO%20INV\PT.%20AGRO%20M%20DO%201601%20(PO%20%2025%2001034)%2001%20-%20PARTIAL%20-%20N5.xlsm" TargetMode="External"/><Relationship Id="rId1048" Type="http://schemas.openxmlformats.org/officeDocument/2006/relationships/hyperlink" Target="../PT.%20Agro%20Raya%20Mas/DO%20INV/PT.%20ARM%20DO%201793%20(PO%20%2026%2000356)%2007.xlsm" TargetMode="External"/><Relationship Id="rId264" Type="http://schemas.openxmlformats.org/officeDocument/2006/relationships/hyperlink" Target="file:///C:\Users\Eddri\AppData\Roaming\Microsoft\PT.%20Agro%20Murni\DO%20INV\PT.%20AGRO%20M%20DO%201061%20(PO%20%2024%2001378)%20REV%201%2007%20N1,3,5,7,9.xlsm" TargetMode="External"/><Relationship Id="rId471" Type="http://schemas.openxmlformats.org/officeDocument/2006/relationships/hyperlink" Target="file:///C:\Users\Eddri\AppData\Roaming\Microsoft\PT.%20Able%20Commodities%20Indonesia\DO%20INV\%20DO%201270%20(PO%20%20)%2007%20-%20PARTIAL%20-%20N1,2.xlsm" TargetMode="External"/><Relationship Id="rId59" Type="http://schemas.openxmlformats.org/officeDocument/2006/relationships/hyperlink" Target="http://../PT.%20Able%20Commodities%20Indonesia/DO%20INV/PT.%20ABLE%20DO%20853%20(PO%20%2024900553)%20.xlsm" TargetMode="External"/><Relationship Id="rId124" Type="http://schemas.openxmlformats.org/officeDocument/2006/relationships/hyperlink" Target="file:///C:\Users\Eddri\AppData\Roaming\Microsoft\PT.%20Agro%20Murni\DO%20INV\PT.%20AGRO%20M%20DO%20942%20(PO%20%2024%2000639)%20.xlsm" TargetMode="External"/><Relationship Id="rId569" Type="http://schemas.openxmlformats.org/officeDocument/2006/relationships/hyperlink" Target="file:///C:\Users\Eddri\AppData\Roaming\Microsoft\PT.%20Agro%20Raya%20Mas\DO%20INV\PT.%20ARM%20DO%201379%20(PO%20%2025900995)%2007%20-%20PARTIAL%20-%20N3,N4(-2PCS).xlsm" TargetMode="External"/><Relationship Id="rId776" Type="http://schemas.openxmlformats.org/officeDocument/2006/relationships/hyperlink" Target="file:///C:\Users\Eddri\AppData\Roaming\Microsoft\PT.%20SJIO%20DUMAI\DO%20INV\PT.%20SJIO%20DO%201556%20(PO%20%20SJIO%20PROJ%20PO%202510%201345)%2001%20-%20PARTIAL%20-%20N8,9.xlsm" TargetMode="External"/><Relationship Id="rId983" Type="http://schemas.openxmlformats.org/officeDocument/2006/relationships/hyperlink" Target="file:///C:\Users\Eddri\AppData\Roaming\Microsoft\Excel\PT.%20SJIO%20DUMAI\DO%20INV\PT.%20SJIO%20DO%201739%20(PO%20%20SJIO%20BOILER%20PO%202602%200272)%2001.xlsm" TargetMode="External"/><Relationship Id="rId331" Type="http://schemas.openxmlformats.org/officeDocument/2006/relationships/hyperlink" Target="file:///C:\Users\Eddri\AppData\Roaming\Microsoft\Excel\%20DO%201147%20(PO%20%20)%2007.xlsm" TargetMode="External"/><Relationship Id="rId429" Type="http://schemas.openxmlformats.org/officeDocument/2006/relationships/hyperlink" Target="file:///C:\Users\Eddri\AppData\Roaming\Microsoft\PT.%20KIP\DO%20INV\PT.%20KIP%20DO%201234%20(PO%20%2025%2000174)%2001.xlsm" TargetMode="External"/><Relationship Id="rId636" Type="http://schemas.openxmlformats.org/officeDocument/2006/relationships/hyperlink" Target="file:///C:\Users\Eddri\AppData\Roaming\Microsoft\Excel\%20DO%201433%20(PO%20%20)%2001.xlsm" TargetMode="External"/><Relationship Id="rId843" Type="http://schemas.openxmlformats.org/officeDocument/2006/relationships/hyperlink" Target="file:///C:\Users\Eddri\AppData\Roaming\Microsoft\PT.%20Agro%20Raya%20Mas\DO%20INV\PT.%20ARM%20DO%201612%20(PO%20%2025%2000209)%2007.xlsm" TargetMode="External"/><Relationship Id="rId275" Type="http://schemas.openxmlformats.org/officeDocument/2006/relationships/hyperlink" Target="file:///C:\Users\Eddri\AppData\Roaming\Microsoft\Excel\%20DO%201083%20(PO%20%20)%2007.xlsm" TargetMode="External"/><Relationship Id="rId482" Type="http://schemas.openxmlformats.org/officeDocument/2006/relationships/hyperlink" Target="file:///C:\Users\Eddri\AppData\Roaming\Microsoft\PT.%20SJIO%20DUMAI\DO%20INV\PT.%20SJIO%20DO%201278%20(PO%20%20361)%2001.xlsm" TargetMode="External"/><Relationship Id="rId703" Type="http://schemas.openxmlformats.org/officeDocument/2006/relationships/hyperlink" Target="file:///C:\Users\Eddri\AppData\Roaming\Microsoft\PT.%20Simpang%20Kanan%20Lestarindo\DO%20INV\PT.%20SKL%20DO%201488%20(PO%20%2025%2000629)%2001.xlsm" TargetMode="External"/><Relationship Id="rId910" Type="http://schemas.openxmlformats.org/officeDocument/2006/relationships/hyperlink" Target="file:///C:\Users\Eddri\AppData\Roaming\Microsoft\Excel\PT.%20Agro%20Raya%20Mas\DO%20INV\PT.%20ARM%20DO%201674%20(PO%20%2025%2000304)%2007%20-%20PARTIAL%20COMPLETED%20-%20N2.xlsm" TargetMode="External"/><Relationship Id="rId135" Type="http://schemas.openxmlformats.org/officeDocument/2006/relationships/hyperlink" Target="file:///C:\Users\Eddri\AppData\Roaming\Microsoft\PT.%20Pacific%20Palmindo%20Industri\DO%20INV\PT.%20PPI%20DO%20954%20(PO%20%204714043636)%2007.xlsm" TargetMode="External"/><Relationship Id="rId342" Type="http://schemas.openxmlformats.org/officeDocument/2006/relationships/hyperlink" Target="file:///C:\Users\Eddri\AppData\Roaming\Microsoft\PT.%20Simpang%20Kanan%20Lestarindo\DO%20INV\PT.%20SKL%20DO%201159%20(PO%20%2025%2000134)%2001.xlsm" TargetMode="External"/><Relationship Id="rId787" Type="http://schemas.openxmlformats.org/officeDocument/2006/relationships/hyperlink" Target="file:///C:\Users\Eddri\AppData\Roaming\Microsoft\PT.%20Agro%20Murni\DO%20INV\PT.%20AGRO%20M%20DO%201555%20(PO%20%2025%2000936)%2007.xlsm" TargetMode="External"/><Relationship Id="rId994" Type="http://schemas.openxmlformats.org/officeDocument/2006/relationships/hyperlink" Target="file:///C:\Users\Eddri\AppData\Roaming\Microsoft\Excel\PT.%20PALUTA%20INTI%20SAWIT\DO%20INV\PT.%20PIS%20DO%201747%20(PO%20%2026%2000096)%20REV%201%2001%20-%20PARTIAL%20-%20N2,3.xlsm" TargetMode="External"/><Relationship Id="rId202" Type="http://schemas.openxmlformats.org/officeDocument/2006/relationships/hyperlink" Target="file:///C:\Users\Eddri\AppData\Roaming\Microsoft\PT.%20SJIO%20DUMAI\DO%20INV\PT.%20SJIO%20DO%201018%20(PO%20%20368)%2001%20N2.xlsm" TargetMode="External"/><Relationship Id="rId647" Type="http://schemas.openxmlformats.org/officeDocument/2006/relationships/hyperlink" Target="file:///C:\Users\Eddri\AppData\Roaming\Microsoft\PT.%20Pacific%20Palmindo%20Industri\DO%20INV\PT.%20PPI%20DO%201440%20(PO%20%204714045796)%2001%20-%20PARTIAL%20COMPLETE.xlsm" TargetMode="External"/><Relationship Id="rId854" Type="http://schemas.openxmlformats.org/officeDocument/2006/relationships/hyperlink" Target="file:///C:\Users\Eddri\AppData\Roaming\Microsoft\PT.%20Simpang%20Kanan%20Lestarindo\DO%20INV\PT.%20SKL%20DO%201622%20(PO%20%2025%2000913)%2001.xlsm" TargetMode="External"/><Relationship Id="rId286" Type="http://schemas.openxmlformats.org/officeDocument/2006/relationships/hyperlink" Target="file:///C:\Users\Eddri\AppData\Roaming\Microsoft\PT.%20Agro%20Murni\DO%20INV\PT.%20AGRO%20M%20DO%201102%20(PO%20%2025%2000104)%2001.xlsm" TargetMode="External"/><Relationship Id="rId493" Type="http://schemas.openxmlformats.org/officeDocument/2006/relationships/hyperlink" Target="file:///C:\Users\Eddri\AppData\Roaming\Microsoft\GROUP%20Apical%20Group\PT.%20Sari%20Dumai%20Sejati\DO%20INV\PT.%20SDS%20DO%201289%20(PO%20%204500414687)%2007.xlsm" TargetMode="External"/><Relationship Id="rId507" Type="http://schemas.openxmlformats.org/officeDocument/2006/relationships/hyperlink" Target="file:///C:\Users\Eddri\AppData\Roaming\Microsoft\PT.%20Simpang%20Kanan%20Lestarindo\DO%20INV\PT.%20SKL%20DO%201326%20(PO%20%20%20VI%202025)%2007.xlsm" TargetMode="External"/><Relationship Id="rId714" Type="http://schemas.openxmlformats.org/officeDocument/2006/relationships/hyperlink" Target="file:///C:\Users\Eddri\AppData\Roaming\Microsoft\PT.%20KIP\DO%20INV\PT.%20KIP%20DO%201499%20(PO%20%2025%2000255)%2001%20-%20PARTIAL%20-%20N5,6,7.xlsm" TargetMode="External"/><Relationship Id="rId921" Type="http://schemas.openxmlformats.org/officeDocument/2006/relationships/hyperlink" Target="file:///C:\Users\Eddri\AppData\Roaming\Microsoft\Excel\PT.%20Agro%20Raya%20Mas\DO%20INV\PT.%20ARM%20DO%201684%20(PO%20%2026%2000100)%2007%20-%20PARTIAL%20-%20N4.xlsm" TargetMode="External"/><Relationship Id="rId50" Type="http://schemas.openxmlformats.org/officeDocument/2006/relationships/hyperlink" Target="http://../PT.%20Simpang%20Kanan%20Lestarindo/DO%20INV/PT.%20SKL%20DO%20844%20(PO%20%2024%2000505)%20.xlsm" TargetMode="External"/><Relationship Id="rId146" Type="http://schemas.openxmlformats.org/officeDocument/2006/relationships/hyperlink" Target="file:///C:\Users\Eddri\AppData\Roaming\Microsoft\PT.%20Agro%20Murni\DO%20INV\PT.%20AGRO%20M%20DO%20964%20(PO%20%2024%2000503)%20.xlsm" TargetMode="External"/><Relationship Id="rId353" Type="http://schemas.openxmlformats.org/officeDocument/2006/relationships/hyperlink" Target="file:///C:\Users\Eddri\AppData\Roaming\Microsoft\PT.%20Able%20Commodities%20Indonesia\DO%20INV\PT.%20ABLE%20DO%201167%20(PO%20%2025900258)%2007%20N1.xlsm" TargetMode="External"/><Relationship Id="rId560" Type="http://schemas.openxmlformats.org/officeDocument/2006/relationships/hyperlink" Target="file:///C:\Users\Eddri\AppData\Roaming\Microsoft\PT.%20Simpang%20Kanan%20Lestarindo\DO%20INV\PT.%20SKL%20DO%201370%20(PO%20%20%20)%2001%20-%20SEMENTARA%20-%20URGENT.xlsm" TargetMode="External"/><Relationship Id="rId798" Type="http://schemas.openxmlformats.org/officeDocument/2006/relationships/hyperlink" Target="file:///C:\Users\Eddri\AppData\Roaming\Microsoft\PT.%20SJIO%20DUMAI\DO%20INV\PT.%20SJIO%20DO%201575%20(PO%20%20%20)%20SEMENTARA.xlsm" TargetMode="External"/><Relationship Id="rId213" Type="http://schemas.openxmlformats.org/officeDocument/2006/relationships/hyperlink" Target="file:///C:\Users\Eddri\AppData\Roaming\Microsoft\PT.%20Pacific%20Palmindo%20Industri\DO%20INV\PT.%20PPI%20DO%201029%20(PO%20%204714044631)%2001.xlsm" TargetMode="External"/><Relationship Id="rId420" Type="http://schemas.openxmlformats.org/officeDocument/2006/relationships/hyperlink" Target="file:///C:\Users\Eddri\AppData\Roaming\Microsoft\PT.%20SWP\DO%20INV\PT.%20SWP%20DO%201225%20(PO%20%204000281068)%20.xlsm" TargetMode="External"/><Relationship Id="rId658" Type="http://schemas.openxmlformats.org/officeDocument/2006/relationships/hyperlink" Target="file:///C:\Users\Eddri\AppData\Roaming\Microsoft\PT.%20SWP\DO%20INV\PT.%20SWP%20DO%201450%20(PO%20%204000300015)%2007.xlsm" TargetMode="External"/><Relationship Id="rId865" Type="http://schemas.openxmlformats.org/officeDocument/2006/relationships/hyperlink" Target="file:///C:\Users\Eddri\AppData\Roaming\Microsoft\Excel\PT.%20Simpang%20Kanan%20Lestarindo\DO%20INV\PT.%20SKL%20DO%201632%20(PO%20%2025%2000913)%2001%20-%20PARTIAL%20-%20N2,3.xlsm" TargetMode="External"/><Relationship Id="rId1050" Type="http://schemas.openxmlformats.org/officeDocument/2006/relationships/hyperlink" Target="%20DO%201794%20(PO%20%20)%20.xlsm" TargetMode="External"/><Relationship Id="rId297" Type="http://schemas.openxmlformats.org/officeDocument/2006/relationships/hyperlink" Target="file:///C:\Users\Eddri\AppData\Roaming\Microsoft\PT.%20Pacific%20Palmindo%20Industri\DO%20INV\PT.%20PPI%20DO%201114%20(PO%20%204714045050)%2001.xlsm" TargetMode="External"/><Relationship Id="rId518" Type="http://schemas.openxmlformats.org/officeDocument/2006/relationships/hyperlink" Target="file:///C:\Users\Eddri\AppData\Roaming\Microsoft\PT.%20YORGO%20ANUGRERAH%20NUSANTARA\DO%20INV\PT.%20YORGO%20DO%201336%20(PO%20%20251002444)%2001.xlsm" TargetMode="External"/><Relationship Id="rId725" Type="http://schemas.openxmlformats.org/officeDocument/2006/relationships/hyperlink" Target="file:///C:\Users\Eddri\AppData\Roaming\Microsoft\PT.%20SJIO%20DUMAI\DO%20INV\PT.%20SJIO%20DO%201508%20(PO%20%20SJIO%20TANK%20PO%202509%201039)%2001%20-%20PARTIAL%20-%20N3.xlsm" TargetMode="External"/><Relationship Id="rId932" Type="http://schemas.openxmlformats.org/officeDocument/2006/relationships/hyperlink" Target="file:///C:\Users\Eddri\AppData\Roaming\Microsoft\Excel\PoS%20Delivery%20Order312396453763307236\%20DO%201694%20(PO%20%20)%2007.xlsm" TargetMode="External"/><Relationship Id="rId157" Type="http://schemas.openxmlformats.org/officeDocument/2006/relationships/hyperlink" Target="file:///C:\Users\Eddri\AppData\Roaming\Microsoft\PT.%20SJIO%20DUMAI\DO%20INV\PT.%20SJIO%20DO%20969%20(PO%20%20332)%20.xlsm" TargetMode="External"/><Relationship Id="rId364" Type="http://schemas.openxmlformats.org/officeDocument/2006/relationships/hyperlink" Target="file:///C:\Users\Eddri\AppData\Roaming\Microsoft\PT.%20Able%20Commodities%20Indonesia\DO%20INV\PT.%20ABLE%20DO%201178%20(PO%20%2025900180)%2007%20N5%205PCS.xlsm" TargetMode="External"/><Relationship Id="rId1008" Type="http://schemas.openxmlformats.org/officeDocument/2006/relationships/hyperlink" Target="../PT.%20SJIO%20DUMAI/DO%20INV/PT.%20SJIO%20DO%201759%20(PO%20%20SJIO%20REF%20PO%202602%200209)%2001%20-%20PARTIAL%20-%20N1,2.xlsm" TargetMode="External"/><Relationship Id="rId61" Type="http://schemas.openxmlformats.org/officeDocument/2006/relationships/hyperlink" Target="http://../PT.%20Agro%20Murni/DO%20INV/PT.%20AGRO%20M%20DO%20855%20(PO%20%2024%2000462)%20.xlsm" TargetMode="External"/><Relationship Id="rId571" Type="http://schemas.openxmlformats.org/officeDocument/2006/relationships/hyperlink" Target="file:///C:\Users\Eddri\AppData\Roaming\Microsoft\PT.%20Agro%20Raya%20Mas\DO%20INV\PT.%20ARM%20DO%201381%20(PO%20%2025900942)%2007%20-%20PARTIAL%20-%201,2,3,4,5,6(-10PCS),7,8,9,10,11,12,14,15,16,17,18,19,22,23,24,25,26,27,28,29,30,31,32,33,34,35.xlsm" TargetMode="External"/><Relationship Id="rId669" Type="http://schemas.openxmlformats.org/officeDocument/2006/relationships/hyperlink" Target="file:///C:\Users\Eddri\AppData\Roaming\Microsoft\PT.%20SWP\DO%20INV\PT.%20SWP%20DO%201457%20(PO%20%20EKSPEDISI)%20DO%20UNTUK%20EKSPEDISI.xlsm" TargetMode="External"/><Relationship Id="rId876" Type="http://schemas.openxmlformats.org/officeDocument/2006/relationships/hyperlink" Target="file:///C:\Users\Eddri\AppData\Roaming\Microsoft\Excel\PT.%20KIP\DO%20INV\PT.%20KIP%20DO%201643%20(PO%20%20EMENTARA)%2001%20-%20DO%20SEMENTARA%20-%20URGENT.xlsm" TargetMode="External"/><Relationship Id="rId19" Type="http://schemas.openxmlformats.org/officeDocument/2006/relationships/hyperlink" Target="about:blank" TargetMode="External"/><Relationship Id="rId224" Type="http://schemas.openxmlformats.org/officeDocument/2006/relationships/hyperlink" Target="file:///C:\Users\Eddri\AppData\Roaming\Microsoft\PT.%20Pacific%20Palmindo%20Industri\DO%20INV\PT.%20PPI%20DO%201039%20(PO%20%204714044614)%2001.xlsm" TargetMode="External"/><Relationship Id="rId431" Type="http://schemas.openxmlformats.org/officeDocument/2006/relationships/hyperlink" Target="file:///C:\Users\Eddri\AppData\Roaming\Microsoft\PT.%20Agro%20Murni\DO%20INV\PT.%20AGRO%20M%20DO%201236%20(PO%20%2025%2000362)%2007%20PARTIAL%20N18,20,22,24.xlsm" TargetMode="External"/><Relationship Id="rId529" Type="http://schemas.openxmlformats.org/officeDocument/2006/relationships/hyperlink" Target="file:///C:\Users\Eddri\AppData\Roaming\Microsoft\PT.%20Agro%20Murni\DO%20INV\PT.%20AGRO%20M%20DO%201345%20(PO%20%2025%2000493)%2007.xlsm" TargetMode="External"/><Relationship Id="rId736" Type="http://schemas.openxmlformats.org/officeDocument/2006/relationships/hyperlink" Target="file:///C:\Users\Eddri\AppData\Roaming\Microsoft\PT.%20SJIO%20DUMAI\DO%20INV\PT.%20SJIO%20DO%201519%20(PO%20%20SJIO%20TANK%20PO%202509%201039)%2001%20-%20PARTIAL%20-%20N6.xlsm" TargetMode="External"/><Relationship Id="rId168" Type="http://schemas.openxmlformats.org/officeDocument/2006/relationships/hyperlink" Target="file:///C:\Users\Eddri\AppData\Roaming\Microsoft\Excel\%20DO%20986%20(PO%20%20)%20SAMPLE.xlsm" TargetMode="External"/><Relationship Id="rId943" Type="http://schemas.openxmlformats.org/officeDocument/2006/relationships/hyperlink" Target="file:///C:\Users\Eddri\AppData\Roaming\Microsoft\Excel\PT.%20Agro%20Raya%20Mas\DO%20INV\PT.%20ARM%20DO%201694%20(PO%20%20O%20I%202026)%20REV%201%2007.xlsm" TargetMode="External"/><Relationship Id="rId1019" Type="http://schemas.openxmlformats.org/officeDocument/2006/relationships/hyperlink" Target="../PT.%20SJIO%20DUMAI/DO%20INV/PT.%20SJIO%20DO%201768%20(PO%20%20SJIO%20BOILER%20PO%202602%200305)%2001%20-%20PARTIAL%20-%20N1,3,4.xlsm" TargetMode="External"/><Relationship Id="rId72" Type="http://schemas.openxmlformats.org/officeDocument/2006/relationships/hyperlink" Target="http://../PT.%20Agro%20Murni/DO%20INV/PT.%20AGRO%20M%20DO%20866%20(PO%20%2024%2000546)%20.xlsm" TargetMode="External"/><Relationship Id="rId375" Type="http://schemas.openxmlformats.org/officeDocument/2006/relationships/hyperlink" Target="file:///C:\Users\Eddri\AppData\Roaming\Microsoft\PT.%20Pacific%20Palmindo%20Industri\DO%20INV\PT.%20PPI%20DO%201188%20(PO%20%204714045317)%2007.xlsm" TargetMode="External"/><Relationship Id="rId582" Type="http://schemas.openxmlformats.org/officeDocument/2006/relationships/hyperlink" Target="file:///C:\Users\Eddri\AppData\Roaming\Microsoft\PT.%20KIP\DO%20INV\PT.%20KIP%20DO%201392%20(PO%20%20%20)%20DO%20SEMENTARA%20-%20PO%20BLM%20ADA.xlsm" TargetMode="External"/><Relationship Id="rId803" Type="http://schemas.openxmlformats.org/officeDocument/2006/relationships/hyperlink" Target="file:///C:\Users\Eddri\AppData\Roaming\Microsoft\PT.%20Pacific%20Palmindo%20Industri\DO%20INV\PT.%20PPI%20DO%201574%20(PO%20%204714047772)%20REV%201%2007%20-%20PARTIAL%20-%20N1.xlsm" TargetMode="External"/><Relationship Id="rId3" Type="http://schemas.openxmlformats.org/officeDocument/2006/relationships/hyperlink" Target="about:blank" TargetMode="External"/><Relationship Id="rId235" Type="http://schemas.openxmlformats.org/officeDocument/2006/relationships/hyperlink" Target="file:///C:\Users\Eddri\AppData\Roaming\Microsoft\PT.%20Pacific%20Palmindo%20Industri\DO%20INV\PT.%20PPI%20DO%201049%20(PO%20%204714044612)%2001%20N1-3.xlsm" TargetMode="External"/><Relationship Id="rId442" Type="http://schemas.openxmlformats.org/officeDocument/2006/relationships/hyperlink" Target="file:///C:\Users\Eddri\AppData\Roaming\Microsoft\PT.%20Pacific%20Palmindo%20Industri\DO%20INV\PT.%20PPI%20DO%201244%20(PO%20%204714045551)%2007.xlsm" TargetMode="External"/><Relationship Id="rId887" Type="http://schemas.openxmlformats.org/officeDocument/2006/relationships/hyperlink" Target="file:///C:\Users\Eddri\AppData\Roaming\Microsoft\Excel\PT.%20Simpang%20Kanan%20Lestarindo\DO%20INV\PT.%20SKL%20DO%201652%20(PO%20%2026%2000020)%2001.xlsm" TargetMode="External"/><Relationship Id="rId302" Type="http://schemas.openxmlformats.org/officeDocument/2006/relationships/hyperlink" Target="file:///C:\Users\Eddri\AppData\Roaming\Microsoft\PT.%20Pacific%20Palmindo%20Industri\DO%20INV\PT.%20PPI%20DO%201117%20(PO%20%204714045050)%2001.xlsm" TargetMode="External"/><Relationship Id="rId747" Type="http://schemas.openxmlformats.org/officeDocument/2006/relationships/hyperlink" Target="file:///C:\Users\Eddri\AppData\Roaming\Microsoft\PT.%20Agro%20Raya%20Mas\DO%20INV\PT.%20ARM%20DO%201529%20(PO%20%2025901374)%2001%20-%20PARTIAL%20-%20N5.xlsm" TargetMode="External"/><Relationship Id="rId954" Type="http://schemas.openxmlformats.org/officeDocument/2006/relationships/hyperlink" Target="file:///C:\Users\Eddri\AppData\Roaming\Microsoft\Excel\PoS%20Delivery%20Order312396453763307236\%20DO%201710%20(PO%20%20)%2007.xlsm" TargetMode="External"/><Relationship Id="rId83" Type="http://schemas.openxmlformats.org/officeDocument/2006/relationships/hyperlink" Target="file:///C:\Users\Eddri\AppData\Roaming\Microsoft\PT.%20Agro%20Murni\DO%20INV\PT.%20AGRO%20M%20DO%20895%20(PO%2024%2000683)%2007.xlsm" TargetMode="External"/><Relationship Id="rId179" Type="http://schemas.openxmlformats.org/officeDocument/2006/relationships/hyperlink" Target="file:///C:\Users\Eddri\AppData\Roaming\Microsoft\PT.%20SJIO%20DUMAI\DO%20INV\PT.%20SJIO%20DO%201000%20(PO%20%20043)%2001.xlsm" TargetMode="External"/><Relationship Id="rId386" Type="http://schemas.openxmlformats.org/officeDocument/2006/relationships/hyperlink" Target="file:///C:\Users\Eddri\AppData\Roaming\Microsoft\PT.%20Simpang%20Kanan%20Lestarindo\DO%20INV\PT.%20SKL%20DO%201198%20(PO%20%2025%2000143)%2001.xlsm" TargetMode="External"/><Relationship Id="rId593" Type="http://schemas.openxmlformats.org/officeDocument/2006/relationships/hyperlink" Target="file:///C:\Users\Eddri\AppData\Roaming\Microsoft\PT.%20Agro%20Raya%20Mas\DO%20INV\PT.%20ARM%20DO%201400%20(PO%20%2025901035)%2007.xlsm" TargetMode="External"/><Relationship Id="rId607" Type="http://schemas.openxmlformats.org/officeDocument/2006/relationships/hyperlink" Target="file:///C:\Users\Eddri\AppData\Roaming\Microsoft\PT.%20KIP\DO%20INV\PT.%20KIP%20DO%201413%20(PO%20%2025%2000332)%2001.xlsm" TargetMode="External"/><Relationship Id="rId814" Type="http://schemas.openxmlformats.org/officeDocument/2006/relationships/hyperlink" Target="file:///C:\Users\Eddri\AppData\Roaming\Microsoft\PT.%20SWP\DO%20INV\PT.%20SWP%20DO%201587%20(PO%20%20NON%20PO)%20TOOLS%20PT%20API%20UNTUK%20PROYEK.xlsm" TargetMode="External"/><Relationship Id="rId246" Type="http://schemas.openxmlformats.org/officeDocument/2006/relationships/hyperlink" Target="file:///C:\Users\Eddri\AppData\Roaming\Microsoft\PT.%20Agro%20Murni\DO%20INV\PT.%20AGRO%20M%20DO%201060%20(PO%20%2024%2001380)%2001.xlsm" TargetMode="External"/><Relationship Id="rId453" Type="http://schemas.openxmlformats.org/officeDocument/2006/relationships/hyperlink" Target="file:///C:\Users\Eddri\AppData\Roaming\Microsoft\PT.%20Agro%20Murni\DO%20INV\PT.%20AGRO%20M%20DO%201255%20(PO%20%2025%2000400)%2001.xlsm" TargetMode="External"/><Relationship Id="rId660" Type="http://schemas.openxmlformats.org/officeDocument/2006/relationships/hyperlink" Target="file:///C:\Users\Eddri\AppData\Roaming\Microsoft\PT.%20SWP\DO%20INV\PT.%20SWP%20DO%201452%20(PO%20%204000299720)%2007.xlsm" TargetMode="External"/><Relationship Id="rId898" Type="http://schemas.openxmlformats.org/officeDocument/2006/relationships/hyperlink" Target="file:///C:\Users\Eddri\AppData\Roaming\Microsoft\Excel\PT.%20Agro%20Raya%20Mas\DO%20INV\PT.%20ARM%20DO%201663%20(PO%20%2026%2000045)%2001.xlsm" TargetMode="External"/><Relationship Id="rId106" Type="http://schemas.openxmlformats.org/officeDocument/2006/relationships/hyperlink" Target="file:///C:\Users\Eddri\AppData\Roaming\Microsoft\PT.%20Simpang%20Kanan%20Lestarindo\DO%20INV\PT.%20SKL%20DO%20923%20(PO%20%2024%2000528)%20.xlsm" TargetMode="External"/><Relationship Id="rId313" Type="http://schemas.openxmlformats.org/officeDocument/2006/relationships/hyperlink" Target="file:///C:\Users\Eddri\AppData\Roaming\Microsoft\PT.%20Able%20Commodities%20Indonesia\DO%20INV\PT.%20ABLE%20DO%201128%20(PO%20%2025900186)%2007%20N5.xlsm" TargetMode="External"/><Relationship Id="rId758" Type="http://schemas.openxmlformats.org/officeDocument/2006/relationships/hyperlink" Target="file:///C:\Users\Eddri\AppData\Roaming\Microsoft\PT.%20Agro%20Raya%20Mas\DO%20INV\PT.%20ARM%20DO%201539%20(PO%20%2025%2000026)%2001.xlsm" TargetMode="External"/><Relationship Id="rId965" Type="http://schemas.openxmlformats.org/officeDocument/2006/relationships/hyperlink" Target="file:///C:\Users\Eddri\AppData\Roaming\Microsoft\Excel\PoS%20Delivery%20Order312396453763307236\%20DO%201720%20(PO%20%20)%2001.xlsm" TargetMode="External"/><Relationship Id="rId10" Type="http://schemas.openxmlformats.org/officeDocument/2006/relationships/hyperlink" Target="about:blank" TargetMode="External"/><Relationship Id="rId94" Type="http://schemas.openxmlformats.org/officeDocument/2006/relationships/hyperlink" Target="file:///C:\Users\Eddri\AppData\Roaming\Microsoft\PT.%20Simpang%20Kanan%20Lestarindo\DO%20INV\PT.%20SKL%20DO%20911%20(PO%20%2024%2000563)%20.xlsm" TargetMode="External"/><Relationship Id="rId397" Type="http://schemas.openxmlformats.org/officeDocument/2006/relationships/hyperlink" Target="file:///C:\Users\Eddri\AppData\Roaming\Microsoft\PT.%20Agro%20Murni\DO%20INV\PT.%20AGRO%20M%20DO%201205%20(PO%20%2025%2000309)%20REV%201%2007.xlsm" TargetMode="External"/><Relationship Id="rId520" Type="http://schemas.openxmlformats.org/officeDocument/2006/relationships/hyperlink" Target="file:///C:\Users\Eddri\AppData\Roaming\Microsoft\PT.%20Pacific%20Palmindo%20Industri\DO%20INV\PT.%20PPI%20DO%201338%20(PO%20%204714046130)%2001.xlsm" TargetMode="External"/><Relationship Id="rId618" Type="http://schemas.openxmlformats.org/officeDocument/2006/relationships/hyperlink" Target="file:///C:\Users\Eddri\AppData\Roaming\Microsoft\PT.%20Agro%20Raya%20Mas\DO%20INV\PT.%20ARM%20DO%201423%20(PO%20%20%20)%20DO%20SEMENTARA.xlsm" TargetMode="External"/><Relationship Id="rId825" Type="http://schemas.openxmlformats.org/officeDocument/2006/relationships/hyperlink" Target="file:///C:\Users\Eddri\AppData\Roaming\Microsoft\PT.%20Agro%20Murni\DO%20INV\PT.%20AGRO%20M%20DO%201594%20(PO%20%2025%2001034)%2001%20-%20PARTIAL%20-%20N3.xlsm" TargetMode="External"/><Relationship Id="rId257" Type="http://schemas.openxmlformats.org/officeDocument/2006/relationships/hyperlink" Target="file:///C:\Users\Eddri\AppData\Roaming\Microsoft\PT.%20ENERGI%20UNGGUL%20PERSADA\DO%20INV\%20DO%201070%20(PO%20%20)%20SEMENTARA%20-%20BOX%20PENAMPUNG%20OLI.xlsm" TargetMode="External"/><Relationship Id="rId464" Type="http://schemas.openxmlformats.org/officeDocument/2006/relationships/hyperlink" Target="file:///C:\Users\Eddri\AppData\Roaming\Microsoft\PT.%20Agro%20Murni\DO%20INV\PT.%20AGRO%20M%20DO%201264%20(PO%20%2025%2000362)%2001%20-%20PARTIAL%20-%201.2,3,4,6,8.xlsm" TargetMode="External"/><Relationship Id="rId1010" Type="http://schemas.openxmlformats.org/officeDocument/2006/relationships/hyperlink" Target="%20DO%201761%20(PO%20%20)%2001.xlsm" TargetMode="External"/><Relationship Id="rId117" Type="http://schemas.openxmlformats.org/officeDocument/2006/relationships/hyperlink" Target="file:///C:\Users\Eddri\AppData\Roaming\Microsoft\PT.%20Pacific%20Palmindo%20Industri\DO%20INV\PT.%20PPI%20DO%20935%20(PO%20%204714043225)%2001.xlsm" TargetMode="External"/><Relationship Id="rId671" Type="http://schemas.openxmlformats.org/officeDocument/2006/relationships/hyperlink" Target="file:///C:\Users\Eddri\AppData\Roaming\Microsoft\PT.%20Simpang%20Kanan%20Lestarindo\DO%20INV\PT.%20SKL%20DO%201459%20(PO%20%2025%2000561)%2001.xlsm" TargetMode="External"/><Relationship Id="rId769" Type="http://schemas.openxmlformats.org/officeDocument/2006/relationships/hyperlink" Target="file:///C:\Users\Eddri\AppData\Roaming\Microsoft\PT.%20SJIO%20DUMAI\DO%20INV\PT.%20SJIO%20DO%201549%20(PO%20%20SJIO%20TANK%20PO%202504%200355)%2001%20-%20PARTIAL%20COMPLETE%20-%20N2,3.xlsm" TargetMode="External"/><Relationship Id="rId976" Type="http://schemas.openxmlformats.org/officeDocument/2006/relationships/hyperlink" Target="file:///C:\Users\Eddri\AppData\Roaming\Microsoft\Excel\PT.%20Agro%20Raya%20Mas\DO%20INV\PT.%20ARM%20DO%201731%20(PO%20%2026%2000189)%2007.xlsm" TargetMode="External"/><Relationship Id="rId324" Type="http://schemas.openxmlformats.org/officeDocument/2006/relationships/hyperlink" Target="file:///C:\Users\Eddri\AppData\Roaming\Microsoft\PT.%20Able%20Commodities%20Indonesia\DO%20INV\PT.%20ABLE%20DO%201140%20(PO%20%2025900238)%2007.xlsm" TargetMode="External"/><Relationship Id="rId531" Type="http://schemas.openxmlformats.org/officeDocument/2006/relationships/hyperlink" Target="file:///C:\Users\Eddri\AppData\Roaming\Microsoft\PT.%20Pacific%20Palmindo%20Industri\DO%20INV\PT.%20PPI%20DO%201347%20(PO%20%204714046127)%2001%20-%20PARTIAL%20COMPLETE%20-%20N4.xlsm" TargetMode="External"/><Relationship Id="rId629" Type="http://schemas.openxmlformats.org/officeDocument/2006/relationships/hyperlink" Target="file:///C:\Users\Eddri\AppData\Roaming\Microsoft\PT.%20Simpang%20Kanan%20Lestarindo\DO%20INV\PT.%20SKL%20DO%201427%20(PO%20%2025%2000503)%2001.xlsm" TargetMode="External"/><Relationship Id="rId836" Type="http://schemas.openxmlformats.org/officeDocument/2006/relationships/hyperlink" Target="file:///C:\Users\Eddri\AppData\Roaming\Microsoft\Excel\%20DO%201605%20(PO%20%20)%2001%20-%20PARTIAL%20-%20N1,3.xlsm" TargetMode="External"/><Relationship Id="rId1021" Type="http://schemas.openxmlformats.org/officeDocument/2006/relationships/hyperlink" Target="../PT.%20SJIO%20DUMAI/DO%20INV/%20DO%201771%20(PO%20%20)%2001.xlsm" TargetMode="External"/><Relationship Id="rId903" Type="http://schemas.openxmlformats.org/officeDocument/2006/relationships/hyperlink" Target="file:///C:\Users\Eddri\AppData\Roaming\Microsoft\Excel\PT.%20Agro%20Raya%20Mas\DO%20INV\PT.%20ARM%20DO%201668%20(PO%20%2026%2000046)%2001%20-%20PARTIAL%20COMPLETED%20-%20N2.xlsm" TargetMode="External"/><Relationship Id="rId32" Type="http://schemas.openxmlformats.org/officeDocument/2006/relationships/hyperlink" Target="http://../PT.%20Able%20Commodities%20Indonesia/DO%20INV/PT.%20ABLE%20DO%20827%20(PO%20%2024900543)%20.xlsm" TargetMode="External"/><Relationship Id="rId181" Type="http://schemas.openxmlformats.org/officeDocument/2006/relationships/hyperlink" Target="file:///C:\Users\Eddri\AppData\Roaming\Microsoft\PT.%20Pacific%20Palmindo%20Industri\DO%20INV\PT.%20PPI%20DO%201002%20(PO%20%204714044356)%2001.xlsm" TargetMode="External"/><Relationship Id="rId279" Type="http://schemas.openxmlformats.org/officeDocument/2006/relationships/hyperlink" Target="file:///C:\Users\Eddri\AppData\Roaming\Microsoft\PT.%20Able%20Commodities%20Indonesia\DO%20INV\PT.%20ABLE%20DO%201101%20(PO%20%2025900113)%2007%20N2-4.xlsm" TargetMode="External"/><Relationship Id="rId486" Type="http://schemas.openxmlformats.org/officeDocument/2006/relationships/hyperlink" Target="file:///C:\Users\Eddri\AppData\Roaming\Microsoft\PT.%20Pacific%20Palmindo%20Industri\DO%20INV\PT.%20PPI%20DO%201282%20(PO%20%204714046037)%2007.xlsm" TargetMode="External"/><Relationship Id="rId693" Type="http://schemas.openxmlformats.org/officeDocument/2006/relationships/hyperlink" Target="file:///C:\Users\Eddri\AppData\Roaming\Microsoft\Excel\%20DO%201479%20(PO%20%20)%20DO%20PENGIRIMAN%20BARANG%20UNTUK%20JASA.xlsm" TargetMode="External"/><Relationship Id="rId139" Type="http://schemas.openxmlformats.org/officeDocument/2006/relationships/hyperlink" Target="file:///C:\Users\Eddri\AppData\Roaming\Microsoft\PT.%20Pacific%20Palmindo%20Industri\DO%20INV\PT.%20PPI%20DO%20958%20(PO%20%204714043691)%2007.xlsm" TargetMode="External"/><Relationship Id="rId346" Type="http://schemas.openxmlformats.org/officeDocument/2006/relationships/hyperlink" Target="file:///C:\Users\Eddri\AppData\Roaming\Microsoft\PT.%20KIP\DO%20INV\PT.%20KIP%20DO%201162%20(PO%20%2025%2000096)%2001.xlsm" TargetMode="External"/><Relationship Id="rId553" Type="http://schemas.openxmlformats.org/officeDocument/2006/relationships/hyperlink" Target="file:///C:\Users\Eddri\AppData\Roaming\Microsoft\PT.%20Agro%20Raya%20Mas\DO%20INV\PT.%20ARM%20DO%201366%20(PO%20%2025900956)%2007.xlsm" TargetMode="External"/><Relationship Id="rId760" Type="http://schemas.openxmlformats.org/officeDocument/2006/relationships/hyperlink" Target="file:///C:\Users\Eddri\AppData\Roaming\Microsoft\PT.%20Simpang%20Kanan%20Lestarindo\DO%20INV\PT.%20SKL%20DO%201541%20(PO%20%2025%2000770)%2001.xlsm" TargetMode="External"/><Relationship Id="rId998" Type="http://schemas.openxmlformats.org/officeDocument/2006/relationships/hyperlink" Target="file:///C:\Users\Eddri\AppData\Roaming\Microsoft\Excel\PT.%20Agro%20Raya%20Mas\DO%20INV\PT.%20ARM%20DO%201750%20(PO%20%2026%2000231)%2007.xlsm"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kopedia.link/NV9GYG547Ib" TargetMode="External"/><Relationship Id="rId1" Type="http://schemas.openxmlformats.org/officeDocument/2006/relationships/hyperlink" Target="https://tokopedia.link/l2PQW5947Ib"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Z999"/>
  <sheetViews>
    <sheetView tabSelected="1" zoomScaleNormal="100" workbookViewId="0">
      <selection activeCell="B16" sqref="B16"/>
    </sheetView>
  </sheetViews>
  <sheetFormatPr defaultColWidth="14.42578125" defaultRowHeight="15" customHeight="1" x14ac:dyDescent="0.25"/>
  <cols>
    <col min="1" max="1" width="3.5703125" customWidth="1"/>
    <col min="2" max="2" width="73" customWidth="1"/>
    <col min="3" max="3" width="8.85546875" customWidth="1"/>
    <col min="4" max="4" width="26.7109375" customWidth="1"/>
    <col min="5" max="5" width="5.85546875" customWidth="1"/>
    <col min="6" max="6" width="14.28515625" customWidth="1"/>
    <col min="7" max="7" width="9.7109375" customWidth="1"/>
    <col min="8" max="8" width="12" customWidth="1"/>
    <col min="9" max="9" width="11.42578125" customWidth="1"/>
    <col min="10" max="12" width="9.140625" customWidth="1"/>
    <col min="13" max="26" width="8.7109375" customWidth="1"/>
  </cols>
  <sheetData>
    <row r="1" spans="1:26" x14ac:dyDescent="0.25">
      <c r="A1" s="321" t="s">
        <v>0</v>
      </c>
      <c r="B1" s="321"/>
      <c r="C1" s="322" t="s">
        <v>1</v>
      </c>
      <c r="D1" s="322"/>
      <c r="E1" s="2"/>
      <c r="F1" s="224" t="s">
        <v>2</v>
      </c>
      <c r="G1" s="222" t="s">
        <v>3</v>
      </c>
      <c r="H1" s="222"/>
      <c r="I1" s="225"/>
      <c r="J1" s="2"/>
      <c r="K1" s="2"/>
      <c r="L1" s="2"/>
      <c r="M1" s="2"/>
      <c r="N1" s="2"/>
      <c r="O1" s="2"/>
      <c r="P1" s="2"/>
      <c r="Q1" s="2"/>
      <c r="R1" s="2"/>
      <c r="S1" s="2"/>
      <c r="T1" s="2"/>
      <c r="U1" s="2"/>
      <c r="V1" s="2"/>
      <c r="W1" s="2"/>
    </row>
    <row r="2" spans="1:26" x14ac:dyDescent="0.25">
      <c r="A2" s="322" t="s">
        <v>63</v>
      </c>
      <c r="B2" s="322"/>
      <c r="C2" s="323" t="s">
        <v>5</v>
      </c>
      <c r="D2" s="323"/>
      <c r="E2" s="2"/>
      <c r="F2" s="226">
        <v>1796</v>
      </c>
      <c r="G2" s="223" t="str">
        <f>IFERROR(VLOOKUP(F2,Table_1[[#All],[NO DO]:[DESKRIPSI2]],5,FALSE),"BELUM PAKAI")</f>
        <v>PT. KIP DO 1796 (PO  26 00162) 01 - PARTIAL COMPLETED - N1.xlsm</v>
      </c>
      <c r="H2" s="223"/>
      <c r="I2" s="227"/>
      <c r="J2" s="2"/>
      <c r="K2" s="2"/>
      <c r="L2" s="2"/>
      <c r="M2" s="2"/>
      <c r="N2" s="2"/>
      <c r="O2" s="2"/>
      <c r="P2" s="2"/>
      <c r="Q2" s="2"/>
      <c r="R2" s="2"/>
      <c r="S2" s="2"/>
      <c r="T2" s="2"/>
      <c r="U2" s="2"/>
      <c r="V2" s="2"/>
      <c r="W2" s="2"/>
    </row>
    <row r="3" spans="1:26" x14ac:dyDescent="0.25">
      <c r="A3" s="324" t="str">
        <f>IF(A2&lt;&gt;"",VLOOKUP($A$2,'Daftar PT'!A1:C30,2,0),"")</f>
        <v xml:space="preserve">Bangun Rejo,Kec. Na IX-X </v>
      </c>
      <c r="B3" s="324"/>
      <c r="C3" s="321" t="s">
        <v>6</v>
      </c>
      <c r="D3" s="321"/>
      <c r="E3" s="2"/>
      <c r="F3" s="228"/>
      <c r="G3" s="1"/>
      <c r="H3" s="1"/>
      <c r="I3" s="229"/>
      <c r="J3" s="2"/>
      <c r="K3" s="2"/>
      <c r="L3" s="2"/>
      <c r="M3" s="2"/>
      <c r="N3" s="2"/>
      <c r="O3" s="2"/>
      <c r="P3" s="2"/>
      <c r="Q3" s="2"/>
      <c r="R3" s="2"/>
      <c r="S3" s="2"/>
      <c r="T3" s="2"/>
      <c r="U3" s="2"/>
      <c r="V3" s="2"/>
      <c r="W3" s="2"/>
    </row>
    <row r="4" spans="1:26" x14ac:dyDescent="0.25">
      <c r="A4" s="324" t="str">
        <f>IF(A2&lt;&gt;"",VLOOKUP($A$2,'Daftar PT'!A1:C30,3,0),"")</f>
        <v>Labuhanbatu Utara - SUMUT</v>
      </c>
      <c r="B4" s="324"/>
      <c r="C4" s="4" t="s">
        <v>7</v>
      </c>
      <c r="D4" s="4" t="str">
        <f ca="1">F2&amp;"/DO/API/"&amp;TEXT(D5,"mm")&amp;"/"&amp;TEXT(D5,"yy")</f>
        <v>1796/DO/API/03/26</v>
      </c>
      <c r="E4" s="1"/>
      <c r="F4" s="224" t="s">
        <v>8</v>
      </c>
      <c r="G4" s="1" t="s">
        <v>53</v>
      </c>
      <c r="H4" s="326" t="s">
        <v>9</v>
      </c>
      <c r="I4" s="327"/>
      <c r="J4" s="2"/>
      <c r="K4" s="2"/>
      <c r="L4" s="2"/>
      <c r="M4" s="2"/>
      <c r="N4" s="2"/>
      <c r="O4" s="2"/>
      <c r="P4" s="2"/>
      <c r="Q4" s="2"/>
      <c r="R4" s="2"/>
      <c r="S4" s="2"/>
      <c r="T4" s="2"/>
      <c r="U4" s="2"/>
      <c r="V4" s="2"/>
      <c r="W4" s="2"/>
    </row>
    <row r="5" spans="1:26" ht="15" customHeight="1" x14ac:dyDescent="0.25">
      <c r="A5" s="2"/>
      <c r="B5" s="2"/>
      <c r="C5" s="4" t="s">
        <v>10</v>
      </c>
      <c r="D5" s="230">
        <f ca="1">IF(F5&lt;&gt;"",F5,TODAY())</f>
        <v>46107</v>
      </c>
      <c r="E5" s="1"/>
      <c r="F5" s="214">
        <v>46107</v>
      </c>
      <c r="G5" s="1"/>
      <c r="H5" s="328" t="s">
        <v>3951</v>
      </c>
      <c r="I5" s="329"/>
      <c r="J5" s="2"/>
      <c r="K5" s="2"/>
      <c r="L5" s="2"/>
      <c r="M5" s="2"/>
      <c r="N5" s="2"/>
      <c r="O5" s="2"/>
      <c r="P5" s="2"/>
      <c r="Q5" s="2"/>
      <c r="R5" s="2"/>
      <c r="S5" s="2"/>
      <c r="T5" s="2"/>
      <c r="U5" s="2"/>
      <c r="V5" s="2"/>
      <c r="W5" s="2"/>
    </row>
    <row r="6" spans="1:26" x14ac:dyDescent="0.25">
      <c r="A6" s="5"/>
      <c r="B6" s="5"/>
      <c r="C6" s="4" t="s">
        <v>12</v>
      </c>
      <c r="D6" s="231" t="str">
        <f>H5</f>
        <v>KIP/PO/NT/26/00162</v>
      </c>
      <c r="E6" s="1"/>
      <c r="F6" s="232"/>
      <c r="G6" s="1"/>
      <c r="H6" s="304" t="s">
        <v>53</v>
      </c>
      <c r="I6" s="233"/>
      <c r="J6" s="2"/>
      <c r="K6" s="2"/>
      <c r="L6" s="2"/>
      <c r="M6" s="2"/>
      <c r="N6" s="2"/>
      <c r="O6" s="2"/>
      <c r="P6" s="2"/>
      <c r="Q6" s="2"/>
      <c r="R6" s="2"/>
      <c r="S6" s="2"/>
      <c r="T6" s="2"/>
      <c r="U6" s="2"/>
      <c r="V6" s="2"/>
      <c r="W6" s="2"/>
    </row>
    <row r="7" spans="1:26" ht="6" customHeight="1" x14ac:dyDescent="0.25">
      <c r="A7" s="2"/>
      <c r="B7" s="2"/>
      <c r="C7" s="2"/>
      <c r="D7" s="2"/>
      <c r="E7" s="1"/>
      <c r="F7" s="228"/>
      <c r="G7" s="2"/>
      <c r="H7" s="2"/>
      <c r="I7" s="233"/>
      <c r="J7" s="2"/>
      <c r="K7" s="2"/>
      <c r="L7" s="2"/>
      <c r="M7" s="2"/>
      <c r="N7" s="2"/>
      <c r="O7" s="2"/>
      <c r="P7" s="2"/>
      <c r="Q7" s="2"/>
      <c r="R7" s="2"/>
      <c r="S7" s="2"/>
      <c r="T7" s="2"/>
      <c r="U7" s="2"/>
      <c r="V7" s="2"/>
      <c r="W7" s="2"/>
    </row>
    <row r="8" spans="1:26" ht="20.25" x14ac:dyDescent="0.3">
      <c r="A8" s="325" t="str">
        <f>"DELIVERY ORDER"&amp;IF(G13&gt;0," REV "&amp;G13,"")</f>
        <v>DELIVERY ORDER</v>
      </c>
      <c r="B8" s="325"/>
      <c r="C8" s="325"/>
      <c r="D8" s="325"/>
      <c r="E8" s="2"/>
      <c r="F8" s="330" t="s">
        <v>13</v>
      </c>
      <c r="G8" s="326"/>
      <c r="H8" s="326"/>
      <c r="I8" s="327"/>
      <c r="J8" s="2"/>
      <c r="K8" s="2"/>
      <c r="L8" s="2"/>
      <c r="M8" s="2"/>
      <c r="N8" s="2"/>
      <c r="O8" s="2"/>
      <c r="P8" s="2"/>
      <c r="Q8" s="2"/>
      <c r="R8" s="2"/>
      <c r="S8" s="2"/>
      <c r="T8" s="2"/>
      <c r="U8" s="2"/>
      <c r="V8" s="2"/>
      <c r="W8" s="2"/>
    </row>
    <row r="9" spans="1:26" ht="15" customHeight="1" x14ac:dyDescent="0.25">
      <c r="A9" s="234" t="s">
        <v>14</v>
      </c>
      <c r="B9" s="234" t="s">
        <v>15</v>
      </c>
      <c r="C9" s="235" t="s">
        <v>16</v>
      </c>
      <c r="D9" s="235" t="s">
        <v>17</v>
      </c>
      <c r="E9" s="2"/>
      <c r="F9" s="316" t="s">
        <v>3923</v>
      </c>
      <c r="G9" s="317"/>
      <c r="H9" s="317"/>
      <c r="I9" s="318"/>
      <c r="J9" s="2"/>
      <c r="K9" s="2"/>
      <c r="L9" s="2"/>
      <c r="M9" s="2"/>
      <c r="N9" s="2"/>
      <c r="O9" s="2"/>
      <c r="P9" s="2"/>
      <c r="Q9" s="2"/>
      <c r="R9" s="2"/>
      <c r="S9" s="2"/>
      <c r="T9" s="2"/>
      <c r="U9" s="2"/>
      <c r="V9" s="2"/>
      <c r="W9" s="2"/>
    </row>
    <row r="10" spans="1:26" x14ac:dyDescent="0.25">
      <c r="A10" s="218">
        <v>1</v>
      </c>
      <c r="B10" s="217" t="s">
        <v>4006</v>
      </c>
      <c r="C10" s="236">
        <v>20</v>
      </c>
      <c r="D10" s="218" t="s">
        <v>1135</v>
      </c>
      <c r="E10" s="2"/>
      <c r="F10" s="316"/>
      <c r="G10" s="317"/>
      <c r="H10" s="317"/>
      <c r="I10" s="318"/>
      <c r="J10" s="2"/>
      <c r="K10" s="2"/>
      <c r="L10" s="2"/>
      <c r="M10" s="2"/>
      <c r="N10" s="2"/>
      <c r="O10" s="2"/>
      <c r="P10" s="2"/>
      <c r="Q10" s="2"/>
      <c r="R10" s="2"/>
      <c r="S10" s="2"/>
      <c r="T10" s="2"/>
      <c r="U10" s="2"/>
      <c r="V10" s="2"/>
      <c r="W10" s="2"/>
    </row>
    <row r="11" spans="1:26" x14ac:dyDescent="0.25">
      <c r="A11" s="218"/>
      <c r="B11" s="217"/>
      <c r="C11" s="236"/>
      <c r="D11" s="218"/>
      <c r="E11" s="2"/>
      <c r="F11" s="316"/>
      <c r="G11" s="317"/>
      <c r="H11" s="317"/>
      <c r="I11" s="318"/>
      <c r="J11" s="2"/>
      <c r="K11" s="2"/>
      <c r="L11" s="2"/>
      <c r="M11" s="2"/>
      <c r="N11" s="2"/>
      <c r="O11" s="2"/>
      <c r="P11" s="2"/>
      <c r="Q11" s="2"/>
      <c r="R11" s="2"/>
      <c r="S11" s="2"/>
      <c r="T11" s="2"/>
      <c r="U11" s="2"/>
      <c r="V11" s="2"/>
      <c r="W11" s="2"/>
      <c r="X11" s="2"/>
      <c r="Y11" s="2"/>
      <c r="Z11" s="2"/>
    </row>
    <row r="12" spans="1:26" x14ac:dyDescent="0.25">
      <c r="A12" s="305"/>
      <c r="B12" s="306"/>
      <c r="C12" s="310"/>
      <c r="D12" s="305"/>
      <c r="E12" s="2"/>
      <c r="F12" s="228"/>
      <c r="G12" s="2"/>
      <c r="H12" s="2"/>
      <c r="I12" s="233"/>
      <c r="J12" s="2"/>
      <c r="K12" s="2"/>
      <c r="L12" s="2"/>
      <c r="M12" s="2"/>
      <c r="N12" s="2"/>
      <c r="O12" s="2"/>
      <c r="P12" s="2"/>
      <c r="Q12" s="2"/>
      <c r="R12" s="2"/>
      <c r="S12" s="2"/>
      <c r="T12" s="2"/>
      <c r="U12" s="2"/>
      <c r="V12" s="2"/>
      <c r="W12" s="2"/>
      <c r="X12" s="2"/>
      <c r="Y12" s="2"/>
      <c r="Z12" s="2"/>
    </row>
    <row r="13" spans="1:26" x14ac:dyDescent="0.25">
      <c r="A13" s="307"/>
      <c r="B13" s="308"/>
      <c r="C13" s="309"/>
      <c r="D13" s="307"/>
      <c r="E13" s="2"/>
      <c r="F13" s="237" t="s">
        <v>20</v>
      </c>
      <c r="G13" s="319"/>
      <c r="H13" s="319"/>
      <c r="I13" s="233"/>
      <c r="J13" s="2"/>
      <c r="K13" s="2"/>
      <c r="L13" s="2"/>
      <c r="M13" s="2"/>
      <c r="N13" s="2"/>
      <c r="O13" s="2"/>
      <c r="P13" s="2"/>
      <c r="Q13" s="2"/>
      <c r="R13" s="2"/>
      <c r="S13" s="2"/>
      <c r="T13" s="2"/>
      <c r="U13" s="2"/>
      <c r="V13" s="2"/>
      <c r="W13" s="2"/>
      <c r="X13" s="2"/>
      <c r="Y13" s="2"/>
      <c r="Z13" s="2"/>
    </row>
    <row r="14" spans="1:26" x14ac:dyDescent="0.25">
      <c r="A14" s="244"/>
      <c r="B14" s="311"/>
      <c r="C14" s="312"/>
      <c r="D14" s="244"/>
      <c r="E14" s="2"/>
      <c r="F14" s="237"/>
      <c r="G14" s="243"/>
      <c r="H14" s="242"/>
      <c r="I14" s="2"/>
      <c r="J14" s="2"/>
      <c r="K14" s="2"/>
      <c r="L14" s="2"/>
      <c r="M14" s="2"/>
      <c r="N14" s="2"/>
      <c r="O14" s="2"/>
      <c r="P14" s="2"/>
      <c r="Q14" s="2"/>
      <c r="R14" s="2"/>
      <c r="S14" s="2"/>
      <c r="T14" s="2"/>
      <c r="U14" s="2"/>
      <c r="V14" s="2"/>
      <c r="W14" s="2"/>
      <c r="X14" s="2"/>
      <c r="Y14" s="2"/>
      <c r="Z14" s="2"/>
    </row>
    <row r="15" spans="1:26" x14ac:dyDescent="0.25">
      <c r="A15" s="244"/>
      <c r="B15" s="311"/>
      <c r="C15" s="312"/>
      <c r="D15" s="244"/>
      <c r="E15" s="2"/>
      <c r="F15" s="238" t="s">
        <v>21</v>
      </c>
      <c r="G15" s="320" t="s">
        <v>3923</v>
      </c>
      <c r="H15" s="320"/>
      <c r="I15" s="2"/>
      <c r="J15" s="2"/>
      <c r="K15" s="2"/>
      <c r="L15" s="2"/>
      <c r="M15" s="2"/>
      <c r="N15" s="2"/>
      <c r="O15" s="2"/>
      <c r="P15" s="2"/>
      <c r="Q15" s="2"/>
      <c r="R15" s="2"/>
      <c r="S15" s="2"/>
      <c r="T15" s="2"/>
      <c r="U15" s="2"/>
      <c r="V15" s="2"/>
      <c r="W15" s="2"/>
      <c r="X15" s="2"/>
      <c r="Y15" s="2"/>
      <c r="Z15" s="2"/>
    </row>
    <row r="16" spans="1:26" x14ac:dyDescent="0.25">
      <c r="A16" s="11"/>
      <c r="B16" s="259"/>
      <c r="C16" s="299"/>
      <c r="D16" s="11"/>
      <c r="E16" s="2"/>
      <c r="F16" s="257"/>
      <c r="G16" s="256"/>
      <c r="H16" s="255"/>
      <c r="I16" s="2"/>
      <c r="J16" s="2"/>
      <c r="K16" s="2"/>
      <c r="L16" s="2"/>
      <c r="M16" s="2"/>
      <c r="N16" s="2"/>
      <c r="O16" s="2"/>
      <c r="P16" s="2"/>
      <c r="Q16" s="2"/>
      <c r="R16" s="2"/>
      <c r="S16" s="2"/>
      <c r="T16" s="2"/>
      <c r="U16" s="2"/>
      <c r="V16" s="2"/>
      <c r="W16" s="2"/>
      <c r="X16" s="2"/>
      <c r="Y16" s="2"/>
      <c r="Z16" s="2"/>
    </row>
    <row r="17" spans="1:26" x14ac:dyDescent="0.25">
      <c r="A17" s="11"/>
      <c r="B17" s="259"/>
      <c r="C17" s="299"/>
      <c r="D17" s="11"/>
      <c r="E17" s="2"/>
      <c r="F17" s="257"/>
      <c r="G17" s="256"/>
      <c r="H17" s="255"/>
      <c r="I17" s="2"/>
      <c r="J17" s="2"/>
      <c r="K17" s="2"/>
      <c r="L17" s="2"/>
      <c r="M17" s="2"/>
      <c r="N17" s="2"/>
      <c r="O17" s="2"/>
      <c r="P17" s="2"/>
      <c r="Q17" s="2"/>
      <c r="R17" s="2"/>
      <c r="S17" s="2"/>
      <c r="T17" s="2"/>
      <c r="U17" s="2"/>
      <c r="V17" s="2"/>
      <c r="W17" s="2"/>
      <c r="X17" s="2"/>
      <c r="Y17" s="2"/>
      <c r="Z17" s="2"/>
    </row>
    <row r="18" spans="1:26" x14ac:dyDescent="0.25">
      <c r="A18" s="11"/>
      <c r="B18" s="259"/>
      <c r="C18" s="299"/>
      <c r="D18" s="11"/>
      <c r="E18" s="2"/>
      <c r="F18" s="257"/>
      <c r="G18" s="256"/>
      <c r="H18" s="255"/>
      <c r="I18" s="2"/>
      <c r="J18" s="2"/>
      <c r="K18" s="2"/>
      <c r="L18" s="2"/>
      <c r="M18" s="2"/>
      <c r="N18" s="2"/>
      <c r="O18" s="2"/>
      <c r="P18" s="2"/>
      <c r="Q18" s="2"/>
      <c r="R18" s="2"/>
      <c r="S18" s="2"/>
      <c r="T18" s="2"/>
      <c r="U18" s="2"/>
      <c r="V18" s="2"/>
      <c r="W18" s="2"/>
      <c r="X18" s="2"/>
      <c r="Y18" s="2"/>
      <c r="Z18" s="2"/>
    </row>
    <row r="19" spans="1:26" x14ac:dyDescent="0.25">
      <c r="A19" s="11"/>
      <c r="B19" s="259"/>
      <c r="C19" s="299"/>
      <c r="D19" s="11"/>
      <c r="E19" s="2"/>
      <c r="F19" s="257"/>
      <c r="G19" s="256"/>
      <c r="H19" s="255"/>
      <c r="I19" s="2"/>
      <c r="J19" s="2"/>
      <c r="K19" s="2"/>
      <c r="L19" s="2"/>
      <c r="M19" s="2"/>
      <c r="N19" s="2"/>
      <c r="O19" s="2"/>
      <c r="P19" s="2"/>
      <c r="Q19" s="2"/>
      <c r="R19" s="2"/>
      <c r="S19" s="2"/>
      <c r="T19" s="2"/>
      <c r="U19" s="2"/>
      <c r="V19" s="2"/>
      <c r="W19" s="2"/>
      <c r="X19" s="2"/>
      <c r="Y19" s="2"/>
      <c r="Z19" s="2"/>
    </row>
    <row r="20" spans="1:26" x14ac:dyDescent="0.25">
      <c r="A20" s="11"/>
      <c r="B20" s="259"/>
      <c r="C20" s="299"/>
      <c r="D20" s="11"/>
      <c r="E20" s="2"/>
      <c r="F20" s="257"/>
      <c r="G20" s="256"/>
      <c r="H20" s="255"/>
      <c r="I20" s="2"/>
      <c r="J20" s="2"/>
      <c r="K20" s="2"/>
      <c r="L20" s="2"/>
      <c r="M20" s="2"/>
      <c r="N20" s="2"/>
      <c r="O20" s="2"/>
      <c r="P20" s="2"/>
      <c r="Q20" s="2"/>
      <c r="R20" s="2"/>
      <c r="S20" s="2"/>
      <c r="T20" s="2"/>
      <c r="U20" s="2"/>
      <c r="V20" s="2"/>
      <c r="W20" s="2"/>
      <c r="X20" s="2"/>
      <c r="Y20" s="2"/>
      <c r="Z20" s="2"/>
    </row>
    <row r="21" spans="1:26" x14ac:dyDescent="0.25">
      <c r="A21" s="11"/>
      <c r="B21" s="259"/>
      <c r="C21" s="299"/>
      <c r="D21" s="11"/>
      <c r="E21" s="2"/>
      <c r="F21" s="257"/>
      <c r="G21" s="256"/>
      <c r="H21" s="255"/>
      <c r="I21" s="2"/>
      <c r="J21" s="2"/>
      <c r="K21" s="2"/>
      <c r="L21" s="2"/>
      <c r="M21" s="2"/>
      <c r="N21" s="2"/>
      <c r="O21" s="2"/>
      <c r="P21" s="2"/>
      <c r="Q21" s="2"/>
      <c r="R21" s="2"/>
      <c r="S21" s="2"/>
      <c r="T21" s="2"/>
      <c r="U21" s="2"/>
      <c r="V21" s="2"/>
      <c r="W21" s="2"/>
      <c r="X21" s="2"/>
      <c r="Y21" s="2"/>
      <c r="Z21" s="2"/>
    </row>
    <row r="22" spans="1:26" ht="9" customHeight="1" x14ac:dyDescent="0.25">
      <c r="A22" s="11"/>
      <c r="B22" s="259"/>
      <c r="C22" s="299"/>
      <c r="D22" s="11"/>
      <c r="E22" s="2"/>
      <c r="F22" s="2"/>
      <c r="G22" s="2"/>
      <c r="H22" s="2"/>
      <c r="I22" s="2"/>
      <c r="J22" s="2"/>
      <c r="K22" s="2"/>
      <c r="L22" s="2"/>
      <c r="M22" s="2"/>
      <c r="N22" s="2"/>
      <c r="O22" s="2"/>
      <c r="P22" s="2"/>
      <c r="Q22" s="2"/>
      <c r="R22" s="2"/>
      <c r="S22" s="2"/>
      <c r="T22" s="2"/>
      <c r="U22" s="2"/>
      <c r="V22" s="2"/>
      <c r="W22" s="2"/>
      <c r="X22" s="2"/>
      <c r="Y22" s="2"/>
      <c r="Z22" s="2"/>
    </row>
    <row r="23" spans="1:26" ht="9" customHeight="1" x14ac:dyDescent="0.25">
      <c r="A23" s="12"/>
      <c r="B23" s="240" t="s">
        <v>22</v>
      </c>
      <c r="C23" s="13"/>
      <c r="D23" s="14"/>
      <c r="E23" s="2"/>
      <c r="F23" s="2"/>
      <c r="G23" s="2"/>
      <c r="H23" s="2"/>
      <c r="I23" s="2"/>
      <c r="J23" s="2"/>
      <c r="K23" s="2"/>
      <c r="L23" s="2"/>
      <c r="M23" s="2"/>
      <c r="N23" s="2"/>
      <c r="O23" s="2"/>
      <c r="P23" s="2"/>
      <c r="Q23" s="2"/>
      <c r="R23" s="2"/>
      <c r="S23" s="2"/>
      <c r="T23" s="2"/>
      <c r="U23" s="2"/>
      <c r="V23" s="2"/>
      <c r="W23" s="2"/>
      <c r="X23" s="2"/>
      <c r="Y23" s="2"/>
      <c r="Z23" s="2"/>
    </row>
    <row r="24" spans="1:26" ht="15.75" customHeight="1" x14ac:dyDescent="0.25">
      <c r="A24" s="12"/>
      <c r="B24" s="239" t="str">
        <f>IF(AND(F9="",G13&gt;0),"Revisi",IF(F9="","",F9))</f>
        <v>01 - PARTIAL COMPLETED - N1</v>
      </c>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25">
      <c r="A25" s="13"/>
      <c r="B25" s="1" t="s">
        <v>23</v>
      </c>
      <c r="C25" s="315" t="s">
        <v>24</v>
      </c>
      <c r="D25" s="315"/>
      <c r="E25" s="2"/>
      <c r="F25" s="2"/>
      <c r="G25" s="2"/>
      <c r="H25" s="2"/>
      <c r="I25" s="2"/>
      <c r="J25" s="2"/>
      <c r="K25" s="2"/>
      <c r="L25" s="2"/>
      <c r="M25" s="2"/>
      <c r="N25" s="2"/>
      <c r="O25" s="2"/>
      <c r="P25" s="2"/>
      <c r="Q25" s="2"/>
      <c r="R25" s="2"/>
      <c r="S25" s="2"/>
      <c r="T25" s="2"/>
      <c r="U25" s="2"/>
      <c r="V25" s="2"/>
      <c r="W25" s="2"/>
      <c r="X25" s="2"/>
      <c r="Y25" s="2"/>
      <c r="Z25" s="2"/>
    </row>
    <row r="26" spans="1:26" ht="15.75" customHeight="1" x14ac:dyDescent="0.25">
      <c r="A26" s="12"/>
      <c r="B26" s="1"/>
      <c r="C26" s="4"/>
      <c r="D26" s="4"/>
      <c r="E26" s="2"/>
      <c r="F26" s="2"/>
      <c r="G26" s="2"/>
      <c r="H26" s="2"/>
      <c r="I26" s="2"/>
      <c r="J26" s="2"/>
      <c r="K26" s="2"/>
      <c r="L26" s="2"/>
      <c r="M26" s="2"/>
      <c r="N26" s="2"/>
      <c r="O26" s="2"/>
      <c r="P26" s="2"/>
      <c r="Q26" s="2"/>
      <c r="R26" s="2"/>
      <c r="S26" s="2"/>
      <c r="T26" s="2"/>
      <c r="U26" s="2"/>
      <c r="V26" s="2"/>
      <c r="W26" s="2"/>
      <c r="X26" s="2"/>
      <c r="Y26" s="2"/>
      <c r="Z26" s="2"/>
    </row>
    <row r="27" spans="1:26" ht="15.75" customHeight="1" x14ac:dyDescent="0.25">
      <c r="A27" s="1"/>
      <c r="B27" s="1"/>
      <c r="C27" s="4"/>
      <c r="D27" s="4"/>
      <c r="E27" s="2"/>
      <c r="F27" s="2"/>
      <c r="G27" s="2"/>
      <c r="H27" s="2"/>
      <c r="I27" s="2"/>
      <c r="J27" s="2"/>
      <c r="K27" s="2"/>
      <c r="L27" s="2"/>
      <c r="M27" s="2"/>
      <c r="N27" s="2"/>
      <c r="O27" s="2"/>
      <c r="P27" s="2"/>
      <c r="Q27" s="2"/>
      <c r="R27" s="2"/>
      <c r="S27" s="2"/>
      <c r="T27" s="2"/>
      <c r="U27" s="2"/>
      <c r="V27" s="2"/>
      <c r="W27" s="2"/>
      <c r="X27" s="2"/>
      <c r="Y27" s="2"/>
      <c r="Z27" s="2"/>
    </row>
    <row r="28" spans="1:26" ht="15.75" customHeight="1" x14ac:dyDescent="0.25">
      <c r="A28" s="2"/>
      <c r="B28" s="1"/>
      <c r="C28" s="315" t="s">
        <v>25</v>
      </c>
      <c r="D28" s="315"/>
      <c r="E28" s="2"/>
      <c r="F28" s="2"/>
      <c r="G28" s="2"/>
      <c r="H28" s="2"/>
      <c r="I28" s="2"/>
      <c r="J28" s="2"/>
      <c r="K28" s="2"/>
      <c r="L28" s="2"/>
      <c r="M28" s="2"/>
      <c r="N28" s="2"/>
      <c r="O28" s="2"/>
      <c r="P28" s="2"/>
      <c r="Q28" s="2"/>
      <c r="R28" s="2"/>
      <c r="S28" s="2"/>
      <c r="T28" s="2"/>
      <c r="U28" s="2"/>
      <c r="V28" s="2"/>
      <c r="W28" s="2"/>
      <c r="X28" s="2"/>
      <c r="Y28" s="2"/>
      <c r="Z28" s="2"/>
    </row>
    <row r="29" spans="1:26" ht="15.7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25">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25">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25">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25">
      <c r="J998" s="2"/>
      <c r="K998" s="2"/>
      <c r="L998" s="2"/>
      <c r="M998" s="2"/>
      <c r="N998" s="2"/>
      <c r="O998" s="2"/>
      <c r="P998" s="2"/>
      <c r="Q998" s="2"/>
      <c r="R998" s="2"/>
      <c r="S998" s="2"/>
      <c r="T998" s="2"/>
      <c r="U998" s="2"/>
      <c r="V998" s="2"/>
      <c r="W998" s="2"/>
      <c r="X998" s="2"/>
      <c r="Y998" s="2"/>
      <c r="Z998" s="2"/>
    </row>
    <row r="999" spans="1:26" ht="15.75" customHeight="1" x14ac:dyDescent="0.25">
      <c r="J999" s="2"/>
      <c r="K999" s="2"/>
      <c r="L999" s="2"/>
      <c r="M999" s="2"/>
      <c r="N999" s="2"/>
      <c r="O999" s="2"/>
      <c r="P999" s="2"/>
      <c r="Q999" s="2"/>
      <c r="R999" s="2"/>
      <c r="S999" s="2"/>
      <c r="T999" s="2"/>
      <c r="U999" s="2"/>
      <c r="V999" s="2"/>
      <c r="W999" s="2"/>
      <c r="X999" s="2"/>
      <c r="Y999" s="2"/>
      <c r="Z999" s="2"/>
    </row>
  </sheetData>
  <mergeCells count="16">
    <mergeCell ref="A4:B4"/>
    <mergeCell ref="A8:D8"/>
    <mergeCell ref="H4:I4"/>
    <mergeCell ref="H5:I5"/>
    <mergeCell ref="F8:I8"/>
    <mergeCell ref="A1:B1"/>
    <mergeCell ref="C1:D1"/>
    <mergeCell ref="A2:B2"/>
    <mergeCell ref="C2:D2"/>
    <mergeCell ref="A3:B3"/>
    <mergeCell ref="C3:D3"/>
    <mergeCell ref="C28:D28"/>
    <mergeCell ref="F9:I11"/>
    <mergeCell ref="G13:H13"/>
    <mergeCell ref="G15:H15"/>
    <mergeCell ref="C25:D25"/>
  </mergeCells>
  <conditionalFormatting sqref="A10:A22">
    <cfRule type="cellIs" dxfId="37" priority="1" operator="notEqual">
      <formula>""</formula>
    </cfRule>
  </conditionalFormatting>
  <printOptions horizontalCentered="1"/>
  <pageMargins left="0.25" right="0.25" top="0.25" bottom="0.25" header="0" footer="0"/>
  <pageSetup paperSize="180" scale="90" fitToWidth="0" fitToHeight="0" orientation="portrait" horizontalDpi="180" verticalDpi="180" r:id="rId1"/>
  <headerFooter>
    <oddHeader>&amp;L</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185" r:id="rId4" name="Button 1161">
              <controlPr defaultSize="0" print="0" autoFill="0" autoPict="0" macro="[0]!SaveInv">
                <anchor moveWithCells="1" sizeWithCells="1">
                  <from>
                    <xdr:col>9</xdr:col>
                    <xdr:colOff>114300</xdr:colOff>
                    <xdr:row>0</xdr:row>
                    <xdr:rowOff>114300</xdr:rowOff>
                  </from>
                  <to>
                    <xdr:col>11</xdr:col>
                    <xdr:colOff>95250</xdr:colOff>
                    <xdr:row>3</xdr:row>
                    <xdr:rowOff>104775</xdr:rowOff>
                  </to>
                </anchor>
              </controlPr>
            </control>
          </mc:Choice>
        </mc:AlternateContent>
        <mc:AlternateContent xmlns:mc="http://schemas.openxmlformats.org/markup-compatibility/2006">
          <mc:Choice Requires="x14">
            <control shapeId="2186" r:id="rId5" name="Button 1162">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190" r:id="rId6" name="Button 1166">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197" r:id="rId7" name="Button 1173">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199" r:id="rId8" name="Button 1175">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01" r:id="rId9" name="Button 1177">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03" r:id="rId10" name="Button 1179">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05" r:id="rId11" name="Button 1181">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07" r:id="rId12" name="Button 1183">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09" r:id="rId13" name="Button 1185">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13" r:id="rId14" name="Button 1189">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15" r:id="rId15" name="Button 1191">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17" r:id="rId16" name="Button 1193">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19" r:id="rId17" name="Button 1195">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23" r:id="rId18" name="Button 1199">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25" r:id="rId19" name="Button 1201">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27" r:id="rId20" name="Button 1203">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29" r:id="rId21" name="Button 1205">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33" r:id="rId22" name="Button 1209">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35" r:id="rId23" name="Button 1211">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37" r:id="rId24" name="Button 1213">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39" r:id="rId25" name="Button 1215">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44" r:id="rId26" name="Button 1220">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46" r:id="rId27" name="Button 1222">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48" r:id="rId28" name="Button 1224">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50" r:id="rId29" name="Button 1226">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52" r:id="rId30" name="Button 1228">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54" r:id="rId31" name="Button 1230">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56" r:id="rId32" name="Button 1232">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58" r:id="rId33" name="Button 1234">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62" r:id="rId34" name="Button 1238">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64" r:id="rId35" name="Button 1240">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66" r:id="rId36" name="Button 1242">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68" r:id="rId37" name="Button 1244">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2271" r:id="rId38" name="Button 1247">
              <controlPr defaultSize="0" print="0" autoFill="0" autoPict="0" macro="[0]!Update">
                <anchor moveWithCells="1" sizeWithCells="1">
                  <from>
                    <xdr:col>9</xdr:col>
                    <xdr:colOff>133350</xdr:colOff>
                    <xdr:row>4</xdr:row>
                    <xdr:rowOff>76200</xdr:rowOff>
                  </from>
                  <to>
                    <xdr:col>11</xdr:col>
                    <xdr:colOff>47625</xdr:colOff>
                    <xdr:row>8</xdr:row>
                    <xdr:rowOff>85725</xdr:rowOff>
                  </to>
                </anchor>
              </controlPr>
            </control>
          </mc:Choice>
        </mc:AlternateContent>
        <mc:AlternateContent xmlns:mc="http://schemas.openxmlformats.org/markup-compatibility/2006">
          <mc:Choice Requires="x14">
            <control shapeId="3009" r:id="rId39" name="Button 1985">
              <controlPr defaultSize="0" print="0" autoFill="0" autoPict="0" macro="[0]!Update">
                <anchor moveWithCells="1" sizeWithCells="1">
                  <from>
                    <xdr:col>9</xdr:col>
                    <xdr:colOff>47625</xdr:colOff>
                    <xdr:row>11</xdr:row>
                    <xdr:rowOff>352425</xdr:rowOff>
                  </from>
                  <to>
                    <xdr:col>10</xdr:col>
                    <xdr:colOff>571500</xdr:colOff>
                    <xdr:row>15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000-000000000000}">
          <x14:formula1>
            <xm:f>'Daftar PT'!$A:$A</xm:f>
          </x14:formula1>
          <xm:sqref>A2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Z1078"/>
  <sheetViews>
    <sheetView topLeftCell="A1055" workbookViewId="0">
      <selection activeCell="B1057" sqref="B1057:I1074"/>
    </sheetView>
  </sheetViews>
  <sheetFormatPr defaultColWidth="14.42578125" defaultRowHeight="15" customHeight="1" x14ac:dyDescent="0.25"/>
  <cols>
    <col min="1" max="1" width="5.42578125" customWidth="1"/>
    <col min="2" max="2" width="17.42578125" bestFit="1" customWidth="1"/>
    <col min="3" max="3" width="8.140625" customWidth="1"/>
    <col min="4" max="4" width="32.28515625" customWidth="1"/>
    <col min="5" max="5" width="23.7109375" customWidth="1"/>
    <col min="6" max="6" width="4.85546875" customWidth="1"/>
    <col min="7" max="7" width="52.140625" customWidth="1"/>
    <col min="8" max="8" width="19.42578125" customWidth="1"/>
    <col min="9" max="9" width="46.140625" customWidth="1"/>
    <col min="10" max="10" width="19.42578125" customWidth="1"/>
    <col min="11" max="26" width="8.7109375" customWidth="1"/>
  </cols>
  <sheetData>
    <row r="1" spans="1:26" x14ac:dyDescent="0.25">
      <c r="A1" s="15" t="s">
        <v>14</v>
      </c>
      <c r="B1" s="16" t="s">
        <v>26</v>
      </c>
      <c r="C1" s="17" t="s">
        <v>2</v>
      </c>
      <c r="D1" s="17" t="s">
        <v>27</v>
      </c>
      <c r="E1" s="18" t="s">
        <v>28</v>
      </c>
      <c r="F1" s="17" t="s">
        <v>29</v>
      </c>
      <c r="G1" s="17" t="s">
        <v>30</v>
      </c>
      <c r="H1" s="19" t="s">
        <v>31</v>
      </c>
      <c r="I1" s="20" t="s">
        <v>13</v>
      </c>
      <c r="J1" s="17" t="s">
        <v>32</v>
      </c>
      <c r="K1" s="21"/>
      <c r="L1" s="21"/>
      <c r="M1" s="21"/>
      <c r="N1" s="21"/>
      <c r="O1" s="21"/>
      <c r="P1" s="21"/>
      <c r="Q1" s="21"/>
      <c r="R1" s="21"/>
      <c r="S1" s="21"/>
      <c r="T1" s="21"/>
      <c r="U1" s="21"/>
      <c r="V1" s="21"/>
      <c r="W1" s="21"/>
      <c r="X1" s="21"/>
      <c r="Y1" s="21"/>
      <c r="Z1" s="21"/>
    </row>
    <row r="2" spans="1:26" x14ac:dyDescent="0.25">
      <c r="A2" s="11" t="e">
        <f>ROW(#REF!)-1</f>
        <v>#REF!</v>
      </c>
      <c r="B2" s="22">
        <v>45426</v>
      </c>
      <c r="C2" s="23">
        <v>794</v>
      </c>
      <c r="D2" s="11" t="s">
        <v>4</v>
      </c>
      <c r="E2" s="11" t="s">
        <v>33</v>
      </c>
      <c r="F2" s="11"/>
      <c r="G2" s="24" t="s">
        <v>34</v>
      </c>
      <c r="H2" s="11" t="s">
        <v>35</v>
      </c>
      <c r="I2" s="25" t="s">
        <v>36</v>
      </c>
      <c r="J2" s="11"/>
      <c r="K2" s="21"/>
      <c r="L2" s="21"/>
      <c r="M2" s="21"/>
      <c r="N2" s="21"/>
      <c r="O2" s="21"/>
      <c r="P2" s="21"/>
      <c r="Q2" s="21"/>
      <c r="R2" s="21"/>
      <c r="S2" s="21"/>
      <c r="T2" s="21"/>
      <c r="U2" s="21"/>
      <c r="V2" s="21"/>
      <c r="W2" s="21"/>
      <c r="X2" s="21"/>
      <c r="Y2" s="21"/>
      <c r="Z2" s="21"/>
    </row>
    <row r="3" spans="1:26" x14ac:dyDescent="0.25">
      <c r="A3" s="11" t="e">
        <f>ROW(#REF!)-1</f>
        <v>#REF!</v>
      </c>
      <c r="B3" s="22">
        <v>45436</v>
      </c>
      <c r="C3" s="23">
        <v>799</v>
      </c>
      <c r="D3" s="11" t="s">
        <v>4</v>
      </c>
      <c r="E3" s="11" t="s">
        <v>37</v>
      </c>
      <c r="F3" s="11"/>
      <c r="G3" s="24" t="s">
        <v>38</v>
      </c>
      <c r="H3" s="11" t="s">
        <v>39</v>
      </c>
      <c r="I3" s="25" t="s">
        <v>40</v>
      </c>
      <c r="J3" s="11"/>
      <c r="K3" s="21"/>
      <c r="L3" s="21"/>
      <c r="M3" s="21"/>
      <c r="N3" s="21"/>
      <c r="O3" s="21"/>
      <c r="P3" s="21"/>
      <c r="Q3" s="21"/>
      <c r="R3" s="21"/>
      <c r="S3" s="21"/>
      <c r="T3" s="21"/>
      <c r="U3" s="21"/>
      <c r="V3" s="21"/>
      <c r="W3" s="21"/>
      <c r="X3" s="21"/>
      <c r="Y3" s="21"/>
      <c r="Z3" s="21"/>
    </row>
    <row r="4" spans="1:26" x14ac:dyDescent="0.25">
      <c r="A4" s="11" t="e">
        <f>ROW(#REF!)-1</f>
        <v>#REF!</v>
      </c>
      <c r="B4" s="22">
        <v>45433</v>
      </c>
      <c r="C4" s="23">
        <v>800</v>
      </c>
      <c r="D4" s="11" t="s">
        <v>41</v>
      </c>
      <c r="E4" s="11">
        <v>24900507</v>
      </c>
      <c r="F4" s="11"/>
      <c r="G4" s="24" t="s">
        <v>42</v>
      </c>
      <c r="H4" s="11"/>
      <c r="I4" s="25"/>
      <c r="J4" s="11"/>
      <c r="K4" s="21"/>
      <c r="L4" s="21"/>
      <c r="M4" s="21"/>
      <c r="N4" s="21"/>
      <c r="O4" s="21"/>
      <c r="P4" s="21"/>
      <c r="Q4" s="21"/>
      <c r="R4" s="21"/>
      <c r="S4" s="21"/>
      <c r="T4" s="21"/>
      <c r="U4" s="21"/>
      <c r="V4" s="21"/>
      <c r="W4" s="21"/>
      <c r="X4" s="21"/>
      <c r="Y4" s="21"/>
      <c r="Z4" s="21"/>
    </row>
    <row r="5" spans="1:26" x14ac:dyDescent="0.25">
      <c r="A5" s="11" t="e">
        <f>ROW(#REF!)-1</f>
        <v>#REF!</v>
      </c>
      <c r="B5" s="22">
        <v>45433</v>
      </c>
      <c r="C5" s="23">
        <v>801</v>
      </c>
      <c r="D5" s="11" t="s">
        <v>41</v>
      </c>
      <c r="E5" s="11">
        <v>24900522</v>
      </c>
      <c r="F5" s="11"/>
      <c r="G5" s="24" t="s">
        <v>43</v>
      </c>
      <c r="H5" s="11"/>
      <c r="I5" s="25"/>
      <c r="J5" s="11"/>
      <c r="K5" s="21"/>
      <c r="L5" s="21"/>
      <c r="M5" s="21"/>
      <c r="N5" s="21"/>
      <c r="O5" s="21"/>
      <c r="P5" s="21"/>
      <c r="Q5" s="21"/>
      <c r="R5" s="21"/>
      <c r="S5" s="21"/>
      <c r="T5" s="21"/>
      <c r="U5" s="21"/>
      <c r="V5" s="21"/>
      <c r="W5" s="21"/>
      <c r="X5" s="21"/>
      <c r="Y5" s="21"/>
      <c r="Z5" s="21"/>
    </row>
    <row r="6" spans="1:26" x14ac:dyDescent="0.25">
      <c r="A6" s="11" t="e">
        <f>ROW(#REF!)-1</f>
        <v>#REF!</v>
      </c>
      <c r="B6" s="22">
        <v>45433</v>
      </c>
      <c r="C6" s="23">
        <v>802</v>
      </c>
      <c r="D6" s="11" t="s">
        <v>44</v>
      </c>
      <c r="E6" s="11">
        <v>4714042580</v>
      </c>
      <c r="F6" s="11"/>
      <c r="G6" s="24" t="s">
        <v>45</v>
      </c>
      <c r="H6" s="11"/>
      <c r="I6" s="25"/>
      <c r="J6" s="11"/>
      <c r="K6" s="21"/>
      <c r="L6" s="21"/>
      <c r="M6" s="21"/>
      <c r="N6" s="21"/>
      <c r="O6" s="21"/>
      <c r="P6" s="21"/>
      <c r="Q6" s="21"/>
      <c r="R6" s="21"/>
      <c r="S6" s="21"/>
      <c r="T6" s="21"/>
      <c r="U6" s="21"/>
      <c r="V6" s="21"/>
      <c r="W6" s="21"/>
      <c r="X6" s="21"/>
      <c r="Y6" s="21"/>
      <c r="Z6" s="21"/>
    </row>
    <row r="7" spans="1:26" x14ac:dyDescent="0.25">
      <c r="A7" s="11" t="e">
        <f>ROW(#REF!)-1</f>
        <v>#REF!</v>
      </c>
      <c r="B7" s="22">
        <v>45433</v>
      </c>
      <c r="C7" s="23">
        <v>803</v>
      </c>
      <c r="D7" s="11" t="s">
        <v>44</v>
      </c>
      <c r="E7" s="11">
        <v>4714042575</v>
      </c>
      <c r="F7" s="11"/>
      <c r="G7" s="24" t="s">
        <v>46</v>
      </c>
      <c r="H7" s="11"/>
      <c r="I7" s="25"/>
      <c r="J7" s="11"/>
      <c r="K7" s="21"/>
      <c r="L7" s="21"/>
      <c r="M7" s="21"/>
      <c r="N7" s="21"/>
      <c r="O7" s="21"/>
      <c r="P7" s="21"/>
      <c r="Q7" s="21"/>
      <c r="R7" s="21"/>
      <c r="S7" s="21"/>
      <c r="T7" s="21"/>
      <c r="U7" s="21"/>
      <c r="V7" s="21"/>
      <c r="W7" s="21"/>
      <c r="X7" s="21"/>
      <c r="Y7" s="21"/>
      <c r="Z7" s="21"/>
    </row>
    <row r="8" spans="1:26" x14ac:dyDescent="0.25">
      <c r="A8" s="11" t="e">
        <f>ROW(#REF!)-1</f>
        <v>#REF!</v>
      </c>
      <c r="B8" s="22">
        <v>45433</v>
      </c>
      <c r="C8" s="23">
        <v>804</v>
      </c>
      <c r="D8" s="11" t="s">
        <v>41</v>
      </c>
      <c r="E8" s="11">
        <v>24900501</v>
      </c>
      <c r="F8" s="11"/>
      <c r="G8" s="24" t="s">
        <v>47</v>
      </c>
      <c r="H8" s="11"/>
      <c r="I8" s="25"/>
      <c r="J8" s="11"/>
      <c r="K8" s="21"/>
      <c r="L8" s="21"/>
      <c r="M8" s="21"/>
      <c r="N8" s="21"/>
      <c r="O8" s="21"/>
      <c r="P8" s="21"/>
      <c r="Q8" s="21"/>
      <c r="R8" s="21"/>
      <c r="S8" s="21"/>
      <c r="T8" s="21"/>
      <c r="U8" s="21"/>
      <c r="V8" s="21"/>
      <c r="W8" s="21"/>
      <c r="X8" s="21"/>
      <c r="Y8" s="21"/>
      <c r="Z8" s="21"/>
    </row>
    <row r="9" spans="1:26" x14ac:dyDescent="0.25">
      <c r="A9" s="11" t="e">
        <f>ROW(#REF!)-1</f>
        <v>#REF!</v>
      </c>
      <c r="B9" s="22">
        <v>45433</v>
      </c>
      <c r="C9" s="23">
        <v>805</v>
      </c>
      <c r="D9" s="11" t="s">
        <v>4</v>
      </c>
      <c r="E9" s="11" t="s">
        <v>48</v>
      </c>
      <c r="F9" s="11"/>
      <c r="G9" s="24" t="s">
        <v>49</v>
      </c>
      <c r="H9" s="11"/>
      <c r="I9" s="25"/>
      <c r="J9" s="11"/>
      <c r="K9" s="21"/>
      <c r="L9" s="21"/>
      <c r="M9" s="21"/>
      <c r="N9" s="21"/>
      <c r="O9" s="21"/>
      <c r="P9" s="21"/>
      <c r="Q9" s="21"/>
      <c r="R9" s="21"/>
      <c r="S9" s="21"/>
      <c r="T9" s="21"/>
      <c r="U9" s="21"/>
      <c r="V9" s="21"/>
      <c r="W9" s="21"/>
      <c r="X9" s="21"/>
      <c r="Y9" s="21"/>
      <c r="Z9" s="21"/>
    </row>
    <row r="10" spans="1:26" x14ac:dyDescent="0.25">
      <c r="A10" s="11" t="e">
        <f>ROW(#REF!)-1</f>
        <v>#REF!</v>
      </c>
      <c r="B10" s="22">
        <v>45434</v>
      </c>
      <c r="C10" s="23">
        <v>806</v>
      </c>
      <c r="D10" s="11" t="s">
        <v>41</v>
      </c>
      <c r="E10" s="11">
        <v>24900510</v>
      </c>
      <c r="F10" s="11"/>
      <c r="G10" s="24" t="s">
        <v>50</v>
      </c>
      <c r="H10" s="11"/>
      <c r="I10" s="25"/>
      <c r="J10" s="11"/>
      <c r="K10" s="21"/>
      <c r="L10" s="21"/>
      <c r="M10" s="21"/>
      <c r="N10" s="21"/>
      <c r="O10" s="21"/>
      <c r="P10" s="21"/>
      <c r="Q10" s="21"/>
      <c r="R10" s="21"/>
      <c r="S10" s="21"/>
      <c r="T10" s="21"/>
      <c r="U10" s="21"/>
      <c r="V10" s="21"/>
      <c r="W10" s="21"/>
      <c r="X10" s="21"/>
      <c r="Y10" s="21"/>
      <c r="Z10" s="21"/>
    </row>
    <row r="11" spans="1:26" x14ac:dyDescent="0.25">
      <c r="A11" s="11" t="e">
        <f>ROW(#REF!)-1</f>
        <v>#REF!</v>
      </c>
      <c r="B11" s="22">
        <v>45436</v>
      </c>
      <c r="C11" s="23">
        <v>807</v>
      </c>
      <c r="D11" s="11" t="s">
        <v>4</v>
      </c>
      <c r="E11" s="11" t="s">
        <v>51</v>
      </c>
      <c r="F11" s="11"/>
      <c r="G11" s="24" t="s">
        <v>52</v>
      </c>
      <c r="H11" s="11"/>
      <c r="I11" s="25"/>
      <c r="J11" s="11"/>
      <c r="K11" s="21"/>
      <c r="L11" s="21"/>
      <c r="M11" s="21"/>
      <c r="N11" s="21"/>
      <c r="O11" s="21"/>
      <c r="P11" s="21"/>
      <c r="Q11" s="21"/>
      <c r="R11" s="21"/>
      <c r="S11" s="21"/>
      <c r="T11" s="21"/>
      <c r="U11" s="21"/>
      <c r="V11" s="21"/>
      <c r="W11" s="21"/>
      <c r="X11" s="21"/>
      <c r="Y11" s="21"/>
      <c r="Z11" s="21"/>
    </row>
    <row r="12" spans="1:26" x14ac:dyDescent="0.25">
      <c r="A12" s="11" t="e">
        <f>ROW(#REF!)-1</f>
        <v>#REF!</v>
      </c>
      <c r="B12" s="22">
        <v>45436</v>
      </c>
      <c r="C12" s="23">
        <v>808</v>
      </c>
      <c r="D12" s="11" t="s">
        <v>4</v>
      </c>
      <c r="E12" s="11" t="s">
        <v>53</v>
      </c>
      <c r="F12" s="11"/>
      <c r="G12" s="24" t="s">
        <v>54</v>
      </c>
      <c r="H12" s="11" t="s">
        <v>55</v>
      </c>
      <c r="I12" s="25" t="s">
        <v>56</v>
      </c>
      <c r="J12" s="11" t="s">
        <v>57</v>
      </c>
      <c r="K12" s="21"/>
      <c r="L12" s="21"/>
      <c r="M12" s="21"/>
      <c r="N12" s="21"/>
      <c r="O12" s="21"/>
      <c r="P12" s="21"/>
      <c r="Q12" s="21"/>
      <c r="R12" s="21"/>
      <c r="S12" s="21"/>
      <c r="T12" s="21"/>
      <c r="U12" s="21"/>
      <c r="V12" s="21"/>
      <c r="W12" s="21"/>
      <c r="X12" s="21"/>
      <c r="Y12" s="21"/>
      <c r="Z12" s="21"/>
    </row>
    <row r="13" spans="1:26" x14ac:dyDescent="0.25">
      <c r="A13" s="11" t="e">
        <f>ROW(#REF!)-1</f>
        <v>#REF!</v>
      </c>
      <c r="B13" s="22">
        <v>45439</v>
      </c>
      <c r="C13" s="23">
        <v>808</v>
      </c>
      <c r="D13" s="11" t="s">
        <v>4</v>
      </c>
      <c r="E13" s="11" t="s">
        <v>58</v>
      </c>
      <c r="F13" s="11"/>
      <c r="G13" s="24" t="s">
        <v>59</v>
      </c>
      <c r="H13" s="11"/>
      <c r="I13" s="25"/>
      <c r="J13" s="11"/>
      <c r="K13" s="21"/>
      <c r="L13" s="21"/>
      <c r="M13" s="21"/>
      <c r="N13" s="21"/>
      <c r="O13" s="21"/>
      <c r="P13" s="21"/>
      <c r="Q13" s="21"/>
      <c r="R13" s="21"/>
      <c r="S13" s="21"/>
      <c r="T13" s="21"/>
      <c r="U13" s="21"/>
      <c r="V13" s="21"/>
      <c r="W13" s="21"/>
      <c r="X13" s="21"/>
      <c r="Y13" s="21"/>
      <c r="Z13" s="21"/>
    </row>
    <row r="14" spans="1:26" x14ac:dyDescent="0.25">
      <c r="A14" s="11" t="e">
        <f>ROW(#REF!)-1</f>
        <v>#REF!</v>
      </c>
      <c r="B14" s="22">
        <v>45439</v>
      </c>
      <c r="C14" s="23">
        <v>809</v>
      </c>
      <c r="D14" s="11" t="s">
        <v>44</v>
      </c>
      <c r="E14" s="11">
        <v>4714042575</v>
      </c>
      <c r="F14" s="11"/>
      <c r="G14" s="24" t="s">
        <v>60</v>
      </c>
      <c r="H14" s="11" t="s">
        <v>61</v>
      </c>
      <c r="I14" s="25"/>
      <c r="J14" s="11"/>
      <c r="K14" s="21"/>
      <c r="L14" s="21"/>
      <c r="M14" s="21"/>
      <c r="N14" s="21"/>
      <c r="O14" s="21"/>
      <c r="P14" s="21"/>
      <c r="Q14" s="21"/>
      <c r="R14" s="21"/>
      <c r="S14" s="21"/>
      <c r="T14" s="21"/>
      <c r="U14" s="21"/>
      <c r="V14" s="21"/>
      <c r="W14" s="21"/>
      <c r="X14" s="21"/>
      <c r="Y14" s="21"/>
      <c r="Z14" s="21"/>
    </row>
    <row r="15" spans="1:26" x14ac:dyDescent="0.25">
      <c r="A15" s="11" t="e">
        <f>ROW(#REF!)-1</f>
        <v>#REF!</v>
      </c>
      <c r="B15" s="22">
        <v>45439</v>
      </c>
      <c r="C15" s="23">
        <v>810</v>
      </c>
      <c r="D15" s="11" t="s">
        <v>41</v>
      </c>
      <c r="E15" s="11">
        <v>24900514</v>
      </c>
      <c r="F15" s="11"/>
      <c r="G15" s="24" t="s">
        <v>62</v>
      </c>
      <c r="H15" s="11"/>
      <c r="I15" s="25"/>
      <c r="J15" s="11"/>
      <c r="K15" s="21"/>
      <c r="L15" s="21"/>
      <c r="M15" s="21"/>
      <c r="N15" s="21"/>
      <c r="O15" s="21"/>
      <c r="P15" s="21"/>
      <c r="Q15" s="21"/>
      <c r="R15" s="21"/>
      <c r="S15" s="21"/>
      <c r="T15" s="21"/>
      <c r="U15" s="21"/>
      <c r="V15" s="21"/>
      <c r="W15" s="21"/>
      <c r="X15" s="21"/>
      <c r="Y15" s="21"/>
      <c r="Z15" s="21"/>
    </row>
    <row r="16" spans="1:26" x14ac:dyDescent="0.25">
      <c r="A16" s="11" t="e">
        <f>ROW(#REF!)-1</f>
        <v>#REF!</v>
      </c>
      <c r="B16" s="22">
        <v>45439</v>
      </c>
      <c r="C16" s="23">
        <v>811</v>
      </c>
      <c r="D16" s="11" t="s">
        <v>63</v>
      </c>
      <c r="E16" s="11" t="s">
        <v>64</v>
      </c>
      <c r="F16" s="11"/>
      <c r="G16" s="24" t="s">
        <v>65</v>
      </c>
      <c r="H16" s="11"/>
      <c r="I16" s="25"/>
      <c r="J16" s="11"/>
      <c r="K16" s="21"/>
      <c r="L16" s="21"/>
      <c r="M16" s="21"/>
      <c r="N16" s="21"/>
      <c r="O16" s="21"/>
      <c r="P16" s="21"/>
      <c r="Q16" s="21"/>
      <c r="R16" s="21"/>
      <c r="S16" s="21"/>
      <c r="T16" s="21"/>
      <c r="U16" s="21"/>
      <c r="V16" s="21"/>
      <c r="W16" s="21"/>
      <c r="X16" s="21"/>
      <c r="Y16" s="21"/>
      <c r="Z16" s="21"/>
    </row>
    <row r="17" spans="1:26" x14ac:dyDescent="0.25">
      <c r="A17" s="11" t="e">
        <f>ROW(#REF!)-1</f>
        <v>#REF!</v>
      </c>
      <c r="B17" s="22">
        <v>45439</v>
      </c>
      <c r="C17" s="23">
        <v>812</v>
      </c>
      <c r="D17" s="11" t="s">
        <v>66</v>
      </c>
      <c r="E17" s="11" t="s">
        <v>67</v>
      </c>
      <c r="F17" s="11"/>
      <c r="G17" s="24" t="s">
        <v>68</v>
      </c>
      <c r="H17" s="11"/>
      <c r="I17" s="25"/>
      <c r="J17" s="11"/>
      <c r="K17" s="21"/>
      <c r="L17" s="21"/>
      <c r="M17" s="21"/>
      <c r="N17" s="21"/>
      <c r="O17" s="21"/>
      <c r="P17" s="21"/>
      <c r="Q17" s="21"/>
      <c r="R17" s="21"/>
      <c r="S17" s="21"/>
      <c r="T17" s="21"/>
      <c r="U17" s="21"/>
      <c r="V17" s="21"/>
      <c r="W17" s="21"/>
      <c r="X17" s="21"/>
      <c r="Y17" s="21"/>
      <c r="Z17" s="21"/>
    </row>
    <row r="18" spans="1:26" x14ac:dyDescent="0.25">
      <c r="A18" s="11" t="e">
        <f>ROW(#REF!)-1</f>
        <v>#REF!</v>
      </c>
      <c r="B18" s="22">
        <v>45439</v>
      </c>
      <c r="C18" s="23">
        <v>813</v>
      </c>
      <c r="D18" s="11" t="s">
        <v>66</v>
      </c>
      <c r="E18" s="11" t="s">
        <v>69</v>
      </c>
      <c r="F18" s="11"/>
      <c r="G18" s="24" t="s">
        <v>70</v>
      </c>
      <c r="H18" s="11"/>
      <c r="I18" s="25"/>
      <c r="J18" s="11"/>
      <c r="K18" s="21"/>
      <c r="L18" s="21"/>
      <c r="M18" s="21"/>
      <c r="N18" s="21"/>
      <c r="O18" s="21"/>
      <c r="P18" s="21"/>
      <c r="Q18" s="21"/>
      <c r="R18" s="21"/>
      <c r="S18" s="21"/>
      <c r="T18" s="21"/>
      <c r="U18" s="21"/>
      <c r="V18" s="21"/>
      <c r="W18" s="21"/>
      <c r="X18" s="21"/>
      <c r="Y18" s="21"/>
      <c r="Z18" s="21"/>
    </row>
    <row r="19" spans="1:26" x14ac:dyDescent="0.25">
      <c r="A19" s="11" t="e">
        <f>ROW(#REF!)-1</f>
        <v>#REF!</v>
      </c>
      <c r="B19" s="22">
        <v>45440</v>
      </c>
      <c r="C19" s="23">
        <v>814</v>
      </c>
      <c r="D19" s="11" t="s">
        <v>63</v>
      </c>
      <c r="E19" s="11" t="s">
        <v>71</v>
      </c>
      <c r="F19" s="11"/>
      <c r="G19" s="24" t="s">
        <v>72</v>
      </c>
      <c r="H19" s="11"/>
      <c r="I19" s="25"/>
      <c r="J19" s="11"/>
      <c r="K19" s="21"/>
      <c r="L19" s="21"/>
      <c r="M19" s="21"/>
      <c r="N19" s="21"/>
      <c r="O19" s="21"/>
      <c r="P19" s="21"/>
      <c r="Q19" s="21"/>
      <c r="R19" s="21"/>
      <c r="S19" s="21"/>
      <c r="T19" s="21"/>
      <c r="U19" s="21"/>
      <c r="V19" s="21"/>
      <c r="W19" s="21"/>
      <c r="X19" s="21"/>
      <c r="Y19" s="21"/>
      <c r="Z19" s="21"/>
    </row>
    <row r="20" spans="1:26" x14ac:dyDescent="0.25">
      <c r="A20" s="11" t="e">
        <f>ROW(#REF!)-1</f>
        <v>#REF!</v>
      </c>
      <c r="B20" s="22">
        <v>45440</v>
      </c>
      <c r="C20" s="23">
        <v>815</v>
      </c>
      <c r="D20" s="11" t="s">
        <v>63</v>
      </c>
      <c r="E20" s="11" t="s">
        <v>73</v>
      </c>
      <c r="F20" s="11"/>
      <c r="G20" s="24" t="s">
        <v>74</v>
      </c>
      <c r="H20" s="11"/>
      <c r="I20" s="25"/>
      <c r="J20" s="11"/>
      <c r="K20" s="21"/>
      <c r="L20" s="21"/>
      <c r="M20" s="21"/>
      <c r="N20" s="21"/>
      <c r="O20" s="21"/>
      <c r="P20" s="21"/>
      <c r="Q20" s="21"/>
      <c r="R20" s="21"/>
      <c r="S20" s="21"/>
      <c r="T20" s="21"/>
      <c r="U20" s="21"/>
      <c r="V20" s="21"/>
      <c r="W20" s="21"/>
      <c r="X20" s="21"/>
      <c r="Y20" s="21"/>
      <c r="Z20" s="21"/>
    </row>
    <row r="21" spans="1:26" ht="15.75" customHeight="1" x14ac:dyDescent="0.25">
      <c r="A21" s="11" t="e">
        <f>ROW(#REF!)-1</f>
        <v>#REF!</v>
      </c>
      <c r="B21" s="22">
        <v>45440</v>
      </c>
      <c r="C21" s="23">
        <v>816</v>
      </c>
      <c r="D21" s="11" t="s">
        <v>4</v>
      </c>
      <c r="E21" s="11" t="s">
        <v>75</v>
      </c>
      <c r="F21" s="11"/>
      <c r="G21" s="24" t="s">
        <v>76</v>
      </c>
      <c r="H21" s="11" t="s">
        <v>77</v>
      </c>
      <c r="I21" s="25" t="s">
        <v>78</v>
      </c>
      <c r="J21" s="11"/>
      <c r="K21" s="21"/>
      <c r="L21" s="21"/>
      <c r="M21" s="21"/>
      <c r="N21" s="21"/>
      <c r="O21" s="21"/>
      <c r="P21" s="21"/>
      <c r="Q21" s="21"/>
      <c r="R21" s="21"/>
      <c r="S21" s="21"/>
      <c r="T21" s="21"/>
      <c r="U21" s="21"/>
      <c r="V21" s="21"/>
      <c r="W21" s="21"/>
      <c r="X21" s="21"/>
      <c r="Y21" s="21"/>
      <c r="Z21" s="21"/>
    </row>
    <row r="22" spans="1:26" ht="15.75" customHeight="1" x14ac:dyDescent="0.25">
      <c r="A22" s="11" t="e">
        <f>ROW(#REF!)-1</f>
        <v>#REF!</v>
      </c>
      <c r="B22" s="22">
        <v>45440</v>
      </c>
      <c r="C22" s="23">
        <v>817</v>
      </c>
      <c r="D22" s="11" t="s">
        <v>4</v>
      </c>
      <c r="E22" s="11" t="s">
        <v>79</v>
      </c>
      <c r="F22" s="11"/>
      <c r="G22" s="24" t="s">
        <v>80</v>
      </c>
      <c r="H22" s="11"/>
      <c r="I22" s="25" t="s">
        <v>81</v>
      </c>
      <c r="J22" s="11"/>
      <c r="K22" s="21"/>
      <c r="L22" s="21"/>
      <c r="M22" s="21"/>
      <c r="N22" s="21"/>
      <c r="O22" s="21"/>
      <c r="P22" s="21"/>
      <c r="Q22" s="21"/>
      <c r="R22" s="21"/>
      <c r="S22" s="21"/>
      <c r="T22" s="21"/>
      <c r="U22" s="21"/>
      <c r="V22" s="21"/>
      <c r="W22" s="21"/>
      <c r="X22" s="21"/>
      <c r="Y22" s="21"/>
      <c r="Z22" s="21"/>
    </row>
    <row r="23" spans="1:26" ht="15.75" customHeight="1" x14ac:dyDescent="0.25">
      <c r="A23" s="11" t="e">
        <f>ROW(#REF!)-1</f>
        <v>#REF!</v>
      </c>
      <c r="B23" s="22">
        <v>45440</v>
      </c>
      <c r="C23" s="23">
        <v>817</v>
      </c>
      <c r="D23" s="11" t="s">
        <v>4</v>
      </c>
      <c r="E23" s="11" t="s">
        <v>79</v>
      </c>
      <c r="F23" s="11"/>
      <c r="G23" s="24" t="s">
        <v>80</v>
      </c>
      <c r="H23" s="11"/>
      <c r="I23" s="25" t="s">
        <v>81</v>
      </c>
      <c r="J23" s="11"/>
      <c r="K23" s="21"/>
      <c r="L23" s="21"/>
      <c r="M23" s="21"/>
      <c r="N23" s="21"/>
      <c r="O23" s="21"/>
      <c r="P23" s="21"/>
      <c r="Q23" s="21"/>
      <c r="R23" s="21"/>
      <c r="S23" s="21"/>
      <c r="T23" s="21"/>
      <c r="U23" s="21"/>
      <c r="V23" s="21"/>
      <c r="W23" s="21"/>
      <c r="X23" s="21"/>
      <c r="Y23" s="21"/>
      <c r="Z23" s="21"/>
    </row>
    <row r="24" spans="1:26" ht="15.75" customHeight="1" x14ac:dyDescent="0.25">
      <c r="A24" s="11" t="e">
        <f>ROW(#REF!)-1</f>
        <v>#REF!</v>
      </c>
      <c r="B24" s="22">
        <v>45441</v>
      </c>
      <c r="C24" s="23">
        <v>818</v>
      </c>
      <c r="D24" s="11" t="s">
        <v>4</v>
      </c>
      <c r="E24" s="11" t="s">
        <v>82</v>
      </c>
      <c r="F24" s="11"/>
      <c r="G24" s="24" t="s">
        <v>83</v>
      </c>
      <c r="H24" s="11"/>
      <c r="I24" s="25"/>
      <c r="J24" s="11"/>
      <c r="K24" s="21"/>
      <c r="L24" s="21"/>
      <c r="M24" s="21"/>
      <c r="N24" s="21"/>
      <c r="O24" s="21"/>
      <c r="P24" s="21"/>
      <c r="Q24" s="21"/>
      <c r="R24" s="21"/>
      <c r="S24" s="21"/>
      <c r="T24" s="21"/>
      <c r="U24" s="21"/>
      <c r="V24" s="21"/>
      <c r="W24" s="21"/>
      <c r="X24" s="21"/>
      <c r="Y24" s="21"/>
      <c r="Z24" s="21"/>
    </row>
    <row r="25" spans="1:26" ht="15.75" customHeight="1" x14ac:dyDescent="0.25">
      <c r="A25" s="11" t="e">
        <f>ROW(#REF!)-1</f>
        <v>#REF!</v>
      </c>
      <c r="B25" s="22">
        <v>45441</v>
      </c>
      <c r="C25" s="23">
        <v>819</v>
      </c>
      <c r="D25" s="11" t="s">
        <v>4</v>
      </c>
      <c r="E25" s="11" t="s">
        <v>84</v>
      </c>
      <c r="F25" s="11"/>
      <c r="G25" s="24" t="s">
        <v>85</v>
      </c>
      <c r="H25" s="11"/>
      <c r="I25" s="25"/>
      <c r="J25" s="11"/>
      <c r="K25" s="21"/>
      <c r="L25" s="21"/>
      <c r="M25" s="21"/>
      <c r="N25" s="21"/>
      <c r="O25" s="21"/>
      <c r="P25" s="21"/>
      <c r="Q25" s="21"/>
      <c r="R25" s="21"/>
      <c r="S25" s="21"/>
      <c r="T25" s="21"/>
      <c r="U25" s="21"/>
      <c r="V25" s="21"/>
      <c r="W25" s="21"/>
      <c r="X25" s="21"/>
      <c r="Y25" s="21"/>
      <c r="Z25" s="21"/>
    </row>
    <row r="26" spans="1:26" ht="15.75" customHeight="1" x14ac:dyDescent="0.25">
      <c r="A26" s="11" t="e">
        <f>ROW(#REF!)-1</f>
        <v>#REF!</v>
      </c>
      <c r="B26" s="22">
        <v>45442</v>
      </c>
      <c r="C26" s="23">
        <v>820</v>
      </c>
      <c r="D26" s="11" t="s">
        <v>4</v>
      </c>
      <c r="E26" s="11" t="s">
        <v>11</v>
      </c>
      <c r="F26" s="11"/>
      <c r="G26" s="24" t="s">
        <v>86</v>
      </c>
      <c r="H26" s="11" t="s">
        <v>87</v>
      </c>
      <c r="I26" s="25" t="s">
        <v>88</v>
      </c>
      <c r="J26" s="11"/>
      <c r="K26" s="21"/>
      <c r="L26" s="21"/>
      <c r="M26" s="21"/>
      <c r="N26" s="21"/>
      <c r="O26" s="21"/>
      <c r="P26" s="21"/>
      <c r="Q26" s="21"/>
      <c r="R26" s="21"/>
      <c r="S26" s="21"/>
      <c r="T26" s="21"/>
      <c r="U26" s="21"/>
      <c r="V26" s="21"/>
      <c r="W26" s="21"/>
      <c r="X26" s="21"/>
      <c r="Y26" s="21"/>
      <c r="Z26" s="21"/>
    </row>
    <row r="27" spans="1:26" ht="15.75" customHeight="1" x14ac:dyDescent="0.25">
      <c r="A27" s="11" t="e">
        <f>ROW(#REF!)-1</f>
        <v>#REF!</v>
      </c>
      <c r="B27" s="22">
        <v>45442</v>
      </c>
      <c r="C27" s="23">
        <v>821</v>
      </c>
      <c r="D27" s="11" t="s">
        <v>4</v>
      </c>
      <c r="E27" s="11" t="s">
        <v>89</v>
      </c>
      <c r="F27" s="11"/>
      <c r="G27" s="24" t="s">
        <v>90</v>
      </c>
      <c r="H27" s="11"/>
      <c r="I27" s="25"/>
      <c r="J27" s="11"/>
      <c r="K27" s="21"/>
      <c r="L27" s="21"/>
      <c r="M27" s="21"/>
      <c r="N27" s="21"/>
      <c r="O27" s="21"/>
      <c r="P27" s="21"/>
      <c r="Q27" s="21"/>
      <c r="R27" s="21"/>
      <c r="S27" s="21"/>
      <c r="T27" s="21"/>
      <c r="U27" s="21"/>
      <c r="V27" s="21"/>
      <c r="W27" s="21"/>
      <c r="X27" s="21"/>
      <c r="Y27" s="21"/>
      <c r="Z27" s="21"/>
    </row>
    <row r="28" spans="1:26" ht="15.75" customHeight="1" x14ac:dyDescent="0.25">
      <c r="A28" s="11" t="e">
        <f>ROW(#REF!)-1</f>
        <v>#REF!</v>
      </c>
      <c r="B28" s="22">
        <v>45442</v>
      </c>
      <c r="C28" s="23">
        <v>822</v>
      </c>
      <c r="D28" s="11" t="s">
        <v>41</v>
      </c>
      <c r="E28" s="11">
        <v>24900544</v>
      </c>
      <c r="F28" s="11"/>
      <c r="G28" s="24" t="s">
        <v>91</v>
      </c>
      <c r="H28" s="11" t="s">
        <v>92</v>
      </c>
      <c r="I28" s="25" t="s">
        <v>93</v>
      </c>
      <c r="J28" s="11"/>
      <c r="K28" s="21"/>
      <c r="L28" s="21"/>
      <c r="M28" s="21"/>
      <c r="N28" s="21"/>
      <c r="O28" s="21"/>
      <c r="P28" s="21"/>
      <c r="Q28" s="21"/>
      <c r="R28" s="21"/>
      <c r="S28" s="21"/>
      <c r="T28" s="21"/>
      <c r="U28" s="21"/>
      <c r="V28" s="21"/>
      <c r="W28" s="21"/>
      <c r="X28" s="21"/>
      <c r="Y28" s="21"/>
      <c r="Z28" s="21"/>
    </row>
    <row r="29" spans="1:26" ht="15.75" customHeight="1" x14ac:dyDescent="0.25">
      <c r="A29" s="11" t="e">
        <f>ROW(#REF!)-1</f>
        <v>#REF!</v>
      </c>
      <c r="B29" s="22">
        <v>45442</v>
      </c>
      <c r="C29" s="23">
        <v>823</v>
      </c>
      <c r="D29" s="11" t="s">
        <v>41</v>
      </c>
      <c r="E29" s="11">
        <v>24900553</v>
      </c>
      <c r="F29" s="11"/>
      <c r="G29" s="24" t="s">
        <v>94</v>
      </c>
      <c r="H29" s="11"/>
      <c r="I29" s="25" t="s">
        <v>95</v>
      </c>
      <c r="J29" s="11"/>
      <c r="K29" s="21"/>
      <c r="L29" s="21"/>
      <c r="M29" s="21"/>
      <c r="N29" s="21"/>
      <c r="O29" s="21"/>
      <c r="P29" s="21"/>
      <c r="Q29" s="21"/>
      <c r="R29" s="21"/>
      <c r="S29" s="21"/>
      <c r="T29" s="21"/>
      <c r="U29" s="21"/>
      <c r="V29" s="21"/>
      <c r="W29" s="21"/>
      <c r="X29" s="21"/>
      <c r="Y29" s="21"/>
      <c r="Z29" s="21"/>
    </row>
    <row r="30" spans="1:26" ht="15.75" customHeight="1" x14ac:dyDescent="0.25">
      <c r="A30" s="11" t="e">
        <f>ROW(#REF!)-1</f>
        <v>#REF!</v>
      </c>
      <c r="B30" s="22">
        <v>45442</v>
      </c>
      <c r="C30" s="23">
        <v>824</v>
      </c>
      <c r="D30" s="11" t="s">
        <v>66</v>
      </c>
      <c r="E30" s="11" t="s">
        <v>96</v>
      </c>
      <c r="F30" s="11"/>
      <c r="G30" s="24" t="s">
        <v>97</v>
      </c>
      <c r="H30" s="11"/>
      <c r="I30" s="25"/>
      <c r="J30" s="11"/>
      <c r="K30" s="21"/>
      <c r="L30" s="21"/>
      <c r="M30" s="21"/>
      <c r="N30" s="21"/>
      <c r="O30" s="21"/>
      <c r="P30" s="21"/>
      <c r="Q30" s="21"/>
      <c r="R30" s="21"/>
      <c r="S30" s="21"/>
      <c r="T30" s="21"/>
      <c r="U30" s="21"/>
      <c r="V30" s="21"/>
      <c r="W30" s="21"/>
      <c r="X30" s="21"/>
      <c r="Y30" s="21"/>
      <c r="Z30" s="21"/>
    </row>
    <row r="31" spans="1:26" ht="15.75" customHeight="1" x14ac:dyDescent="0.25">
      <c r="A31" s="11" t="e">
        <f>ROW(#REF!)-1</f>
        <v>#REF!</v>
      </c>
      <c r="B31" s="22">
        <v>45442</v>
      </c>
      <c r="C31" s="23">
        <v>825</v>
      </c>
      <c r="D31" s="11" t="s">
        <v>66</v>
      </c>
      <c r="E31" s="11" t="s">
        <v>98</v>
      </c>
      <c r="F31" s="11"/>
      <c r="G31" s="24" t="s">
        <v>99</v>
      </c>
      <c r="H31" s="11"/>
      <c r="I31" s="25"/>
      <c r="J31" s="11"/>
      <c r="K31" s="21"/>
      <c r="L31" s="21"/>
      <c r="M31" s="21"/>
      <c r="N31" s="21"/>
      <c r="O31" s="21"/>
      <c r="P31" s="21"/>
      <c r="Q31" s="21"/>
      <c r="R31" s="21"/>
      <c r="S31" s="21"/>
      <c r="T31" s="21"/>
      <c r="U31" s="21"/>
      <c r="V31" s="21"/>
      <c r="W31" s="21"/>
      <c r="X31" s="21"/>
      <c r="Y31" s="21"/>
      <c r="Z31" s="21"/>
    </row>
    <row r="32" spans="1:26" ht="15.75" customHeight="1" x14ac:dyDescent="0.25">
      <c r="A32" s="11" t="e">
        <f>ROW(#REF!)-1</f>
        <v>#REF!</v>
      </c>
      <c r="B32" s="22">
        <v>45443</v>
      </c>
      <c r="C32" s="23">
        <v>826</v>
      </c>
      <c r="D32" s="11" t="s">
        <v>41</v>
      </c>
      <c r="E32" s="11">
        <v>24900544</v>
      </c>
      <c r="F32" s="11"/>
      <c r="G32" s="24" t="s">
        <v>100</v>
      </c>
      <c r="H32" s="11" t="s">
        <v>101</v>
      </c>
      <c r="I32" s="25" t="s">
        <v>102</v>
      </c>
      <c r="J32" s="11"/>
      <c r="K32" s="21"/>
      <c r="L32" s="21"/>
      <c r="M32" s="21"/>
      <c r="N32" s="21"/>
      <c r="O32" s="21"/>
      <c r="P32" s="21"/>
      <c r="Q32" s="21"/>
      <c r="R32" s="21"/>
      <c r="S32" s="21"/>
      <c r="T32" s="21"/>
      <c r="U32" s="21"/>
      <c r="V32" s="21"/>
      <c r="W32" s="21"/>
      <c r="X32" s="21"/>
      <c r="Y32" s="21"/>
      <c r="Z32" s="21"/>
    </row>
    <row r="33" spans="1:26" ht="15.75" customHeight="1" x14ac:dyDescent="0.25">
      <c r="A33" s="11" t="e">
        <f>ROW(#REF!)-1</f>
        <v>#REF!</v>
      </c>
      <c r="B33" s="22">
        <v>45443</v>
      </c>
      <c r="C33" s="23">
        <v>827</v>
      </c>
      <c r="D33" s="11" t="s">
        <v>41</v>
      </c>
      <c r="E33" s="11">
        <v>24900543</v>
      </c>
      <c r="F33" s="11"/>
      <c r="G33" s="24" t="s">
        <v>103</v>
      </c>
      <c r="H33" s="11"/>
      <c r="I33" s="25"/>
      <c r="J33" s="11"/>
      <c r="K33" s="21"/>
      <c r="L33" s="21"/>
      <c r="M33" s="21"/>
      <c r="N33" s="21"/>
      <c r="O33" s="21"/>
      <c r="P33" s="21"/>
      <c r="Q33" s="21"/>
      <c r="R33" s="21"/>
      <c r="S33" s="21"/>
      <c r="T33" s="21"/>
      <c r="U33" s="21"/>
      <c r="V33" s="21"/>
      <c r="W33" s="21"/>
      <c r="X33" s="21"/>
      <c r="Y33" s="21"/>
      <c r="Z33" s="21"/>
    </row>
    <row r="34" spans="1:26" ht="15.75" customHeight="1" x14ac:dyDescent="0.25">
      <c r="A34" s="11" t="e">
        <f>ROW(#REF!)-1</f>
        <v>#REF!</v>
      </c>
      <c r="B34" s="22">
        <v>45446</v>
      </c>
      <c r="C34" s="23">
        <v>828</v>
      </c>
      <c r="D34" s="11" t="s">
        <v>4</v>
      </c>
      <c r="E34" s="11" t="s">
        <v>11</v>
      </c>
      <c r="F34" s="11"/>
      <c r="G34" s="24" t="s">
        <v>104</v>
      </c>
      <c r="H34" s="11" t="s">
        <v>77</v>
      </c>
      <c r="I34" s="25" t="s">
        <v>105</v>
      </c>
      <c r="J34" s="11"/>
      <c r="K34" s="21"/>
      <c r="L34" s="21"/>
      <c r="M34" s="21"/>
      <c r="N34" s="21"/>
      <c r="O34" s="21"/>
      <c r="P34" s="21"/>
      <c r="Q34" s="21"/>
      <c r="R34" s="21"/>
      <c r="S34" s="21"/>
      <c r="T34" s="21"/>
      <c r="U34" s="21"/>
      <c r="V34" s="21"/>
      <c r="W34" s="21"/>
      <c r="X34" s="21"/>
      <c r="Y34" s="21"/>
      <c r="Z34" s="21"/>
    </row>
    <row r="35" spans="1:26" ht="15.75" customHeight="1" x14ac:dyDescent="0.25">
      <c r="A35" s="11" t="e">
        <f>ROW(#REF!)-1</f>
        <v>#REF!</v>
      </c>
      <c r="B35" s="22">
        <v>45446</v>
      </c>
      <c r="C35" s="23">
        <v>829</v>
      </c>
      <c r="D35" s="11" t="s">
        <v>4</v>
      </c>
      <c r="E35" s="11" t="s">
        <v>106</v>
      </c>
      <c r="F35" s="11"/>
      <c r="G35" s="24" t="s">
        <v>107</v>
      </c>
      <c r="H35" s="11" t="s">
        <v>108</v>
      </c>
      <c r="I35" s="25" t="s">
        <v>109</v>
      </c>
      <c r="J35" s="11"/>
      <c r="K35" s="21"/>
      <c r="L35" s="21"/>
      <c r="M35" s="21"/>
      <c r="N35" s="21"/>
      <c r="O35" s="21"/>
      <c r="P35" s="21"/>
      <c r="Q35" s="21"/>
      <c r="R35" s="21"/>
      <c r="S35" s="21"/>
      <c r="T35" s="21"/>
      <c r="U35" s="21"/>
      <c r="V35" s="21"/>
      <c r="W35" s="21"/>
      <c r="X35" s="21"/>
      <c r="Y35" s="21"/>
      <c r="Z35" s="21"/>
    </row>
    <row r="36" spans="1:26" ht="15.75" customHeight="1" x14ac:dyDescent="0.25">
      <c r="A36" s="11" t="e">
        <f>ROW(#REF!)-1</f>
        <v>#REF!</v>
      </c>
      <c r="B36" s="22">
        <v>45448</v>
      </c>
      <c r="C36" s="23">
        <v>830</v>
      </c>
      <c r="D36" s="11" t="s">
        <v>63</v>
      </c>
      <c r="E36" s="11" t="s">
        <v>110</v>
      </c>
      <c r="F36" s="11"/>
      <c r="G36" s="24" t="s">
        <v>111</v>
      </c>
      <c r="H36" s="11"/>
      <c r="I36" s="25"/>
      <c r="J36" s="11"/>
      <c r="K36" s="21"/>
      <c r="L36" s="21"/>
      <c r="M36" s="21"/>
      <c r="N36" s="21"/>
      <c r="O36" s="21"/>
      <c r="P36" s="21"/>
      <c r="Q36" s="21"/>
      <c r="R36" s="21"/>
      <c r="S36" s="21"/>
      <c r="T36" s="21"/>
      <c r="U36" s="21"/>
      <c r="V36" s="21"/>
      <c r="W36" s="21"/>
      <c r="X36" s="21"/>
      <c r="Y36" s="21"/>
      <c r="Z36" s="21"/>
    </row>
    <row r="37" spans="1:26" ht="15.75" customHeight="1" x14ac:dyDescent="0.25">
      <c r="A37" s="11" t="e">
        <f>ROW(#REF!)-1</f>
        <v>#REF!</v>
      </c>
      <c r="B37" s="22">
        <v>45449</v>
      </c>
      <c r="C37" s="23">
        <v>831</v>
      </c>
      <c r="D37" s="11" t="s">
        <v>44</v>
      </c>
      <c r="E37" s="11">
        <v>4714042780</v>
      </c>
      <c r="F37" s="11"/>
      <c r="G37" s="24" t="s">
        <v>112</v>
      </c>
      <c r="H37" s="11"/>
      <c r="I37" s="25"/>
      <c r="J37" s="11"/>
      <c r="K37" s="21"/>
      <c r="L37" s="21"/>
      <c r="M37" s="21"/>
      <c r="N37" s="21"/>
      <c r="O37" s="21"/>
      <c r="P37" s="21"/>
      <c r="Q37" s="21"/>
      <c r="R37" s="21"/>
      <c r="S37" s="21"/>
      <c r="T37" s="21"/>
      <c r="U37" s="21"/>
      <c r="V37" s="21"/>
      <c r="W37" s="21"/>
      <c r="X37" s="21"/>
      <c r="Y37" s="21"/>
      <c r="Z37" s="21"/>
    </row>
    <row r="38" spans="1:26" ht="15.75" customHeight="1" x14ac:dyDescent="0.25">
      <c r="A38" s="11" t="e">
        <f>ROW(#REF!)-1</f>
        <v>#REF!</v>
      </c>
      <c r="B38" s="22">
        <v>45449</v>
      </c>
      <c r="C38" s="23">
        <v>832</v>
      </c>
      <c r="D38" s="11" t="s">
        <v>66</v>
      </c>
      <c r="E38" s="11" t="s">
        <v>113</v>
      </c>
      <c r="F38" s="11"/>
      <c r="G38" s="24" t="s">
        <v>114</v>
      </c>
      <c r="H38" s="11"/>
      <c r="I38" s="25"/>
      <c r="J38" s="11"/>
      <c r="K38" s="21"/>
      <c r="L38" s="21"/>
      <c r="M38" s="21"/>
      <c r="N38" s="21"/>
      <c r="O38" s="21"/>
      <c r="P38" s="21"/>
      <c r="Q38" s="21"/>
      <c r="R38" s="21"/>
      <c r="S38" s="21"/>
      <c r="T38" s="21"/>
      <c r="U38" s="21"/>
      <c r="V38" s="21"/>
      <c r="W38" s="21"/>
      <c r="X38" s="21"/>
      <c r="Y38" s="21"/>
      <c r="Z38" s="21"/>
    </row>
    <row r="39" spans="1:26" ht="15.75" customHeight="1" x14ac:dyDescent="0.25">
      <c r="A39" s="11" t="e">
        <f>ROW(#REF!)-1</f>
        <v>#REF!</v>
      </c>
      <c r="B39" s="22">
        <v>45449</v>
      </c>
      <c r="C39" s="23">
        <v>833</v>
      </c>
      <c r="D39" s="11" t="s">
        <v>66</v>
      </c>
      <c r="E39" s="11" t="s">
        <v>115</v>
      </c>
      <c r="F39" s="11"/>
      <c r="G39" s="24" t="s">
        <v>116</v>
      </c>
      <c r="H39" s="11"/>
      <c r="I39" s="25"/>
      <c r="J39" s="11"/>
      <c r="K39" s="21"/>
      <c r="L39" s="21"/>
      <c r="M39" s="21"/>
      <c r="N39" s="21"/>
      <c r="O39" s="21"/>
      <c r="P39" s="21"/>
      <c r="Q39" s="21"/>
      <c r="R39" s="21"/>
      <c r="S39" s="21"/>
      <c r="T39" s="21"/>
      <c r="U39" s="21"/>
      <c r="V39" s="21"/>
      <c r="W39" s="21"/>
      <c r="X39" s="21"/>
      <c r="Y39" s="21"/>
      <c r="Z39" s="21"/>
    </row>
    <row r="40" spans="1:26" ht="15.75" customHeight="1" x14ac:dyDescent="0.25">
      <c r="A40" s="11" t="e">
        <f>ROW(#REF!)-1</f>
        <v>#REF!</v>
      </c>
      <c r="B40" s="22">
        <v>45450</v>
      </c>
      <c r="C40" s="23">
        <v>834</v>
      </c>
      <c r="D40" s="11" t="s">
        <v>63</v>
      </c>
      <c r="E40" s="11" t="s">
        <v>117</v>
      </c>
      <c r="F40" s="11"/>
      <c r="G40" s="24" t="s">
        <v>118</v>
      </c>
      <c r="H40" s="11"/>
      <c r="I40" s="25"/>
      <c r="J40" s="11"/>
      <c r="K40" s="21"/>
      <c r="L40" s="21"/>
      <c r="M40" s="21"/>
      <c r="N40" s="21"/>
      <c r="O40" s="21"/>
      <c r="P40" s="21"/>
      <c r="Q40" s="21"/>
      <c r="R40" s="21"/>
      <c r="S40" s="21"/>
      <c r="T40" s="21"/>
      <c r="U40" s="21"/>
      <c r="V40" s="21"/>
      <c r="W40" s="21"/>
      <c r="X40" s="21"/>
      <c r="Y40" s="21"/>
      <c r="Z40" s="21"/>
    </row>
    <row r="41" spans="1:26" ht="15.75" customHeight="1" x14ac:dyDescent="0.25">
      <c r="A41" s="11" t="e">
        <f>ROW(#REF!)-1</f>
        <v>#REF!</v>
      </c>
      <c r="B41" s="22">
        <v>45450</v>
      </c>
      <c r="C41" s="23">
        <v>835</v>
      </c>
      <c r="D41" s="11" t="s">
        <v>4</v>
      </c>
      <c r="E41" s="11" t="s">
        <v>119</v>
      </c>
      <c r="F41" s="11"/>
      <c r="G41" s="24" t="s">
        <v>120</v>
      </c>
      <c r="H41" s="11"/>
      <c r="I41" s="25"/>
      <c r="J41" s="11"/>
      <c r="K41" s="21"/>
      <c r="L41" s="21"/>
      <c r="M41" s="21"/>
      <c r="N41" s="21"/>
      <c r="O41" s="21"/>
      <c r="P41" s="21"/>
      <c r="Q41" s="21"/>
      <c r="R41" s="21"/>
      <c r="S41" s="21"/>
      <c r="T41" s="21"/>
      <c r="U41" s="21"/>
      <c r="V41" s="21"/>
      <c r="W41" s="21"/>
      <c r="X41" s="21"/>
      <c r="Y41" s="21"/>
      <c r="Z41" s="21"/>
    </row>
    <row r="42" spans="1:26" ht="15.75" customHeight="1" x14ac:dyDescent="0.25">
      <c r="A42" s="11" t="e">
        <f>ROW(#REF!)-1</f>
        <v>#REF!</v>
      </c>
      <c r="B42" s="22">
        <v>45450</v>
      </c>
      <c r="C42" s="23">
        <v>836</v>
      </c>
      <c r="D42" s="11" t="s">
        <v>4</v>
      </c>
      <c r="E42" s="11" t="s">
        <v>79</v>
      </c>
      <c r="F42" s="11"/>
      <c r="G42" s="24" t="s">
        <v>121</v>
      </c>
      <c r="H42" s="11"/>
      <c r="I42" s="25" t="s">
        <v>122</v>
      </c>
      <c r="J42" s="11"/>
      <c r="K42" s="21"/>
      <c r="L42" s="21"/>
      <c r="M42" s="21"/>
      <c r="N42" s="21"/>
      <c r="O42" s="21"/>
      <c r="P42" s="21"/>
      <c r="Q42" s="21"/>
      <c r="R42" s="21"/>
      <c r="S42" s="21"/>
      <c r="T42" s="21"/>
      <c r="U42" s="21"/>
      <c r="V42" s="21"/>
      <c r="W42" s="21"/>
      <c r="X42" s="21"/>
      <c r="Y42" s="21"/>
      <c r="Z42" s="21"/>
    </row>
    <row r="43" spans="1:26" ht="15.75" customHeight="1" x14ac:dyDescent="0.25">
      <c r="A43" s="11" t="e">
        <f>ROW(#REF!)-1</f>
        <v>#REF!</v>
      </c>
      <c r="B43" s="22">
        <v>45450</v>
      </c>
      <c r="C43" s="23">
        <v>837</v>
      </c>
      <c r="D43" s="11" t="s">
        <v>4</v>
      </c>
      <c r="E43" s="11" t="s">
        <v>123</v>
      </c>
      <c r="F43" s="11"/>
      <c r="G43" s="24" t="s">
        <v>124</v>
      </c>
      <c r="H43" s="11" t="s">
        <v>125</v>
      </c>
      <c r="I43" s="25" t="s">
        <v>126</v>
      </c>
      <c r="J43" s="11"/>
      <c r="K43" s="21"/>
      <c r="L43" s="21"/>
      <c r="M43" s="21"/>
      <c r="N43" s="21"/>
      <c r="O43" s="21"/>
      <c r="P43" s="21"/>
      <c r="Q43" s="21"/>
      <c r="R43" s="21"/>
      <c r="S43" s="21"/>
      <c r="T43" s="21"/>
      <c r="U43" s="21"/>
      <c r="V43" s="21"/>
      <c r="W43" s="21"/>
      <c r="X43" s="21"/>
      <c r="Y43" s="21"/>
      <c r="Z43" s="21"/>
    </row>
    <row r="44" spans="1:26" ht="15.75" customHeight="1" x14ac:dyDescent="0.25">
      <c r="A44" s="11" t="e">
        <f>ROW(#REF!)-1</f>
        <v>#REF!</v>
      </c>
      <c r="B44" s="22">
        <v>45450</v>
      </c>
      <c r="C44" s="23">
        <v>838</v>
      </c>
      <c r="D44" s="11" t="s">
        <v>63</v>
      </c>
      <c r="E44" s="11">
        <v>0</v>
      </c>
      <c r="F44" s="11"/>
      <c r="G44" s="24" t="s">
        <v>127</v>
      </c>
      <c r="H44" s="11" t="s">
        <v>128</v>
      </c>
      <c r="I44" s="25" t="s">
        <v>129</v>
      </c>
      <c r="J44" s="11" t="s">
        <v>130</v>
      </c>
      <c r="K44" s="21"/>
      <c r="L44" s="21"/>
      <c r="M44" s="21"/>
      <c r="N44" s="21"/>
      <c r="O44" s="21"/>
      <c r="P44" s="21"/>
      <c r="Q44" s="21"/>
      <c r="R44" s="21"/>
      <c r="S44" s="21"/>
      <c r="T44" s="21"/>
      <c r="U44" s="21"/>
      <c r="V44" s="21"/>
      <c r="W44" s="21"/>
      <c r="X44" s="21"/>
      <c r="Y44" s="21"/>
      <c r="Z44" s="21"/>
    </row>
    <row r="45" spans="1:26" ht="15.75" customHeight="1" x14ac:dyDescent="0.25">
      <c r="A45" s="11" t="e">
        <f>ROW(#REF!)-1</f>
        <v>#REF!</v>
      </c>
      <c r="B45" s="22">
        <v>45450</v>
      </c>
      <c r="C45" s="23">
        <v>838</v>
      </c>
      <c r="D45" s="11" t="s">
        <v>63</v>
      </c>
      <c r="E45" s="11" t="s">
        <v>131</v>
      </c>
      <c r="F45" s="11"/>
      <c r="G45" s="24" t="s">
        <v>132</v>
      </c>
      <c r="H45" s="11"/>
      <c r="I45" s="25"/>
      <c r="J45" s="11"/>
      <c r="K45" s="21"/>
      <c r="L45" s="21"/>
      <c r="M45" s="21"/>
      <c r="N45" s="21"/>
      <c r="O45" s="21"/>
      <c r="P45" s="21"/>
      <c r="Q45" s="21"/>
      <c r="R45" s="21"/>
      <c r="S45" s="21"/>
      <c r="T45" s="21"/>
      <c r="U45" s="21"/>
      <c r="V45" s="21"/>
      <c r="W45" s="21"/>
      <c r="X45" s="21"/>
      <c r="Y45" s="21"/>
      <c r="Z45" s="21"/>
    </row>
    <row r="46" spans="1:26" ht="15.75" customHeight="1" x14ac:dyDescent="0.25">
      <c r="A46" s="11" t="e">
        <f>ROW(#REF!)-1</f>
        <v>#REF!</v>
      </c>
      <c r="B46" s="22">
        <v>45451</v>
      </c>
      <c r="C46" s="23">
        <v>839</v>
      </c>
      <c r="D46" s="11" t="s">
        <v>4</v>
      </c>
      <c r="E46" s="11" t="s">
        <v>106</v>
      </c>
      <c r="F46" s="11"/>
      <c r="G46" s="24" t="s">
        <v>133</v>
      </c>
      <c r="H46" s="11" t="s">
        <v>134</v>
      </c>
      <c r="I46" s="25" t="s">
        <v>135</v>
      </c>
      <c r="J46" s="11"/>
      <c r="K46" s="21"/>
      <c r="L46" s="21"/>
      <c r="M46" s="21"/>
      <c r="N46" s="21"/>
      <c r="O46" s="21"/>
      <c r="P46" s="21"/>
      <c r="Q46" s="21"/>
      <c r="R46" s="21"/>
      <c r="S46" s="21"/>
      <c r="T46" s="21"/>
      <c r="U46" s="21"/>
      <c r="V46" s="21"/>
      <c r="W46" s="21"/>
      <c r="X46" s="21"/>
      <c r="Y46" s="21"/>
      <c r="Z46" s="21"/>
    </row>
    <row r="47" spans="1:26" ht="15.75" customHeight="1" x14ac:dyDescent="0.25">
      <c r="A47" s="11" t="e">
        <f>ROW(#REF!)-1</f>
        <v>#REF!</v>
      </c>
      <c r="B47" s="22">
        <v>45451</v>
      </c>
      <c r="C47" s="23">
        <v>840</v>
      </c>
      <c r="D47" s="11" t="s">
        <v>4</v>
      </c>
      <c r="E47" s="11" t="s">
        <v>136</v>
      </c>
      <c r="F47" s="11"/>
      <c r="G47" s="24" t="s">
        <v>137</v>
      </c>
      <c r="H47" s="11" t="s">
        <v>138</v>
      </c>
      <c r="I47" s="25" t="s">
        <v>139</v>
      </c>
      <c r="J47" s="11"/>
      <c r="K47" s="21"/>
      <c r="L47" s="21"/>
      <c r="M47" s="21"/>
      <c r="N47" s="21"/>
      <c r="O47" s="21"/>
      <c r="P47" s="21"/>
      <c r="Q47" s="21"/>
      <c r="R47" s="21"/>
      <c r="S47" s="21"/>
      <c r="T47" s="21"/>
      <c r="U47" s="21"/>
      <c r="V47" s="21"/>
      <c r="W47" s="21"/>
      <c r="X47" s="21"/>
      <c r="Y47" s="21"/>
      <c r="Z47" s="21"/>
    </row>
    <row r="48" spans="1:26" ht="15.75" customHeight="1" x14ac:dyDescent="0.25">
      <c r="A48" s="11" t="e">
        <f>ROW(#REF!)-1</f>
        <v>#REF!</v>
      </c>
      <c r="B48" s="22">
        <v>45451</v>
      </c>
      <c r="C48" s="23">
        <v>841</v>
      </c>
      <c r="D48" s="11" t="s">
        <v>4</v>
      </c>
      <c r="E48" s="11" t="s">
        <v>11</v>
      </c>
      <c r="F48" s="11"/>
      <c r="G48" s="24" t="s">
        <v>140</v>
      </c>
      <c r="H48" s="11" t="s">
        <v>141</v>
      </c>
      <c r="I48" s="25" t="s">
        <v>142</v>
      </c>
      <c r="J48" s="11"/>
      <c r="K48" s="21"/>
      <c r="L48" s="21"/>
      <c r="M48" s="21"/>
      <c r="N48" s="21"/>
      <c r="O48" s="21"/>
      <c r="P48" s="21"/>
      <c r="Q48" s="21"/>
      <c r="R48" s="21"/>
      <c r="S48" s="21"/>
      <c r="T48" s="21"/>
      <c r="U48" s="21"/>
      <c r="V48" s="21"/>
      <c r="W48" s="21"/>
      <c r="X48" s="21"/>
      <c r="Y48" s="21"/>
      <c r="Z48" s="21"/>
    </row>
    <row r="49" spans="1:26" ht="15.75" customHeight="1" x14ac:dyDescent="0.25">
      <c r="A49" s="11" t="e">
        <f>ROW(#REF!)-1</f>
        <v>#REF!</v>
      </c>
      <c r="B49" s="22">
        <v>45453</v>
      </c>
      <c r="C49" s="23">
        <v>842</v>
      </c>
      <c r="D49" s="11" t="s">
        <v>44</v>
      </c>
      <c r="E49" s="11">
        <v>4714042629</v>
      </c>
      <c r="F49" s="11"/>
      <c r="G49" s="24" t="s">
        <v>143</v>
      </c>
      <c r="H49" s="11"/>
      <c r="I49" s="25"/>
      <c r="J49" s="11"/>
      <c r="K49" s="21"/>
      <c r="L49" s="21"/>
      <c r="M49" s="21"/>
      <c r="N49" s="21"/>
      <c r="O49" s="21"/>
      <c r="P49" s="21"/>
      <c r="Q49" s="21"/>
      <c r="R49" s="21"/>
      <c r="S49" s="21"/>
      <c r="T49" s="21"/>
      <c r="U49" s="21"/>
      <c r="V49" s="21"/>
      <c r="W49" s="21"/>
      <c r="X49" s="21"/>
      <c r="Y49" s="21"/>
      <c r="Z49" s="21"/>
    </row>
    <row r="50" spans="1:26" ht="15.75" customHeight="1" x14ac:dyDescent="0.25">
      <c r="A50" s="11" t="e">
        <f>ROW(#REF!)-1</f>
        <v>#REF!</v>
      </c>
      <c r="B50" s="22">
        <v>45454</v>
      </c>
      <c r="C50" s="23">
        <v>843</v>
      </c>
      <c r="D50" s="11" t="s">
        <v>66</v>
      </c>
      <c r="E50" s="11" t="s">
        <v>144</v>
      </c>
      <c r="F50" s="11"/>
      <c r="G50" s="24" t="s">
        <v>145</v>
      </c>
      <c r="H50" s="11"/>
      <c r="I50" s="25"/>
      <c r="J50" s="11"/>
      <c r="K50" s="21"/>
      <c r="L50" s="21"/>
      <c r="M50" s="21"/>
      <c r="N50" s="21"/>
      <c r="O50" s="21"/>
      <c r="P50" s="21"/>
      <c r="Q50" s="21"/>
      <c r="R50" s="21"/>
      <c r="S50" s="21"/>
      <c r="T50" s="21"/>
      <c r="U50" s="21"/>
      <c r="V50" s="21"/>
      <c r="W50" s="21"/>
      <c r="X50" s="21"/>
      <c r="Y50" s="21"/>
      <c r="Z50" s="21"/>
    </row>
    <row r="51" spans="1:26" ht="15.75" customHeight="1" x14ac:dyDescent="0.25">
      <c r="A51" s="11" t="e">
        <f>ROW(#REF!)-1</f>
        <v>#REF!</v>
      </c>
      <c r="B51" s="22">
        <v>45454</v>
      </c>
      <c r="C51" s="23">
        <v>844</v>
      </c>
      <c r="D51" s="11" t="s">
        <v>66</v>
      </c>
      <c r="E51" s="11" t="s">
        <v>146</v>
      </c>
      <c r="F51" s="11"/>
      <c r="G51" s="24" t="s">
        <v>147</v>
      </c>
      <c r="H51" s="11"/>
      <c r="I51" s="25"/>
      <c r="J51" s="11"/>
      <c r="K51" s="21"/>
      <c r="L51" s="21"/>
      <c r="M51" s="21"/>
      <c r="N51" s="21"/>
      <c r="O51" s="21"/>
      <c r="P51" s="21"/>
      <c r="Q51" s="21"/>
      <c r="R51" s="21"/>
      <c r="S51" s="21"/>
      <c r="T51" s="21"/>
      <c r="U51" s="21"/>
      <c r="V51" s="21"/>
      <c r="W51" s="21"/>
      <c r="X51" s="21"/>
      <c r="Y51" s="21"/>
      <c r="Z51" s="21"/>
    </row>
    <row r="52" spans="1:26" ht="15.75" customHeight="1" x14ac:dyDescent="0.25">
      <c r="A52" s="11" t="e">
        <f>ROW(#REF!)-1</f>
        <v>#REF!</v>
      </c>
      <c r="B52" s="22">
        <v>45454</v>
      </c>
      <c r="C52" s="23">
        <v>845</v>
      </c>
      <c r="D52" s="11" t="s">
        <v>4</v>
      </c>
      <c r="E52" s="11" t="s">
        <v>148</v>
      </c>
      <c r="F52" s="11"/>
      <c r="G52" s="24" t="s">
        <v>149</v>
      </c>
      <c r="H52" s="11" t="s">
        <v>150</v>
      </c>
      <c r="I52" s="25" t="s">
        <v>151</v>
      </c>
      <c r="J52" s="11"/>
      <c r="K52" s="21"/>
      <c r="L52" s="21"/>
      <c r="M52" s="21"/>
      <c r="N52" s="21"/>
      <c r="O52" s="21"/>
      <c r="P52" s="21"/>
      <c r="Q52" s="21"/>
      <c r="R52" s="21"/>
      <c r="S52" s="21"/>
      <c r="T52" s="21"/>
      <c r="U52" s="21"/>
      <c r="V52" s="21"/>
      <c r="W52" s="21"/>
      <c r="X52" s="21"/>
      <c r="Y52" s="21"/>
      <c r="Z52" s="21"/>
    </row>
    <row r="53" spans="1:26" ht="15.75" customHeight="1" x14ac:dyDescent="0.25">
      <c r="A53" s="11" t="e">
        <f>ROW(#REF!)-1</f>
        <v>#REF!</v>
      </c>
      <c r="B53" s="22">
        <v>45455</v>
      </c>
      <c r="C53" s="23">
        <v>846</v>
      </c>
      <c r="D53" s="11" t="s">
        <v>4</v>
      </c>
      <c r="E53" s="11" t="s">
        <v>123</v>
      </c>
      <c r="F53" s="11"/>
      <c r="G53" s="24" t="s">
        <v>152</v>
      </c>
      <c r="H53" s="11" t="s">
        <v>153</v>
      </c>
      <c r="I53" s="25" t="s">
        <v>154</v>
      </c>
      <c r="J53" s="11"/>
      <c r="K53" s="21"/>
      <c r="L53" s="21"/>
      <c r="M53" s="21"/>
      <c r="N53" s="21"/>
      <c r="O53" s="21"/>
      <c r="P53" s="21"/>
      <c r="Q53" s="21"/>
      <c r="R53" s="21"/>
      <c r="S53" s="21"/>
      <c r="T53" s="21"/>
      <c r="U53" s="21"/>
      <c r="V53" s="21"/>
      <c r="W53" s="21"/>
      <c r="X53" s="21"/>
      <c r="Y53" s="21"/>
      <c r="Z53" s="21"/>
    </row>
    <row r="54" spans="1:26" ht="15.75" customHeight="1" x14ac:dyDescent="0.25">
      <c r="A54" s="11" t="e">
        <f>ROW(#REF!)-1</f>
        <v>#REF!</v>
      </c>
      <c r="B54" s="22">
        <v>45455</v>
      </c>
      <c r="C54" s="23">
        <v>847</v>
      </c>
      <c r="D54" s="11" t="s">
        <v>4</v>
      </c>
      <c r="E54" s="11" t="s">
        <v>155</v>
      </c>
      <c r="F54" s="11"/>
      <c r="G54" s="24" t="s">
        <v>156</v>
      </c>
      <c r="H54" s="11" t="s">
        <v>157</v>
      </c>
      <c r="I54" s="25" t="s">
        <v>158</v>
      </c>
      <c r="J54" s="11"/>
      <c r="K54" s="21"/>
      <c r="L54" s="21"/>
      <c r="M54" s="21"/>
      <c r="N54" s="21"/>
      <c r="O54" s="21"/>
      <c r="P54" s="21"/>
      <c r="Q54" s="21"/>
      <c r="R54" s="21"/>
      <c r="S54" s="21"/>
      <c r="T54" s="21"/>
      <c r="U54" s="21"/>
      <c r="V54" s="21"/>
      <c r="W54" s="21"/>
      <c r="X54" s="21"/>
      <c r="Y54" s="21"/>
      <c r="Z54" s="21"/>
    </row>
    <row r="55" spans="1:26" ht="15.75" customHeight="1" x14ac:dyDescent="0.25">
      <c r="A55" s="11" t="e">
        <f>ROW(#REF!)-1</f>
        <v>#REF!</v>
      </c>
      <c r="B55" s="22">
        <v>45455</v>
      </c>
      <c r="C55" s="23">
        <v>848</v>
      </c>
      <c r="D55" s="11" t="s">
        <v>44</v>
      </c>
      <c r="E55" s="11">
        <v>4714042796</v>
      </c>
      <c r="F55" s="11"/>
      <c r="G55" s="24" t="s">
        <v>159</v>
      </c>
      <c r="H55" s="11"/>
      <c r="I55" s="25"/>
      <c r="J55" s="11"/>
      <c r="K55" s="21"/>
      <c r="L55" s="21"/>
      <c r="M55" s="21"/>
      <c r="N55" s="21"/>
      <c r="O55" s="21"/>
      <c r="P55" s="21"/>
      <c r="Q55" s="21"/>
      <c r="R55" s="21"/>
      <c r="S55" s="21"/>
      <c r="T55" s="21"/>
      <c r="U55" s="21"/>
      <c r="V55" s="21"/>
      <c r="W55" s="21"/>
      <c r="X55" s="21"/>
      <c r="Y55" s="21"/>
      <c r="Z55" s="21"/>
    </row>
    <row r="56" spans="1:26" ht="15.75" customHeight="1" x14ac:dyDescent="0.25">
      <c r="A56" s="11" t="e">
        <f>ROW(#REF!)-1</f>
        <v>#REF!</v>
      </c>
      <c r="B56" s="22">
        <v>45455</v>
      </c>
      <c r="C56" s="23">
        <v>849</v>
      </c>
      <c r="D56" s="11" t="s">
        <v>160</v>
      </c>
      <c r="E56" s="11" t="s">
        <v>161</v>
      </c>
      <c r="F56" s="11"/>
      <c r="G56" s="24" t="s">
        <v>162</v>
      </c>
      <c r="H56" s="11" t="s">
        <v>163</v>
      </c>
      <c r="I56" s="25"/>
      <c r="J56" s="11"/>
      <c r="K56" s="21"/>
      <c r="L56" s="21"/>
      <c r="M56" s="21"/>
      <c r="N56" s="21"/>
      <c r="O56" s="21"/>
      <c r="P56" s="21"/>
      <c r="Q56" s="21"/>
      <c r="R56" s="21"/>
      <c r="S56" s="21"/>
      <c r="T56" s="21"/>
      <c r="U56" s="21"/>
      <c r="V56" s="21"/>
      <c r="W56" s="21"/>
      <c r="X56" s="21"/>
      <c r="Y56" s="21"/>
      <c r="Z56" s="21"/>
    </row>
    <row r="57" spans="1:26" ht="15.75" customHeight="1" x14ac:dyDescent="0.25">
      <c r="A57" s="11" t="e">
        <f>ROW(#REF!)-1</f>
        <v>#REF!</v>
      </c>
      <c r="B57" s="22">
        <v>45456</v>
      </c>
      <c r="C57" s="23">
        <v>850</v>
      </c>
      <c r="D57" s="11" t="s">
        <v>4</v>
      </c>
      <c r="E57" s="11" t="s">
        <v>164</v>
      </c>
      <c r="F57" s="11"/>
      <c r="G57" s="24" t="s">
        <v>165</v>
      </c>
      <c r="H57" s="11" t="s">
        <v>166</v>
      </c>
      <c r="I57" s="25" t="s">
        <v>167</v>
      </c>
      <c r="J57" s="11"/>
      <c r="K57" s="21"/>
      <c r="L57" s="21"/>
      <c r="M57" s="21"/>
      <c r="N57" s="21"/>
      <c r="O57" s="21"/>
      <c r="P57" s="21"/>
      <c r="Q57" s="21"/>
      <c r="R57" s="21"/>
      <c r="S57" s="21"/>
      <c r="T57" s="21"/>
      <c r="U57" s="21"/>
      <c r="V57" s="21"/>
      <c r="W57" s="21"/>
      <c r="X57" s="21"/>
      <c r="Y57" s="21"/>
      <c r="Z57" s="21"/>
    </row>
    <row r="58" spans="1:26" ht="15.75" customHeight="1" x14ac:dyDescent="0.25">
      <c r="A58" s="11" t="e">
        <f>ROW(#REF!)-1</f>
        <v>#REF!</v>
      </c>
      <c r="B58" s="22">
        <v>45456</v>
      </c>
      <c r="C58" s="23">
        <v>851</v>
      </c>
      <c r="D58" s="11" t="s">
        <v>4</v>
      </c>
      <c r="E58" s="11" t="s">
        <v>168</v>
      </c>
      <c r="F58" s="11"/>
      <c r="G58" s="24" t="s">
        <v>169</v>
      </c>
      <c r="H58" s="11" t="s">
        <v>170</v>
      </c>
      <c r="I58" s="25" t="s">
        <v>171</v>
      </c>
      <c r="J58" s="11"/>
      <c r="K58" s="21"/>
      <c r="L58" s="21"/>
      <c r="M58" s="21"/>
      <c r="N58" s="21"/>
      <c r="O58" s="21"/>
      <c r="P58" s="21"/>
      <c r="Q58" s="21"/>
      <c r="R58" s="21"/>
      <c r="S58" s="21"/>
      <c r="T58" s="21"/>
      <c r="U58" s="21"/>
      <c r="V58" s="21"/>
      <c r="W58" s="21"/>
      <c r="X58" s="21"/>
      <c r="Y58" s="21"/>
      <c r="Z58" s="21"/>
    </row>
    <row r="59" spans="1:26" ht="15.75" customHeight="1" x14ac:dyDescent="0.25">
      <c r="A59" s="11" t="e">
        <f>ROW(#REF!)-1</f>
        <v>#REF!</v>
      </c>
      <c r="B59" s="22">
        <v>45456</v>
      </c>
      <c r="C59" s="23">
        <v>852</v>
      </c>
      <c r="D59" s="11" t="s">
        <v>41</v>
      </c>
      <c r="E59" s="11">
        <v>24900546</v>
      </c>
      <c r="F59" s="11"/>
      <c r="G59" s="24" t="s">
        <v>172</v>
      </c>
      <c r="H59" s="11"/>
      <c r="I59" s="25"/>
      <c r="J59" s="11"/>
      <c r="K59" s="21"/>
      <c r="L59" s="21"/>
      <c r="M59" s="21"/>
      <c r="N59" s="21"/>
      <c r="O59" s="21"/>
      <c r="P59" s="21"/>
      <c r="Q59" s="21"/>
      <c r="R59" s="21"/>
      <c r="S59" s="21"/>
      <c r="T59" s="21"/>
      <c r="U59" s="21"/>
      <c r="V59" s="21"/>
      <c r="W59" s="21"/>
      <c r="X59" s="21"/>
      <c r="Y59" s="21"/>
      <c r="Z59" s="21"/>
    </row>
    <row r="60" spans="1:26" ht="15.75" customHeight="1" x14ac:dyDescent="0.25">
      <c r="A60" s="11" t="e">
        <f>ROW(#REF!)-1</f>
        <v>#REF!</v>
      </c>
      <c r="B60" s="22">
        <v>45456</v>
      </c>
      <c r="C60" s="23">
        <v>853</v>
      </c>
      <c r="D60" s="11" t="s">
        <v>41</v>
      </c>
      <c r="E60" s="11">
        <v>24900553</v>
      </c>
      <c r="F60" s="11"/>
      <c r="G60" s="24" t="s">
        <v>173</v>
      </c>
      <c r="H60" s="11"/>
      <c r="I60" s="26" t="s">
        <v>174</v>
      </c>
      <c r="J60" s="11"/>
      <c r="K60" s="21"/>
      <c r="L60" s="21"/>
      <c r="M60" s="21"/>
      <c r="N60" s="21"/>
      <c r="O60" s="21"/>
      <c r="P60" s="21"/>
      <c r="Q60" s="21"/>
      <c r="R60" s="21"/>
      <c r="S60" s="21"/>
      <c r="T60" s="21"/>
      <c r="U60" s="21"/>
      <c r="V60" s="21"/>
      <c r="W60" s="21"/>
      <c r="X60" s="21"/>
      <c r="Y60" s="21"/>
      <c r="Z60" s="21"/>
    </row>
    <row r="61" spans="1:26" ht="15.75" customHeight="1" x14ac:dyDescent="0.25">
      <c r="A61" s="11" t="e">
        <f>ROW(#REF!)-1</f>
        <v>#REF!</v>
      </c>
      <c r="B61" s="22">
        <v>45456</v>
      </c>
      <c r="C61" s="23">
        <v>854</v>
      </c>
      <c r="D61" s="11" t="s">
        <v>41</v>
      </c>
      <c r="E61" s="11">
        <v>24900604</v>
      </c>
      <c r="F61" s="11"/>
      <c r="G61" s="24" t="s">
        <v>175</v>
      </c>
      <c r="H61" s="11"/>
      <c r="I61" s="25"/>
      <c r="J61" s="11"/>
      <c r="K61" s="21"/>
      <c r="L61" s="21"/>
      <c r="M61" s="21"/>
      <c r="N61" s="21"/>
      <c r="O61" s="21"/>
      <c r="P61" s="21"/>
      <c r="Q61" s="21"/>
      <c r="R61" s="21"/>
      <c r="S61" s="21"/>
      <c r="T61" s="21"/>
      <c r="U61" s="21"/>
      <c r="V61" s="21"/>
      <c r="W61" s="21"/>
      <c r="X61" s="21"/>
      <c r="Y61" s="21"/>
      <c r="Z61" s="21"/>
    </row>
    <row r="62" spans="1:26" ht="15.75" customHeight="1" x14ac:dyDescent="0.25">
      <c r="A62" s="11" t="e">
        <f>ROW(#REF!)-1</f>
        <v>#REF!</v>
      </c>
      <c r="B62" s="22">
        <v>45456</v>
      </c>
      <c r="C62" s="23">
        <v>855</v>
      </c>
      <c r="D62" s="11" t="s">
        <v>4</v>
      </c>
      <c r="E62" s="11" t="s">
        <v>176</v>
      </c>
      <c r="F62" s="11"/>
      <c r="G62" s="24" t="s">
        <v>177</v>
      </c>
      <c r="H62" s="11"/>
      <c r="I62" s="25"/>
      <c r="J62" s="11"/>
      <c r="K62" s="21"/>
      <c r="L62" s="21"/>
      <c r="M62" s="21"/>
      <c r="N62" s="21"/>
      <c r="O62" s="21"/>
      <c r="P62" s="21"/>
      <c r="Q62" s="21"/>
      <c r="R62" s="21"/>
      <c r="S62" s="21"/>
      <c r="T62" s="21"/>
      <c r="U62" s="21"/>
      <c r="V62" s="21"/>
      <c r="W62" s="21"/>
      <c r="X62" s="21"/>
      <c r="Y62" s="21"/>
      <c r="Z62" s="21"/>
    </row>
    <row r="63" spans="1:26" ht="15.75" customHeight="1" x14ac:dyDescent="0.25">
      <c r="A63" s="11" t="e">
        <f>ROW(#REF!)-1</f>
        <v>#REF!</v>
      </c>
      <c r="B63" s="22">
        <v>45456</v>
      </c>
      <c r="C63" s="23">
        <v>856</v>
      </c>
      <c r="D63" s="11" t="s">
        <v>4</v>
      </c>
      <c r="E63" s="11" t="s">
        <v>164</v>
      </c>
      <c r="F63" s="11"/>
      <c r="G63" s="24" t="s">
        <v>178</v>
      </c>
      <c r="H63" s="11" t="s">
        <v>179</v>
      </c>
      <c r="I63" s="25" t="s">
        <v>180</v>
      </c>
      <c r="J63" s="11"/>
      <c r="K63" s="21"/>
      <c r="L63" s="21"/>
      <c r="M63" s="21"/>
      <c r="N63" s="21"/>
      <c r="O63" s="21"/>
      <c r="P63" s="21"/>
      <c r="Q63" s="21"/>
      <c r="R63" s="21"/>
      <c r="S63" s="21"/>
      <c r="T63" s="21"/>
      <c r="U63" s="21"/>
      <c r="V63" s="21"/>
      <c r="W63" s="21"/>
      <c r="X63" s="21"/>
      <c r="Y63" s="21"/>
      <c r="Z63" s="21"/>
    </row>
    <row r="64" spans="1:26" ht="15.75" customHeight="1" x14ac:dyDescent="0.25">
      <c r="A64" s="11" t="e">
        <f>ROW(#REF!)-1</f>
        <v>#REF!</v>
      </c>
      <c r="B64" s="22">
        <v>45456</v>
      </c>
      <c r="C64" s="23">
        <v>857</v>
      </c>
      <c r="D64" s="11" t="s">
        <v>4</v>
      </c>
      <c r="E64" s="11" t="s">
        <v>181</v>
      </c>
      <c r="F64" s="11"/>
      <c r="G64" s="24" t="s">
        <v>182</v>
      </c>
      <c r="H64" s="11"/>
      <c r="I64" s="25"/>
      <c r="J64" s="11"/>
      <c r="K64" s="21"/>
      <c r="L64" s="21"/>
      <c r="M64" s="21"/>
      <c r="N64" s="21"/>
      <c r="O64" s="21"/>
      <c r="P64" s="21"/>
      <c r="Q64" s="21"/>
      <c r="R64" s="21"/>
      <c r="S64" s="21"/>
      <c r="T64" s="21"/>
      <c r="U64" s="21"/>
      <c r="V64" s="21"/>
      <c r="W64" s="21"/>
      <c r="X64" s="21"/>
      <c r="Y64" s="21"/>
      <c r="Z64" s="21"/>
    </row>
    <row r="65" spans="1:26" ht="15.75" customHeight="1" x14ac:dyDescent="0.25">
      <c r="A65" s="11" t="e">
        <f>ROW(#REF!)-1</f>
        <v>#REF!</v>
      </c>
      <c r="B65" s="22">
        <v>45456</v>
      </c>
      <c r="C65" s="23">
        <v>858</v>
      </c>
      <c r="D65" s="11" t="s">
        <v>4</v>
      </c>
      <c r="E65" s="11" t="s">
        <v>168</v>
      </c>
      <c r="F65" s="11"/>
      <c r="G65" s="24" t="s">
        <v>183</v>
      </c>
      <c r="H65" s="11" t="s">
        <v>184</v>
      </c>
      <c r="I65" s="26" t="s">
        <v>185</v>
      </c>
      <c r="J65" s="11"/>
      <c r="K65" s="21"/>
      <c r="L65" s="21"/>
      <c r="M65" s="21"/>
      <c r="N65" s="21"/>
      <c r="O65" s="21"/>
      <c r="P65" s="21"/>
      <c r="Q65" s="21"/>
      <c r="R65" s="21"/>
      <c r="S65" s="21"/>
      <c r="T65" s="21"/>
      <c r="U65" s="21"/>
      <c r="V65" s="21"/>
      <c r="W65" s="21"/>
      <c r="X65" s="21"/>
      <c r="Y65" s="21"/>
      <c r="Z65" s="21"/>
    </row>
    <row r="66" spans="1:26" ht="15.75" customHeight="1" x14ac:dyDescent="0.25">
      <c r="A66" s="11" t="e">
        <f>ROW(#REF!)-1</f>
        <v>#REF!</v>
      </c>
      <c r="B66" s="22">
        <v>45456</v>
      </c>
      <c r="C66" s="23">
        <v>859</v>
      </c>
      <c r="D66" s="11" t="s">
        <v>4</v>
      </c>
      <c r="E66" s="11" t="s">
        <v>75</v>
      </c>
      <c r="F66" s="11"/>
      <c r="G66" s="24" t="s">
        <v>186</v>
      </c>
      <c r="H66" s="11" t="s">
        <v>187</v>
      </c>
      <c r="I66" s="25" t="s">
        <v>188</v>
      </c>
      <c r="J66" s="11"/>
      <c r="K66" s="21"/>
      <c r="L66" s="21"/>
      <c r="M66" s="21"/>
      <c r="N66" s="21"/>
      <c r="O66" s="21"/>
      <c r="P66" s="21"/>
      <c r="Q66" s="21"/>
      <c r="R66" s="21"/>
      <c r="S66" s="21"/>
      <c r="T66" s="21"/>
      <c r="U66" s="21"/>
      <c r="V66" s="21"/>
      <c r="W66" s="21"/>
      <c r="X66" s="21"/>
      <c r="Y66" s="21"/>
      <c r="Z66" s="21"/>
    </row>
    <row r="67" spans="1:26" ht="15.75" customHeight="1" x14ac:dyDescent="0.25">
      <c r="A67" s="11" t="e">
        <f>ROW(#REF!)-1</f>
        <v>#REF!</v>
      </c>
      <c r="B67" s="22">
        <v>45456</v>
      </c>
      <c r="C67" s="23">
        <v>860</v>
      </c>
      <c r="D67" s="11" t="s">
        <v>4</v>
      </c>
      <c r="E67" s="11" t="s">
        <v>155</v>
      </c>
      <c r="F67" s="11"/>
      <c r="G67" s="24" t="s">
        <v>189</v>
      </c>
      <c r="H67" s="11" t="s">
        <v>190</v>
      </c>
      <c r="I67" s="25" t="s">
        <v>191</v>
      </c>
      <c r="J67" s="11"/>
      <c r="K67" s="21"/>
      <c r="L67" s="21"/>
      <c r="M67" s="21"/>
      <c r="N67" s="21"/>
      <c r="O67" s="21"/>
      <c r="P67" s="21"/>
      <c r="Q67" s="21"/>
      <c r="R67" s="21"/>
      <c r="S67" s="21"/>
      <c r="T67" s="21"/>
      <c r="U67" s="21"/>
      <c r="V67" s="21"/>
      <c r="W67" s="21"/>
      <c r="X67" s="21"/>
      <c r="Y67" s="21"/>
      <c r="Z67" s="21"/>
    </row>
    <row r="68" spans="1:26" ht="15.75" customHeight="1" x14ac:dyDescent="0.25">
      <c r="A68" s="11" t="e">
        <f>ROW(#REF!)-1</f>
        <v>#REF!</v>
      </c>
      <c r="B68" s="22">
        <v>45456</v>
      </c>
      <c r="C68" s="23">
        <v>861</v>
      </c>
      <c r="D68" s="11" t="s">
        <v>4</v>
      </c>
      <c r="E68" s="11" t="s">
        <v>148</v>
      </c>
      <c r="F68" s="11"/>
      <c r="G68" s="24" t="s">
        <v>192</v>
      </c>
      <c r="H68" s="11" t="s">
        <v>193</v>
      </c>
      <c r="I68" s="25" t="s">
        <v>194</v>
      </c>
      <c r="J68" s="11"/>
      <c r="K68" s="21"/>
      <c r="L68" s="21"/>
      <c r="M68" s="21"/>
      <c r="N68" s="21"/>
      <c r="O68" s="21"/>
      <c r="P68" s="21"/>
      <c r="Q68" s="21"/>
      <c r="R68" s="21"/>
      <c r="S68" s="21"/>
      <c r="T68" s="21"/>
      <c r="U68" s="21"/>
      <c r="V68" s="21"/>
      <c r="W68" s="21"/>
      <c r="X68" s="21"/>
      <c r="Y68" s="21"/>
      <c r="Z68" s="21"/>
    </row>
    <row r="69" spans="1:26" ht="15.75" customHeight="1" x14ac:dyDescent="0.25">
      <c r="A69" s="11" t="e">
        <f>ROW(#REF!)-1</f>
        <v>#REF!</v>
      </c>
      <c r="B69" s="22">
        <v>45457</v>
      </c>
      <c r="C69" s="23">
        <v>862</v>
      </c>
      <c r="D69" s="11" t="s">
        <v>4</v>
      </c>
      <c r="E69" s="11" t="s">
        <v>11</v>
      </c>
      <c r="F69" s="11"/>
      <c r="G69" s="24" t="s">
        <v>195</v>
      </c>
      <c r="H69" s="11" t="s">
        <v>196</v>
      </c>
      <c r="I69" s="25" t="s">
        <v>197</v>
      </c>
      <c r="J69" s="11"/>
      <c r="K69" s="21"/>
      <c r="L69" s="21"/>
      <c r="M69" s="21"/>
      <c r="N69" s="21"/>
      <c r="O69" s="21"/>
      <c r="P69" s="21"/>
      <c r="Q69" s="21"/>
      <c r="R69" s="21"/>
      <c r="S69" s="21"/>
      <c r="T69" s="21"/>
      <c r="U69" s="21"/>
      <c r="V69" s="21"/>
      <c r="W69" s="21"/>
      <c r="X69" s="21"/>
      <c r="Y69" s="21"/>
      <c r="Z69" s="21"/>
    </row>
    <row r="70" spans="1:26" ht="15.75" customHeight="1" x14ac:dyDescent="0.25">
      <c r="A70" s="11" t="e">
        <f>ROW(#REF!)-1</f>
        <v>#REF!</v>
      </c>
      <c r="B70" s="22">
        <v>45457</v>
      </c>
      <c r="C70" s="23">
        <v>863</v>
      </c>
      <c r="D70" s="11" t="s">
        <v>4</v>
      </c>
      <c r="E70" s="11" t="s">
        <v>136</v>
      </c>
      <c r="F70" s="11"/>
      <c r="G70" s="24" t="s">
        <v>198</v>
      </c>
      <c r="H70" s="11"/>
      <c r="I70" s="25"/>
      <c r="J70" s="11"/>
      <c r="K70" s="21"/>
      <c r="L70" s="21"/>
      <c r="M70" s="21"/>
      <c r="N70" s="21"/>
      <c r="O70" s="21"/>
      <c r="P70" s="21"/>
      <c r="Q70" s="21"/>
      <c r="R70" s="21"/>
      <c r="S70" s="21"/>
      <c r="T70" s="21"/>
      <c r="U70" s="21"/>
      <c r="V70" s="21"/>
      <c r="W70" s="21"/>
      <c r="X70" s="21"/>
      <c r="Y70" s="21"/>
      <c r="Z70" s="21"/>
    </row>
    <row r="71" spans="1:26" ht="15.75" customHeight="1" x14ac:dyDescent="0.25">
      <c r="A71" s="11" t="e">
        <f>ROW(#REF!)-1</f>
        <v>#REF!</v>
      </c>
      <c r="B71" s="22">
        <v>45457</v>
      </c>
      <c r="C71" s="23">
        <v>864</v>
      </c>
      <c r="D71" s="11" t="s">
        <v>4</v>
      </c>
      <c r="E71" s="11" t="s">
        <v>199</v>
      </c>
      <c r="F71" s="11"/>
      <c r="G71" s="24" t="s">
        <v>200</v>
      </c>
      <c r="H71" s="11"/>
      <c r="I71" s="25" t="s">
        <v>201</v>
      </c>
      <c r="J71" s="11"/>
      <c r="K71" s="21"/>
      <c r="L71" s="21"/>
      <c r="M71" s="21"/>
      <c r="N71" s="21"/>
      <c r="O71" s="21"/>
      <c r="P71" s="21"/>
      <c r="Q71" s="21"/>
      <c r="R71" s="21"/>
      <c r="S71" s="21"/>
      <c r="T71" s="21"/>
      <c r="U71" s="21"/>
      <c r="V71" s="21"/>
      <c r="W71" s="21"/>
      <c r="X71" s="21"/>
      <c r="Y71" s="21"/>
      <c r="Z71" s="21"/>
    </row>
    <row r="72" spans="1:26" ht="15.75" customHeight="1" x14ac:dyDescent="0.25">
      <c r="A72" s="11" t="e">
        <f>ROW(#REF!)-1</f>
        <v>#REF!</v>
      </c>
      <c r="B72" s="22">
        <v>45458</v>
      </c>
      <c r="C72" s="23">
        <v>865</v>
      </c>
      <c r="D72" s="11" t="s">
        <v>4</v>
      </c>
      <c r="E72" s="11" t="s">
        <v>202</v>
      </c>
      <c r="F72" s="11"/>
      <c r="G72" s="24" t="s">
        <v>203</v>
      </c>
      <c r="H72" s="11" t="s">
        <v>101</v>
      </c>
      <c r="I72" s="25" t="s">
        <v>204</v>
      </c>
      <c r="J72" s="11"/>
      <c r="K72" s="21"/>
      <c r="L72" s="21"/>
      <c r="M72" s="21"/>
      <c r="N72" s="21"/>
      <c r="O72" s="21"/>
      <c r="P72" s="21"/>
      <c r="Q72" s="21"/>
      <c r="R72" s="21"/>
      <c r="S72" s="21"/>
      <c r="T72" s="21"/>
      <c r="U72" s="21"/>
      <c r="V72" s="21"/>
      <c r="W72" s="21"/>
      <c r="X72" s="21"/>
      <c r="Y72" s="21"/>
      <c r="Z72" s="21"/>
    </row>
    <row r="73" spans="1:26" ht="15.75" customHeight="1" x14ac:dyDescent="0.25">
      <c r="A73" s="11" t="e">
        <f>ROW(#REF!)-1</f>
        <v>#REF!</v>
      </c>
      <c r="B73" s="22">
        <v>45458</v>
      </c>
      <c r="C73" s="23">
        <v>866</v>
      </c>
      <c r="D73" s="11" t="s">
        <v>4</v>
      </c>
      <c r="E73" s="11" t="s">
        <v>168</v>
      </c>
      <c r="F73" s="11"/>
      <c r="G73" s="24" t="s">
        <v>205</v>
      </c>
      <c r="H73" s="11"/>
      <c r="I73" s="25" t="s">
        <v>206</v>
      </c>
      <c r="J73" s="11"/>
      <c r="K73" s="21"/>
      <c r="L73" s="21"/>
      <c r="M73" s="21"/>
      <c r="N73" s="21"/>
      <c r="O73" s="21"/>
      <c r="P73" s="21"/>
      <c r="Q73" s="21"/>
      <c r="R73" s="21"/>
      <c r="S73" s="21"/>
      <c r="T73" s="21"/>
      <c r="U73" s="21"/>
      <c r="V73" s="21"/>
      <c r="W73" s="21"/>
      <c r="X73" s="21"/>
      <c r="Y73" s="21"/>
      <c r="Z73" s="21"/>
    </row>
    <row r="74" spans="1:26" ht="15.75" customHeight="1" x14ac:dyDescent="0.25">
      <c r="A74" s="11" t="e">
        <f>ROW(#REF!)-1</f>
        <v>#REF!</v>
      </c>
      <c r="B74" s="22">
        <v>45461</v>
      </c>
      <c r="C74" s="23">
        <v>867</v>
      </c>
      <c r="D74" s="11" t="s">
        <v>4</v>
      </c>
      <c r="E74" s="11" t="s">
        <v>207</v>
      </c>
      <c r="F74" s="11"/>
      <c r="G74" s="24" t="s">
        <v>208</v>
      </c>
      <c r="H74" s="11"/>
      <c r="I74" s="25" t="s">
        <v>209</v>
      </c>
      <c r="J74" s="11"/>
      <c r="K74" s="21"/>
      <c r="L74" s="21"/>
      <c r="M74" s="21"/>
      <c r="N74" s="21"/>
      <c r="O74" s="21"/>
      <c r="P74" s="21"/>
      <c r="Q74" s="21"/>
      <c r="R74" s="21"/>
      <c r="S74" s="21"/>
      <c r="T74" s="21"/>
      <c r="U74" s="21"/>
      <c r="V74" s="21"/>
      <c r="W74" s="21"/>
      <c r="X74" s="21"/>
      <c r="Y74" s="21"/>
      <c r="Z74" s="21"/>
    </row>
    <row r="75" spans="1:26" ht="15.75" customHeight="1" x14ac:dyDescent="0.25">
      <c r="A75" s="11" t="e">
        <f>ROW(#REF!)-1</f>
        <v>#REF!</v>
      </c>
      <c r="B75" s="22">
        <v>45461</v>
      </c>
      <c r="C75" s="23">
        <v>868</v>
      </c>
      <c r="D75" s="11" t="s">
        <v>63</v>
      </c>
      <c r="E75" s="11" t="s">
        <v>210</v>
      </c>
      <c r="F75" s="11"/>
      <c r="G75" s="24" t="s">
        <v>211</v>
      </c>
      <c r="H75" s="11"/>
      <c r="I75" s="25"/>
      <c r="J75" s="11"/>
      <c r="K75" s="21"/>
      <c r="L75" s="21"/>
      <c r="M75" s="21"/>
      <c r="N75" s="21"/>
      <c r="O75" s="21"/>
      <c r="P75" s="21"/>
      <c r="Q75" s="21"/>
      <c r="R75" s="21"/>
      <c r="S75" s="21"/>
      <c r="T75" s="21"/>
      <c r="U75" s="21"/>
      <c r="V75" s="21"/>
      <c r="W75" s="21"/>
      <c r="X75" s="21"/>
      <c r="Y75" s="21"/>
      <c r="Z75" s="21"/>
    </row>
    <row r="76" spans="1:26" ht="15.75" customHeight="1" x14ac:dyDescent="0.25">
      <c r="A76" s="11" t="e">
        <f>ROW(#REF!)-1</f>
        <v>#REF!</v>
      </c>
      <c r="B76" s="22">
        <v>45461</v>
      </c>
      <c r="C76" s="23">
        <v>869</v>
      </c>
      <c r="D76" s="11" t="s">
        <v>63</v>
      </c>
      <c r="E76" s="11" t="s">
        <v>212</v>
      </c>
      <c r="F76" s="11"/>
      <c r="G76" s="24" t="s">
        <v>213</v>
      </c>
      <c r="H76" s="11"/>
      <c r="I76" s="25"/>
      <c r="J76" s="11"/>
      <c r="K76" s="21"/>
      <c r="L76" s="21"/>
      <c r="M76" s="21"/>
      <c r="N76" s="21"/>
      <c r="O76" s="21"/>
      <c r="P76" s="21"/>
      <c r="Q76" s="21"/>
      <c r="R76" s="21"/>
      <c r="S76" s="21"/>
      <c r="T76" s="21"/>
      <c r="U76" s="21"/>
      <c r="V76" s="21"/>
      <c r="W76" s="21"/>
      <c r="X76" s="21"/>
      <c r="Y76" s="21"/>
      <c r="Z76" s="21"/>
    </row>
    <row r="77" spans="1:26" ht="15.75" customHeight="1" x14ac:dyDescent="0.25">
      <c r="A77" s="11" t="e">
        <f>ROW(#REF!)-1</f>
        <v>#REF!</v>
      </c>
      <c r="B77" s="22">
        <v>45461</v>
      </c>
      <c r="C77" s="23">
        <v>870</v>
      </c>
      <c r="D77" s="11" t="s">
        <v>63</v>
      </c>
      <c r="E77" s="11" t="s">
        <v>214</v>
      </c>
      <c r="F77" s="11"/>
      <c r="G77" s="24" t="s">
        <v>215</v>
      </c>
      <c r="H77" s="11"/>
      <c r="I77" s="25"/>
      <c r="J77" s="11"/>
      <c r="K77" s="21"/>
      <c r="L77" s="21"/>
      <c r="M77" s="21"/>
      <c r="N77" s="21"/>
      <c r="O77" s="21"/>
      <c r="P77" s="21"/>
      <c r="Q77" s="21"/>
      <c r="R77" s="21"/>
      <c r="S77" s="21"/>
      <c r="T77" s="21"/>
      <c r="U77" s="21"/>
      <c r="V77" s="21"/>
      <c r="W77" s="21"/>
      <c r="X77" s="21"/>
      <c r="Y77" s="21"/>
      <c r="Z77" s="21"/>
    </row>
    <row r="78" spans="1:26" ht="15.75" customHeight="1" x14ac:dyDescent="0.25">
      <c r="A78" s="11" t="e">
        <f>ROW(#REF!)-1</f>
        <v>#REF!</v>
      </c>
      <c r="B78" s="22">
        <v>45461</v>
      </c>
      <c r="C78" s="23">
        <v>871</v>
      </c>
      <c r="D78" s="11" t="s">
        <v>4</v>
      </c>
      <c r="E78" s="11" t="s">
        <v>11</v>
      </c>
      <c r="F78" s="11"/>
      <c r="G78" s="24" t="s">
        <v>216</v>
      </c>
      <c r="H78" s="11"/>
      <c r="I78" s="25" t="s">
        <v>18</v>
      </c>
      <c r="J78" s="11"/>
      <c r="K78" s="21"/>
      <c r="L78" s="21"/>
      <c r="M78" s="21"/>
      <c r="N78" s="21"/>
      <c r="O78" s="21"/>
      <c r="P78" s="21"/>
      <c r="Q78" s="21"/>
      <c r="R78" s="21"/>
      <c r="S78" s="21"/>
      <c r="T78" s="21"/>
      <c r="U78" s="21"/>
      <c r="V78" s="21"/>
      <c r="W78" s="21"/>
      <c r="X78" s="21"/>
      <c r="Y78" s="21"/>
      <c r="Z78" s="21"/>
    </row>
    <row r="79" spans="1:26" ht="15.75" customHeight="1" x14ac:dyDescent="0.25">
      <c r="A79" s="11"/>
      <c r="B79" s="22">
        <v>45463</v>
      </c>
      <c r="C79" s="11">
        <v>872</v>
      </c>
      <c r="D79" s="11" t="s">
        <v>4</v>
      </c>
      <c r="E79" s="11"/>
      <c r="F79" s="11"/>
      <c r="G79" s="188"/>
      <c r="H79" s="11"/>
      <c r="I79" s="25"/>
      <c r="J79" s="11"/>
      <c r="K79" s="21"/>
      <c r="L79" s="21"/>
      <c r="M79" s="21"/>
      <c r="N79" s="21"/>
      <c r="O79" s="21"/>
      <c r="P79" s="21"/>
      <c r="Q79" s="21"/>
      <c r="R79" s="21"/>
      <c r="S79" s="21"/>
      <c r="T79" s="21"/>
      <c r="U79" s="21"/>
      <c r="V79" s="21"/>
      <c r="W79" s="21"/>
      <c r="X79" s="21"/>
      <c r="Y79" s="21"/>
      <c r="Z79" s="21"/>
    </row>
    <row r="80" spans="1:26" ht="15.75" customHeight="1" x14ac:dyDescent="0.25">
      <c r="A80" s="11"/>
      <c r="B80" s="22">
        <v>45463</v>
      </c>
      <c r="C80" s="11">
        <v>873</v>
      </c>
      <c r="D80" s="11" t="s">
        <v>4</v>
      </c>
      <c r="E80" s="11" t="s">
        <v>202</v>
      </c>
      <c r="F80" s="11"/>
      <c r="G80" s="188"/>
      <c r="H80" s="11"/>
      <c r="I80" s="25"/>
      <c r="J80" s="11"/>
      <c r="K80" s="21"/>
      <c r="L80" s="21"/>
      <c r="M80" s="21"/>
      <c r="N80" s="21"/>
      <c r="O80" s="21"/>
      <c r="P80" s="21"/>
      <c r="Q80" s="21"/>
      <c r="R80" s="21"/>
      <c r="S80" s="21"/>
      <c r="T80" s="21"/>
      <c r="U80" s="21"/>
      <c r="V80" s="21"/>
      <c r="W80" s="21"/>
      <c r="X80" s="21"/>
      <c r="Y80" s="21"/>
      <c r="Z80" s="21"/>
    </row>
    <row r="81" spans="1:26" ht="15.75" customHeight="1" x14ac:dyDescent="0.25">
      <c r="A81" s="11"/>
      <c r="B81" s="22">
        <v>45463</v>
      </c>
      <c r="C81" s="11">
        <v>874</v>
      </c>
      <c r="D81" s="11" t="s">
        <v>63</v>
      </c>
      <c r="E81" s="11" t="s">
        <v>2204</v>
      </c>
      <c r="F81" s="11"/>
      <c r="G81" s="188"/>
      <c r="H81" s="11"/>
      <c r="I81" s="25"/>
      <c r="J81" s="11"/>
      <c r="K81" s="21"/>
      <c r="L81" s="21"/>
      <c r="M81" s="21"/>
      <c r="N81" s="21"/>
      <c r="O81" s="21"/>
      <c r="P81" s="21"/>
      <c r="Q81" s="21"/>
      <c r="R81" s="21"/>
      <c r="S81" s="21"/>
      <c r="T81" s="21"/>
      <c r="U81" s="21"/>
      <c r="V81" s="21"/>
      <c r="W81" s="21"/>
      <c r="X81" s="21"/>
      <c r="Y81" s="21"/>
      <c r="Z81" s="21"/>
    </row>
    <row r="82" spans="1:26" ht="15.75" customHeight="1" x14ac:dyDescent="0.25">
      <c r="A82" s="11"/>
      <c r="B82" s="22">
        <v>45463</v>
      </c>
      <c r="C82" s="11">
        <v>875</v>
      </c>
      <c r="D82" s="11" t="s">
        <v>63</v>
      </c>
      <c r="E82" s="11" t="s">
        <v>2205</v>
      </c>
      <c r="F82" s="11"/>
      <c r="G82" s="188"/>
      <c r="H82" s="11"/>
      <c r="I82" s="25"/>
      <c r="J82" s="11"/>
      <c r="K82" s="21"/>
      <c r="L82" s="21"/>
      <c r="M82" s="21"/>
      <c r="N82" s="21"/>
      <c r="O82" s="21"/>
      <c r="P82" s="21"/>
      <c r="Q82" s="21"/>
      <c r="R82" s="21"/>
      <c r="S82" s="21"/>
      <c r="T82" s="21"/>
      <c r="U82" s="21"/>
      <c r="V82" s="21"/>
      <c r="W82" s="21"/>
      <c r="X82" s="21"/>
      <c r="Y82" s="21"/>
      <c r="Z82" s="21"/>
    </row>
    <row r="83" spans="1:26" ht="15.75" customHeight="1" x14ac:dyDescent="0.25">
      <c r="A83" s="11"/>
      <c r="B83" s="22">
        <v>45463</v>
      </c>
      <c r="C83" s="11">
        <v>876</v>
      </c>
      <c r="D83" s="11" t="s">
        <v>66</v>
      </c>
      <c r="E83" s="11">
        <v>544</v>
      </c>
      <c r="F83" s="11"/>
      <c r="G83" s="188"/>
      <c r="H83" s="11"/>
      <c r="I83" s="25"/>
      <c r="J83" s="11"/>
      <c r="K83" s="21"/>
      <c r="L83" s="21"/>
      <c r="M83" s="21"/>
      <c r="N83" s="21"/>
      <c r="O83" s="21"/>
      <c r="P83" s="21"/>
      <c r="Q83" s="21"/>
      <c r="R83" s="21"/>
      <c r="S83" s="21"/>
      <c r="T83" s="21"/>
      <c r="U83" s="21"/>
      <c r="V83" s="21"/>
      <c r="W83" s="21"/>
      <c r="X83" s="21"/>
      <c r="Y83" s="21"/>
      <c r="Z83" s="21"/>
    </row>
    <row r="84" spans="1:26" ht="15.75" customHeight="1" x14ac:dyDescent="0.25">
      <c r="A84" s="11"/>
      <c r="B84" s="22">
        <v>45464</v>
      </c>
      <c r="C84" s="11">
        <v>877</v>
      </c>
      <c r="D84" s="11" t="s">
        <v>41</v>
      </c>
      <c r="E84" s="11">
        <v>24900565</v>
      </c>
      <c r="F84" s="11"/>
      <c r="G84" s="188"/>
      <c r="H84" s="11"/>
      <c r="I84" s="25"/>
      <c r="J84" s="11"/>
      <c r="K84" s="21"/>
      <c r="L84" s="21"/>
      <c r="M84" s="21"/>
      <c r="N84" s="21"/>
      <c r="O84" s="21"/>
      <c r="P84" s="21"/>
      <c r="Q84" s="21"/>
      <c r="R84" s="21"/>
      <c r="S84" s="21"/>
      <c r="T84" s="21"/>
      <c r="U84" s="21"/>
      <c r="V84" s="21"/>
      <c r="W84" s="21"/>
      <c r="X84" s="21"/>
      <c r="Y84" s="21"/>
      <c r="Z84" s="21"/>
    </row>
    <row r="85" spans="1:26" ht="15.75" customHeight="1" x14ac:dyDescent="0.25">
      <c r="A85" s="11"/>
      <c r="B85" s="22">
        <v>45464</v>
      </c>
      <c r="C85" s="11">
        <v>878</v>
      </c>
      <c r="D85" s="11" t="s">
        <v>41</v>
      </c>
      <c r="E85" s="11"/>
      <c r="F85" s="11"/>
      <c r="G85" s="188"/>
      <c r="H85" s="11"/>
      <c r="I85" s="25"/>
      <c r="J85" s="11"/>
      <c r="K85" s="21"/>
      <c r="L85" s="21"/>
      <c r="M85" s="21"/>
      <c r="N85" s="21"/>
      <c r="O85" s="21"/>
      <c r="P85" s="21"/>
      <c r="Q85" s="21"/>
      <c r="R85" s="21"/>
      <c r="S85" s="21"/>
      <c r="T85" s="21"/>
      <c r="U85" s="21"/>
      <c r="V85" s="21"/>
      <c r="W85" s="21"/>
      <c r="X85" s="21"/>
      <c r="Y85" s="21"/>
      <c r="Z85" s="21"/>
    </row>
    <row r="86" spans="1:26" ht="15.75" customHeight="1" x14ac:dyDescent="0.25">
      <c r="A86" s="11"/>
      <c r="B86" s="22">
        <v>45467</v>
      </c>
      <c r="C86" s="11">
        <v>879</v>
      </c>
      <c r="D86" s="11" t="s">
        <v>41</v>
      </c>
      <c r="E86" s="11">
        <v>24900650</v>
      </c>
      <c r="F86" s="11"/>
      <c r="G86" s="188"/>
      <c r="H86" s="11"/>
      <c r="I86" s="25"/>
      <c r="J86" s="11"/>
      <c r="K86" s="21"/>
      <c r="L86" s="21"/>
      <c r="M86" s="21"/>
      <c r="N86" s="21"/>
      <c r="O86" s="21"/>
      <c r="P86" s="21"/>
      <c r="Q86" s="21"/>
      <c r="R86" s="21"/>
      <c r="S86" s="21"/>
      <c r="T86" s="21"/>
      <c r="U86" s="21"/>
      <c r="V86" s="21"/>
      <c r="W86" s="21"/>
      <c r="X86" s="21"/>
      <c r="Y86" s="21"/>
      <c r="Z86" s="21"/>
    </row>
    <row r="87" spans="1:26" ht="15.75" customHeight="1" x14ac:dyDescent="0.25">
      <c r="A87" s="11"/>
      <c r="B87" s="22">
        <v>45468</v>
      </c>
      <c r="C87" s="11">
        <v>880</v>
      </c>
      <c r="D87" s="11" t="s">
        <v>41</v>
      </c>
      <c r="E87" s="11">
        <v>24900641</v>
      </c>
      <c r="F87" s="11"/>
      <c r="G87" s="188"/>
      <c r="H87" s="11" t="s">
        <v>2206</v>
      </c>
      <c r="I87" s="25"/>
      <c r="J87" s="11"/>
      <c r="K87" s="21"/>
      <c r="L87" s="21"/>
      <c r="M87" s="21"/>
      <c r="N87" s="21"/>
      <c r="O87" s="21"/>
      <c r="P87" s="21"/>
      <c r="Q87" s="21"/>
      <c r="R87" s="21"/>
      <c r="S87" s="21"/>
      <c r="T87" s="21"/>
      <c r="U87" s="21"/>
      <c r="V87" s="21"/>
      <c r="W87" s="21"/>
      <c r="X87" s="21"/>
      <c r="Y87" s="21"/>
      <c r="Z87" s="21"/>
    </row>
    <row r="88" spans="1:26" ht="15.75" customHeight="1" x14ac:dyDescent="0.25">
      <c r="A88" s="11"/>
      <c r="B88" s="22">
        <v>45468</v>
      </c>
      <c r="C88" s="11">
        <v>881</v>
      </c>
      <c r="D88" s="11" t="s">
        <v>41</v>
      </c>
      <c r="E88" s="11">
        <v>24900637</v>
      </c>
      <c r="F88" s="11"/>
      <c r="G88" s="188"/>
      <c r="I88" s="25"/>
      <c r="J88" s="11"/>
      <c r="K88" s="21"/>
      <c r="L88" s="21"/>
      <c r="M88" s="21"/>
      <c r="N88" s="21"/>
      <c r="O88" s="21"/>
      <c r="P88" s="21"/>
      <c r="Q88" s="21"/>
      <c r="R88" s="21"/>
      <c r="S88" s="21"/>
      <c r="T88" s="21"/>
      <c r="U88" s="21"/>
      <c r="V88" s="21"/>
      <c r="W88" s="21"/>
      <c r="X88" s="21"/>
      <c r="Y88" s="21"/>
      <c r="Z88" s="21"/>
    </row>
    <row r="89" spans="1:26" ht="15.75" customHeight="1" x14ac:dyDescent="0.25">
      <c r="A89" s="11"/>
      <c r="B89" s="22">
        <v>45468</v>
      </c>
      <c r="C89" s="11">
        <v>882</v>
      </c>
      <c r="D89" s="11" t="s">
        <v>41</v>
      </c>
      <c r="E89" s="11">
        <v>24900641</v>
      </c>
      <c r="F89" s="11"/>
      <c r="G89" s="188"/>
      <c r="H89" s="11" t="s">
        <v>2207</v>
      </c>
      <c r="I89" s="25"/>
      <c r="J89" s="11"/>
      <c r="K89" s="21"/>
      <c r="L89" s="21"/>
      <c r="M89" s="21"/>
      <c r="N89" s="21"/>
      <c r="O89" s="21"/>
      <c r="P89" s="21"/>
      <c r="Q89" s="21"/>
      <c r="R89" s="21"/>
      <c r="S89" s="21"/>
      <c r="T89" s="21"/>
      <c r="U89" s="21"/>
      <c r="V89" s="21"/>
      <c r="W89" s="21"/>
      <c r="X89" s="21"/>
      <c r="Y89" s="21"/>
      <c r="Z89" s="21"/>
    </row>
    <row r="90" spans="1:26" ht="15.75" customHeight="1" x14ac:dyDescent="0.25">
      <c r="A90" s="11"/>
      <c r="B90" s="22">
        <v>45468</v>
      </c>
      <c r="C90" s="11">
        <v>883</v>
      </c>
      <c r="D90" s="11" t="s">
        <v>4</v>
      </c>
      <c r="E90" s="11" t="s">
        <v>207</v>
      </c>
      <c r="F90" s="11"/>
      <c r="G90" s="188"/>
      <c r="H90" s="11" t="s">
        <v>2208</v>
      </c>
      <c r="I90" s="25" t="s">
        <v>2209</v>
      </c>
      <c r="J90" s="11"/>
      <c r="K90" s="21"/>
      <c r="L90" s="21"/>
      <c r="M90" s="21"/>
      <c r="N90" s="21"/>
      <c r="O90" s="21"/>
      <c r="P90" s="21"/>
      <c r="Q90" s="21"/>
      <c r="R90" s="21"/>
      <c r="S90" s="21"/>
      <c r="T90" s="21"/>
      <c r="U90" s="21"/>
      <c r="V90" s="21"/>
      <c r="W90" s="21"/>
      <c r="X90" s="21"/>
      <c r="Y90" s="21"/>
      <c r="Z90" s="21"/>
    </row>
    <row r="91" spans="1:26" ht="15.75" customHeight="1" x14ac:dyDescent="0.25">
      <c r="A91" s="11"/>
      <c r="B91" s="22">
        <v>45468</v>
      </c>
      <c r="C91" s="11">
        <v>884</v>
      </c>
      <c r="D91" s="11" t="s">
        <v>66</v>
      </c>
      <c r="E91" s="11" t="s">
        <v>2210</v>
      </c>
      <c r="F91" s="11"/>
      <c r="G91" s="188"/>
      <c r="H91" s="11"/>
      <c r="I91" s="25"/>
      <c r="J91" s="11"/>
      <c r="K91" s="21"/>
      <c r="L91" s="21"/>
      <c r="M91" s="21"/>
      <c r="N91" s="21"/>
      <c r="O91" s="21"/>
      <c r="P91" s="21"/>
      <c r="Q91" s="21"/>
      <c r="R91" s="21"/>
      <c r="S91" s="21"/>
      <c r="T91" s="21"/>
      <c r="U91" s="21"/>
      <c r="V91" s="21"/>
      <c r="W91" s="21"/>
      <c r="X91" s="21"/>
      <c r="Y91" s="21"/>
      <c r="Z91" s="21"/>
    </row>
    <row r="92" spans="1:26" ht="15.75" customHeight="1" x14ac:dyDescent="0.25">
      <c r="A92" s="11"/>
      <c r="B92" s="22">
        <v>45468</v>
      </c>
      <c r="C92" s="11">
        <v>885</v>
      </c>
      <c r="D92" s="11" t="s">
        <v>66</v>
      </c>
      <c r="E92" s="11" t="s">
        <v>2211</v>
      </c>
      <c r="F92" s="11"/>
      <c r="G92" s="188"/>
      <c r="H92" s="11"/>
      <c r="I92" s="25"/>
      <c r="J92" s="11"/>
      <c r="K92" s="21"/>
      <c r="L92" s="21"/>
      <c r="M92" s="21"/>
      <c r="N92" s="21"/>
      <c r="O92" s="21"/>
      <c r="P92" s="21"/>
      <c r="Q92" s="21"/>
      <c r="R92" s="21"/>
      <c r="S92" s="21"/>
      <c r="T92" s="21"/>
      <c r="U92" s="21"/>
      <c r="V92" s="21"/>
      <c r="W92" s="21"/>
      <c r="X92" s="21"/>
      <c r="Y92" s="21"/>
      <c r="Z92" s="21"/>
    </row>
    <row r="93" spans="1:26" ht="15.75" customHeight="1" x14ac:dyDescent="0.25">
      <c r="A93" s="11"/>
      <c r="B93" s="22">
        <v>45468</v>
      </c>
      <c r="C93" s="11">
        <v>886</v>
      </c>
      <c r="D93" s="11" t="s">
        <v>4</v>
      </c>
      <c r="E93" s="189" t="s">
        <v>168</v>
      </c>
      <c r="F93" s="11"/>
      <c r="G93" s="188"/>
      <c r="H93" s="11"/>
      <c r="I93" s="25"/>
      <c r="J93" s="11"/>
      <c r="K93" s="21"/>
      <c r="L93" s="21"/>
      <c r="M93" s="21"/>
      <c r="N93" s="21"/>
      <c r="O93" s="21"/>
      <c r="P93" s="21"/>
      <c r="Q93" s="21"/>
      <c r="R93" s="21"/>
      <c r="S93" s="21"/>
      <c r="T93" s="21"/>
      <c r="U93" s="21"/>
      <c r="V93" s="21"/>
      <c r="W93" s="21"/>
      <c r="X93" s="21"/>
      <c r="Y93" s="21"/>
      <c r="Z93" s="21"/>
    </row>
    <row r="94" spans="1:26" ht="15.75" customHeight="1" x14ac:dyDescent="0.25">
      <c r="A94" s="11"/>
      <c r="B94" s="22">
        <v>45468</v>
      </c>
      <c r="C94" s="11">
        <v>887</v>
      </c>
      <c r="D94" s="11" t="s">
        <v>41</v>
      </c>
      <c r="E94" s="11">
        <v>24900596</v>
      </c>
      <c r="F94" s="11"/>
      <c r="G94" s="188"/>
      <c r="H94" s="11" t="s">
        <v>2212</v>
      </c>
      <c r="I94" s="25"/>
      <c r="J94" s="11"/>
      <c r="K94" s="21"/>
      <c r="L94" s="21"/>
      <c r="M94" s="21"/>
      <c r="N94" s="21"/>
      <c r="O94" s="21"/>
      <c r="P94" s="21"/>
      <c r="Q94" s="21"/>
      <c r="R94" s="21"/>
      <c r="S94" s="21"/>
      <c r="T94" s="21"/>
      <c r="U94" s="21"/>
      <c r="V94" s="21"/>
      <c r="W94" s="21"/>
      <c r="X94" s="21"/>
      <c r="Y94" s="21"/>
      <c r="Z94" s="21"/>
    </row>
    <row r="95" spans="1:26" ht="15.75" customHeight="1" x14ac:dyDescent="0.25">
      <c r="A95" s="11"/>
      <c r="B95" s="22">
        <v>45469</v>
      </c>
      <c r="C95" s="11">
        <v>888</v>
      </c>
      <c r="D95" s="11" t="s">
        <v>41</v>
      </c>
      <c r="E95" s="11">
        <v>24900593</v>
      </c>
      <c r="F95" s="11"/>
      <c r="G95" s="188"/>
      <c r="H95" s="11"/>
      <c r="I95" s="25"/>
      <c r="J95" s="11"/>
      <c r="K95" s="21"/>
      <c r="L95" s="21"/>
      <c r="M95" s="21"/>
      <c r="N95" s="21"/>
      <c r="O95" s="21"/>
      <c r="P95" s="21"/>
      <c r="Q95" s="21"/>
      <c r="R95" s="21"/>
      <c r="S95" s="21"/>
      <c r="T95" s="21"/>
      <c r="U95" s="21"/>
      <c r="V95" s="21"/>
      <c r="W95" s="21"/>
      <c r="X95" s="21"/>
      <c r="Y95" s="21"/>
      <c r="Z95" s="21"/>
    </row>
    <row r="96" spans="1:26" ht="15.75" customHeight="1" x14ac:dyDescent="0.25">
      <c r="A96" s="11"/>
      <c r="B96" s="22">
        <v>45469</v>
      </c>
      <c r="C96" s="11">
        <v>889</v>
      </c>
      <c r="D96" s="11" t="s">
        <v>4</v>
      </c>
      <c r="E96" s="52" t="s">
        <v>327</v>
      </c>
      <c r="F96" s="11"/>
      <c r="G96" s="188"/>
      <c r="H96" s="11"/>
      <c r="I96" s="25"/>
      <c r="J96" s="11"/>
      <c r="K96" s="21"/>
      <c r="L96" s="21"/>
      <c r="M96" s="21"/>
      <c r="N96" s="21"/>
      <c r="O96" s="21"/>
      <c r="P96" s="21"/>
      <c r="Q96" s="21"/>
      <c r="R96" s="21"/>
      <c r="S96" s="21"/>
      <c r="T96" s="21"/>
      <c r="U96" s="21"/>
      <c r="V96" s="21"/>
      <c r="W96" s="21"/>
      <c r="X96" s="21"/>
      <c r="Y96" s="21"/>
      <c r="Z96" s="21"/>
    </row>
    <row r="97" spans="1:26" ht="15.75" customHeight="1" x14ac:dyDescent="0.25">
      <c r="A97" s="11"/>
      <c r="B97" s="22">
        <v>45469</v>
      </c>
      <c r="C97" s="11">
        <v>890</v>
      </c>
      <c r="D97" s="11" t="s">
        <v>41</v>
      </c>
      <c r="E97" s="11">
        <v>24900637</v>
      </c>
      <c r="F97" s="11"/>
      <c r="G97" s="188"/>
      <c r="H97" s="11" t="s">
        <v>153</v>
      </c>
      <c r="I97" s="25"/>
      <c r="J97" s="11"/>
      <c r="K97" s="21"/>
      <c r="L97" s="21"/>
      <c r="M97" s="21"/>
      <c r="N97" s="21"/>
      <c r="O97" s="21"/>
      <c r="P97" s="21"/>
      <c r="Q97" s="21"/>
      <c r="R97" s="21"/>
      <c r="S97" s="21"/>
      <c r="T97" s="21"/>
      <c r="U97" s="21"/>
      <c r="V97" s="21"/>
      <c r="W97" s="21"/>
      <c r="X97" s="21"/>
      <c r="Y97" s="21"/>
      <c r="Z97" s="21"/>
    </row>
    <row r="98" spans="1:26" ht="15.75" customHeight="1" x14ac:dyDescent="0.25">
      <c r="A98" s="11"/>
      <c r="B98" s="22">
        <v>45470</v>
      </c>
      <c r="C98" s="11">
        <v>891</v>
      </c>
      <c r="D98" s="11" t="s">
        <v>41</v>
      </c>
      <c r="E98" s="11">
        <v>24900596</v>
      </c>
      <c r="F98" s="11"/>
      <c r="G98" s="188"/>
      <c r="H98" s="11"/>
      <c r="I98" s="25"/>
      <c r="J98" s="11"/>
      <c r="K98" s="21"/>
      <c r="L98" s="21"/>
      <c r="M98" s="21"/>
      <c r="N98" s="21"/>
      <c r="O98" s="21"/>
      <c r="P98" s="21"/>
      <c r="Q98" s="21"/>
      <c r="R98" s="21"/>
      <c r="S98" s="21"/>
      <c r="T98" s="21"/>
      <c r="U98" s="21"/>
      <c r="V98" s="21"/>
      <c r="W98" s="21"/>
      <c r="X98" s="21"/>
      <c r="Y98" s="21"/>
      <c r="Z98" s="21"/>
    </row>
    <row r="99" spans="1:26" ht="15.75" customHeight="1" x14ac:dyDescent="0.25">
      <c r="A99" s="11"/>
      <c r="B99" s="22">
        <v>45471</v>
      </c>
      <c r="C99" s="11">
        <v>892</v>
      </c>
      <c r="D99" s="11" t="s">
        <v>4</v>
      </c>
      <c r="E99" s="11" t="s">
        <v>332</v>
      </c>
      <c r="F99" s="11"/>
      <c r="G99" s="188"/>
      <c r="H99" s="11" t="s">
        <v>2213</v>
      </c>
      <c r="I99" s="25"/>
      <c r="J99" s="11"/>
      <c r="K99" s="21"/>
      <c r="L99" s="21"/>
      <c r="M99" s="21"/>
      <c r="N99" s="21"/>
      <c r="O99" s="21"/>
      <c r="P99" s="21"/>
      <c r="Q99" s="21"/>
      <c r="R99" s="21"/>
      <c r="S99" s="21"/>
      <c r="T99" s="21"/>
      <c r="U99" s="21"/>
      <c r="V99" s="21"/>
      <c r="W99" s="21"/>
      <c r="X99" s="21"/>
      <c r="Y99" s="21"/>
      <c r="Z99" s="21"/>
    </row>
    <row r="100" spans="1:26" ht="15.75" customHeight="1" x14ac:dyDescent="0.25">
      <c r="A100" s="11"/>
      <c r="B100" s="22">
        <v>45471</v>
      </c>
      <c r="C100" s="11">
        <v>893</v>
      </c>
      <c r="D100" s="11" t="s">
        <v>41</v>
      </c>
      <c r="E100" s="11">
        <v>24900613</v>
      </c>
      <c r="F100" s="11"/>
      <c r="G100" s="188"/>
      <c r="H100" s="11">
        <v>1</v>
      </c>
      <c r="I100" s="25"/>
      <c r="J100" s="11"/>
      <c r="K100" s="21"/>
      <c r="L100" s="21"/>
      <c r="M100" s="21"/>
      <c r="N100" s="21"/>
      <c r="O100" s="21"/>
      <c r="P100" s="21"/>
      <c r="Q100" s="21"/>
      <c r="R100" s="21"/>
      <c r="S100" s="21"/>
      <c r="T100" s="21"/>
      <c r="U100" s="21"/>
      <c r="V100" s="21"/>
      <c r="W100" s="21"/>
      <c r="X100" s="21"/>
      <c r="Y100" s="21"/>
      <c r="Z100" s="21"/>
    </row>
    <row r="101" spans="1:26" ht="15.75" customHeight="1" x14ac:dyDescent="0.25">
      <c r="A101" s="11"/>
      <c r="B101" s="22">
        <v>45471</v>
      </c>
      <c r="C101" s="11">
        <v>894</v>
      </c>
      <c r="D101" s="11" t="s">
        <v>4</v>
      </c>
      <c r="E101" s="11" t="s">
        <v>327</v>
      </c>
      <c r="F101" s="11"/>
      <c r="G101" s="188"/>
      <c r="H101" s="11" t="s">
        <v>2214</v>
      </c>
      <c r="I101" s="25"/>
      <c r="J101" s="11"/>
      <c r="K101" s="21"/>
      <c r="L101" s="21"/>
      <c r="M101" s="21"/>
      <c r="N101" s="21"/>
      <c r="O101" s="21"/>
      <c r="P101" s="21"/>
      <c r="Q101" s="21"/>
      <c r="R101" s="21"/>
      <c r="S101" s="21"/>
      <c r="T101" s="21"/>
      <c r="U101" s="21"/>
      <c r="V101" s="21"/>
      <c r="W101" s="21"/>
      <c r="X101" s="21"/>
      <c r="Y101" s="21"/>
      <c r="Z101" s="21"/>
    </row>
    <row r="102" spans="1:26" ht="15.75" customHeight="1" x14ac:dyDescent="0.25">
      <c r="A102" s="11"/>
      <c r="B102" s="22">
        <v>45471</v>
      </c>
      <c r="C102" s="11">
        <v>895</v>
      </c>
      <c r="D102" s="11" t="s">
        <v>4</v>
      </c>
      <c r="E102" s="196" t="s">
        <v>337</v>
      </c>
      <c r="F102" s="11"/>
      <c r="G102" s="190" t="s">
        <v>2228</v>
      </c>
      <c r="H102" s="11"/>
      <c r="I102" s="197" t="s">
        <v>2227</v>
      </c>
      <c r="J102" s="21"/>
      <c r="K102" s="21"/>
      <c r="L102" s="21"/>
      <c r="M102" s="21"/>
      <c r="N102" s="21"/>
      <c r="O102" s="21"/>
      <c r="P102" s="21"/>
      <c r="Q102" s="21"/>
      <c r="R102" s="21"/>
      <c r="S102" s="21"/>
      <c r="T102" s="21"/>
      <c r="U102" s="21"/>
      <c r="V102" s="21"/>
      <c r="W102" s="21"/>
      <c r="X102" s="21"/>
      <c r="Y102" s="21"/>
      <c r="Z102" s="21"/>
    </row>
    <row r="103" spans="1:26" ht="15.75" customHeight="1" x14ac:dyDescent="0.25">
      <c r="A103" s="11"/>
      <c r="B103" s="22">
        <v>45474</v>
      </c>
      <c r="C103" s="11">
        <v>896</v>
      </c>
      <c r="D103" s="11" t="s">
        <v>160</v>
      </c>
      <c r="E103" s="11" t="s">
        <v>2218</v>
      </c>
      <c r="F103" s="11"/>
      <c r="G103" s="190" t="s">
        <v>2219</v>
      </c>
      <c r="H103" s="11"/>
      <c r="I103" s="25"/>
      <c r="J103" s="21"/>
      <c r="K103" s="21"/>
      <c r="L103" s="21"/>
      <c r="M103" s="21"/>
      <c r="N103" s="21"/>
      <c r="O103" s="21"/>
      <c r="P103" s="21"/>
      <c r="Q103" s="21"/>
      <c r="R103" s="21"/>
      <c r="S103" s="21"/>
      <c r="T103" s="21"/>
      <c r="U103" s="21"/>
      <c r="V103" s="21"/>
      <c r="W103" s="21"/>
      <c r="X103" s="21"/>
      <c r="Y103" s="21"/>
      <c r="Z103" s="21"/>
    </row>
    <row r="104" spans="1:26" ht="15.75" customHeight="1" x14ac:dyDescent="0.25">
      <c r="A104" s="11"/>
      <c r="B104" s="22">
        <v>45474</v>
      </c>
      <c r="C104" s="11">
        <v>897</v>
      </c>
      <c r="D104" s="11" t="s">
        <v>160</v>
      </c>
      <c r="E104" s="11" t="s">
        <v>2220</v>
      </c>
      <c r="F104" s="11"/>
      <c r="G104" s="190" t="s">
        <v>2221</v>
      </c>
      <c r="H104" s="11"/>
      <c r="I104" s="25"/>
      <c r="J104" s="21"/>
      <c r="K104" s="21"/>
      <c r="L104" s="21"/>
      <c r="M104" s="21"/>
      <c r="N104" s="21"/>
      <c r="O104" s="21"/>
      <c r="P104" s="21"/>
      <c r="Q104" s="21"/>
      <c r="R104" s="21"/>
      <c r="S104" s="21"/>
      <c r="T104" s="21"/>
      <c r="U104" s="21"/>
      <c r="V104" s="21"/>
      <c r="W104" s="21"/>
      <c r="X104" s="21"/>
      <c r="Y104" s="21"/>
      <c r="Z104" s="21"/>
    </row>
    <row r="105" spans="1:26" ht="15.75" customHeight="1" x14ac:dyDescent="0.25">
      <c r="A105" s="11"/>
      <c r="B105" s="22">
        <v>45474</v>
      </c>
      <c r="C105" s="11">
        <v>898</v>
      </c>
      <c r="D105" s="11" t="s">
        <v>44</v>
      </c>
      <c r="E105" s="11">
        <v>4714042954</v>
      </c>
      <c r="F105" s="11"/>
      <c r="G105" s="190" t="s">
        <v>2222</v>
      </c>
      <c r="H105" s="11"/>
      <c r="I105" s="25"/>
      <c r="J105" s="21"/>
      <c r="K105" s="21"/>
      <c r="L105" s="21"/>
      <c r="M105" s="21"/>
      <c r="N105" s="21"/>
      <c r="O105" s="21"/>
      <c r="P105" s="21"/>
      <c r="Q105" s="21"/>
      <c r="R105" s="21"/>
      <c r="S105" s="21"/>
      <c r="T105" s="21"/>
      <c r="U105" s="21"/>
      <c r="V105" s="21"/>
      <c r="W105" s="21"/>
      <c r="X105" s="21"/>
      <c r="Y105" s="21"/>
      <c r="Z105" s="21"/>
    </row>
    <row r="106" spans="1:26" ht="15.75" customHeight="1" x14ac:dyDescent="0.25">
      <c r="A106" s="11"/>
      <c r="B106" s="22">
        <v>45475</v>
      </c>
      <c r="C106" s="11">
        <v>899</v>
      </c>
      <c r="D106" s="11" t="s">
        <v>41</v>
      </c>
      <c r="E106" s="11">
        <v>24900689</v>
      </c>
      <c r="F106" s="11"/>
      <c r="G106" s="190" t="s">
        <v>2223</v>
      </c>
      <c r="H106" s="11"/>
      <c r="I106" s="25"/>
      <c r="J106" s="21"/>
      <c r="K106" s="21"/>
      <c r="L106" s="21"/>
      <c r="M106" s="21"/>
      <c r="N106" s="21"/>
      <c r="O106" s="21"/>
      <c r="P106" s="21"/>
      <c r="Q106" s="21"/>
      <c r="R106" s="21"/>
      <c r="S106" s="21"/>
      <c r="T106" s="21"/>
      <c r="U106" s="21"/>
      <c r="V106" s="21"/>
      <c r="W106" s="21"/>
      <c r="X106" s="21"/>
      <c r="Y106" s="21"/>
      <c r="Z106" s="21"/>
    </row>
    <row r="107" spans="1:26" ht="15.75" customHeight="1" x14ac:dyDescent="0.25">
      <c r="A107" s="11"/>
      <c r="B107" s="22">
        <v>45475</v>
      </c>
      <c r="C107" s="11">
        <v>900</v>
      </c>
      <c r="D107" s="11" t="s">
        <v>63</v>
      </c>
      <c r="E107" s="11" t="s">
        <v>2224</v>
      </c>
      <c r="F107" s="11"/>
      <c r="G107" s="190" t="s">
        <v>2226</v>
      </c>
      <c r="H107" s="11"/>
      <c r="I107" s="25" t="s">
        <v>2225</v>
      </c>
      <c r="J107" s="21"/>
      <c r="K107" s="21"/>
      <c r="L107" s="21"/>
      <c r="M107" s="21"/>
      <c r="N107" s="21"/>
      <c r="O107" s="21"/>
      <c r="P107" s="21"/>
      <c r="Q107" s="21"/>
      <c r="R107" s="21"/>
      <c r="S107" s="21"/>
      <c r="T107" s="21"/>
      <c r="U107" s="21"/>
      <c r="V107" s="21"/>
      <c r="W107" s="21"/>
      <c r="X107" s="21"/>
      <c r="Y107" s="21"/>
      <c r="Z107" s="21"/>
    </row>
    <row r="108" spans="1:26" ht="30" x14ac:dyDescent="0.25">
      <c r="A108" s="11"/>
      <c r="B108" s="22">
        <v>45474</v>
      </c>
      <c r="C108" s="11">
        <v>901</v>
      </c>
      <c r="D108" s="11" t="s">
        <v>4</v>
      </c>
      <c r="E108" s="11" t="s">
        <v>168</v>
      </c>
      <c r="F108" s="11" t="s">
        <v>2230</v>
      </c>
      <c r="G108" s="190" t="s">
        <v>2231</v>
      </c>
      <c r="H108" s="11"/>
      <c r="I108" s="26" t="s">
        <v>2229</v>
      </c>
      <c r="J108" s="21"/>
      <c r="K108" s="21"/>
      <c r="L108" s="21"/>
      <c r="M108" s="21"/>
      <c r="N108" s="21"/>
      <c r="O108" s="21"/>
      <c r="P108" s="21"/>
      <c r="Q108" s="21"/>
      <c r="R108" s="21"/>
      <c r="S108" s="21"/>
      <c r="T108" s="21"/>
      <c r="U108" s="21"/>
      <c r="V108" s="21"/>
      <c r="W108" s="21"/>
      <c r="X108" s="21"/>
      <c r="Y108" s="21"/>
      <c r="Z108" s="21"/>
    </row>
    <row r="109" spans="1:26" ht="15.75" customHeight="1" x14ac:dyDescent="0.25">
      <c r="A109" s="11"/>
      <c r="B109" s="22">
        <v>45475</v>
      </c>
      <c r="C109" s="11">
        <v>902</v>
      </c>
      <c r="D109" s="11" t="s">
        <v>4</v>
      </c>
      <c r="E109" s="11" t="s">
        <v>337</v>
      </c>
      <c r="F109" s="11"/>
      <c r="G109" s="190" t="s">
        <v>2233</v>
      </c>
      <c r="H109" s="11"/>
      <c r="I109" s="25" t="s">
        <v>2237</v>
      </c>
      <c r="J109" s="21"/>
      <c r="K109" s="21"/>
      <c r="L109" s="21"/>
      <c r="M109" s="21"/>
      <c r="N109" s="21"/>
      <c r="O109" s="21"/>
      <c r="P109" s="21"/>
      <c r="Q109" s="21"/>
      <c r="R109" s="21"/>
      <c r="S109" s="21"/>
      <c r="T109" s="21"/>
      <c r="U109" s="21"/>
      <c r="V109" s="21"/>
      <c r="W109" s="21"/>
      <c r="X109" s="21"/>
      <c r="Y109" s="21"/>
      <c r="Z109" s="21"/>
    </row>
    <row r="110" spans="1:26" ht="15.75" customHeight="1" x14ac:dyDescent="0.25">
      <c r="A110" s="11"/>
      <c r="B110" s="22">
        <v>45475</v>
      </c>
      <c r="C110" s="11">
        <v>903</v>
      </c>
      <c r="D110" s="11" t="s">
        <v>4</v>
      </c>
      <c r="E110" s="11" t="s">
        <v>327</v>
      </c>
      <c r="F110" s="11"/>
      <c r="G110" s="190" t="s">
        <v>2235</v>
      </c>
      <c r="H110" s="11"/>
      <c r="I110" s="26" t="s">
        <v>2236</v>
      </c>
      <c r="J110" s="21"/>
      <c r="K110" s="21"/>
      <c r="L110" s="21"/>
      <c r="M110" s="21"/>
      <c r="N110" s="21"/>
      <c r="O110" s="21"/>
      <c r="P110" s="21"/>
      <c r="Q110" s="21"/>
      <c r="R110" s="21"/>
      <c r="S110" s="21"/>
      <c r="T110" s="21"/>
      <c r="U110" s="21"/>
      <c r="V110" s="21"/>
      <c r="W110" s="21"/>
      <c r="X110" s="21"/>
      <c r="Y110" s="21"/>
      <c r="Z110" s="21"/>
    </row>
    <row r="111" spans="1:26" ht="15.75" customHeight="1" x14ac:dyDescent="0.25">
      <c r="A111" s="11"/>
      <c r="B111" s="22">
        <v>45475</v>
      </c>
      <c r="C111" s="11">
        <v>904</v>
      </c>
      <c r="D111" s="11" t="s">
        <v>4</v>
      </c>
      <c r="E111" s="11" t="s">
        <v>202</v>
      </c>
      <c r="F111" s="11"/>
      <c r="G111" s="190" t="s">
        <v>2240</v>
      </c>
      <c r="H111" s="11"/>
      <c r="I111" s="25" t="s">
        <v>2239</v>
      </c>
      <c r="J111" s="21"/>
      <c r="K111" s="21"/>
      <c r="L111" s="21"/>
      <c r="M111" s="21"/>
      <c r="N111" s="21"/>
      <c r="O111" s="21"/>
      <c r="P111" s="21"/>
      <c r="Q111" s="21"/>
      <c r="R111" s="21"/>
      <c r="S111" s="21"/>
      <c r="T111" s="21"/>
      <c r="U111" s="21"/>
      <c r="V111" s="21"/>
      <c r="W111" s="21"/>
      <c r="X111" s="21"/>
      <c r="Y111" s="21"/>
      <c r="Z111" s="21"/>
    </row>
    <row r="112" spans="1:26" ht="15.75" customHeight="1" x14ac:dyDescent="0.25">
      <c r="A112" s="11"/>
      <c r="B112" s="22" t="s">
        <v>53</v>
      </c>
      <c r="C112" s="11">
        <v>905</v>
      </c>
      <c r="D112" s="11" t="s">
        <v>63</v>
      </c>
      <c r="E112" s="11">
        <v>0</v>
      </c>
      <c r="F112" s="11"/>
      <c r="G112" s="190" t="s">
        <v>2245</v>
      </c>
      <c r="H112" s="11"/>
      <c r="I112" s="25"/>
      <c r="J112" s="21"/>
      <c r="K112" s="21"/>
      <c r="L112" s="21"/>
      <c r="M112" s="21"/>
      <c r="N112" s="21"/>
      <c r="O112" s="21"/>
      <c r="P112" s="21"/>
      <c r="Q112" s="21"/>
      <c r="R112" s="21"/>
      <c r="S112" s="21"/>
      <c r="T112" s="21"/>
      <c r="U112" s="21"/>
      <c r="V112" s="21"/>
      <c r="W112" s="21"/>
      <c r="X112" s="21"/>
      <c r="Y112" s="21"/>
      <c r="Z112" s="21"/>
    </row>
    <row r="113" spans="1:26" ht="15.75" customHeight="1" x14ac:dyDescent="0.25">
      <c r="A113" s="11"/>
      <c r="B113" s="22">
        <v>45476</v>
      </c>
      <c r="C113" s="11">
        <v>906</v>
      </c>
      <c r="D113" s="11" t="s">
        <v>2216</v>
      </c>
      <c r="E113" s="11" t="s">
        <v>53</v>
      </c>
      <c r="F113" s="11"/>
      <c r="G113" s="190" t="s">
        <v>2246</v>
      </c>
      <c r="H113" s="11"/>
      <c r="I113" s="25"/>
      <c r="J113" s="21"/>
      <c r="K113" s="21"/>
      <c r="L113" s="21"/>
      <c r="M113" s="21"/>
      <c r="N113" s="21"/>
      <c r="O113" s="21"/>
      <c r="P113" s="21"/>
      <c r="Q113" s="21"/>
      <c r="R113" s="21"/>
      <c r="S113" s="21"/>
      <c r="T113" s="21"/>
      <c r="U113" s="21"/>
      <c r="V113" s="21"/>
      <c r="W113" s="21"/>
      <c r="X113" s="21"/>
      <c r="Y113" s="21"/>
      <c r="Z113" s="21"/>
    </row>
    <row r="114" spans="1:26" ht="15.75" customHeight="1" x14ac:dyDescent="0.25">
      <c r="A114" s="11"/>
      <c r="B114" s="22">
        <v>45476</v>
      </c>
      <c r="C114" s="11">
        <v>907</v>
      </c>
      <c r="D114" s="11" t="s">
        <v>4</v>
      </c>
      <c r="E114" s="11" t="s">
        <v>327</v>
      </c>
      <c r="F114" s="11"/>
      <c r="G114" s="190" t="s">
        <v>2248</v>
      </c>
      <c r="H114" s="11"/>
      <c r="I114" s="26" t="s">
        <v>2247</v>
      </c>
      <c r="J114" s="21"/>
      <c r="K114" s="21"/>
      <c r="L114" s="21"/>
      <c r="M114" s="21"/>
      <c r="N114" s="21"/>
      <c r="O114" s="21"/>
      <c r="P114" s="21"/>
      <c r="Q114" s="21"/>
      <c r="R114" s="21"/>
      <c r="S114" s="21"/>
      <c r="T114" s="21"/>
      <c r="U114" s="21"/>
      <c r="V114" s="21"/>
      <c r="W114" s="21"/>
      <c r="X114" s="21"/>
      <c r="Y114" s="21"/>
      <c r="Z114" s="21"/>
    </row>
    <row r="115" spans="1:26" ht="15.75" customHeight="1" x14ac:dyDescent="0.25">
      <c r="A115" s="11"/>
      <c r="B115" s="22">
        <v>45476</v>
      </c>
      <c r="C115" s="11">
        <v>908</v>
      </c>
      <c r="D115" s="11" t="s">
        <v>4</v>
      </c>
      <c r="E115" s="11" t="s">
        <v>168</v>
      </c>
      <c r="F115" s="11"/>
      <c r="G115" s="190" t="s">
        <v>2251</v>
      </c>
      <c r="H115" s="11"/>
      <c r="I115" s="26" t="s">
        <v>2250</v>
      </c>
      <c r="J115" s="21"/>
      <c r="K115" s="21"/>
      <c r="L115" s="21"/>
      <c r="M115" s="21"/>
      <c r="N115" s="21"/>
      <c r="O115" s="21"/>
      <c r="P115" s="21"/>
      <c r="Q115" s="21"/>
      <c r="R115" s="21"/>
      <c r="S115" s="21"/>
      <c r="T115" s="21"/>
      <c r="U115" s="21"/>
      <c r="V115" s="21"/>
      <c r="W115" s="21"/>
      <c r="X115" s="21"/>
      <c r="Y115" s="21"/>
      <c r="Z115" s="21"/>
    </row>
    <row r="116" spans="1:26" ht="15.75" customHeight="1" x14ac:dyDescent="0.25">
      <c r="A116" s="11"/>
      <c r="B116" s="22">
        <v>45477</v>
      </c>
      <c r="C116" s="11">
        <v>909</v>
      </c>
      <c r="D116" s="11" t="s">
        <v>63</v>
      </c>
      <c r="E116" s="11" t="s">
        <v>2252</v>
      </c>
      <c r="F116" s="11"/>
      <c r="G116" s="190" t="s">
        <v>2253</v>
      </c>
      <c r="H116" s="11"/>
      <c r="I116" s="25"/>
      <c r="J116" s="21"/>
      <c r="K116" s="21"/>
      <c r="L116" s="21"/>
      <c r="M116" s="21"/>
      <c r="N116" s="21"/>
      <c r="O116" s="21"/>
      <c r="P116" s="21"/>
      <c r="Q116" s="21"/>
      <c r="R116" s="21"/>
      <c r="S116" s="21"/>
      <c r="T116" s="21"/>
      <c r="U116" s="21"/>
      <c r="V116" s="21"/>
      <c r="W116" s="21"/>
      <c r="X116" s="21"/>
      <c r="Y116" s="21"/>
      <c r="Z116" s="21"/>
    </row>
    <row r="117" spans="1:26" ht="15.75" customHeight="1" x14ac:dyDescent="0.25">
      <c r="A117" s="11"/>
      <c r="B117" s="22">
        <v>45477</v>
      </c>
      <c r="C117" s="11">
        <v>910</v>
      </c>
      <c r="D117" s="11" t="s">
        <v>63</v>
      </c>
      <c r="E117" s="11" t="s">
        <v>2254</v>
      </c>
      <c r="F117" s="11"/>
      <c r="G117" s="190" t="s">
        <v>2255</v>
      </c>
      <c r="H117" s="11"/>
      <c r="I117" s="25"/>
      <c r="J117" s="21"/>
      <c r="K117" s="21"/>
      <c r="L117" s="21"/>
      <c r="M117" s="21"/>
      <c r="N117" s="21"/>
      <c r="O117" s="21"/>
      <c r="P117" s="21"/>
      <c r="Q117" s="21"/>
      <c r="R117" s="21"/>
      <c r="S117" s="21"/>
      <c r="T117" s="21"/>
      <c r="U117" s="21"/>
      <c r="V117" s="21"/>
      <c r="W117" s="21"/>
      <c r="X117" s="21"/>
      <c r="Y117" s="21"/>
      <c r="Z117" s="21"/>
    </row>
    <row r="118" spans="1:26" ht="15.75" customHeight="1" x14ac:dyDescent="0.25">
      <c r="A118" s="11"/>
      <c r="B118" s="22">
        <v>45477</v>
      </c>
      <c r="C118" s="11">
        <v>911</v>
      </c>
      <c r="D118" s="11" t="s">
        <v>66</v>
      </c>
      <c r="E118" s="11" t="s">
        <v>2256</v>
      </c>
      <c r="F118" s="11"/>
      <c r="G118" s="190" t="s">
        <v>2257</v>
      </c>
      <c r="H118" s="11"/>
      <c r="I118" s="25"/>
      <c r="J118" s="21"/>
      <c r="K118" s="21"/>
      <c r="L118" s="21"/>
      <c r="M118" s="21"/>
      <c r="N118" s="21"/>
      <c r="O118" s="21"/>
      <c r="P118" s="21"/>
      <c r="Q118" s="21"/>
      <c r="R118" s="21"/>
      <c r="S118" s="21"/>
      <c r="T118" s="21"/>
      <c r="U118" s="21"/>
      <c r="V118" s="21"/>
      <c r="W118" s="21"/>
      <c r="X118" s="21"/>
      <c r="Y118" s="21"/>
      <c r="Z118" s="21"/>
    </row>
    <row r="119" spans="1:26" ht="15.75" customHeight="1" x14ac:dyDescent="0.25">
      <c r="A119" s="11"/>
      <c r="B119" s="22">
        <v>45477</v>
      </c>
      <c r="C119" s="11">
        <v>912</v>
      </c>
      <c r="D119" s="11" t="s">
        <v>41</v>
      </c>
      <c r="E119" s="11">
        <v>24900303</v>
      </c>
      <c r="F119" s="11"/>
      <c r="G119" s="190" t="s">
        <v>2259</v>
      </c>
      <c r="H119" s="11"/>
      <c r="I119" s="25" t="s">
        <v>2258</v>
      </c>
      <c r="J119" s="21"/>
      <c r="K119" s="21"/>
      <c r="L119" s="21"/>
      <c r="M119" s="21"/>
      <c r="N119" s="21"/>
      <c r="O119" s="21"/>
      <c r="P119" s="21"/>
      <c r="Q119" s="21"/>
      <c r="R119" s="21"/>
      <c r="S119" s="21"/>
      <c r="T119" s="21"/>
      <c r="U119" s="21"/>
      <c r="V119" s="21"/>
      <c r="W119" s="21"/>
      <c r="X119" s="21"/>
      <c r="Y119" s="21"/>
      <c r="Z119" s="21"/>
    </row>
    <row r="120" spans="1:26" ht="15.75" customHeight="1" x14ac:dyDescent="0.25">
      <c r="A120" s="11"/>
      <c r="B120" s="22">
        <v>45477</v>
      </c>
      <c r="C120" s="11">
        <v>913</v>
      </c>
      <c r="D120" s="11" t="s">
        <v>66</v>
      </c>
      <c r="E120" s="11" t="s">
        <v>2260</v>
      </c>
      <c r="F120" s="11"/>
      <c r="G120" s="190" t="s">
        <v>2261</v>
      </c>
      <c r="H120" s="11"/>
      <c r="I120" s="25"/>
      <c r="J120" s="21"/>
      <c r="K120" s="21"/>
      <c r="L120" s="21"/>
      <c r="M120" s="21"/>
      <c r="N120" s="21"/>
      <c r="O120" s="21"/>
      <c r="P120" s="21"/>
      <c r="Q120" s="21"/>
      <c r="R120" s="21"/>
      <c r="S120" s="21"/>
      <c r="T120" s="21"/>
      <c r="U120" s="21"/>
      <c r="V120" s="21"/>
      <c r="W120" s="21"/>
      <c r="X120" s="21"/>
      <c r="Y120" s="21"/>
      <c r="Z120" s="21"/>
    </row>
    <row r="121" spans="1:26" ht="15.75" customHeight="1" x14ac:dyDescent="0.25">
      <c r="A121" s="11"/>
      <c r="B121" s="22">
        <v>45478</v>
      </c>
      <c r="C121" s="11">
        <v>914</v>
      </c>
      <c r="D121" s="11" t="s">
        <v>66</v>
      </c>
      <c r="E121" s="11" t="s">
        <v>2262</v>
      </c>
      <c r="F121" s="11"/>
      <c r="G121" s="190" t="s">
        <v>2263</v>
      </c>
      <c r="H121" s="11"/>
      <c r="I121" s="25"/>
      <c r="J121" s="21"/>
      <c r="K121" s="21"/>
      <c r="L121" s="21"/>
      <c r="M121" s="21"/>
      <c r="N121" s="21"/>
      <c r="O121" s="21"/>
      <c r="P121" s="21"/>
      <c r="Q121" s="21"/>
      <c r="R121" s="21"/>
      <c r="S121" s="21"/>
      <c r="T121" s="21"/>
      <c r="U121" s="21"/>
      <c r="V121" s="21"/>
      <c r="W121" s="21"/>
      <c r="X121" s="21"/>
      <c r="Y121" s="21"/>
      <c r="Z121" s="21"/>
    </row>
    <row r="122" spans="1:26" ht="15.75" customHeight="1" x14ac:dyDescent="0.25">
      <c r="A122" s="11"/>
      <c r="B122" s="22">
        <v>45478</v>
      </c>
      <c r="C122" s="11">
        <v>915</v>
      </c>
      <c r="D122" s="11" t="s">
        <v>4</v>
      </c>
      <c r="E122" s="11" t="s">
        <v>2264</v>
      </c>
      <c r="F122" s="11"/>
      <c r="G122" s="190" t="s">
        <v>2266</v>
      </c>
      <c r="H122" s="11"/>
      <c r="I122" s="25"/>
      <c r="J122" s="21"/>
      <c r="K122" s="21"/>
      <c r="L122" s="21"/>
      <c r="M122" s="21"/>
      <c r="N122" s="21"/>
      <c r="O122" s="21"/>
      <c r="P122" s="21"/>
      <c r="Q122" s="21"/>
      <c r="R122" s="21"/>
      <c r="S122" s="21"/>
      <c r="T122" s="21"/>
      <c r="U122" s="21"/>
      <c r="V122" s="21"/>
      <c r="W122" s="21"/>
      <c r="X122" s="21"/>
      <c r="Y122" s="21"/>
      <c r="Z122" s="21"/>
    </row>
    <row r="123" spans="1:26" ht="15.75" customHeight="1" x14ac:dyDescent="0.25">
      <c r="A123" s="11"/>
      <c r="B123" s="22">
        <v>45478</v>
      </c>
      <c r="C123" s="11">
        <v>916</v>
      </c>
      <c r="D123" s="11" t="s">
        <v>4</v>
      </c>
      <c r="E123" s="11" t="s">
        <v>207</v>
      </c>
      <c r="F123" s="11"/>
      <c r="G123" s="190" t="s">
        <v>2269</v>
      </c>
      <c r="H123" s="11"/>
      <c r="I123" s="26" t="s">
        <v>2268</v>
      </c>
      <c r="J123" s="21"/>
      <c r="K123" s="21"/>
      <c r="L123" s="21"/>
      <c r="M123" s="21"/>
      <c r="N123" s="21"/>
      <c r="O123" s="21"/>
      <c r="P123" s="21"/>
      <c r="Q123" s="21"/>
      <c r="R123" s="21"/>
      <c r="S123" s="21"/>
      <c r="T123" s="21"/>
      <c r="U123" s="21"/>
      <c r="V123" s="21"/>
      <c r="W123" s="21"/>
      <c r="X123" s="21"/>
      <c r="Y123" s="21"/>
      <c r="Z123" s="21"/>
    </row>
    <row r="124" spans="1:26" ht="15.75" customHeight="1" x14ac:dyDescent="0.25">
      <c r="A124" s="11"/>
      <c r="B124" s="22">
        <v>45478</v>
      </c>
      <c r="C124" s="11">
        <v>917</v>
      </c>
      <c r="D124" s="11" t="s">
        <v>4</v>
      </c>
      <c r="E124" s="11" t="s">
        <v>207</v>
      </c>
      <c r="F124" s="11"/>
      <c r="G124" s="190" t="s">
        <v>2271</v>
      </c>
      <c r="H124" s="11"/>
      <c r="I124" s="26" t="s">
        <v>2270</v>
      </c>
      <c r="J124" s="21"/>
      <c r="K124" s="21"/>
      <c r="L124" s="21"/>
      <c r="M124" s="21"/>
      <c r="N124" s="21"/>
      <c r="O124" s="21"/>
      <c r="P124" s="21"/>
      <c r="Q124" s="21"/>
      <c r="R124" s="21"/>
      <c r="S124" s="21"/>
      <c r="T124" s="21"/>
      <c r="U124" s="21"/>
      <c r="V124" s="21"/>
      <c r="W124" s="21"/>
      <c r="X124" s="21"/>
      <c r="Y124" s="21"/>
      <c r="Z124" s="21"/>
    </row>
    <row r="125" spans="1:26" ht="15.75" customHeight="1" x14ac:dyDescent="0.25">
      <c r="A125" s="11"/>
      <c r="B125" s="22">
        <v>45482</v>
      </c>
      <c r="C125" s="11">
        <v>918</v>
      </c>
      <c r="D125" s="11" t="s">
        <v>41</v>
      </c>
      <c r="E125" s="11">
        <v>24900693</v>
      </c>
      <c r="F125" s="11"/>
      <c r="G125" s="190" t="s">
        <v>2273</v>
      </c>
      <c r="H125" s="11"/>
      <c r="I125" s="25"/>
      <c r="J125" s="21"/>
      <c r="K125" s="21"/>
      <c r="L125" s="21"/>
      <c r="M125" s="21"/>
      <c r="N125" s="21"/>
      <c r="O125" s="21"/>
      <c r="P125" s="21"/>
      <c r="Q125" s="21"/>
      <c r="R125" s="21"/>
      <c r="S125" s="21"/>
      <c r="T125" s="21"/>
      <c r="U125" s="21"/>
      <c r="V125" s="21"/>
      <c r="W125" s="21"/>
      <c r="X125" s="21"/>
      <c r="Y125" s="21"/>
      <c r="Z125" s="21"/>
    </row>
    <row r="126" spans="1:26" ht="15.75" customHeight="1" x14ac:dyDescent="0.25">
      <c r="A126" s="11"/>
      <c r="B126" s="22">
        <v>45482</v>
      </c>
      <c r="C126" s="11">
        <v>919</v>
      </c>
      <c r="D126" s="11" t="s">
        <v>41</v>
      </c>
      <c r="E126" s="11">
        <v>24900697</v>
      </c>
      <c r="F126" s="11"/>
      <c r="G126" s="190" t="s">
        <v>2274</v>
      </c>
      <c r="H126" s="11"/>
      <c r="I126" s="25"/>
      <c r="J126" s="21"/>
      <c r="K126" s="21"/>
      <c r="L126" s="21"/>
      <c r="M126" s="21"/>
      <c r="N126" s="21"/>
      <c r="O126" s="21"/>
      <c r="P126" s="21"/>
      <c r="Q126" s="21"/>
      <c r="R126" s="21"/>
      <c r="S126" s="21"/>
      <c r="T126" s="21"/>
      <c r="U126" s="21"/>
      <c r="V126" s="21"/>
      <c r="W126" s="21"/>
      <c r="X126" s="21"/>
      <c r="Y126" s="21"/>
      <c r="Z126" s="21"/>
    </row>
    <row r="127" spans="1:26" ht="15.75" customHeight="1" x14ac:dyDescent="0.25">
      <c r="A127" s="11"/>
      <c r="B127" s="22">
        <v>45482</v>
      </c>
      <c r="C127" s="11">
        <v>920</v>
      </c>
      <c r="D127" s="11" t="s">
        <v>41</v>
      </c>
      <c r="E127" s="11">
        <v>24900690</v>
      </c>
      <c r="F127" s="11"/>
      <c r="G127" s="190" t="s">
        <v>2275</v>
      </c>
      <c r="H127" s="11" t="s">
        <v>2277</v>
      </c>
      <c r="I127" s="25" t="s">
        <v>2276</v>
      </c>
      <c r="J127" s="21"/>
      <c r="K127" s="21"/>
      <c r="L127" s="21"/>
      <c r="M127" s="21"/>
      <c r="N127" s="21"/>
      <c r="O127" s="21"/>
      <c r="P127" s="21"/>
      <c r="Q127" s="21"/>
      <c r="R127" s="21"/>
      <c r="S127" s="21"/>
      <c r="T127" s="21"/>
      <c r="U127" s="21"/>
      <c r="V127" s="21"/>
      <c r="W127" s="21"/>
      <c r="X127" s="21"/>
      <c r="Y127" s="21"/>
      <c r="Z127" s="21"/>
    </row>
    <row r="128" spans="1:26" ht="15.75" customHeight="1" x14ac:dyDescent="0.25">
      <c r="A128" s="11"/>
      <c r="B128" s="22">
        <v>45483</v>
      </c>
      <c r="C128" s="11">
        <v>921</v>
      </c>
      <c r="D128" s="11" t="s">
        <v>41</v>
      </c>
      <c r="E128" s="11">
        <v>24900690</v>
      </c>
      <c r="F128" s="11"/>
      <c r="G128" s="190" t="s">
        <v>2280</v>
      </c>
      <c r="H128" s="11" t="s">
        <v>2278</v>
      </c>
      <c r="I128" s="25" t="s">
        <v>2279</v>
      </c>
      <c r="J128" s="21"/>
      <c r="K128" s="21"/>
      <c r="L128" s="21"/>
      <c r="M128" s="21"/>
      <c r="N128" s="21"/>
      <c r="O128" s="21"/>
      <c r="P128" s="21"/>
      <c r="Q128" s="21"/>
      <c r="R128" s="21"/>
      <c r="S128" s="21"/>
      <c r="T128" s="21"/>
      <c r="U128" s="21"/>
      <c r="V128" s="21"/>
      <c r="W128" s="21"/>
      <c r="X128" s="21"/>
      <c r="Y128" s="21"/>
      <c r="Z128" s="21"/>
    </row>
    <row r="129" spans="1:26" ht="15.75" customHeight="1" x14ac:dyDescent="0.25">
      <c r="A129" s="11"/>
      <c r="B129" s="22">
        <v>45483</v>
      </c>
      <c r="C129" s="11">
        <v>922</v>
      </c>
      <c r="D129" s="11" t="s">
        <v>66</v>
      </c>
      <c r="E129" s="11" t="s">
        <v>2281</v>
      </c>
      <c r="F129" s="11"/>
      <c r="G129" s="190" t="s">
        <v>2282</v>
      </c>
      <c r="H129" s="11"/>
      <c r="I129" s="25"/>
      <c r="J129" s="21"/>
      <c r="K129" s="21"/>
      <c r="L129" s="21"/>
      <c r="M129" s="21"/>
      <c r="N129" s="21"/>
      <c r="O129" s="21"/>
      <c r="P129" s="21"/>
      <c r="Q129" s="21"/>
      <c r="R129" s="21"/>
      <c r="S129" s="21"/>
      <c r="T129" s="21"/>
      <c r="U129" s="21"/>
      <c r="V129" s="21"/>
      <c r="W129" s="21"/>
      <c r="X129" s="21"/>
      <c r="Y129" s="21"/>
      <c r="Z129" s="21"/>
    </row>
    <row r="130" spans="1:26" ht="15.75" customHeight="1" x14ac:dyDescent="0.25">
      <c r="A130" s="11"/>
      <c r="B130" s="22">
        <v>45483</v>
      </c>
      <c r="C130" s="11">
        <v>923</v>
      </c>
      <c r="D130" s="11" t="s">
        <v>66</v>
      </c>
      <c r="E130" s="11" t="s">
        <v>2283</v>
      </c>
      <c r="F130" s="11"/>
      <c r="G130" s="190" t="s">
        <v>2284</v>
      </c>
      <c r="H130" s="11"/>
      <c r="I130" s="25"/>
      <c r="J130" s="21"/>
      <c r="K130" s="21"/>
      <c r="L130" s="21"/>
      <c r="M130" s="21"/>
      <c r="N130" s="21"/>
      <c r="O130" s="21"/>
      <c r="P130" s="21"/>
      <c r="Q130" s="21"/>
      <c r="R130" s="21"/>
      <c r="S130" s="21"/>
      <c r="T130" s="21"/>
      <c r="U130" s="21"/>
      <c r="V130" s="21"/>
      <c r="W130" s="21"/>
      <c r="X130" s="21"/>
      <c r="Y130" s="21"/>
      <c r="Z130" s="21"/>
    </row>
    <row r="131" spans="1:26" ht="15.75" customHeight="1" x14ac:dyDescent="0.25">
      <c r="A131" s="11"/>
      <c r="B131" s="22">
        <v>45485</v>
      </c>
      <c r="C131" s="11">
        <v>924</v>
      </c>
      <c r="D131" s="11" t="s">
        <v>66</v>
      </c>
      <c r="E131" s="11" t="s">
        <v>2285</v>
      </c>
      <c r="F131" s="11"/>
      <c r="G131" s="190" t="s">
        <v>2286</v>
      </c>
      <c r="H131" s="11"/>
      <c r="I131" s="25"/>
      <c r="J131" s="21"/>
      <c r="K131" s="21"/>
      <c r="L131" s="21"/>
      <c r="M131" s="21"/>
      <c r="N131" s="21"/>
      <c r="O131" s="21"/>
      <c r="P131" s="21"/>
      <c r="Q131" s="21"/>
      <c r="R131" s="21"/>
      <c r="S131" s="21"/>
      <c r="T131" s="21"/>
      <c r="U131" s="21"/>
      <c r="V131" s="21"/>
      <c r="W131" s="21"/>
      <c r="X131" s="21"/>
      <c r="Y131" s="21"/>
      <c r="Z131" s="21"/>
    </row>
    <row r="132" spans="1:26" ht="15.75" customHeight="1" x14ac:dyDescent="0.25">
      <c r="A132" s="11"/>
      <c r="B132" s="22">
        <v>45485</v>
      </c>
      <c r="C132" s="11">
        <v>925</v>
      </c>
      <c r="D132" s="11" t="s">
        <v>2216</v>
      </c>
      <c r="E132" s="11" t="s">
        <v>53</v>
      </c>
      <c r="F132" s="11"/>
      <c r="G132" s="190" t="s">
        <v>2287</v>
      </c>
      <c r="H132" s="11"/>
      <c r="I132" s="25"/>
      <c r="J132" s="21"/>
      <c r="K132" s="21"/>
      <c r="L132" s="21"/>
      <c r="M132" s="21"/>
      <c r="N132" s="21"/>
      <c r="O132" s="21"/>
      <c r="P132" s="21"/>
      <c r="Q132" s="21"/>
      <c r="R132" s="21"/>
      <c r="S132" s="21"/>
      <c r="T132" s="21"/>
      <c r="U132" s="21"/>
      <c r="V132" s="21"/>
      <c r="W132" s="21"/>
      <c r="X132" s="21"/>
      <c r="Y132" s="21"/>
      <c r="Z132" s="21"/>
    </row>
    <row r="133" spans="1:26" ht="15.75" customHeight="1" x14ac:dyDescent="0.25">
      <c r="A133" s="11"/>
      <c r="B133" s="22">
        <v>45488</v>
      </c>
      <c r="C133" s="11">
        <v>926</v>
      </c>
      <c r="D133" s="11" t="s">
        <v>66</v>
      </c>
      <c r="E133" s="11" t="s">
        <v>2288</v>
      </c>
      <c r="F133" s="11"/>
      <c r="G133" s="190" t="s">
        <v>2289</v>
      </c>
      <c r="H133" s="11"/>
      <c r="I133" s="25"/>
      <c r="J133" s="21"/>
      <c r="K133" s="21"/>
      <c r="L133" s="21"/>
      <c r="M133" s="21"/>
      <c r="N133" s="21"/>
      <c r="O133" s="21"/>
      <c r="P133" s="21"/>
      <c r="Q133" s="21"/>
      <c r="R133" s="21"/>
      <c r="S133" s="21"/>
      <c r="T133" s="21"/>
      <c r="U133" s="21"/>
      <c r="V133" s="21"/>
      <c r="W133" s="21"/>
      <c r="X133" s="21"/>
      <c r="Y133" s="21"/>
      <c r="Z133" s="21"/>
    </row>
    <row r="134" spans="1:26" ht="15.75" customHeight="1" x14ac:dyDescent="0.25">
      <c r="A134" s="11"/>
      <c r="B134" s="22">
        <v>45489</v>
      </c>
      <c r="C134" s="11">
        <v>927</v>
      </c>
      <c r="D134" s="11" t="s">
        <v>44</v>
      </c>
      <c r="E134" s="11">
        <v>4714043184</v>
      </c>
      <c r="F134" s="11"/>
      <c r="G134" s="190" t="s">
        <v>2290</v>
      </c>
      <c r="H134" s="11">
        <v>7</v>
      </c>
      <c r="I134" s="25"/>
      <c r="J134" s="21"/>
      <c r="K134" s="21"/>
      <c r="L134" s="21"/>
      <c r="M134" s="21"/>
      <c r="N134" s="21"/>
      <c r="O134" s="21"/>
      <c r="P134" s="21"/>
      <c r="Q134" s="21"/>
      <c r="R134" s="21"/>
      <c r="S134" s="21"/>
      <c r="T134" s="21"/>
      <c r="U134" s="21"/>
      <c r="V134" s="21"/>
      <c r="W134" s="21"/>
      <c r="X134" s="21"/>
      <c r="Y134" s="21"/>
      <c r="Z134" s="21"/>
    </row>
    <row r="135" spans="1:26" ht="15.75" customHeight="1" x14ac:dyDescent="0.25">
      <c r="A135" s="11"/>
      <c r="B135" s="22">
        <v>45489</v>
      </c>
      <c r="C135" s="11">
        <v>928</v>
      </c>
      <c r="D135" s="11" t="s">
        <v>41</v>
      </c>
      <c r="E135" s="11">
        <v>24900727</v>
      </c>
      <c r="F135" s="11"/>
      <c r="G135" s="190" t="s">
        <v>2291</v>
      </c>
      <c r="H135" s="11">
        <v>7</v>
      </c>
      <c r="I135" s="25"/>
      <c r="J135" s="21"/>
      <c r="K135" s="21"/>
      <c r="L135" s="21"/>
      <c r="M135" s="21"/>
      <c r="N135" s="21"/>
      <c r="O135" s="21"/>
      <c r="P135" s="21"/>
      <c r="Q135" s="21"/>
      <c r="R135" s="21"/>
      <c r="S135" s="21"/>
      <c r="T135" s="21"/>
      <c r="U135" s="21"/>
      <c r="V135" s="21"/>
      <c r="W135" s="21"/>
      <c r="X135" s="21"/>
      <c r="Y135" s="21"/>
      <c r="Z135" s="21"/>
    </row>
    <row r="136" spans="1:26" ht="15.75" customHeight="1" x14ac:dyDescent="0.25">
      <c r="A136" s="11"/>
      <c r="B136" s="22">
        <v>45495</v>
      </c>
      <c r="C136" s="11">
        <v>929</v>
      </c>
      <c r="D136" s="11" t="s">
        <v>44</v>
      </c>
      <c r="E136" s="11">
        <v>4714043236</v>
      </c>
      <c r="F136" s="11"/>
      <c r="G136" s="190" t="s">
        <v>2293</v>
      </c>
      <c r="H136" s="11" t="s">
        <v>2292</v>
      </c>
      <c r="I136" s="25"/>
      <c r="J136" s="21"/>
      <c r="K136" s="21"/>
      <c r="L136" s="21"/>
      <c r="M136" s="21"/>
      <c r="N136" s="21"/>
      <c r="O136" s="21"/>
      <c r="P136" s="21"/>
      <c r="Q136" s="21"/>
      <c r="R136" s="21"/>
      <c r="S136" s="21"/>
      <c r="T136" s="21"/>
      <c r="U136" s="21"/>
      <c r="V136" s="21"/>
      <c r="W136" s="21"/>
      <c r="X136" s="21"/>
      <c r="Y136" s="21"/>
      <c r="Z136" s="21"/>
    </row>
    <row r="137" spans="1:26" ht="15.75" customHeight="1" x14ac:dyDescent="0.25">
      <c r="A137" s="11"/>
      <c r="B137" s="22">
        <v>45495</v>
      </c>
      <c r="C137" s="11">
        <v>930</v>
      </c>
      <c r="D137" s="11" t="s">
        <v>44</v>
      </c>
      <c r="E137" s="11">
        <v>4714043221</v>
      </c>
      <c r="F137" s="11"/>
      <c r="G137" s="190" t="s">
        <v>2295</v>
      </c>
      <c r="H137" s="11" t="s">
        <v>2292</v>
      </c>
      <c r="I137" s="25" t="s">
        <v>2294</v>
      </c>
      <c r="J137" s="21"/>
      <c r="K137" s="21"/>
      <c r="L137" s="21"/>
      <c r="M137" s="21"/>
      <c r="N137" s="21"/>
      <c r="O137" s="21"/>
      <c r="P137" s="21"/>
      <c r="Q137" s="21"/>
      <c r="R137" s="21"/>
      <c r="S137" s="21"/>
      <c r="T137" s="21"/>
      <c r="U137" s="21"/>
      <c r="V137" s="21"/>
      <c r="W137" s="21"/>
      <c r="X137" s="21"/>
      <c r="Y137" s="21"/>
      <c r="Z137" s="21"/>
    </row>
    <row r="138" spans="1:26" ht="15.75" customHeight="1" x14ac:dyDescent="0.25">
      <c r="A138" s="11"/>
      <c r="B138" s="22">
        <v>45499</v>
      </c>
      <c r="C138" s="11">
        <v>931</v>
      </c>
      <c r="D138" s="11" t="s">
        <v>44</v>
      </c>
      <c r="E138" s="11">
        <v>4714043221</v>
      </c>
      <c r="F138" s="11"/>
      <c r="G138" s="190" t="s">
        <v>2297</v>
      </c>
      <c r="H138" s="11" t="s">
        <v>2292</v>
      </c>
      <c r="I138" s="25" t="s">
        <v>2296</v>
      </c>
      <c r="J138" s="21"/>
      <c r="K138" s="21"/>
      <c r="L138" s="21"/>
      <c r="M138" s="21"/>
      <c r="N138" s="21"/>
      <c r="O138" s="21"/>
      <c r="P138" s="21"/>
      <c r="Q138" s="21"/>
      <c r="R138" s="21"/>
      <c r="S138" s="21"/>
      <c r="T138" s="21"/>
      <c r="U138" s="21"/>
      <c r="V138" s="21"/>
      <c r="W138" s="21"/>
      <c r="X138" s="21"/>
      <c r="Y138" s="21"/>
      <c r="Z138" s="21"/>
    </row>
    <row r="139" spans="1:26" ht="15.75" customHeight="1" x14ac:dyDescent="0.25">
      <c r="A139" s="11"/>
      <c r="B139" s="22">
        <v>45504</v>
      </c>
      <c r="C139" s="11">
        <v>933</v>
      </c>
      <c r="D139" s="11" t="s">
        <v>2298</v>
      </c>
      <c r="E139" s="11" t="s">
        <v>2299</v>
      </c>
      <c r="F139" s="11"/>
      <c r="G139" s="190" t="s">
        <v>2301</v>
      </c>
      <c r="H139" s="11" t="s">
        <v>2292</v>
      </c>
      <c r="I139" s="25"/>
      <c r="J139" s="21"/>
      <c r="K139" s="21"/>
      <c r="L139" s="21"/>
      <c r="M139" s="21"/>
      <c r="N139" s="21"/>
      <c r="O139" s="21"/>
      <c r="P139" s="21"/>
      <c r="Q139" s="21"/>
      <c r="R139" s="21"/>
      <c r="S139" s="21"/>
      <c r="T139" s="21"/>
      <c r="U139" s="21"/>
      <c r="V139" s="21"/>
      <c r="W139" s="21"/>
      <c r="X139" s="21"/>
      <c r="Y139" s="21"/>
      <c r="Z139" s="21"/>
    </row>
    <row r="140" spans="1:26" ht="15.75" customHeight="1" x14ac:dyDescent="0.25">
      <c r="A140" s="11"/>
      <c r="B140" s="22">
        <v>45505</v>
      </c>
      <c r="C140" s="11">
        <v>934</v>
      </c>
      <c r="D140" s="11" t="s">
        <v>2302</v>
      </c>
      <c r="E140" s="11" t="s">
        <v>2303</v>
      </c>
      <c r="F140" s="11"/>
      <c r="G140" s="190" t="s">
        <v>2307</v>
      </c>
      <c r="H140" s="11" t="s">
        <v>2306</v>
      </c>
      <c r="I140" s="25"/>
      <c r="J140" s="21"/>
      <c r="K140" s="21"/>
      <c r="L140" s="21"/>
      <c r="M140" s="21"/>
      <c r="N140" s="21"/>
      <c r="O140" s="21"/>
      <c r="P140" s="21"/>
      <c r="Q140" s="21"/>
      <c r="R140" s="21"/>
      <c r="S140" s="21"/>
      <c r="T140" s="21"/>
      <c r="U140" s="21"/>
      <c r="V140" s="21"/>
      <c r="W140" s="21"/>
      <c r="X140" s="21"/>
      <c r="Y140" s="21"/>
      <c r="Z140" s="21"/>
    </row>
    <row r="141" spans="1:26" ht="15.75" customHeight="1" x14ac:dyDescent="0.25">
      <c r="A141" s="11"/>
      <c r="B141" s="22">
        <v>45506</v>
      </c>
      <c r="C141" s="11">
        <v>935</v>
      </c>
      <c r="D141" s="11" t="s">
        <v>44</v>
      </c>
      <c r="E141" s="11">
        <v>4714043225</v>
      </c>
      <c r="F141" s="11"/>
      <c r="G141" s="190" t="s">
        <v>2308</v>
      </c>
      <c r="H141" s="11" t="s">
        <v>2292</v>
      </c>
      <c r="I141" s="25"/>
      <c r="J141" s="21"/>
      <c r="K141" s="21"/>
      <c r="L141" s="21"/>
      <c r="M141" s="21"/>
      <c r="N141" s="21"/>
      <c r="O141" s="21"/>
      <c r="P141" s="21"/>
      <c r="Q141" s="21"/>
      <c r="R141" s="21"/>
      <c r="S141" s="21"/>
      <c r="T141" s="21"/>
      <c r="U141" s="21"/>
      <c r="V141" s="21"/>
      <c r="W141" s="21"/>
      <c r="X141" s="21"/>
      <c r="Y141" s="21"/>
      <c r="Z141" s="21"/>
    </row>
    <row r="142" spans="1:26" ht="15.75" customHeight="1" x14ac:dyDescent="0.25">
      <c r="A142" s="11"/>
      <c r="B142" s="22">
        <v>45506</v>
      </c>
      <c r="C142" s="11">
        <v>936</v>
      </c>
      <c r="D142" s="11" t="s">
        <v>44</v>
      </c>
      <c r="E142" s="11">
        <v>4714043340</v>
      </c>
      <c r="F142" s="11"/>
      <c r="G142" s="190" t="s">
        <v>2310</v>
      </c>
      <c r="H142" s="11" t="s">
        <v>2306</v>
      </c>
      <c r="I142" s="25" t="s">
        <v>2309</v>
      </c>
      <c r="J142" s="21"/>
      <c r="K142" s="21"/>
      <c r="L142" s="21"/>
      <c r="M142" s="21"/>
      <c r="N142" s="21"/>
      <c r="O142" s="21"/>
      <c r="P142" s="21"/>
      <c r="Q142" s="21"/>
      <c r="R142" s="21"/>
      <c r="S142" s="21"/>
      <c r="T142" s="21"/>
      <c r="U142" s="21"/>
      <c r="V142" s="21"/>
      <c r="W142" s="21"/>
      <c r="X142" s="21"/>
      <c r="Y142" s="21"/>
      <c r="Z142" s="21"/>
    </row>
    <row r="143" spans="1:26" ht="15.75" customHeight="1" x14ac:dyDescent="0.25">
      <c r="A143" s="11"/>
      <c r="B143" s="22">
        <v>45506</v>
      </c>
      <c r="C143" s="11">
        <v>937</v>
      </c>
      <c r="D143" s="11" t="s">
        <v>2311</v>
      </c>
      <c r="E143" s="11">
        <v>4000237275</v>
      </c>
      <c r="F143" s="11"/>
      <c r="G143" s="190" t="s">
        <v>2314</v>
      </c>
      <c r="H143" s="11" t="s">
        <v>2306</v>
      </c>
      <c r="I143" s="25">
        <v>7</v>
      </c>
      <c r="J143" s="21"/>
      <c r="K143" s="21"/>
      <c r="L143" s="21"/>
      <c r="M143" s="21"/>
      <c r="N143" s="21"/>
      <c r="O143" s="21"/>
      <c r="P143" s="21"/>
      <c r="Q143" s="21"/>
      <c r="R143" s="21"/>
      <c r="S143" s="21"/>
      <c r="T143" s="21"/>
      <c r="U143" s="21"/>
      <c r="V143" s="21"/>
      <c r="W143" s="21"/>
      <c r="X143" s="21"/>
      <c r="Y143" s="21"/>
      <c r="Z143" s="21"/>
    </row>
    <row r="144" spans="1:26" ht="15.75" customHeight="1" x14ac:dyDescent="0.25">
      <c r="A144" s="11"/>
      <c r="B144" s="22">
        <v>45509</v>
      </c>
      <c r="C144" s="11">
        <v>938</v>
      </c>
      <c r="D144" s="11" t="s">
        <v>44</v>
      </c>
      <c r="E144" s="11">
        <v>4714043225</v>
      </c>
      <c r="F144" s="11"/>
      <c r="G144" s="190" t="s">
        <v>2315</v>
      </c>
      <c r="H144" s="11" t="s">
        <v>2292</v>
      </c>
      <c r="I144" s="25"/>
      <c r="J144" s="21"/>
      <c r="K144" s="21"/>
      <c r="L144" s="21"/>
      <c r="M144" s="21"/>
      <c r="N144" s="21"/>
      <c r="O144" s="21"/>
      <c r="P144" s="21"/>
      <c r="Q144" s="21"/>
      <c r="R144" s="21"/>
      <c r="S144" s="21"/>
      <c r="T144" s="21"/>
      <c r="U144" s="21"/>
      <c r="V144" s="21"/>
      <c r="W144" s="21"/>
      <c r="X144" s="21"/>
      <c r="Y144" s="21"/>
      <c r="Z144" s="21"/>
    </row>
    <row r="145" spans="1:26" ht="15.75" customHeight="1" x14ac:dyDescent="0.25">
      <c r="A145" s="11"/>
      <c r="B145" s="22">
        <v>45509</v>
      </c>
      <c r="C145" s="11">
        <v>939</v>
      </c>
      <c r="D145" s="11" t="s">
        <v>2216</v>
      </c>
      <c r="E145" s="11" t="s">
        <v>2317</v>
      </c>
      <c r="F145" s="11"/>
      <c r="G145" s="190" t="s">
        <v>2318</v>
      </c>
      <c r="H145" s="11" t="s">
        <v>2292</v>
      </c>
      <c r="I145" s="25" t="s">
        <v>2316</v>
      </c>
      <c r="J145" s="21"/>
      <c r="K145" s="21"/>
      <c r="L145" s="21"/>
      <c r="M145" s="21"/>
      <c r="N145" s="21"/>
      <c r="O145" s="21"/>
      <c r="P145" s="21"/>
      <c r="Q145" s="21"/>
      <c r="R145" s="21"/>
      <c r="S145" s="21"/>
      <c r="T145" s="21"/>
      <c r="U145" s="21"/>
      <c r="V145" s="21"/>
      <c r="W145" s="21"/>
      <c r="X145" s="21"/>
      <c r="Y145" s="21"/>
      <c r="Z145" s="21"/>
    </row>
    <row r="146" spans="1:26" ht="15.75" customHeight="1" x14ac:dyDescent="0.25">
      <c r="A146" s="11"/>
      <c r="B146" s="22">
        <v>45511</v>
      </c>
      <c r="C146" s="11">
        <v>940</v>
      </c>
      <c r="D146" s="11" t="s">
        <v>44</v>
      </c>
      <c r="E146" s="11">
        <v>4714043369</v>
      </c>
      <c r="F146" s="11"/>
      <c r="G146" s="190" t="s">
        <v>2319</v>
      </c>
      <c r="H146" s="11" t="s">
        <v>2306</v>
      </c>
      <c r="I146" s="25">
        <v>7</v>
      </c>
      <c r="J146" s="21"/>
      <c r="K146" s="21"/>
      <c r="L146" s="21"/>
      <c r="M146" s="21"/>
      <c r="N146" s="21"/>
      <c r="O146" s="21"/>
      <c r="P146" s="21"/>
      <c r="Q146" s="21"/>
      <c r="R146" s="21"/>
      <c r="S146" s="21"/>
      <c r="T146" s="21"/>
      <c r="U146" s="21"/>
      <c r="V146" s="21"/>
      <c r="W146" s="21"/>
      <c r="X146" s="21"/>
      <c r="Y146" s="21"/>
      <c r="Z146" s="21"/>
    </row>
    <row r="147" spans="1:26" ht="15.75" customHeight="1" x14ac:dyDescent="0.25">
      <c r="A147" s="11"/>
      <c r="B147" s="22">
        <v>45516</v>
      </c>
      <c r="C147" s="11">
        <v>941</v>
      </c>
      <c r="D147" s="11" t="s">
        <v>44</v>
      </c>
      <c r="E147" s="11">
        <v>4714043340</v>
      </c>
      <c r="F147" s="11"/>
      <c r="G147" s="190" t="s">
        <v>2320</v>
      </c>
      <c r="H147" s="11" t="s">
        <v>2306</v>
      </c>
      <c r="I147" s="25">
        <v>7</v>
      </c>
      <c r="J147" s="21"/>
      <c r="K147" s="21"/>
      <c r="L147" s="21"/>
      <c r="M147" s="21"/>
      <c r="N147" s="21"/>
      <c r="O147" s="21"/>
      <c r="P147" s="21"/>
      <c r="Q147" s="21"/>
      <c r="R147" s="21"/>
      <c r="S147" s="21"/>
      <c r="T147" s="21"/>
      <c r="U147" s="21"/>
      <c r="V147" s="21"/>
      <c r="W147" s="21"/>
      <c r="X147" s="21"/>
      <c r="Y147" s="21"/>
      <c r="Z147" s="21"/>
    </row>
    <row r="148" spans="1:26" ht="15.75" customHeight="1" x14ac:dyDescent="0.25">
      <c r="A148" s="11"/>
      <c r="B148" s="22">
        <v>45516</v>
      </c>
      <c r="C148" s="11">
        <v>942</v>
      </c>
      <c r="D148" s="11" t="s">
        <v>4</v>
      </c>
      <c r="E148" s="11" t="s">
        <v>2321</v>
      </c>
      <c r="F148" s="11"/>
      <c r="G148" s="190" t="s">
        <v>2322</v>
      </c>
      <c r="H148" s="11"/>
      <c r="I148" s="25"/>
      <c r="J148" s="21"/>
      <c r="K148" s="21"/>
      <c r="L148" s="21"/>
      <c r="M148" s="21"/>
      <c r="N148" s="21"/>
      <c r="O148" s="21"/>
      <c r="P148" s="21"/>
      <c r="Q148" s="21"/>
      <c r="R148" s="21"/>
      <c r="S148" s="21"/>
      <c r="T148" s="21"/>
      <c r="U148" s="21"/>
      <c r="V148" s="21"/>
      <c r="W148" s="21"/>
      <c r="X148" s="21"/>
      <c r="Y148" s="21"/>
      <c r="Z148" s="21"/>
    </row>
    <row r="149" spans="1:26" ht="15.75" customHeight="1" x14ac:dyDescent="0.25">
      <c r="A149" s="11"/>
      <c r="B149" s="22">
        <v>45517</v>
      </c>
      <c r="C149" s="11">
        <v>943</v>
      </c>
      <c r="D149" s="11" t="s">
        <v>2311</v>
      </c>
      <c r="E149" s="11">
        <v>4000235459</v>
      </c>
      <c r="F149" s="11"/>
      <c r="G149" s="190" t="s">
        <v>2323</v>
      </c>
      <c r="H149" s="11"/>
      <c r="I149" s="25"/>
      <c r="J149" s="21"/>
      <c r="K149" s="21"/>
      <c r="L149" s="21"/>
      <c r="M149" s="21"/>
      <c r="N149" s="21"/>
      <c r="O149" s="21"/>
      <c r="P149" s="21"/>
      <c r="Q149" s="21"/>
      <c r="R149" s="21"/>
      <c r="S149" s="21"/>
      <c r="T149" s="21"/>
      <c r="U149" s="21"/>
      <c r="V149" s="21"/>
      <c r="W149" s="21"/>
      <c r="X149" s="21"/>
      <c r="Y149" s="21"/>
      <c r="Z149" s="21"/>
    </row>
    <row r="150" spans="1:26" ht="15.75" customHeight="1" x14ac:dyDescent="0.25">
      <c r="A150" s="11"/>
      <c r="B150" s="22">
        <v>45523</v>
      </c>
      <c r="C150" s="11">
        <v>944</v>
      </c>
      <c r="D150" s="11" t="s">
        <v>44</v>
      </c>
      <c r="E150" s="11">
        <v>4714043436</v>
      </c>
      <c r="F150" s="11"/>
      <c r="G150" s="190" t="s">
        <v>2324</v>
      </c>
      <c r="H150" s="11" t="s">
        <v>2292</v>
      </c>
      <c r="I150" s="25"/>
      <c r="J150" s="21"/>
      <c r="K150" s="21"/>
      <c r="L150" s="21"/>
      <c r="M150" s="21"/>
      <c r="N150" s="21"/>
      <c r="O150" s="21"/>
      <c r="P150" s="21"/>
      <c r="Q150" s="21"/>
      <c r="R150" s="21"/>
      <c r="S150" s="21"/>
      <c r="T150" s="21"/>
      <c r="U150" s="21"/>
      <c r="V150" s="21"/>
      <c r="W150" s="21"/>
      <c r="X150" s="21"/>
      <c r="Y150" s="21"/>
      <c r="Z150" s="21"/>
    </row>
    <row r="151" spans="1:26" ht="15.75" customHeight="1" x14ac:dyDescent="0.25">
      <c r="A151" s="11"/>
      <c r="B151" s="22">
        <v>45523</v>
      </c>
      <c r="C151" s="11">
        <v>945</v>
      </c>
      <c r="D151" s="11" t="s">
        <v>44</v>
      </c>
      <c r="E151" s="11">
        <v>4714043520</v>
      </c>
      <c r="F151" s="11"/>
      <c r="G151" s="190" t="s">
        <v>2325</v>
      </c>
      <c r="H151" s="11" t="s">
        <v>2306</v>
      </c>
      <c r="I151" s="25">
        <v>7</v>
      </c>
      <c r="J151" s="21"/>
      <c r="K151" s="21"/>
      <c r="L151" s="21"/>
      <c r="M151" s="21"/>
      <c r="N151" s="21"/>
      <c r="O151" s="21"/>
      <c r="P151" s="21"/>
      <c r="Q151" s="21"/>
      <c r="R151" s="21"/>
      <c r="S151" s="21"/>
      <c r="T151" s="21"/>
      <c r="U151" s="21"/>
      <c r="V151" s="21"/>
      <c r="W151" s="21"/>
      <c r="X151" s="21"/>
      <c r="Y151" s="21"/>
      <c r="Z151" s="21"/>
    </row>
    <row r="152" spans="1:26" ht="15.75" customHeight="1" x14ac:dyDescent="0.25">
      <c r="A152" s="11"/>
      <c r="B152" s="22">
        <v>45524</v>
      </c>
      <c r="C152" s="11">
        <v>946</v>
      </c>
      <c r="D152" s="11" t="s">
        <v>2216</v>
      </c>
      <c r="E152" s="11" t="s">
        <v>53</v>
      </c>
      <c r="F152" s="11"/>
      <c r="G152" s="190" t="s">
        <v>2327</v>
      </c>
      <c r="H152" s="11"/>
      <c r="I152" s="25" t="s">
        <v>2326</v>
      </c>
      <c r="J152" s="21"/>
      <c r="K152" s="21"/>
      <c r="L152" s="21"/>
      <c r="M152" s="21"/>
      <c r="N152" s="21"/>
      <c r="O152" s="21"/>
      <c r="P152" s="21"/>
      <c r="Q152" s="21"/>
      <c r="R152" s="21"/>
      <c r="S152" s="21"/>
      <c r="T152" s="21"/>
      <c r="U152" s="21"/>
      <c r="V152" s="21"/>
      <c r="W152" s="21"/>
      <c r="X152" s="21"/>
      <c r="Y152" s="21"/>
      <c r="Z152" s="21"/>
    </row>
    <row r="153" spans="1:26" ht="15.75" customHeight="1" x14ac:dyDescent="0.25">
      <c r="A153" s="11"/>
      <c r="B153" s="22"/>
      <c r="C153" s="11">
        <v>947</v>
      </c>
      <c r="D153" s="11" t="s">
        <v>2311</v>
      </c>
      <c r="E153" s="11">
        <v>4000240894</v>
      </c>
      <c r="F153" s="11"/>
      <c r="G153" s="25"/>
      <c r="H153" s="11" t="s">
        <v>2328</v>
      </c>
      <c r="I153" s="25" t="s">
        <v>2329</v>
      </c>
      <c r="J153" s="21"/>
      <c r="K153" s="21"/>
      <c r="L153" s="21"/>
      <c r="M153" s="21"/>
      <c r="N153" s="21"/>
      <c r="O153" s="21"/>
      <c r="P153" s="21"/>
      <c r="Q153" s="21"/>
      <c r="R153" s="21"/>
      <c r="S153" s="21"/>
      <c r="T153" s="21"/>
      <c r="U153" s="21"/>
      <c r="V153" s="21"/>
      <c r="W153" s="21"/>
      <c r="X153" s="21"/>
      <c r="Y153" s="21"/>
      <c r="Z153" s="21"/>
    </row>
    <row r="154" spans="1:26" ht="15.75" customHeight="1" x14ac:dyDescent="0.25">
      <c r="A154" s="11"/>
      <c r="B154" s="22">
        <v>45531</v>
      </c>
      <c r="C154" s="11">
        <v>948</v>
      </c>
      <c r="D154" s="11" t="s">
        <v>44</v>
      </c>
      <c r="E154" s="11">
        <v>4714043501</v>
      </c>
      <c r="F154" s="11"/>
      <c r="G154" s="190" t="s">
        <v>2330</v>
      </c>
      <c r="H154" s="11" t="s">
        <v>2292</v>
      </c>
      <c r="I154" s="25">
        <v>1</v>
      </c>
      <c r="J154" s="21"/>
      <c r="K154" s="21"/>
      <c r="L154" s="21"/>
      <c r="M154" s="21"/>
      <c r="N154" s="21"/>
      <c r="O154" s="21"/>
      <c r="P154" s="21"/>
      <c r="Q154" s="21"/>
      <c r="R154" s="21"/>
      <c r="S154" s="21"/>
      <c r="T154" s="21"/>
      <c r="U154" s="21"/>
      <c r="V154" s="21"/>
      <c r="W154" s="21"/>
      <c r="X154" s="21"/>
      <c r="Y154" s="21"/>
      <c r="Z154" s="21"/>
    </row>
    <row r="155" spans="1:26" ht="15.75" customHeight="1" x14ac:dyDescent="0.25">
      <c r="A155" s="11"/>
      <c r="B155" s="22">
        <v>45531</v>
      </c>
      <c r="C155" s="11">
        <v>949</v>
      </c>
      <c r="D155" s="11" t="s">
        <v>44</v>
      </c>
      <c r="E155" s="11">
        <v>4714043584</v>
      </c>
      <c r="F155" s="11"/>
      <c r="G155" s="190" t="s">
        <v>2331</v>
      </c>
      <c r="H155" s="11" t="s">
        <v>2292</v>
      </c>
      <c r="I155" s="25">
        <v>1</v>
      </c>
      <c r="J155" s="21"/>
      <c r="K155" s="21"/>
      <c r="L155" s="21"/>
      <c r="M155" s="21"/>
      <c r="N155" s="21"/>
      <c r="O155" s="21"/>
      <c r="P155" s="21"/>
      <c r="Q155" s="21"/>
      <c r="R155" s="21"/>
      <c r="S155" s="21"/>
      <c r="T155" s="21"/>
      <c r="U155" s="21"/>
      <c r="V155" s="21"/>
      <c r="W155" s="21"/>
      <c r="X155" s="21"/>
      <c r="Y155" s="21"/>
      <c r="Z155" s="21"/>
    </row>
    <row r="156" spans="1:26" ht="15.75" customHeight="1" x14ac:dyDescent="0.25">
      <c r="A156" s="11"/>
      <c r="B156" s="22">
        <v>45531</v>
      </c>
      <c r="C156" s="11">
        <v>950</v>
      </c>
      <c r="D156" s="11" t="s">
        <v>44</v>
      </c>
      <c r="E156" s="11">
        <v>4714043586</v>
      </c>
      <c r="F156" s="11"/>
      <c r="G156" s="190" t="s">
        <v>2332</v>
      </c>
      <c r="H156" s="11" t="s">
        <v>2292</v>
      </c>
      <c r="I156" s="25">
        <v>1</v>
      </c>
      <c r="J156" s="21"/>
      <c r="K156" s="21"/>
      <c r="L156" s="21"/>
      <c r="M156" s="21"/>
      <c r="N156" s="21"/>
      <c r="O156" s="21"/>
      <c r="P156" s="21"/>
      <c r="Q156" s="21"/>
      <c r="R156" s="21"/>
      <c r="S156" s="21"/>
      <c r="T156" s="21"/>
      <c r="U156" s="21"/>
      <c r="V156" s="21"/>
      <c r="W156" s="21"/>
      <c r="X156" s="21"/>
      <c r="Y156" s="21"/>
      <c r="Z156" s="21"/>
    </row>
    <row r="157" spans="1:26" ht="15.75" customHeight="1" x14ac:dyDescent="0.25">
      <c r="A157" s="11"/>
      <c r="B157" s="22">
        <v>45532</v>
      </c>
      <c r="C157" s="11">
        <v>951</v>
      </c>
      <c r="D157" s="11" t="s">
        <v>44</v>
      </c>
      <c r="E157" s="11">
        <v>4714043586</v>
      </c>
      <c r="F157" s="11"/>
      <c r="G157" s="190" t="s">
        <v>2333</v>
      </c>
      <c r="H157" s="11" t="s">
        <v>2292</v>
      </c>
      <c r="I157" s="25">
        <v>1</v>
      </c>
      <c r="J157" s="21"/>
      <c r="K157" s="21"/>
      <c r="L157" s="21"/>
      <c r="M157" s="21"/>
      <c r="N157" s="21"/>
      <c r="O157" s="21"/>
      <c r="P157" s="21"/>
      <c r="Q157" s="21"/>
      <c r="R157" s="21"/>
      <c r="S157" s="21"/>
      <c r="T157" s="21"/>
      <c r="U157" s="21"/>
      <c r="V157" s="21"/>
      <c r="W157" s="21"/>
      <c r="X157" s="21"/>
      <c r="Y157" s="21"/>
      <c r="Z157" s="21"/>
    </row>
    <row r="158" spans="1:26" ht="15.75" customHeight="1" x14ac:dyDescent="0.25">
      <c r="A158" s="11"/>
      <c r="B158" s="22">
        <v>45538</v>
      </c>
      <c r="C158" s="11">
        <v>952</v>
      </c>
      <c r="D158" s="11" t="s">
        <v>44</v>
      </c>
      <c r="E158" s="11">
        <v>4714043657</v>
      </c>
      <c r="F158" s="11"/>
      <c r="G158" s="190" t="s">
        <v>2334</v>
      </c>
      <c r="H158" s="11" t="s">
        <v>2292</v>
      </c>
      <c r="I158" s="25">
        <v>1</v>
      </c>
      <c r="J158" s="21"/>
      <c r="K158" s="21"/>
      <c r="L158" s="21"/>
      <c r="M158" s="21"/>
      <c r="N158" s="21"/>
      <c r="O158" s="21"/>
      <c r="P158" s="21"/>
      <c r="Q158" s="21"/>
      <c r="R158" s="21"/>
      <c r="S158" s="21"/>
      <c r="T158" s="21"/>
      <c r="U158" s="21"/>
      <c r="V158" s="21"/>
      <c r="W158" s="21"/>
      <c r="X158" s="21"/>
      <c r="Y158" s="21"/>
      <c r="Z158" s="21"/>
    </row>
    <row r="159" spans="1:26" ht="15.75" customHeight="1" x14ac:dyDescent="0.25">
      <c r="A159" s="11"/>
      <c r="B159" s="22">
        <v>45546</v>
      </c>
      <c r="C159" s="11">
        <v>952</v>
      </c>
      <c r="D159" s="11" t="s">
        <v>44</v>
      </c>
      <c r="E159" s="11">
        <v>4714043657</v>
      </c>
      <c r="F159" s="11" t="s">
        <v>2230</v>
      </c>
      <c r="G159" s="190" t="s">
        <v>2344</v>
      </c>
      <c r="H159" s="11" t="s">
        <v>2292</v>
      </c>
      <c r="I159" s="25" t="s">
        <v>2343</v>
      </c>
      <c r="J159" s="21"/>
      <c r="K159" s="21"/>
      <c r="L159" s="21"/>
      <c r="M159" s="21"/>
      <c r="N159" s="21"/>
      <c r="O159" s="21"/>
      <c r="P159" s="21"/>
      <c r="Q159" s="21"/>
      <c r="R159" s="21"/>
      <c r="S159" s="21"/>
      <c r="T159" s="21"/>
      <c r="U159" s="21"/>
      <c r="V159" s="21"/>
      <c r="W159" s="21"/>
      <c r="X159" s="21"/>
      <c r="Y159" s="21"/>
      <c r="Z159" s="21"/>
    </row>
    <row r="160" spans="1:26" ht="15.75" customHeight="1" x14ac:dyDescent="0.25">
      <c r="A160" s="11"/>
      <c r="B160" s="22">
        <v>45538</v>
      </c>
      <c r="C160" s="11">
        <v>953</v>
      </c>
      <c r="D160" s="11" t="s">
        <v>44</v>
      </c>
      <c r="E160" s="11">
        <v>4714043612</v>
      </c>
      <c r="F160" s="11"/>
      <c r="G160" s="190" t="s">
        <v>2335</v>
      </c>
      <c r="H160" s="11" t="s">
        <v>2292</v>
      </c>
      <c r="I160" s="25">
        <v>1</v>
      </c>
      <c r="J160" s="21"/>
      <c r="K160" s="21"/>
      <c r="L160" s="21"/>
      <c r="M160" s="21"/>
      <c r="N160" s="21"/>
      <c r="O160" s="21"/>
      <c r="P160" s="21"/>
      <c r="Q160" s="21"/>
      <c r="R160" s="21"/>
      <c r="S160" s="21"/>
      <c r="T160" s="21"/>
      <c r="U160" s="21"/>
      <c r="V160" s="21"/>
      <c r="W160" s="21"/>
      <c r="X160" s="21"/>
      <c r="Y160" s="21"/>
      <c r="Z160" s="21"/>
    </row>
    <row r="161" spans="1:26" ht="15.75" customHeight="1" x14ac:dyDescent="0.25">
      <c r="A161" s="11"/>
      <c r="B161" s="22">
        <v>45539</v>
      </c>
      <c r="C161" s="11">
        <v>954</v>
      </c>
      <c r="D161" s="11" t="s">
        <v>44</v>
      </c>
      <c r="E161" s="11">
        <v>4714043636</v>
      </c>
      <c r="F161" s="11"/>
      <c r="G161" s="190" t="s">
        <v>2336</v>
      </c>
      <c r="H161" s="11" t="s">
        <v>2306</v>
      </c>
      <c r="I161" s="25">
        <v>7</v>
      </c>
      <c r="J161" s="21"/>
      <c r="K161" s="21"/>
      <c r="L161" s="21"/>
      <c r="M161" s="21"/>
      <c r="N161" s="21"/>
      <c r="O161" s="21"/>
      <c r="P161" s="21"/>
      <c r="Q161" s="21"/>
      <c r="R161" s="21"/>
      <c r="S161" s="21"/>
      <c r="T161" s="21"/>
      <c r="U161" s="21"/>
      <c r="V161" s="21"/>
      <c r="W161" s="21"/>
      <c r="X161" s="21"/>
      <c r="Y161" s="21"/>
      <c r="Z161" s="21"/>
    </row>
    <row r="162" spans="1:26" ht="15.75" customHeight="1" x14ac:dyDescent="0.25">
      <c r="A162" s="11"/>
      <c r="B162" s="22">
        <v>45544</v>
      </c>
      <c r="C162" s="11">
        <v>955</v>
      </c>
      <c r="D162" s="11" t="s">
        <v>2298</v>
      </c>
      <c r="E162" s="11" t="s">
        <v>2337</v>
      </c>
      <c r="F162" s="11"/>
      <c r="G162" s="190" t="s">
        <v>2338</v>
      </c>
      <c r="H162" s="11" t="s">
        <v>2306</v>
      </c>
      <c r="I162" s="25">
        <v>7</v>
      </c>
      <c r="J162" s="21"/>
      <c r="K162" s="21"/>
      <c r="L162" s="21"/>
      <c r="M162" s="21"/>
      <c r="N162" s="21"/>
      <c r="O162" s="21"/>
      <c r="P162" s="21"/>
      <c r="Q162" s="21"/>
      <c r="R162" s="21"/>
      <c r="S162" s="21"/>
      <c r="T162" s="21"/>
      <c r="U162" s="21"/>
      <c r="V162" s="21"/>
      <c r="W162" s="21"/>
      <c r="X162" s="21"/>
      <c r="Y162" s="21"/>
      <c r="Z162" s="21"/>
    </row>
    <row r="163" spans="1:26" ht="15.75" customHeight="1" x14ac:dyDescent="0.25">
      <c r="A163" s="11"/>
      <c r="B163" s="22">
        <v>45545</v>
      </c>
      <c r="C163" s="11">
        <v>956</v>
      </c>
      <c r="D163" s="11" t="s">
        <v>2216</v>
      </c>
      <c r="E163" s="11" t="s">
        <v>2361</v>
      </c>
      <c r="F163" s="11"/>
      <c r="G163" s="190" t="s">
        <v>2339</v>
      </c>
      <c r="H163" s="11"/>
      <c r="I163" s="25" t="s">
        <v>2347</v>
      </c>
      <c r="J163" s="21"/>
      <c r="K163" s="21"/>
      <c r="L163" s="21"/>
      <c r="M163" s="21"/>
      <c r="N163" s="21"/>
      <c r="O163" s="21"/>
      <c r="P163" s="21"/>
      <c r="Q163" s="21"/>
      <c r="R163" s="21"/>
      <c r="S163" s="21"/>
      <c r="T163" s="21"/>
      <c r="U163" s="21"/>
      <c r="V163" s="21"/>
      <c r="W163" s="21"/>
      <c r="X163" s="21"/>
      <c r="Y163" s="21"/>
      <c r="Z163" s="21"/>
    </row>
    <row r="164" spans="1:26" ht="15.75" customHeight="1" x14ac:dyDescent="0.25">
      <c r="A164" s="11"/>
      <c r="B164" s="22">
        <v>45545</v>
      </c>
      <c r="C164" s="11">
        <v>957</v>
      </c>
      <c r="D164" s="11" t="s">
        <v>2311</v>
      </c>
      <c r="E164" s="11">
        <v>4000242869</v>
      </c>
      <c r="F164" s="11"/>
      <c r="G164" s="190" t="s">
        <v>2340</v>
      </c>
      <c r="H164" s="11" t="s">
        <v>2306</v>
      </c>
      <c r="I164" s="25">
        <v>7</v>
      </c>
      <c r="J164" s="21"/>
      <c r="K164" s="21"/>
      <c r="L164" s="21"/>
      <c r="M164" s="21"/>
      <c r="N164" s="21"/>
      <c r="O164" s="21"/>
      <c r="P164" s="21"/>
      <c r="Q164" s="21"/>
      <c r="R164" s="21"/>
      <c r="S164" s="21"/>
      <c r="T164" s="21"/>
      <c r="U164" s="21"/>
      <c r="V164" s="21"/>
      <c r="W164" s="21"/>
      <c r="X164" s="21"/>
      <c r="Y164" s="21"/>
      <c r="Z164" s="21"/>
    </row>
    <row r="165" spans="1:26" ht="15.75" customHeight="1" x14ac:dyDescent="0.25">
      <c r="A165" s="11"/>
      <c r="B165" s="22">
        <v>45545</v>
      </c>
      <c r="C165" s="11">
        <v>958</v>
      </c>
      <c r="D165" s="11" t="s">
        <v>44</v>
      </c>
      <c r="E165" s="11">
        <v>4714043691</v>
      </c>
      <c r="F165" s="11"/>
      <c r="G165" s="190" t="s">
        <v>2341</v>
      </c>
      <c r="H165" s="11" t="s">
        <v>2306</v>
      </c>
      <c r="I165" s="25">
        <v>7</v>
      </c>
      <c r="J165" s="21"/>
      <c r="K165" s="21"/>
      <c r="L165" s="21"/>
      <c r="M165" s="21"/>
      <c r="N165" s="21"/>
      <c r="O165" s="21"/>
      <c r="P165" s="21"/>
      <c r="Q165" s="21"/>
      <c r="R165" s="21"/>
      <c r="S165" s="21"/>
      <c r="T165" s="21"/>
      <c r="U165" s="21"/>
      <c r="V165" s="21"/>
      <c r="W165" s="21"/>
      <c r="X165" s="21"/>
      <c r="Y165" s="21"/>
      <c r="Z165" s="21"/>
    </row>
    <row r="166" spans="1:26" ht="15.75" customHeight="1" x14ac:dyDescent="0.25">
      <c r="A166" s="11"/>
      <c r="B166" s="22">
        <v>45546</v>
      </c>
      <c r="C166" s="11">
        <v>959</v>
      </c>
      <c r="D166" s="11" t="s">
        <v>44</v>
      </c>
      <c r="E166" s="11">
        <v>4714043733</v>
      </c>
      <c r="F166" s="11"/>
      <c r="G166" s="190" t="s">
        <v>2342</v>
      </c>
      <c r="H166" s="11" t="s">
        <v>2292</v>
      </c>
      <c r="I166" s="25">
        <v>1</v>
      </c>
      <c r="J166" s="21"/>
      <c r="K166" s="21"/>
      <c r="L166" s="21"/>
      <c r="M166" s="21"/>
      <c r="N166" s="21"/>
      <c r="O166" s="21"/>
      <c r="P166" s="21"/>
      <c r="Q166" s="21"/>
      <c r="R166" s="21"/>
      <c r="S166" s="21"/>
      <c r="T166" s="21"/>
      <c r="U166" s="21"/>
      <c r="V166" s="21"/>
      <c r="W166" s="21"/>
      <c r="X166" s="21"/>
      <c r="Y166" s="21"/>
      <c r="Z166" s="21"/>
    </row>
    <row r="167" spans="1:26" ht="15.75" customHeight="1" x14ac:dyDescent="0.25">
      <c r="A167" s="11"/>
      <c r="B167" s="22">
        <v>45552</v>
      </c>
      <c r="C167" s="11">
        <v>960</v>
      </c>
      <c r="D167" s="11" t="s">
        <v>44</v>
      </c>
      <c r="E167" s="11">
        <v>4714043798</v>
      </c>
      <c r="F167" s="11"/>
      <c r="G167" s="190" t="s">
        <v>2345</v>
      </c>
      <c r="H167" s="11" t="s">
        <v>2292</v>
      </c>
      <c r="I167" s="25">
        <v>1</v>
      </c>
      <c r="J167" s="21"/>
      <c r="K167" s="21"/>
      <c r="L167" s="21"/>
      <c r="M167" s="21"/>
      <c r="N167" s="21"/>
      <c r="O167" s="21"/>
      <c r="P167" s="21"/>
      <c r="Q167" s="21"/>
      <c r="R167" s="21"/>
      <c r="S167" s="21"/>
      <c r="T167" s="21"/>
      <c r="U167" s="21"/>
      <c r="V167" s="21"/>
      <c r="W167" s="21"/>
      <c r="X167" s="21"/>
      <c r="Y167" s="21"/>
      <c r="Z167" s="21"/>
    </row>
    <row r="168" spans="1:26" ht="15.75" customHeight="1" x14ac:dyDescent="0.25">
      <c r="A168" s="11"/>
      <c r="B168" s="22">
        <v>45560</v>
      </c>
      <c r="C168" s="11">
        <v>961</v>
      </c>
      <c r="D168" s="11" t="s">
        <v>2311</v>
      </c>
      <c r="E168" s="11">
        <v>4000241631</v>
      </c>
      <c r="F168" s="11"/>
      <c r="G168" s="190" t="s">
        <v>2346</v>
      </c>
      <c r="H168" s="11" t="s">
        <v>2306</v>
      </c>
      <c r="I168" s="25">
        <v>7</v>
      </c>
      <c r="J168" s="21"/>
      <c r="K168" s="21"/>
      <c r="L168" s="21"/>
      <c r="M168" s="21"/>
      <c r="N168" s="21"/>
      <c r="O168" s="21"/>
      <c r="P168" s="21"/>
      <c r="Q168" s="21"/>
      <c r="R168" s="21"/>
      <c r="S168" s="21"/>
      <c r="T168" s="21"/>
      <c r="U168" s="21"/>
      <c r="V168" s="21"/>
      <c r="W168" s="21"/>
      <c r="X168" s="21"/>
      <c r="Y168" s="21"/>
      <c r="Z168" s="21"/>
    </row>
    <row r="169" spans="1:26" ht="15.75" customHeight="1" x14ac:dyDescent="0.25">
      <c r="A169" s="11"/>
      <c r="B169" s="22">
        <v>45560</v>
      </c>
      <c r="C169" s="11">
        <v>962</v>
      </c>
      <c r="D169" s="11" t="s">
        <v>44</v>
      </c>
      <c r="E169" s="11">
        <v>4714043838</v>
      </c>
      <c r="F169" s="11"/>
      <c r="G169" s="190" t="s">
        <v>2348</v>
      </c>
      <c r="H169" s="11" t="s">
        <v>2292</v>
      </c>
      <c r="I169" s="25">
        <v>1</v>
      </c>
      <c r="J169" s="21"/>
      <c r="K169" s="21"/>
      <c r="L169" s="21"/>
      <c r="M169" s="21"/>
      <c r="N169" s="21"/>
      <c r="O169" s="21"/>
      <c r="P169" s="21"/>
      <c r="Q169" s="21"/>
      <c r="R169" s="21"/>
      <c r="S169" s="21"/>
      <c r="T169" s="21"/>
      <c r="U169" s="21"/>
      <c r="V169" s="21"/>
      <c r="W169" s="21"/>
      <c r="X169" s="21"/>
      <c r="Y169" s="21"/>
      <c r="Z169" s="21"/>
    </row>
    <row r="170" spans="1:26" ht="15.75" customHeight="1" x14ac:dyDescent="0.25">
      <c r="A170" s="11"/>
      <c r="B170" s="22">
        <v>45524</v>
      </c>
      <c r="C170" s="11">
        <v>963</v>
      </c>
      <c r="D170" s="11" t="s">
        <v>2216</v>
      </c>
      <c r="E170" s="11" t="s">
        <v>2359</v>
      </c>
      <c r="F170" s="11"/>
      <c r="G170" s="190" t="s">
        <v>2349</v>
      </c>
      <c r="H170" s="11"/>
      <c r="I170" s="25" t="s">
        <v>2360</v>
      </c>
      <c r="J170" s="21"/>
      <c r="K170" s="21"/>
      <c r="L170" s="21"/>
      <c r="M170" s="21"/>
      <c r="N170" s="21"/>
      <c r="O170" s="21"/>
      <c r="P170" s="21"/>
      <c r="Q170" s="21"/>
      <c r="R170" s="21"/>
      <c r="S170" s="21"/>
      <c r="T170" s="21"/>
      <c r="U170" s="21"/>
      <c r="V170" s="21"/>
      <c r="W170" s="21"/>
      <c r="X170" s="21"/>
      <c r="Y170" s="21"/>
      <c r="Z170" s="21"/>
    </row>
    <row r="171" spans="1:26" ht="15.75" customHeight="1" x14ac:dyDescent="0.25">
      <c r="A171" s="11"/>
      <c r="B171" s="22">
        <v>45458</v>
      </c>
      <c r="C171" s="11">
        <v>964</v>
      </c>
      <c r="D171" s="11" t="s">
        <v>4</v>
      </c>
      <c r="E171" s="11" t="s">
        <v>2350</v>
      </c>
      <c r="F171" s="11"/>
      <c r="G171" s="190" t="s">
        <v>2352</v>
      </c>
      <c r="H171" s="11"/>
      <c r="I171" s="25" t="s">
        <v>2351</v>
      </c>
      <c r="J171" s="21"/>
      <c r="K171" s="21"/>
      <c r="L171" s="21"/>
      <c r="M171" s="21"/>
      <c r="N171" s="21"/>
      <c r="O171" s="21"/>
      <c r="P171" s="21"/>
      <c r="Q171" s="21"/>
      <c r="R171" s="21"/>
      <c r="S171" s="21"/>
      <c r="T171" s="21"/>
      <c r="U171" s="21"/>
      <c r="V171" s="21"/>
      <c r="W171" s="21"/>
      <c r="X171" s="21"/>
      <c r="Y171" s="21"/>
      <c r="Z171" s="21"/>
    </row>
    <row r="172" spans="1:26" ht="15.75" customHeight="1" x14ac:dyDescent="0.25">
      <c r="A172" s="11"/>
      <c r="B172" s="22">
        <v>45567</v>
      </c>
      <c r="C172" s="11">
        <v>965</v>
      </c>
      <c r="D172" s="11" t="s">
        <v>2311</v>
      </c>
      <c r="E172" s="11">
        <v>4000244354</v>
      </c>
      <c r="F172" s="11"/>
      <c r="G172" s="190" t="s">
        <v>2353</v>
      </c>
      <c r="H172" s="11" t="s">
        <v>2292</v>
      </c>
      <c r="I172" s="25">
        <v>1</v>
      </c>
      <c r="J172" s="21"/>
      <c r="K172" s="21"/>
      <c r="L172" s="21"/>
      <c r="M172" s="21"/>
      <c r="N172" s="21"/>
      <c r="O172" s="21"/>
      <c r="P172" s="21"/>
      <c r="Q172" s="21"/>
      <c r="R172" s="21"/>
      <c r="S172" s="21"/>
      <c r="T172" s="21"/>
      <c r="U172" s="21"/>
      <c r="V172" s="21"/>
      <c r="W172" s="21"/>
      <c r="X172" s="21"/>
      <c r="Y172" s="21"/>
      <c r="Z172" s="21"/>
    </row>
    <row r="173" spans="1:26" ht="15.75" customHeight="1" x14ac:dyDescent="0.25">
      <c r="A173" s="11"/>
      <c r="B173" s="22">
        <v>45569</v>
      </c>
      <c r="C173" s="11">
        <v>966</v>
      </c>
      <c r="D173" s="11" t="s">
        <v>44</v>
      </c>
      <c r="E173" s="11">
        <v>4714043908</v>
      </c>
      <c r="F173" s="11"/>
      <c r="G173" s="190" t="s">
        <v>2354</v>
      </c>
      <c r="H173" s="11" t="s">
        <v>2292</v>
      </c>
      <c r="I173" s="25">
        <v>1</v>
      </c>
      <c r="J173" s="21"/>
      <c r="K173" s="21"/>
      <c r="L173" s="21"/>
      <c r="M173" s="21"/>
      <c r="N173" s="21"/>
      <c r="O173" s="21"/>
      <c r="P173" s="21"/>
      <c r="Q173" s="21"/>
      <c r="R173" s="21"/>
      <c r="S173" s="21"/>
      <c r="T173" s="21"/>
      <c r="U173" s="21"/>
      <c r="V173" s="21"/>
      <c r="W173" s="21"/>
      <c r="X173" s="21"/>
      <c r="Y173" s="21"/>
      <c r="Z173" s="21"/>
    </row>
    <row r="174" spans="1:26" ht="15.75" customHeight="1" x14ac:dyDescent="0.25">
      <c r="A174" s="11"/>
      <c r="B174" s="22">
        <v>45569</v>
      </c>
      <c r="C174" s="11">
        <v>967</v>
      </c>
      <c r="D174" s="11" t="s">
        <v>2298</v>
      </c>
      <c r="E174" s="11" t="s">
        <v>2355</v>
      </c>
      <c r="F174" s="11"/>
      <c r="G174" s="190" t="s">
        <v>2356</v>
      </c>
      <c r="H174" s="11" t="s">
        <v>2292</v>
      </c>
      <c r="I174" s="25">
        <v>1</v>
      </c>
      <c r="J174" s="21"/>
      <c r="K174" s="21"/>
      <c r="L174" s="21"/>
      <c r="M174" s="21"/>
      <c r="N174" s="21"/>
      <c r="O174" s="21"/>
      <c r="P174" s="21"/>
      <c r="Q174" s="21"/>
      <c r="R174" s="21"/>
      <c r="S174" s="21"/>
      <c r="T174" s="21"/>
      <c r="U174" s="21"/>
      <c r="V174" s="21"/>
      <c r="W174" s="21"/>
      <c r="X174" s="21"/>
      <c r="Y174" s="21"/>
      <c r="Z174" s="21"/>
    </row>
    <row r="175" spans="1:26" ht="15.75" customHeight="1" x14ac:dyDescent="0.25">
      <c r="A175" s="11"/>
      <c r="B175" s="22">
        <v>45570</v>
      </c>
      <c r="C175" s="11">
        <v>968</v>
      </c>
      <c r="D175" s="11" t="s">
        <v>2298</v>
      </c>
      <c r="E175" s="11" t="s">
        <v>2357</v>
      </c>
      <c r="F175" s="11"/>
      <c r="G175" s="190" t="s">
        <v>2358</v>
      </c>
      <c r="H175" s="11" t="s">
        <v>2292</v>
      </c>
      <c r="I175" s="25">
        <v>1</v>
      </c>
      <c r="J175" s="21"/>
      <c r="K175" s="21"/>
      <c r="L175" s="21"/>
      <c r="M175" s="21"/>
      <c r="N175" s="21"/>
      <c r="O175" s="21"/>
      <c r="P175" s="21"/>
      <c r="Q175" s="21"/>
      <c r="R175" s="21"/>
      <c r="S175" s="21"/>
      <c r="T175" s="21"/>
      <c r="U175" s="21"/>
      <c r="V175" s="21"/>
      <c r="W175" s="21"/>
      <c r="X175" s="21"/>
      <c r="Y175" s="21"/>
      <c r="Z175" s="21"/>
    </row>
    <row r="176" spans="1:26" ht="15.75" customHeight="1" x14ac:dyDescent="0.25">
      <c r="A176" s="11"/>
      <c r="B176" s="22">
        <v>45570</v>
      </c>
      <c r="C176" s="11">
        <v>969</v>
      </c>
      <c r="D176" s="11" t="s">
        <v>2298</v>
      </c>
      <c r="E176" s="11" t="s">
        <v>2376</v>
      </c>
      <c r="F176" s="11"/>
      <c r="G176" s="190" t="s">
        <v>2377</v>
      </c>
      <c r="H176" s="11"/>
      <c r="I176" s="25"/>
      <c r="J176" s="21"/>
      <c r="K176" s="21"/>
      <c r="L176" s="21"/>
      <c r="M176" s="21"/>
      <c r="N176" s="21"/>
      <c r="O176" s="21"/>
      <c r="P176" s="21"/>
      <c r="Q176" s="21"/>
      <c r="R176" s="21"/>
      <c r="S176" s="21"/>
      <c r="T176" s="21"/>
      <c r="U176" s="21"/>
      <c r="V176" s="21"/>
      <c r="W176" s="21"/>
      <c r="X176" s="21"/>
      <c r="Y176" s="21"/>
      <c r="Z176" s="21"/>
    </row>
    <row r="177" spans="1:26" ht="15.75" customHeight="1" x14ac:dyDescent="0.25">
      <c r="A177" s="11"/>
      <c r="B177" s="22" t="s">
        <v>2362</v>
      </c>
      <c r="C177" s="11">
        <v>970</v>
      </c>
      <c r="D177" s="11" t="s">
        <v>2298</v>
      </c>
      <c r="E177" s="11" t="s">
        <v>2363</v>
      </c>
      <c r="F177" s="11"/>
      <c r="G177" s="25"/>
      <c r="H177" s="11"/>
      <c r="I177" s="25"/>
      <c r="J177" s="21"/>
      <c r="K177" s="21"/>
      <c r="L177" s="21"/>
      <c r="M177" s="21"/>
      <c r="N177" s="21"/>
      <c r="O177" s="21"/>
      <c r="P177" s="21"/>
      <c r="Q177" s="21"/>
      <c r="R177" s="21"/>
      <c r="S177" s="21"/>
      <c r="T177" s="21"/>
      <c r="U177" s="21"/>
      <c r="V177" s="21"/>
      <c r="W177" s="21"/>
      <c r="X177" s="21"/>
      <c r="Y177" s="21"/>
      <c r="Z177" s="21"/>
    </row>
    <row r="178" spans="1:26" ht="15.75" customHeight="1" x14ac:dyDescent="0.25">
      <c r="A178" s="11"/>
      <c r="B178" s="22">
        <v>45532</v>
      </c>
      <c r="C178" s="11">
        <v>971</v>
      </c>
      <c r="D178" s="11" t="s">
        <v>2216</v>
      </c>
      <c r="E178" s="11" t="s">
        <v>2365</v>
      </c>
      <c r="F178" s="11"/>
      <c r="G178" s="190" t="s">
        <v>2366</v>
      </c>
      <c r="H178" s="11" t="s">
        <v>2364</v>
      </c>
      <c r="I178" s="25"/>
      <c r="J178" s="21"/>
      <c r="K178" s="21"/>
      <c r="L178" s="21"/>
      <c r="M178" s="21"/>
      <c r="N178" s="21"/>
      <c r="O178" s="21"/>
      <c r="P178" s="21"/>
      <c r="Q178" s="21"/>
      <c r="R178" s="21"/>
      <c r="S178" s="21"/>
      <c r="T178" s="21"/>
      <c r="U178" s="21"/>
      <c r="V178" s="21"/>
      <c r="W178" s="21"/>
      <c r="X178" s="21"/>
      <c r="Y178" s="21"/>
      <c r="Z178" s="21"/>
    </row>
    <row r="179" spans="1:26" ht="15.75" customHeight="1" x14ac:dyDescent="0.25">
      <c r="A179" s="11"/>
      <c r="B179" s="22">
        <v>45532</v>
      </c>
      <c r="C179" s="11">
        <v>972</v>
      </c>
      <c r="D179" s="11" t="s">
        <v>2216</v>
      </c>
      <c r="E179" s="11" t="s">
        <v>2367</v>
      </c>
      <c r="F179" s="11"/>
      <c r="G179" s="190" t="s">
        <v>2369</v>
      </c>
      <c r="H179" s="11" t="s">
        <v>2368</v>
      </c>
      <c r="I179" s="25"/>
      <c r="J179" s="21"/>
      <c r="K179" s="21"/>
      <c r="L179" s="21"/>
      <c r="M179" s="21"/>
      <c r="N179" s="21"/>
      <c r="O179" s="21"/>
      <c r="P179" s="21"/>
      <c r="Q179" s="21"/>
      <c r="R179" s="21"/>
      <c r="S179" s="21"/>
      <c r="T179" s="21"/>
      <c r="U179" s="21"/>
      <c r="V179" s="21"/>
      <c r="W179" s="21"/>
      <c r="X179" s="21"/>
      <c r="Y179" s="21"/>
      <c r="Z179" s="21"/>
    </row>
    <row r="180" spans="1:26" ht="15.75" customHeight="1" x14ac:dyDescent="0.25">
      <c r="A180" s="11"/>
      <c r="B180" s="22">
        <v>45580</v>
      </c>
      <c r="C180" s="11">
        <v>973</v>
      </c>
      <c r="D180" s="11" t="s">
        <v>2298</v>
      </c>
      <c r="E180" s="11" t="s">
        <v>53</v>
      </c>
      <c r="F180" s="11"/>
      <c r="G180" s="190" t="s">
        <v>2370</v>
      </c>
      <c r="H180" s="11"/>
      <c r="I180" s="25" t="s">
        <v>129</v>
      </c>
      <c r="J180" s="21"/>
      <c r="K180" s="21"/>
      <c r="L180" s="21"/>
      <c r="M180" s="21"/>
      <c r="N180" s="21"/>
      <c r="O180" s="21"/>
      <c r="P180" s="21"/>
      <c r="Q180" s="21"/>
      <c r="R180" s="21"/>
      <c r="S180" s="21"/>
      <c r="T180" s="21"/>
      <c r="U180" s="21"/>
      <c r="V180" s="21"/>
      <c r="W180" s="21"/>
      <c r="X180" s="21"/>
      <c r="Y180" s="21"/>
      <c r="Z180" s="21"/>
    </row>
    <row r="181" spans="1:26" ht="15.75" customHeight="1" x14ac:dyDescent="0.25">
      <c r="A181" s="11"/>
      <c r="B181" s="22">
        <v>45581</v>
      </c>
      <c r="C181" s="11">
        <v>974</v>
      </c>
      <c r="D181" s="11" t="s">
        <v>2298</v>
      </c>
      <c r="E181" s="11" t="s">
        <v>2371</v>
      </c>
      <c r="F181" s="11"/>
      <c r="G181" s="190" t="s">
        <v>2372</v>
      </c>
      <c r="H181" s="11"/>
      <c r="I181" s="25"/>
      <c r="J181" s="21"/>
      <c r="K181" s="21"/>
      <c r="L181" s="21"/>
      <c r="M181" s="21"/>
      <c r="N181" s="21"/>
      <c r="O181" s="21"/>
      <c r="P181" s="21"/>
      <c r="Q181" s="21"/>
      <c r="R181" s="21"/>
      <c r="S181" s="21"/>
      <c r="T181" s="21"/>
      <c r="U181" s="21"/>
      <c r="V181" s="21"/>
      <c r="W181" s="21"/>
      <c r="X181" s="21"/>
      <c r="Y181" s="21"/>
      <c r="Z181" s="21"/>
    </row>
    <row r="182" spans="1:26" ht="15.75" customHeight="1" x14ac:dyDescent="0.25">
      <c r="A182" s="11"/>
      <c r="B182" s="22">
        <v>45581</v>
      </c>
      <c r="C182" s="11">
        <v>974</v>
      </c>
      <c r="D182" s="11" t="s">
        <v>2298</v>
      </c>
      <c r="E182" s="11" t="s">
        <v>2371</v>
      </c>
      <c r="F182" s="11"/>
      <c r="G182" s="190" t="s">
        <v>2372</v>
      </c>
      <c r="H182" s="11"/>
      <c r="I182" s="25" t="s">
        <v>2373</v>
      </c>
      <c r="J182" s="21"/>
      <c r="K182" s="21"/>
      <c r="L182" s="21"/>
      <c r="M182" s="21"/>
      <c r="N182" s="21"/>
      <c r="O182" s="21"/>
      <c r="P182" s="21"/>
      <c r="Q182" s="21"/>
      <c r="R182" s="21"/>
      <c r="S182" s="21"/>
      <c r="T182" s="21"/>
      <c r="U182" s="21"/>
      <c r="V182" s="21"/>
      <c r="W182" s="21"/>
      <c r="X182" s="21"/>
      <c r="Y182" s="21"/>
      <c r="Z182" s="21"/>
    </row>
    <row r="183" spans="1:26" ht="15.75" customHeight="1" x14ac:dyDescent="0.25">
      <c r="A183" s="11"/>
      <c r="B183" s="22">
        <v>45581</v>
      </c>
      <c r="C183" s="11">
        <v>975</v>
      </c>
      <c r="D183" s="11" t="s">
        <v>2298</v>
      </c>
      <c r="E183" s="11" t="s">
        <v>2371</v>
      </c>
      <c r="F183" s="11"/>
      <c r="G183" s="190" t="s">
        <v>2375</v>
      </c>
      <c r="H183" s="11"/>
      <c r="I183" s="25" t="s">
        <v>2373</v>
      </c>
      <c r="J183" s="21"/>
      <c r="K183" s="21"/>
      <c r="L183" s="21"/>
      <c r="M183" s="21"/>
      <c r="N183" s="21"/>
      <c r="O183" s="21"/>
      <c r="P183" s="21"/>
      <c r="Q183" s="21"/>
      <c r="R183" s="21"/>
      <c r="S183" s="21"/>
      <c r="T183" s="21"/>
      <c r="U183" s="21"/>
      <c r="V183" s="21"/>
      <c r="W183" s="21"/>
      <c r="X183" s="21"/>
      <c r="Y183" s="21"/>
      <c r="Z183" s="21"/>
    </row>
    <row r="184" spans="1:26" ht="15.75" customHeight="1" x14ac:dyDescent="0.25">
      <c r="A184" s="11"/>
      <c r="B184" s="22">
        <v>45583</v>
      </c>
      <c r="C184" s="11">
        <v>976</v>
      </c>
      <c r="D184" s="11" t="s">
        <v>2298</v>
      </c>
      <c r="E184" s="11" t="s">
        <v>2378</v>
      </c>
      <c r="F184" s="11"/>
      <c r="G184" s="190" t="s">
        <v>2379</v>
      </c>
      <c r="H184" s="11"/>
      <c r="I184" s="25"/>
      <c r="J184" s="21"/>
      <c r="K184" s="21"/>
      <c r="L184" s="21"/>
      <c r="M184" s="21"/>
      <c r="N184" s="21"/>
      <c r="O184" s="21"/>
      <c r="P184" s="21"/>
      <c r="Q184" s="21"/>
      <c r="R184" s="21"/>
      <c r="S184" s="21"/>
      <c r="T184" s="21"/>
      <c r="U184" s="21"/>
      <c r="V184" s="21"/>
      <c r="W184" s="21"/>
      <c r="X184" s="21"/>
      <c r="Y184" s="21"/>
      <c r="Z184" s="21"/>
    </row>
    <row r="185" spans="1:26" ht="15.75" customHeight="1" x14ac:dyDescent="0.25">
      <c r="A185" s="11"/>
      <c r="B185" s="22">
        <v>45583</v>
      </c>
      <c r="C185" s="11">
        <v>977</v>
      </c>
      <c r="D185" s="11" t="s">
        <v>2298</v>
      </c>
      <c r="E185" s="11" t="s">
        <v>2378</v>
      </c>
      <c r="F185" s="11"/>
      <c r="G185" s="190" t="s">
        <v>2381</v>
      </c>
      <c r="H185" s="11" t="s">
        <v>2380</v>
      </c>
      <c r="I185" s="25" t="s">
        <v>2380</v>
      </c>
      <c r="J185" s="21"/>
      <c r="K185" s="21"/>
      <c r="L185" s="21"/>
      <c r="M185" s="21"/>
      <c r="N185" s="21"/>
      <c r="O185" s="21"/>
      <c r="P185" s="21"/>
      <c r="Q185" s="21"/>
      <c r="R185" s="21"/>
      <c r="S185" s="21"/>
      <c r="T185" s="21"/>
      <c r="U185" s="21"/>
      <c r="V185" s="21"/>
      <c r="W185" s="21"/>
      <c r="X185" s="21"/>
      <c r="Y185" s="21"/>
      <c r="Z185" s="21"/>
    </row>
    <row r="186" spans="1:26" ht="15.75" customHeight="1" x14ac:dyDescent="0.25">
      <c r="A186" s="11"/>
      <c r="B186" s="22">
        <v>45583</v>
      </c>
      <c r="C186" s="11">
        <v>978</v>
      </c>
      <c r="D186" s="11" t="s">
        <v>2216</v>
      </c>
      <c r="E186" s="11" t="s">
        <v>53</v>
      </c>
      <c r="F186" s="11"/>
      <c r="G186" s="190" t="s">
        <v>2382</v>
      </c>
      <c r="H186" s="11"/>
      <c r="I186" s="25"/>
      <c r="J186" s="21"/>
      <c r="K186" s="21"/>
      <c r="L186" s="21"/>
      <c r="M186" s="21"/>
      <c r="N186" s="21"/>
      <c r="O186" s="21"/>
      <c r="P186" s="21"/>
      <c r="Q186" s="21"/>
      <c r="R186" s="21"/>
      <c r="S186" s="21"/>
      <c r="T186" s="21"/>
      <c r="U186" s="21"/>
      <c r="V186" s="21"/>
      <c r="W186" s="21"/>
      <c r="X186" s="21"/>
      <c r="Y186" s="21"/>
      <c r="Z186" s="21"/>
    </row>
    <row r="187" spans="1:26" ht="15.75" customHeight="1" x14ac:dyDescent="0.25">
      <c r="A187" s="11"/>
      <c r="B187" s="22">
        <v>45584</v>
      </c>
      <c r="C187" s="11">
        <v>979</v>
      </c>
      <c r="D187" s="11" t="s">
        <v>44</v>
      </c>
      <c r="E187" s="11">
        <v>4714044156</v>
      </c>
      <c r="F187" s="11"/>
      <c r="G187" s="190" t="s">
        <v>2383</v>
      </c>
      <c r="H187" s="11" t="s">
        <v>2292</v>
      </c>
      <c r="I187" s="25" t="s">
        <v>2384</v>
      </c>
      <c r="J187" s="21"/>
      <c r="K187" s="21"/>
      <c r="L187" s="21"/>
      <c r="M187" s="21"/>
      <c r="N187" s="21"/>
      <c r="O187" s="21"/>
      <c r="P187" s="21"/>
      <c r="Q187" s="21"/>
      <c r="R187" s="21"/>
      <c r="S187" s="21"/>
      <c r="T187" s="21"/>
      <c r="U187" s="21"/>
      <c r="V187" s="21"/>
      <c r="W187" s="21"/>
      <c r="X187" s="21"/>
      <c r="Y187" s="21"/>
      <c r="Z187" s="21"/>
    </row>
    <row r="188" spans="1:26" ht="15.75" customHeight="1" x14ac:dyDescent="0.25">
      <c r="A188" s="11"/>
      <c r="B188" s="22">
        <v>45586</v>
      </c>
      <c r="C188" s="11">
        <v>980</v>
      </c>
      <c r="D188" s="11" t="s">
        <v>2298</v>
      </c>
      <c r="E188" s="11" t="s">
        <v>2378</v>
      </c>
      <c r="F188" s="11"/>
      <c r="G188" s="190" t="s">
        <v>2385</v>
      </c>
      <c r="H188" s="11" t="s">
        <v>2292</v>
      </c>
      <c r="I188" s="25"/>
      <c r="J188" s="21"/>
      <c r="K188" s="21"/>
      <c r="L188" s="21"/>
      <c r="M188" s="21"/>
      <c r="N188" s="21"/>
      <c r="O188" s="21"/>
      <c r="P188" s="21"/>
      <c r="Q188" s="21"/>
      <c r="R188" s="21"/>
      <c r="S188" s="21"/>
      <c r="T188" s="21"/>
      <c r="U188" s="21"/>
      <c r="V188" s="21"/>
      <c r="W188" s="21"/>
      <c r="X188" s="21"/>
      <c r="Y188" s="21"/>
      <c r="Z188" s="21"/>
    </row>
    <row r="189" spans="1:26" ht="15.75" customHeight="1" x14ac:dyDescent="0.25">
      <c r="A189" s="11"/>
      <c r="B189" s="22">
        <v>45586</v>
      </c>
      <c r="C189" s="11">
        <v>981</v>
      </c>
      <c r="D189" s="11" t="s">
        <v>2298</v>
      </c>
      <c r="E189" s="11" t="s">
        <v>2386</v>
      </c>
      <c r="F189" s="11"/>
      <c r="G189" s="190" t="s">
        <v>2387</v>
      </c>
      <c r="H189" s="11" t="s">
        <v>2292</v>
      </c>
      <c r="I189" s="25"/>
      <c r="J189" s="21"/>
      <c r="K189" s="21"/>
      <c r="L189" s="21"/>
      <c r="M189" s="21"/>
      <c r="N189" s="21"/>
      <c r="O189" s="21"/>
      <c r="P189" s="21"/>
      <c r="Q189" s="21"/>
      <c r="R189" s="21"/>
      <c r="S189" s="21"/>
      <c r="T189" s="21"/>
      <c r="U189" s="21"/>
      <c r="V189" s="21"/>
      <c r="W189" s="21"/>
      <c r="X189" s="21"/>
      <c r="Y189" s="21"/>
      <c r="Z189" s="21"/>
    </row>
    <row r="190" spans="1:26" ht="15.75" customHeight="1" x14ac:dyDescent="0.25">
      <c r="A190" s="11"/>
      <c r="B190" s="22">
        <v>45586</v>
      </c>
      <c r="C190" s="11">
        <v>982</v>
      </c>
      <c r="D190" s="11" t="s">
        <v>160</v>
      </c>
      <c r="E190" s="11" t="s">
        <v>2388</v>
      </c>
      <c r="F190" s="11"/>
      <c r="G190" s="190" t="s">
        <v>2389</v>
      </c>
      <c r="H190" s="11" t="s">
        <v>2306</v>
      </c>
      <c r="I190" s="25">
        <v>7</v>
      </c>
      <c r="J190" s="21"/>
      <c r="K190" s="21"/>
      <c r="L190" s="21"/>
      <c r="M190" s="21"/>
      <c r="N190" s="21"/>
      <c r="O190" s="21"/>
      <c r="P190" s="21"/>
      <c r="Q190" s="21"/>
      <c r="R190" s="21"/>
      <c r="S190" s="21"/>
      <c r="T190" s="21"/>
      <c r="U190" s="21"/>
      <c r="V190" s="21"/>
      <c r="W190" s="21"/>
      <c r="X190" s="21"/>
      <c r="Y190" s="21"/>
      <c r="Z190" s="21"/>
    </row>
    <row r="191" spans="1:26" ht="15.75" customHeight="1" x14ac:dyDescent="0.25">
      <c r="A191" s="11"/>
      <c r="B191" s="22">
        <v>45586</v>
      </c>
      <c r="C191" s="11">
        <v>983</v>
      </c>
      <c r="D191" s="11" t="s">
        <v>44</v>
      </c>
      <c r="E191" s="11">
        <v>4714044137</v>
      </c>
      <c r="F191" s="11"/>
      <c r="G191" s="190" t="s">
        <v>2390</v>
      </c>
      <c r="H191" s="11" t="s">
        <v>2292</v>
      </c>
      <c r="I191" s="25">
        <v>1</v>
      </c>
      <c r="J191" s="21"/>
      <c r="K191" s="21"/>
      <c r="L191" s="21"/>
      <c r="M191" s="21"/>
      <c r="N191" s="21"/>
      <c r="O191" s="21"/>
      <c r="P191" s="21"/>
      <c r="Q191" s="21"/>
      <c r="R191" s="21"/>
      <c r="S191" s="21"/>
      <c r="T191" s="21"/>
      <c r="U191" s="21"/>
      <c r="V191" s="21"/>
      <c r="W191" s="21"/>
      <c r="X191" s="21"/>
      <c r="Y191" s="21"/>
      <c r="Z191" s="21"/>
    </row>
    <row r="192" spans="1:26" ht="15.75" customHeight="1" x14ac:dyDescent="0.25">
      <c r="A192" s="11"/>
      <c r="B192" s="22">
        <v>45587</v>
      </c>
      <c r="C192" s="11">
        <v>984</v>
      </c>
      <c r="D192" s="11" t="s">
        <v>2298</v>
      </c>
      <c r="E192" s="11" t="s">
        <v>2391</v>
      </c>
      <c r="F192" s="11"/>
      <c r="G192" s="190" t="s">
        <v>2393</v>
      </c>
      <c r="H192" s="11" t="s">
        <v>2292</v>
      </c>
      <c r="I192" s="25" t="s">
        <v>2392</v>
      </c>
      <c r="J192" s="21"/>
      <c r="K192" s="21"/>
      <c r="L192" s="21"/>
      <c r="M192" s="21"/>
      <c r="N192" s="21"/>
      <c r="O192" s="21"/>
      <c r="P192" s="21"/>
      <c r="Q192" s="21"/>
      <c r="R192" s="21"/>
      <c r="S192" s="21"/>
      <c r="T192" s="21"/>
      <c r="U192" s="21"/>
      <c r="V192" s="21"/>
      <c r="W192" s="21"/>
      <c r="X192" s="21"/>
      <c r="Y192" s="21"/>
      <c r="Z192" s="21"/>
    </row>
    <row r="193" spans="1:26" ht="15.75" customHeight="1" x14ac:dyDescent="0.25">
      <c r="A193" s="11"/>
      <c r="B193" s="22">
        <v>45587</v>
      </c>
      <c r="C193" s="11">
        <v>985</v>
      </c>
      <c r="D193" s="11" t="s">
        <v>2298</v>
      </c>
      <c r="E193" s="11" t="s">
        <v>2391</v>
      </c>
      <c r="F193" s="11"/>
      <c r="G193" s="190" t="s">
        <v>2395</v>
      </c>
      <c r="H193" s="11" t="s">
        <v>2292</v>
      </c>
      <c r="I193" s="25" t="s">
        <v>2394</v>
      </c>
      <c r="J193" s="21"/>
      <c r="K193" s="21"/>
      <c r="L193" s="21"/>
      <c r="M193" s="21"/>
      <c r="N193" s="21"/>
      <c r="O193" s="21"/>
      <c r="P193" s="21"/>
      <c r="Q193" s="21"/>
      <c r="R193" s="21"/>
      <c r="S193" s="21"/>
      <c r="T193" s="21"/>
      <c r="U193" s="21"/>
      <c r="V193" s="21"/>
      <c r="W193" s="21"/>
      <c r="X193" s="21"/>
      <c r="Y193" s="21"/>
      <c r="Z193" s="21"/>
    </row>
    <row r="194" spans="1:26" ht="15.75" customHeight="1" x14ac:dyDescent="0.25">
      <c r="A194" s="11"/>
      <c r="B194" s="22">
        <v>45588</v>
      </c>
      <c r="C194" s="11">
        <v>986</v>
      </c>
      <c r="D194" s="11" t="s">
        <v>2396</v>
      </c>
      <c r="E194" s="11" t="s">
        <v>53</v>
      </c>
      <c r="F194" s="11"/>
      <c r="G194" s="190" t="s">
        <v>2401</v>
      </c>
      <c r="H194" s="11" t="s">
        <v>2400</v>
      </c>
      <c r="I194" s="25" t="s">
        <v>2399</v>
      </c>
      <c r="J194" s="21"/>
      <c r="K194" s="21"/>
      <c r="L194" s="21"/>
      <c r="M194" s="21"/>
      <c r="N194" s="21"/>
      <c r="O194" s="21"/>
      <c r="P194" s="21"/>
      <c r="Q194" s="21"/>
      <c r="R194" s="21"/>
      <c r="S194" s="21"/>
      <c r="T194" s="21"/>
      <c r="U194" s="21"/>
      <c r="V194" s="21"/>
      <c r="W194" s="21"/>
      <c r="X194" s="21"/>
      <c r="Y194" s="21"/>
      <c r="Z194" s="21"/>
    </row>
    <row r="195" spans="1:26" ht="15.75" customHeight="1" x14ac:dyDescent="0.25">
      <c r="A195" s="11"/>
      <c r="B195" s="22">
        <v>45589</v>
      </c>
      <c r="C195" s="11">
        <v>987</v>
      </c>
      <c r="D195" s="11" t="s">
        <v>2298</v>
      </c>
      <c r="E195" s="11" t="s">
        <v>2402</v>
      </c>
      <c r="F195" s="11"/>
      <c r="G195" s="190" t="s">
        <v>2404</v>
      </c>
      <c r="H195" s="11"/>
      <c r="I195" s="25" t="s">
        <v>2403</v>
      </c>
      <c r="J195" s="21"/>
      <c r="K195" s="21"/>
      <c r="L195" s="21"/>
      <c r="M195" s="21"/>
      <c r="N195" s="21"/>
      <c r="O195" s="21"/>
      <c r="P195" s="21"/>
      <c r="Q195" s="21"/>
      <c r="R195" s="21"/>
      <c r="S195" s="21"/>
      <c r="T195" s="21"/>
      <c r="U195" s="21"/>
      <c r="V195" s="21"/>
      <c r="W195" s="21"/>
      <c r="X195" s="21"/>
      <c r="Y195" s="21"/>
      <c r="Z195" s="21"/>
    </row>
    <row r="196" spans="1:26" ht="15.75" customHeight="1" x14ac:dyDescent="0.25">
      <c r="A196" s="11"/>
      <c r="B196" s="22">
        <v>45590</v>
      </c>
      <c r="C196" s="11">
        <v>988</v>
      </c>
      <c r="D196" s="11" t="s">
        <v>2298</v>
      </c>
      <c r="E196" s="11" t="s">
        <v>2402</v>
      </c>
      <c r="F196" s="11"/>
      <c r="G196" s="190" t="s">
        <v>2406</v>
      </c>
      <c r="H196" s="11" t="s">
        <v>2405</v>
      </c>
      <c r="I196" s="25" t="s">
        <v>193</v>
      </c>
      <c r="J196" s="21"/>
      <c r="K196" s="21"/>
      <c r="L196" s="21"/>
      <c r="M196" s="21"/>
      <c r="N196" s="21"/>
      <c r="O196" s="21"/>
      <c r="P196" s="21"/>
      <c r="Q196" s="21"/>
      <c r="R196" s="21"/>
      <c r="S196" s="21"/>
      <c r="T196" s="21"/>
      <c r="U196" s="21"/>
      <c r="V196" s="21"/>
      <c r="W196" s="21"/>
      <c r="X196" s="21"/>
      <c r="Y196" s="21"/>
      <c r="Z196" s="21"/>
    </row>
    <row r="197" spans="1:26" ht="15.75" customHeight="1" x14ac:dyDescent="0.25">
      <c r="A197" s="11"/>
      <c r="B197" s="22">
        <v>45591</v>
      </c>
      <c r="C197" s="11">
        <v>989</v>
      </c>
      <c r="D197" s="11" t="s">
        <v>2298</v>
      </c>
      <c r="E197" s="11" t="s">
        <v>2391</v>
      </c>
      <c r="F197" s="11"/>
      <c r="G197" s="190" t="s">
        <v>2407</v>
      </c>
      <c r="H197" s="11"/>
      <c r="I197" s="25" t="s">
        <v>193</v>
      </c>
      <c r="J197" s="21"/>
      <c r="K197" s="21"/>
      <c r="L197" s="21"/>
      <c r="M197" s="21"/>
      <c r="N197" s="21"/>
      <c r="O197" s="21"/>
      <c r="P197" s="21"/>
      <c r="Q197" s="21"/>
      <c r="R197" s="21"/>
      <c r="S197" s="21"/>
      <c r="T197" s="21"/>
      <c r="U197" s="21"/>
      <c r="V197" s="21"/>
      <c r="W197" s="21"/>
      <c r="X197" s="21"/>
      <c r="Y197" s="21"/>
      <c r="Z197" s="21"/>
    </row>
    <row r="198" spans="1:26" ht="15.75" customHeight="1" x14ac:dyDescent="0.25">
      <c r="A198" s="11"/>
      <c r="B198" s="22">
        <v>45591</v>
      </c>
      <c r="C198" s="11">
        <v>989</v>
      </c>
      <c r="D198" s="11" t="s">
        <v>2298</v>
      </c>
      <c r="E198" s="11" t="s">
        <v>2391</v>
      </c>
      <c r="F198" s="11" t="s">
        <v>2230</v>
      </c>
      <c r="G198" s="190" t="s">
        <v>2409</v>
      </c>
      <c r="H198" s="11"/>
      <c r="I198" s="25" t="s">
        <v>2408</v>
      </c>
      <c r="J198" s="21"/>
      <c r="K198" s="21"/>
      <c r="L198" s="21"/>
      <c r="M198" s="21"/>
      <c r="N198" s="21"/>
      <c r="O198" s="21"/>
      <c r="P198" s="21"/>
      <c r="Q198" s="21"/>
      <c r="R198" s="21"/>
      <c r="S198" s="21"/>
      <c r="T198" s="21"/>
      <c r="U198" s="21"/>
      <c r="V198" s="21"/>
      <c r="W198" s="21"/>
      <c r="X198" s="21"/>
      <c r="Y198" s="21"/>
      <c r="Z198" s="21"/>
    </row>
    <row r="199" spans="1:26" ht="15.75" customHeight="1" x14ac:dyDescent="0.25">
      <c r="A199" s="11"/>
      <c r="B199" s="22">
        <v>45597</v>
      </c>
      <c r="C199" s="11">
        <v>990</v>
      </c>
      <c r="D199" s="11" t="s">
        <v>2298</v>
      </c>
      <c r="E199" s="11" t="s">
        <v>2391</v>
      </c>
      <c r="F199" s="11" t="s">
        <v>2230</v>
      </c>
      <c r="G199" s="190" t="s">
        <v>2412</v>
      </c>
      <c r="H199" s="11" t="s">
        <v>2411</v>
      </c>
      <c r="I199" s="25" t="s">
        <v>2410</v>
      </c>
      <c r="J199" s="21"/>
      <c r="K199" s="21"/>
      <c r="L199" s="21"/>
      <c r="M199" s="21"/>
      <c r="N199" s="21"/>
      <c r="O199" s="21"/>
      <c r="P199" s="21"/>
      <c r="Q199" s="21"/>
      <c r="R199" s="21"/>
      <c r="S199" s="21"/>
      <c r="T199" s="21"/>
      <c r="U199" s="21"/>
      <c r="V199" s="21"/>
      <c r="W199" s="21"/>
      <c r="X199" s="21"/>
      <c r="Y199" s="21"/>
      <c r="Z199" s="21"/>
    </row>
    <row r="200" spans="1:26" ht="15.75" customHeight="1" x14ac:dyDescent="0.25">
      <c r="A200" s="11"/>
      <c r="B200" s="22">
        <v>45598</v>
      </c>
      <c r="C200" s="11">
        <v>991</v>
      </c>
      <c r="D200" s="11" t="s">
        <v>44</v>
      </c>
      <c r="E200" s="11">
        <v>4714044234</v>
      </c>
      <c r="F200" s="11"/>
      <c r="G200" s="190" t="s">
        <v>2414</v>
      </c>
      <c r="H200" s="11" t="s">
        <v>2292</v>
      </c>
      <c r="I200" s="25" t="s">
        <v>2413</v>
      </c>
      <c r="J200" s="21"/>
      <c r="K200" s="21"/>
      <c r="L200" s="21"/>
      <c r="M200" s="21"/>
      <c r="N200" s="21"/>
      <c r="O200" s="21"/>
      <c r="P200" s="21"/>
      <c r="Q200" s="21"/>
      <c r="R200" s="21"/>
      <c r="S200" s="21"/>
      <c r="T200" s="21"/>
      <c r="U200" s="21"/>
      <c r="V200" s="21"/>
      <c r="W200" s="21"/>
      <c r="X200" s="21"/>
      <c r="Y200" s="21"/>
      <c r="Z200" s="21"/>
    </row>
    <row r="201" spans="1:26" ht="15.75" customHeight="1" x14ac:dyDescent="0.25">
      <c r="A201" s="11"/>
      <c r="B201" s="22">
        <v>45601</v>
      </c>
      <c r="C201" s="11">
        <v>992</v>
      </c>
      <c r="D201" s="11" t="s">
        <v>2298</v>
      </c>
      <c r="E201" s="11" t="s">
        <v>2391</v>
      </c>
      <c r="F201" s="11"/>
      <c r="G201" s="190" t="s">
        <v>2415</v>
      </c>
      <c r="H201" s="11" t="s">
        <v>2292</v>
      </c>
      <c r="I201" s="25"/>
      <c r="J201" s="21"/>
      <c r="K201" s="21"/>
      <c r="L201" s="21"/>
      <c r="M201" s="21"/>
      <c r="N201" s="21"/>
      <c r="O201" s="21"/>
      <c r="P201" s="21"/>
      <c r="Q201" s="21"/>
      <c r="R201" s="21"/>
      <c r="S201" s="21"/>
      <c r="T201" s="21"/>
      <c r="U201" s="21"/>
      <c r="V201" s="21"/>
      <c r="W201" s="21"/>
      <c r="X201" s="21"/>
      <c r="Y201" s="21"/>
      <c r="Z201" s="21"/>
    </row>
    <row r="202" spans="1:26" ht="15.75" customHeight="1" x14ac:dyDescent="0.25">
      <c r="A202" s="11"/>
      <c r="B202" s="22">
        <v>45607</v>
      </c>
      <c r="C202" s="11">
        <v>993</v>
      </c>
      <c r="D202" s="11" t="s">
        <v>44</v>
      </c>
      <c r="E202" s="11">
        <v>4714044309</v>
      </c>
      <c r="F202" s="11"/>
      <c r="G202" s="190" t="s">
        <v>2416</v>
      </c>
      <c r="H202" s="11" t="s">
        <v>2292</v>
      </c>
      <c r="I202" s="25"/>
      <c r="J202" s="21"/>
      <c r="K202" s="21"/>
      <c r="L202" s="21"/>
      <c r="M202" s="21"/>
      <c r="N202" s="21"/>
      <c r="O202" s="21"/>
      <c r="P202" s="21"/>
      <c r="Q202" s="21"/>
      <c r="R202" s="21"/>
      <c r="S202" s="21"/>
      <c r="T202" s="21"/>
      <c r="U202" s="21"/>
      <c r="V202" s="21"/>
      <c r="W202" s="21"/>
      <c r="X202" s="21"/>
      <c r="Y202" s="21"/>
      <c r="Z202" s="21"/>
    </row>
    <row r="203" spans="1:26" ht="15.75" customHeight="1" x14ac:dyDescent="0.25">
      <c r="A203" s="11"/>
      <c r="B203" s="22">
        <v>45607</v>
      </c>
      <c r="C203" s="11">
        <v>994</v>
      </c>
      <c r="D203" s="11" t="s">
        <v>2417</v>
      </c>
      <c r="E203" s="11" t="s">
        <v>53</v>
      </c>
      <c r="F203" s="11"/>
      <c r="G203" s="190" t="s">
        <v>2420</v>
      </c>
      <c r="H203" s="11" t="s">
        <v>2292</v>
      </c>
      <c r="I203" s="25"/>
      <c r="J203" s="21"/>
      <c r="K203" s="21"/>
      <c r="L203" s="21"/>
      <c r="M203" s="21"/>
      <c r="N203" s="21"/>
      <c r="O203" s="21"/>
      <c r="P203" s="21"/>
      <c r="Q203" s="21"/>
      <c r="R203" s="21"/>
      <c r="S203" s="21"/>
      <c r="T203" s="21"/>
      <c r="U203" s="21"/>
      <c r="V203" s="21"/>
      <c r="W203" s="21"/>
      <c r="X203" s="21"/>
      <c r="Y203" s="21"/>
      <c r="Z203" s="21"/>
    </row>
    <row r="204" spans="1:26" ht="15.75" customHeight="1" x14ac:dyDescent="0.25">
      <c r="A204" s="11"/>
      <c r="B204" s="22">
        <v>45607</v>
      </c>
      <c r="C204" s="11">
        <v>995</v>
      </c>
      <c r="D204" s="11" t="s">
        <v>2298</v>
      </c>
      <c r="E204" s="11" t="s">
        <v>2421</v>
      </c>
      <c r="F204" s="11"/>
      <c r="G204" s="190" t="s">
        <v>2422</v>
      </c>
      <c r="H204" s="11" t="s">
        <v>2292</v>
      </c>
      <c r="I204" s="25" t="s">
        <v>166</v>
      </c>
      <c r="J204" s="21"/>
      <c r="K204" s="21"/>
      <c r="L204" s="21"/>
      <c r="M204" s="21"/>
      <c r="N204" s="21"/>
      <c r="O204" s="21"/>
      <c r="P204" s="21"/>
      <c r="Q204" s="21"/>
      <c r="R204" s="21"/>
      <c r="S204" s="21"/>
      <c r="T204" s="21"/>
      <c r="U204" s="21"/>
      <c r="V204" s="21"/>
      <c r="W204" s="21"/>
      <c r="X204" s="21"/>
      <c r="Y204" s="21"/>
      <c r="Z204" s="21"/>
    </row>
    <row r="205" spans="1:26" ht="15.75" customHeight="1" x14ac:dyDescent="0.25">
      <c r="A205" s="11"/>
      <c r="B205" s="22">
        <v>45614</v>
      </c>
      <c r="C205" s="11">
        <v>1000</v>
      </c>
      <c r="D205" s="11" t="s">
        <v>2298</v>
      </c>
      <c r="E205" s="11" t="s">
        <v>2423</v>
      </c>
      <c r="F205" s="11"/>
      <c r="G205" s="190" t="s">
        <v>2425</v>
      </c>
      <c r="H205" s="11" t="s">
        <v>2292</v>
      </c>
      <c r="I205" s="25" t="s">
        <v>2424</v>
      </c>
      <c r="J205" s="21"/>
      <c r="K205" s="21"/>
      <c r="L205" s="21"/>
      <c r="M205" s="21"/>
      <c r="N205" s="21"/>
      <c r="O205" s="21"/>
      <c r="P205" s="21"/>
      <c r="Q205" s="21"/>
      <c r="R205" s="21"/>
      <c r="S205" s="21"/>
      <c r="T205" s="21"/>
      <c r="U205" s="21"/>
      <c r="V205" s="21"/>
      <c r="W205" s="21"/>
      <c r="X205" s="21"/>
      <c r="Y205" s="21"/>
      <c r="Z205" s="21"/>
    </row>
    <row r="206" spans="1:26" ht="15.75" customHeight="1" x14ac:dyDescent="0.25">
      <c r="A206" s="11"/>
      <c r="B206" s="22">
        <v>45614</v>
      </c>
      <c r="C206" s="11">
        <v>1001</v>
      </c>
      <c r="D206" s="11" t="s">
        <v>4</v>
      </c>
      <c r="E206" s="11" t="s">
        <v>2426</v>
      </c>
      <c r="F206" s="11"/>
      <c r="G206" s="190" t="s">
        <v>2427</v>
      </c>
      <c r="H206" s="11" t="s">
        <v>2292</v>
      </c>
      <c r="I206" s="25">
        <v>7</v>
      </c>
      <c r="J206" s="21"/>
      <c r="K206" s="21"/>
      <c r="L206" s="21"/>
      <c r="M206" s="21"/>
      <c r="N206" s="21"/>
      <c r="O206" s="21"/>
      <c r="P206" s="21"/>
      <c r="Q206" s="21"/>
      <c r="R206" s="21"/>
      <c r="S206" s="21"/>
      <c r="T206" s="21"/>
      <c r="U206" s="21"/>
      <c r="V206" s="21"/>
      <c r="W206" s="21"/>
      <c r="X206" s="21"/>
      <c r="Y206" s="21"/>
      <c r="Z206" s="21"/>
    </row>
    <row r="207" spans="1:26" ht="15.75" customHeight="1" x14ac:dyDescent="0.25">
      <c r="A207" s="11"/>
      <c r="B207" s="22">
        <v>45615</v>
      </c>
      <c r="C207" s="11">
        <v>1002</v>
      </c>
      <c r="D207" s="11" t="s">
        <v>44</v>
      </c>
      <c r="E207" s="11">
        <v>4714044356</v>
      </c>
      <c r="F207" s="11"/>
      <c r="G207" s="190" t="s">
        <v>2428</v>
      </c>
      <c r="H207" s="11" t="s">
        <v>2292</v>
      </c>
      <c r="I207" s="25">
        <v>1</v>
      </c>
      <c r="J207" s="21"/>
      <c r="K207" s="21"/>
      <c r="L207" s="21"/>
      <c r="M207" s="21"/>
      <c r="N207" s="21"/>
      <c r="O207" s="21"/>
      <c r="P207" s="21"/>
      <c r="Q207" s="21"/>
      <c r="R207" s="21"/>
      <c r="S207" s="21"/>
      <c r="T207" s="21"/>
      <c r="U207" s="21"/>
      <c r="V207" s="21"/>
      <c r="W207" s="21"/>
      <c r="X207" s="21"/>
      <c r="Y207" s="21"/>
      <c r="Z207" s="21"/>
    </row>
    <row r="208" spans="1:26" ht="15.75" customHeight="1" x14ac:dyDescent="0.25">
      <c r="A208" s="11"/>
      <c r="B208" s="22">
        <v>45615</v>
      </c>
      <c r="C208" s="11">
        <v>1003</v>
      </c>
      <c r="D208" s="11" t="s">
        <v>44</v>
      </c>
      <c r="E208" s="11">
        <v>4714044342</v>
      </c>
      <c r="F208" s="11"/>
      <c r="G208" s="190" t="s">
        <v>2429</v>
      </c>
      <c r="H208" s="11" t="s">
        <v>2292</v>
      </c>
      <c r="I208" s="25">
        <v>1</v>
      </c>
      <c r="J208" s="21"/>
      <c r="K208" s="21"/>
      <c r="L208" s="21"/>
      <c r="M208" s="21"/>
      <c r="N208" s="21"/>
      <c r="O208" s="21"/>
      <c r="P208" s="21"/>
      <c r="Q208" s="21"/>
      <c r="R208" s="21"/>
      <c r="S208" s="21"/>
      <c r="T208" s="21"/>
      <c r="U208" s="21"/>
      <c r="V208" s="21"/>
      <c r="W208" s="21"/>
      <c r="X208" s="21"/>
      <c r="Y208" s="21"/>
      <c r="Z208" s="21"/>
    </row>
    <row r="209" spans="1:26" ht="15.75" customHeight="1" x14ac:dyDescent="0.25">
      <c r="A209" s="11"/>
      <c r="B209" s="22">
        <v>45615</v>
      </c>
      <c r="C209" s="11">
        <v>1003</v>
      </c>
      <c r="D209" s="11" t="s">
        <v>44</v>
      </c>
      <c r="E209" s="11">
        <v>4714044342</v>
      </c>
      <c r="F209" s="11" t="s">
        <v>2230</v>
      </c>
      <c r="G209" s="190" t="s">
        <v>2429</v>
      </c>
      <c r="H209" s="11" t="s">
        <v>2292</v>
      </c>
      <c r="I209" s="220" t="s">
        <v>2450</v>
      </c>
      <c r="J209" s="21"/>
      <c r="K209" s="21"/>
      <c r="L209" s="21"/>
      <c r="M209" s="21"/>
      <c r="N209" s="21"/>
      <c r="O209" s="21"/>
      <c r="P209" s="21"/>
      <c r="Q209" s="21"/>
      <c r="R209" s="21"/>
      <c r="S209" s="21"/>
      <c r="T209" s="21"/>
      <c r="U209" s="21"/>
      <c r="V209" s="21"/>
      <c r="W209" s="21"/>
      <c r="X209" s="21"/>
      <c r="Y209" s="21"/>
      <c r="Z209" s="21"/>
    </row>
    <row r="210" spans="1:26" ht="15.75" customHeight="1" x14ac:dyDescent="0.25">
      <c r="A210" s="11"/>
      <c r="B210" s="22">
        <v>45616</v>
      </c>
      <c r="C210" s="11">
        <v>1004</v>
      </c>
      <c r="D210" s="11" t="s">
        <v>228</v>
      </c>
      <c r="E210" s="11" t="s">
        <v>2430</v>
      </c>
      <c r="F210" s="11"/>
      <c r="G210" s="190" t="s">
        <v>2431</v>
      </c>
      <c r="H210" s="11" t="s">
        <v>2292</v>
      </c>
      <c r="I210" s="25">
        <v>1</v>
      </c>
      <c r="J210" s="21"/>
      <c r="K210" s="21"/>
      <c r="L210" s="21"/>
      <c r="M210" s="21"/>
      <c r="N210" s="21"/>
      <c r="O210" s="21"/>
      <c r="P210" s="21"/>
      <c r="Q210" s="21"/>
      <c r="R210" s="21"/>
      <c r="S210" s="21"/>
      <c r="T210" s="21"/>
      <c r="U210" s="21"/>
      <c r="V210" s="21"/>
      <c r="W210" s="21"/>
      <c r="X210" s="21"/>
      <c r="Y210" s="21"/>
      <c r="Z210" s="21"/>
    </row>
    <row r="211" spans="1:26" ht="15.75" customHeight="1" x14ac:dyDescent="0.25">
      <c r="A211" s="11"/>
      <c r="B211" s="22">
        <v>45617</v>
      </c>
      <c r="C211" s="11">
        <v>1005</v>
      </c>
      <c r="D211" s="11" t="s">
        <v>2298</v>
      </c>
      <c r="E211" s="11" t="s">
        <v>2432</v>
      </c>
      <c r="F211" s="11"/>
      <c r="G211" s="190" t="s">
        <v>2433</v>
      </c>
      <c r="H211" s="11" t="s">
        <v>2292</v>
      </c>
      <c r="I211" s="25" t="s">
        <v>153</v>
      </c>
      <c r="J211" s="21"/>
      <c r="K211" s="21"/>
      <c r="L211" s="21"/>
      <c r="M211" s="21"/>
      <c r="N211" s="21"/>
      <c r="O211" s="21"/>
      <c r="P211" s="21"/>
      <c r="Q211" s="21"/>
      <c r="R211" s="21"/>
      <c r="S211" s="21"/>
      <c r="T211" s="21"/>
      <c r="U211" s="21"/>
      <c r="V211" s="21"/>
      <c r="W211" s="21"/>
      <c r="X211" s="21"/>
      <c r="Y211" s="21"/>
      <c r="Z211" s="21"/>
    </row>
    <row r="212" spans="1:26" ht="15.75" customHeight="1" x14ac:dyDescent="0.25">
      <c r="A212" s="11"/>
      <c r="B212" s="22">
        <v>45619</v>
      </c>
      <c r="C212" s="11">
        <v>1006</v>
      </c>
      <c r="D212" s="11" t="s">
        <v>66</v>
      </c>
      <c r="E212" s="11" t="s">
        <v>2434</v>
      </c>
      <c r="F212" s="11"/>
      <c r="G212" s="190" t="s">
        <v>2435</v>
      </c>
      <c r="H212" s="11" t="s">
        <v>2292</v>
      </c>
      <c r="I212" s="25">
        <v>1</v>
      </c>
      <c r="J212" s="21"/>
      <c r="K212" s="21"/>
      <c r="L212" s="21"/>
      <c r="M212" s="21"/>
      <c r="N212" s="21"/>
      <c r="O212" s="21"/>
      <c r="P212" s="21"/>
      <c r="Q212" s="21"/>
      <c r="R212" s="21"/>
      <c r="S212" s="21"/>
      <c r="T212" s="21"/>
      <c r="U212" s="21"/>
      <c r="V212" s="21"/>
      <c r="W212" s="21"/>
      <c r="X212" s="21"/>
      <c r="Y212" s="21"/>
      <c r="Z212" s="21"/>
    </row>
    <row r="213" spans="1:26" ht="15.75" customHeight="1" x14ac:dyDescent="0.25">
      <c r="A213" s="11"/>
      <c r="B213" s="22">
        <v>45619</v>
      </c>
      <c r="C213" s="11">
        <v>1007</v>
      </c>
      <c r="D213" s="11" t="s">
        <v>2298</v>
      </c>
      <c r="E213" s="11" t="s">
        <v>2432</v>
      </c>
      <c r="F213" s="11"/>
      <c r="G213" s="190" t="s">
        <v>2437</v>
      </c>
      <c r="H213" s="11" t="s">
        <v>2292</v>
      </c>
      <c r="I213" s="25" t="s">
        <v>2436</v>
      </c>
      <c r="J213" s="21"/>
      <c r="K213" s="21"/>
      <c r="L213" s="21"/>
      <c r="M213" s="21"/>
      <c r="N213" s="21"/>
      <c r="O213" s="21"/>
      <c r="P213" s="21"/>
      <c r="Q213" s="21"/>
      <c r="R213" s="21"/>
      <c r="S213" s="21"/>
      <c r="T213" s="21"/>
      <c r="U213" s="21"/>
      <c r="V213" s="21"/>
      <c r="W213" s="21"/>
      <c r="X213" s="21"/>
      <c r="Y213" s="21"/>
      <c r="Z213" s="21"/>
    </row>
    <row r="214" spans="1:26" ht="15.75" customHeight="1" x14ac:dyDescent="0.25">
      <c r="A214" s="11"/>
      <c r="B214" s="22">
        <v>45619</v>
      </c>
      <c r="C214" s="11">
        <v>1008</v>
      </c>
      <c r="D214" s="11" t="s">
        <v>2298</v>
      </c>
      <c r="E214" s="11" t="s">
        <v>2423</v>
      </c>
      <c r="F214" s="11"/>
      <c r="G214" s="190" t="s">
        <v>2439</v>
      </c>
      <c r="H214" s="11" t="s">
        <v>2292</v>
      </c>
      <c r="I214" s="25" t="s">
        <v>2438</v>
      </c>
      <c r="J214" s="21"/>
      <c r="K214" s="21"/>
      <c r="L214" s="21"/>
      <c r="M214" s="21"/>
      <c r="N214" s="21"/>
      <c r="O214" s="21"/>
      <c r="P214" s="21"/>
      <c r="Q214" s="21"/>
      <c r="R214" s="21"/>
      <c r="S214" s="21"/>
      <c r="T214" s="21"/>
      <c r="U214" s="21"/>
      <c r="V214" s="21"/>
      <c r="W214" s="21"/>
      <c r="X214" s="21"/>
      <c r="Y214" s="21"/>
      <c r="Z214" s="21"/>
    </row>
    <row r="215" spans="1:26" ht="15.75" customHeight="1" x14ac:dyDescent="0.25">
      <c r="A215" s="11"/>
      <c r="B215" s="22">
        <v>45619</v>
      </c>
      <c r="C215" s="11">
        <v>1009</v>
      </c>
      <c r="D215" s="11" t="s">
        <v>2298</v>
      </c>
      <c r="E215" s="11" t="s">
        <v>2441</v>
      </c>
      <c r="F215" s="11"/>
      <c r="G215" s="190" t="s">
        <v>2442</v>
      </c>
      <c r="H215" s="11" t="s">
        <v>2292</v>
      </c>
      <c r="I215" s="25" t="s">
        <v>2440</v>
      </c>
      <c r="J215" s="21"/>
      <c r="K215" s="21"/>
      <c r="L215" s="21"/>
      <c r="M215" s="21"/>
      <c r="N215" s="21"/>
      <c r="O215" s="21"/>
      <c r="P215" s="21"/>
      <c r="Q215" s="21"/>
      <c r="R215" s="21"/>
      <c r="S215" s="21"/>
      <c r="T215" s="21"/>
      <c r="U215" s="21"/>
      <c r="V215" s="21"/>
      <c r="W215" s="21"/>
      <c r="X215" s="21"/>
      <c r="Y215" s="21"/>
      <c r="Z215" s="21"/>
    </row>
    <row r="216" spans="1:26" ht="15.75" customHeight="1" x14ac:dyDescent="0.25">
      <c r="A216" s="11"/>
      <c r="B216" s="22">
        <v>45619</v>
      </c>
      <c r="C216" s="11">
        <v>1010</v>
      </c>
      <c r="D216" s="11" t="s">
        <v>2298</v>
      </c>
      <c r="E216" s="11" t="s">
        <v>2443</v>
      </c>
      <c r="F216" s="11"/>
      <c r="G216" s="190" t="s">
        <v>2444</v>
      </c>
      <c r="H216" s="11" t="s">
        <v>2292</v>
      </c>
      <c r="I216" s="25" t="s">
        <v>2440</v>
      </c>
      <c r="J216" s="21"/>
      <c r="K216" s="21"/>
      <c r="L216" s="21"/>
      <c r="M216" s="21"/>
      <c r="N216" s="21"/>
      <c r="O216" s="21"/>
      <c r="P216" s="21"/>
      <c r="Q216" s="21"/>
      <c r="R216" s="21"/>
      <c r="S216" s="21"/>
      <c r="T216" s="21"/>
      <c r="U216" s="21"/>
      <c r="V216" s="21"/>
      <c r="W216" s="21"/>
      <c r="X216" s="21"/>
      <c r="Y216" s="21"/>
      <c r="Z216" s="21"/>
    </row>
    <row r="217" spans="1:26" ht="15.75" customHeight="1" x14ac:dyDescent="0.25">
      <c r="A217" s="11"/>
      <c r="B217" s="22">
        <v>45624</v>
      </c>
      <c r="C217" s="11">
        <v>1011</v>
      </c>
      <c r="D217" s="11" t="s">
        <v>66</v>
      </c>
      <c r="E217" s="11" t="s">
        <v>2445</v>
      </c>
      <c r="F217" s="11"/>
      <c r="G217" s="190" t="s">
        <v>2446</v>
      </c>
      <c r="H217" s="11" t="s">
        <v>2292</v>
      </c>
      <c r="I217" s="25">
        <v>1</v>
      </c>
      <c r="J217" s="21"/>
      <c r="K217" s="21"/>
      <c r="L217" s="21"/>
      <c r="M217" s="21"/>
      <c r="N217" s="21"/>
      <c r="O217" s="21"/>
      <c r="P217" s="21"/>
      <c r="Q217" s="21"/>
      <c r="R217" s="21"/>
      <c r="S217" s="21"/>
      <c r="T217" s="21"/>
      <c r="U217" s="21"/>
      <c r="V217" s="21"/>
      <c r="W217" s="21"/>
      <c r="X217" s="21"/>
      <c r="Y217" s="21"/>
      <c r="Z217" s="21"/>
    </row>
    <row r="218" spans="1:26" ht="15.75" customHeight="1" x14ac:dyDescent="0.25">
      <c r="A218" s="11"/>
      <c r="B218" s="22">
        <v>45624</v>
      </c>
      <c r="C218" s="11">
        <v>1012</v>
      </c>
      <c r="D218" s="11" t="s">
        <v>2298</v>
      </c>
      <c r="E218" s="11" t="s">
        <v>53</v>
      </c>
      <c r="F218" s="11"/>
      <c r="G218" s="190" t="s">
        <v>2448</v>
      </c>
      <c r="H218" s="11" t="s">
        <v>2447</v>
      </c>
      <c r="I218" s="25" t="s">
        <v>2405</v>
      </c>
      <c r="J218" s="21"/>
      <c r="K218" s="21"/>
      <c r="L218" s="21"/>
      <c r="M218" s="21"/>
      <c r="N218" s="21"/>
      <c r="O218" s="21"/>
      <c r="P218" s="21"/>
      <c r="Q218" s="21"/>
      <c r="R218" s="21"/>
      <c r="S218" s="21"/>
      <c r="T218" s="21"/>
      <c r="U218" s="21"/>
      <c r="V218" s="21"/>
      <c r="W218" s="21"/>
      <c r="X218" s="21"/>
      <c r="Y218" s="21"/>
      <c r="Z218" s="21"/>
    </row>
    <row r="219" spans="1:26" ht="15.75" customHeight="1" x14ac:dyDescent="0.25">
      <c r="A219" s="11"/>
      <c r="B219" s="22">
        <v>45624</v>
      </c>
      <c r="C219" s="11">
        <v>1012</v>
      </c>
      <c r="D219" s="11" t="s">
        <v>2298</v>
      </c>
      <c r="E219" s="11" t="s">
        <v>53</v>
      </c>
      <c r="F219" s="11" t="s">
        <v>2230</v>
      </c>
      <c r="G219" s="190" t="s">
        <v>2449</v>
      </c>
      <c r="H219" s="11" t="s">
        <v>2447</v>
      </c>
      <c r="I219" s="25" t="s">
        <v>2405</v>
      </c>
      <c r="J219" s="21"/>
      <c r="K219" s="21"/>
      <c r="L219" s="21"/>
      <c r="M219" s="21"/>
      <c r="N219" s="21"/>
      <c r="O219" s="21"/>
      <c r="P219" s="21"/>
      <c r="Q219" s="21"/>
      <c r="R219" s="21"/>
      <c r="S219" s="21"/>
      <c r="T219" s="21"/>
      <c r="U219" s="21"/>
      <c r="V219" s="21"/>
      <c r="W219" s="21"/>
      <c r="X219" s="21"/>
      <c r="Y219" s="21"/>
      <c r="Z219" s="21"/>
    </row>
    <row r="220" spans="1:26" ht="15.75" customHeight="1" x14ac:dyDescent="0.25">
      <c r="A220" s="11"/>
      <c r="B220" s="22">
        <v>45625</v>
      </c>
      <c r="C220" s="11">
        <v>1013</v>
      </c>
      <c r="D220" s="11" t="s">
        <v>2298</v>
      </c>
      <c r="E220" s="11" t="s">
        <v>2441</v>
      </c>
      <c r="F220" s="11"/>
      <c r="G220" s="190" t="s">
        <v>2452</v>
      </c>
      <c r="H220" s="11" t="s">
        <v>2451</v>
      </c>
      <c r="I220" s="25" t="s">
        <v>2451</v>
      </c>
      <c r="J220" s="21"/>
      <c r="K220" s="21"/>
      <c r="L220" s="21"/>
      <c r="M220" s="21"/>
      <c r="N220" s="21"/>
      <c r="O220" s="21"/>
      <c r="P220" s="21"/>
      <c r="Q220" s="21"/>
      <c r="R220" s="21"/>
      <c r="S220" s="21"/>
      <c r="T220" s="21"/>
      <c r="U220" s="21"/>
      <c r="V220" s="21"/>
      <c r="W220" s="21"/>
      <c r="X220" s="21"/>
      <c r="Y220" s="21"/>
      <c r="Z220" s="21"/>
    </row>
    <row r="221" spans="1:26" ht="15.75" customHeight="1" x14ac:dyDescent="0.25">
      <c r="A221" s="11"/>
      <c r="B221" s="22">
        <v>45628</v>
      </c>
      <c r="C221" s="11">
        <v>1014</v>
      </c>
      <c r="D221" s="11" t="s">
        <v>44</v>
      </c>
      <c r="E221" s="11">
        <v>4714044501</v>
      </c>
      <c r="F221" s="11"/>
      <c r="G221" s="190" t="s">
        <v>2454</v>
      </c>
      <c r="H221" s="11" t="s">
        <v>2453</v>
      </c>
      <c r="I221" s="25" t="s">
        <v>2453</v>
      </c>
      <c r="J221" s="21"/>
      <c r="K221" s="21"/>
      <c r="L221" s="21"/>
      <c r="M221" s="21"/>
      <c r="N221" s="21"/>
      <c r="O221" s="21"/>
      <c r="P221" s="21"/>
      <c r="Q221" s="21"/>
      <c r="R221" s="21"/>
      <c r="S221" s="21"/>
      <c r="T221" s="21"/>
      <c r="U221" s="21"/>
      <c r="V221" s="21"/>
      <c r="W221" s="21"/>
      <c r="X221" s="21"/>
      <c r="Y221" s="21"/>
      <c r="Z221" s="21"/>
    </row>
    <row r="222" spans="1:26" ht="15.75" customHeight="1" x14ac:dyDescent="0.25">
      <c r="A222" s="11"/>
      <c r="B222" s="22">
        <v>45628</v>
      </c>
      <c r="C222" s="11">
        <v>1014</v>
      </c>
      <c r="D222" s="11" t="s">
        <v>44</v>
      </c>
      <c r="E222" s="11">
        <v>4714044501</v>
      </c>
      <c r="F222" s="11" t="s">
        <v>2230</v>
      </c>
      <c r="G222" s="190" t="s">
        <v>2456</v>
      </c>
      <c r="H222" s="11" t="s">
        <v>2453</v>
      </c>
      <c r="I222" s="25" t="s">
        <v>2455</v>
      </c>
      <c r="J222" s="21"/>
      <c r="K222" s="21"/>
      <c r="L222" s="21"/>
      <c r="M222" s="21"/>
      <c r="N222" s="21"/>
      <c r="O222" s="21"/>
      <c r="P222" s="21"/>
      <c r="Q222" s="21"/>
      <c r="R222" s="21"/>
      <c r="S222" s="21"/>
      <c r="T222" s="21"/>
      <c r="U222" s="21"/>
      <c r="V222" s="21"/>
      <c r="W222" s="21"/>
      <c r="X222" s="21"/>
      <c r="Y222" s="21"/>
      <c r="Z222" s="21"/>
    </row>
    <row r="223" spans="1:26" ht="15.75" customHeight="1" x14ac:dyDescent="0.25">
      <c r="A223" s="11"/>
      <c r="B223" s="22">
        <v>45630</v>
      </c>
      <c r="C223" s="11">
        <v>1015</v>
      </c>
      <c r="D223" s="11" t="s">
        <v>44</v>
      </c>
      <c r="E223" s="11">
        <v>4714044501</v>
      </c>
      <c r="F223" s="11"/>
      <c r="G223" s="190" t="s">
        <v>2457</v>
      </c>
      <c r="H223" s="11" t="s">
        <v>2292</v>
      </c>
      <c r="I223" s="25">
        <v>1</v>
      </c>
      <c r="J223" s="21"/>
      <c r="K223" s="21"/>
      <c r="L223" s="21"/>
      <c r="M223" s="21"/>
      <c r="N223" s="21"/>
      <c r="O223" s="21"/>
      <c r="P223" s="21"/>
      <c r="Q223" s="21"/>
      <c r="R223" s="21"/>
      <c r="S223" s="21"/>
      <c r="T223" s="21"/>
      <c r="U223" s="21"/>
      <c r="V223" s="21"/>
      <c r="W223" s="21"/>
      <c r="X223" s="21"/>
      <c r="Y223" s="21"/>
      <c r="Z223" s="21"/>
    </row>
    <row r="224" spans="1:26" ht="15.75" customHeight="1" x14ac:dyDescent="0.25">
      <c r="A224" s="11"/>
      <c r="B224" s="22">
        <v>45630</v>
      </c>
      <c r="C224" s="11">
        <v>1015</v>
      </c>
      <c r="D224" s="11" t="s">
        <v>44</v>
      </c>
      <c r="E224" s="11">
        <v>4714044501</v>
      </c>
      <c r="F224" s="11"/>
      <c r="G224" s="190" t="s">
        <v>2457</v>
      </c>
      <c r="H224" s="11" t="s">
        <v>2292</v>
      </c>
      <c r="I224" s="25">
        <v>1</v>
      </c>
      <c r="J224" s="21"/>
      <c r="K224" s="21"/>
      <c r="L224" s="21"/>
      <c r="M224" s="21"/>
      <c r="N224" s="21"/>
      <c r="O224" s="21"/>
      <c r="P224" s="21"/>
      <c r="Q224" s="21"/>
      <c r="R224" s="21"/>
      <c r="S224" s="21"/>
      <c r="T224" s="21"/>
      <c r="U224" s="21"/>
      <c r="V224" s="21"/>
      <c r="W224" s="21"/>
      <c r="X224" s="21"/>
      <c r="Y224" s="21"/>
      <c r="Z224" s="21"/>
    </row>
    <row r="225" spans="1:26" ht="15.75" customHeight="1" x14ac:dyDescent="0.25">
      <c r="A225" s="11"/>
      <c r="B225" s="22">
        <v>45631</v>
      </c>
      <c r="C225" s="11">
        <v>1016</v>
      </c>
      <c r="D225" s="11" t="s">
        <v>2298</v>
      </c>
      <c r="E225" s="11" t="s">
        <v>2458</v>
      </c>
      <c r="F225" s="11"/>
      <c r="G225" s="190" t="s">
        <v>2460</v>
      </c>
      <c r="H225" s="11" t="s">
        <v>2459</v>
      </c>
      <c r="I225" s="25" t="s">
        <v>2438</v>
      </c>
      <c r="J225" s="21"/>
      <c r="K225" s="21"/>
      <c r="L225" s="21"/>
      <c r="M225" s="21"/>
      <c r="N225" s="21"/>
      <c r="O225" s="21"/>
      <c r="P225" s="21"/>
      <c r="Q225" s="21"/>
      <c r="R225" s="21"/>
      <c r="S225" s="21"/>
      <c r="T225" s="21"/>
      <c r="U225" s="21"/>
      <c r="V225" s="21"/>
      <c r="W225" s="21"/>
      <c r="X225" s="21"/>
      <c r="Y225" s="21"/>
      <c r="Z225" s="21"/>
    </row>
    <row r="226" spans="1:26" ht="15.75" customHeight="1" x14ac:dyDescent="0.25">
      <c r="A226" s="11"/>
      <c r="B226" s="22">
        <v>45631</v>
      </c>
      <c r="C226" s="11">
        <v>1017</v>
      </c>
      <c r="D226" s="11" t="s">
        <v>2298</v>
      </c>
      <c r="E226" s="11" t="s">
        <v>2461</v>
      </c>
      <c r="F226" s="11"/>
      <c r="G226" s="190" t="s">
        <v>2464</v>
      </c>
      <c r="H226" s="11" t="s">
        <v>2463</v>
      </c>
      <c r="I226" s="25" t="s">
        <v>2462</v>
      </c>
      <c r="J226" s="21"/>
      <c r="K226" s="21"/>
      <c r="L226" s="21"/>
      <c r="M226" s="21"/>
      <c r="N226" s="21"/>
      <c r="O226" s="21"/>
      <c r="P226" s="21"/>
      <c r="Q226" s="21"/>
      <c r="R226" s="21"/>
      <c r="S226" s="21"/>
      <c r="T226" s="21"/>
      <c r="U226" s="21"/>
      <c r="V226" s="21"/>
      <c r="W226" s="21"/>
      <c r="X226" s="21"/>
      <c r="Y226" s="21"/>
      <c r="Z226" s="21"/>
    </row>
    <row r="227" spans="1:26" ht="15.75" customHeight="1" x14ac:dyDescent="0.25">
      <c r="A227" s="11"/>
      <c r="B227" s="22">
        <v>45631</v>
      </c>
      <c r="C227" s="11">
        <v>1018</v>
      </c>
      <c r="D227" s="11" t="s">
        <v>2298</v>
      </c>
      <c r="E227" s="11" t="s">
        <v>2461</v>
      </c>
      <c r="F227" s="11"/>
      <c r="G227" s="190" t="s">
        <v>2465</v>
      </c>
      <c r="H227" s="11" t="s">
        <v>2463</v>
      </c>
      <c r="I227" s="25" t="s">
        <v>2438</v>
      </c>
      <c r="J227" s="21"/>
      <c r="K227" s="21"/>
      <c r="L227" s="21"/>
      <c r="M227" s="21"/>
      <c r="N227" s="21"/>
      <c r="O227" s="21"/>
      <c r="P227" s="21"/>
      <c r="Q227" s="21"/>
      <c r="R227" s="21"/>
      <c r="S227" s="21"/>
      <c r="T227" s="21"/>
      <c r="U227" s="21"/>
      <c r="V227" s="21"/>
      <c r="W227" s="21"/>
      <c r="X227" s="21"/>
      <c r="Y227" s="21"/>
      <c r="Z227" s="21"/>
    </row>
    <row r="228" spans="1:26" ht="15.75" customHeight="1" x14ac:dyDescent="0.25">
      <c r="A228" s="11"/>
      <c r="B228" s="22">
        <v>45631</v>
      </c>
      <c r="C228" s="11">
        <v>1018</v>
      </c>
      <c r="D228" s="11" t="s">
        <v>2298</v>
      </c>
      <c r="E228" s="11" t="s">
        <v>2461</v>
      </c>
      <c r="F228" s="11"/>
      <c r="G228" s="190" t="s">
        <v>2466</v>
      </c>
      <c r="H228" s="11" t="s">
        <v>2459</v>
      </c>
      <c r="I228" s="25" t="s">
        <v>2438</v>
      </c>
      <c r="J228" s="21"/>
      <c r="K228" s="21"/>
      <c r="L228" s="21"/>
      <c r="M228" s="21"/>
      <c r="N228" s="21"/>
      <c r="O228" s="21"/>
      <c r="P228" s="21"/>
      <c r="Q228" s="21"/>
      <c r="R228" s="21"/>
      <c r="S228" s="21"/>
      <c r="T228" s="21"/>
      <c r="U228" s="21"/>
      <c r="V228" s="21"/>
      <c r="W228" s="21"/>
      <c r="X228" s="21"/>
      <c r="Y228" s="21"/>
      <c r="Z228" s="21"/>
    </row>
    <row r="229" spans="1:26" ht="15.75" customHeight="1" x14ac:dyDescent="0.25">
      <c r="A229" s="11"/>
      <c r="B229" s="22">
        <v>45632</v>
      </c>
      <c r="C229" s="11">
        <v>1019</v>
      </c>
      <c r="D229" s="11" t="s">
        <v>44</v>
      </c>
      <c r="E229" s="11">
        <v>4714044571</v>
      </c>
      <c r="F229" s="11"/>
      <c r="G229" s="190" t="s">
        <v>2467</v>
      </c>
      <c r="H229" s="11" t="s">
        <v>2292</v>
      </c>
      <c r="I229" s="25">
        <v>1</v>
      </c>
      <c r="J229" s="21"/>
      <c r="K229" s="21"/>
      <c r="L229" s="21"/>
      <c r="M229" s="21"/>
      <c r="N229" s="21"/>
      <c r="O229" s="21"/>
      <c r="P229" s="21"/>
      <c r="Q229" s="21"/>
      <c r="R229" s="21"/>
      <c r="S229" s="21"/>
      <c r="T229" s="21"/>
      <c r="U229" s="21"/>
      <c r="V229" s="21"/>
      <c r="W229" s="21"/>
      <c r="X229" s="21"/>
      <c r="Y229" s="21"/>
      <c r="Z229" s="21"/>
    </row>
    <row r="230" spans="1:26" ht="15.75" customHeight="1" x14ac:dyDescent="0.25">
      <c r="A230" s="11"/>
      <c r="B230" s="22">
        <v>45632</v>
      </c>
      <c r="C230" s="11">
        <v>1020</v>
      </c>
      <c r="D230" s="11" t="s">
        <v>66</v>
      </c>
      <c r="E230" s="11" t="s">
        <v>2468</v>
      </c>
      <c r="F230" s="11"/>
      <c r="G230" s="190" t="s">
        <v>2469</v>
      </c>
      <c r="H230" s="11" t="s">
        <v>2292</v>
      </c>
      <c r="I230" s="25">
        <v>1</v>
      </c>
      <c r="J230" s="21"/>
      <c r="K230" s="21"/>
      <c r="L230" s="21"/>
      <c r="M230" s="21"/>
      <c r="N230" s="21"/>
      <c r="O230" s="21"/>
      <c r="P230" s="21"/>
      <c r="Q230" s="21"/>
      <c r="R230" s="21"/>
      <c r="S230" s="21"/>
      <c r="T230" s="21"/>
      <c r="U230" s="21"/>
      <c r="V230" s="21"/>
      <c r="W230" s="21"/>
      <c r="X230" s="21"/>
      <c r="Y230" s="21"/>
      <c r="Z230" s="21"/>
    </row>
    <row r="231" spans="1:26" ht="15.75" customHeight="1" x14ac:dyDescent="0.25">
      <c r="A231" s="11"/>
      <c r="B231" s="22">
        <v>45635</v>
      </c>
      <c r="C231" s="11">
        <v>1021</v>
      </c>
      <c r="D231" s="11" t="s">
        <v>44</v>
      </c>
      <c r="E231" s="11">
        <v>4714044531</v>
      </c>
      <c r="F231" s="11"/>
      <c r="G231" s="190" t="s">
        <v>2472</v>
      </c>
      <c r="H231" s="11" t="s">
        <v>2470</v>
      </c>
      <c r="I231" s="25" t="s">
        <v>2471</v>
      </c>
      <c r="J231" s="21"/>
      <c r="K231" s="21"/>
      <c r="L231" s="21"/>
      <c r="M231" s="21"/>
      <c r="N231" s="21"/>
      <c r="O231" s="21"/>
      <c r="P231" s="21"/>
      <c r="Q231" s="21"/>
      <c r="R231" s="21"/>
      <c r="S231" s="21"/>
      <c r="T231" s="21"/>
      <c r="U231" s="21"/>
      <c r="V231" s="21"/>
      <c r="W231" s="21"/>
      <c r="X231" s="21"/>
      <c r="Y231" s="21"/>
      <c r="Z231" s="21"/>
    </row>
    <row r="232" spans="1:26" ht="15.75" customHeight="1" x14ac:dyDescent="0.25">
      <c r="A232" s="11"/>
      <c r="B232" s="22">
        <v>45636</v>
      </c>
      <c r="C232" s="11">
        <v>1022</v>
      </c>
      <c r="D232" s="11" t="s">
        <v>44</v>
      </c>
      <c r="E232" s="11">
        <v>4714044531</v>
      </c>
      <c r="F232" s="11"/>
      <c r="G232" s="190" t="s">
        <v>2475</v>
      </c>
      <c r="H232" s="11" t="s">
        <v>2474</v>
      </c>
      <c r="I232" s="25" t="s">
        <v>2473</v>
      </c>
      <c r="J232" s="21"/>
      <c r="K232" s="21"/>
      <c r="L232" s="21"/>
      <c r="M232" s="21"/>
      <c r="N232" s="21"/>
      <c r="O232" s="21"/>
      <c r="P232" s="21"/>
      <c r="Q232" s="21"/>
      <c r="R232" s="21"/>
      <c r="S232" s="21"/>
      <c r="T232" s="21"/>
      <c r="U232" s="21"/>
      <c r="V232" s="21"/>
      <c r="W232" s="21"/>
      <c r="X232" s="21"/>
      <c r="Y232" s="21"/>
      <c r="Z232" s="21"/>
    </row>
    <row r="233" spans="1:26" ht="15.75" customHeight="1" x14ac:dyDescent="0.25">
      <c r="A233" s="11"/>
      <c r="B233" s="22">
        <v>45636</v>
      </c>
      <c r="C233" s="11">
        <v>1023</v>
      </c>
      <c r="D233" s="11" t="s">
        <v>4</v>
      </c>
      <c r="E233" s="11" t="s">
        <v>2426</v>
      </c>
      <c r="F233" s="11"/>
      <c r="G233" s="190" t="s">
        <v>2476</v>
      </c>
      <c r="H233" s="11" t="s">
        <v>2306</v>
      </c>
      <c r="I233" s="25">
        <v>7</v>
      </c>
      <c r="J233" s="21"/>
      <c r="K233" s="21"/>
      <c r="L233" s="21"/>
      <c r="M233" s="21"/>
      <c r="N233" s="21"/>
      <c r="O233" s="21"/>
      <c r="P233" s="21"/>
      <c r="Q233" s="21"/>
      <c r="R233" s="21"/>
      <c r="S233" s="21"/>
      <c r="T233" s="21"/>
      <c r="U233" s="21"/>
      <c r="V233" s="21"/>
      <c r="W233" s="21"/>
      <c r="X233" s="21"/>
      <c r="Y233" s="21"/>
      <c r="Z233" s="21"/>
    </row>
    <row r="234" spans="1:26" ht="15.75" customHeight="1" x14ac:dyDescent="0.25">
      <c r="A234" s="11"/>
      <c r="B234" s="22">
        <v>45637</v>
      </c>
      <c r="C234" s="11">
        <v>1024</v>
      </c>
      <c r="D234" s="11" t="s">
        <v>66</v>
      </c>
      <c r="E234" s="11" t="s">
        <v>2477</v>
      </c>
      <c r="F234" s="11"/>
      <c r="G234" s="190" t="s">
        <v>2478</v>
      </c>
      <c r="H234" s="11" t="s">
        <v>2292</v>
      </c>
      <c r="I234" s="25">
        <v>1</v>
      </c>
      <c r="J234" s="21"/>
      <c r="K234" s="21"/>
      <c r="L234" s="21"/>
      <c r="M234" s="21"/>
      <c r="N234" s="21"/>
      <c r="O234" s="21"/>
      <c r="P234" s="21"/>
      <c r="Q234" s="21"/>
      <c r="R234" s="21"/>
      <c r="S234" s="21"/>
      <c r="T234" s="21"/>
      <c r="U234" s="21"/>
      <c r="V234" s="21"/>
      <c r="W234" s="21"/>
      <c r="X234" s="21"/>
      <c r="Y234" s="21"/>
      <c r="Z234" s="21"/>
    </row>
    <row r="235" spans="1:26" ht="15.75" customHeight="1" x14ac:dyDescent="0.25">
      <c r="A235" s="11"/>
      <c r="B235" s="22">
        <v>45637</v>
      </c>
      <c r="C235" s="11">
        <v>1025</v>
      </c>
      <c r="D235" s="11" t="s">
        <v>66</v>
      </c>
      <c r="E235" s="11" t="s">
        <v>2479</v>
      </c>
      <c r="F235" s="11"/>
      <c r="G235" s="190" t="s">
        <v>2480</v>
      </c>
      <c r="H235" s="11" t="s">
        <v>2292</v>
      </c>
      <c r="I235" s="25">
        <v>1</v>
      </c>
      <c r="J235" s="21"/>
      <c r="K235" s="21"/>
      <c r="L235" s="21"/>
      <c r="M235" s="21"/>
      <c r="N235" s="21"/>
      <c r="O235" s="21"/>
      <c r="P235" s="21"/>
      <c r="Q235" s="21"/>
      <c r="R235" s="21"/>
      <c r="S235" s="21"/>
      <c r="T235" s="21"/>
      <c r="U235" s="21"/>
      <c r="V235" s="21"/>
      <c r="W235" s="21"/>
      <c r="X235" s="21"/>
      <c r="Y235" s="21"/>
      <c r="Z235" s="21"/>
    </row>
    <row r="236" spans="1:26" ht="15.75" customHeight="1" x14ac:dyDescent="0.25">
      <c r="A236" s="11"/>
      <c r="B236" s="22">
        <v>45637</v>
      </c>
      <c r="C236" s="11">
        <v>1026</v>
      </c>
      <c r="D236" s="11" t="s">
        <v>66</v>
      </c>
      <c r="E236" s="11" t="s">
        <v>2481</v>
      </c>
      <c r="F236" s="11"/>
      <c r="G236" s="190" t="s">
        <v>2482</v>
      </c>
      <c r="H236" s="11" t="s">
        <v>2292</v>
      </c>
      <c r="I236" s="25">
        <v>1</v>
      </c>
      <c r="J236" s="21"/>
      <c r="K236" s="21"/>
      <c r="L236" s="21"/>
      <c r="M236" s="21"/>
      <c r="N236" s="21"/>
      <c r="O236" s="21"/>
      <c r="P236" s="21"/>
      <c r="Q236" s="21"/>
      <c r="R236" s="21"/>
      <c r="S236" s="21"/>
      <c r="T236" s="21"/>
      <c r="U236" s="21"/>
      <c r="V236" s="21"/>
      <c r="W236" s="21"/>
      <c r="X236" s="21"/>
      <c r="Y236" s="21"/>
      <c r="Z236" s="21"/>
    </row>
    <row r="237" spans="1:26" ht="15.75" customHeight="1" x14ac:dyDescent="0.25">
      <c r="A237" s="11"/>
      <c r="B237" s="22">
        <v>45637</v>
      </c>
      <c r="C237" s="11">
        <v>1027</v>
      </c>
      <c r="D237" s="11" t="s">
        <v>66</v>
      </c>
      <c r="E237" s="11" t="s">
        <v>2483</v>
      </c>
      <c r="F237" s="11"/>
      <c r="G237" s="190" t="s">
        <v>2484</v>
      </c>
      <c r="H237" s="11" t="s">
        <v>2292</v>
      </c>
      <c r="I237" s="25">
        <v>1</v>
      </c>
      <c r="J237" s="21"/>
      <c r="K237" s="21"/>
      <c r="L237" s="21"/>
      <c r="M237" s="21"/>
      <c r="N237" s="21"/>
      <c r="O237" s="21"/>
      <c r="P237" s="21"/>
      <c r="Q237" s="21"/>
      <c r="R237" s="21"/>
      <c r="S237" s="21"/>
      <c r="T237" s="21"/>
      <c r="U237" s="21"/>
      <c r="V237" s="21"/>
      <c r="W237" s="21"/>
      <c r="X237" s="21"/>
      <c r="Y237" s="21"/>
      <c r="Z237" s="21"/>
    </row>
    <row r="238" spans="1:26" ht="15.75" customHeight="1" x14ac:dyDescent="0.25">
      <c r="A238" s="11"/>
      <c r="B238" s="22">
        <v>45637</v>
      </c>
      <c r="C238" s="11">
        <v>1028</v>
      </c>
      <c r="D238" s="11" t="s">
        <v>2298</v>
      </c>
      <c r="E238" s="11" t="s">
        <v>2485</v>
      </c>
      <c r="F238" s="11"/>
      <c r="G238" s="190" t="s">
        <v>2486</v>
      </c>
      <c r="H238" s="11" t="s">
        <v>2292</v>
      </c>
      <c r="I238" s="25">
        <v>1</v>
      </c>
      <c r="J238" s="21"/>
      <c r="K238" s="21"/>
      <c r="L238" s="21"/>
      <c r="M238" s="21"/>
      <c r="N238" s="21"/>
      <c r="O238" s="21"/>
      <c r="P238" s="21"/>
      <c r="Q238" s="21"/>
      <c r="R238" s="21"/>
      <c r="S238" s="21"/>
      <c r="T238" s="21"/>
      <c r="U238" s="21"/>
      <c r="V238" s="21"/>
      <c r="W238" s="21"/>
      <c r="X238" s="21"/>
      <c r="Y238" s="21"/>
      <c r="Z238" s="21"/>
    </row>
    <row r="239" spans="1:26" ht="15.75" customHeight="1" x14ac:dyDescent="0.25">
      <c r="A239" s="11"/>
      <c r="B239" s="22">
        <v>45638</v>
      </c>
      <c r="C239" s="11">
        <v>1029</v>
      </c>
      <c r="D239" s="11" t="s">
        <v>44</v>
      </c>
      <c r="E239" s="11">
        <v>4714044631</v>
      </c>
      <c r="F239" s="11"/>
      <c r="G239" s="190" t="s">
        <v>2488</v>
      </c>
      <c r="H239" s="11" t="s">
        <v>2292</v>
      </c>
      <c r="I239" s="25" t="s">
        <v>2487</v>
      </c>
      <c r="J239" s="21"/>
      <c r="K239" s="21"/>
      <c r="L239" s="21"/>
      <c r="M239" s="21"/>
      <c r="N239" s="21"/>
      <c r="O239" s="21"/>
      <c r="P239" s="21"/>
      <c r="Q239" s="21"/>
      <c r="R239" s="21"/>
      <c r="S239" s="21"/>
      <c r="T239" s="21"/>
      <c r="U239" s="21"/>
      <c r="V239" s="21"/>
      <c r="W239" s="21"/>
      <c r="X239" s="21"/>
      <c r="Y239" s="21"/>
      <c r="Z239" s="21"/>
    </row>
    <row r="240" spans="1:26" ht="15.75" customHeight="1" x14ac:dyDescent="0.25">
      <c r="A240" s="11"/>
      <c r="B240" s="22">
        <v>45639</v>
      </c>
      <c r="C240" s="11">
        <v>1030</v>
      </c>
      <c r="D240" s="11" t="s">
        <v>66</v>
      </c>
      <c r="E240" s="11" t="s">
        <v>2490</v>
      </c>
      <c r="F240" s="11"/>
      <c r="G240" s="190" t="s">
        <v>2491</v>
      </c>
      <c r="H240" s="11" t="s">
        <v>2292</v>
      </c>
      <c r="I240" s="25">
        <v>1</v>
      </c>
      <c r="J240" s="21"/>
      <c r="K240" s="21"/>
      <c r="L240" s="21"/>
      <c r="M240" s="21"/>
      <c r="N240" s="21"/>
      <c r="O240" s="21"/>
      <c r="P240" s="21"/>
      <c r="Q240" s="21"/>
      <c r="R240" s="21"/>
      <c r="S240" s="21"/>
      <c r="T240" s="21"/>
      <c r="U240" s="21"/>
      <c r="V240" s="21"/>
      <c r="W240" s="21"/>
      <c r="X240" s="21"/>
      <c r="Y240" s="21"/>
      <c r="Z240" s="21"/>
    </row>
    <row r="241" spans="1:26" ht="15.75" customHeight="1" x14ac:dyDescent="0.25">
      <c r="A241" s="11"/>
      <c r="B241" s="22">
        <v>45642</v>
      </c>
      <c r="C241" s="11">
        <v>1031</v>
      </c>
      <c r="D241" s="11" t="s">
        <v>2489</v>
      </c>
      <c r="E241" s="11" t="s">
        <v>2492</v>
      </c>
      <c r="F241" s="11"/>
      <c r="G241" s="190" t="s">
        <v>2494</v>
      </c>
      <c r="H241" s="11" t="s">
        <v>2493</v>
      </c>
      <c r="I241" s="25" t="s">
        <v>2493</v>
      </c>
      <c r="J241" s="21"/>
      <c r="K241" s="21"/>
      <c r="L241" s="21"/>
      <c r="M241" s="21"/>
      <c r="N241" s="21"/>
      <c r="O241" s="21"/>
      <c r="P241" s="21"/>
      <c r="Q241" s="21"/>
      <c r="R241" s="21"/>
      <c r="S241" s="21"/>
      <c r="T241" s="21"/>
      <c r="U241" s="21"/>
      <c r="V241" s="21"/>
      <c r="W241" s="21"/>
      <c r="X241" s="21"/>
      <c r="Y241" s="21"/>
      <c r="Z241" s="21"/>
    </row>
    <row r="242" spans="1:26" ht="15.75" customHeight="1" x14ac:dyDescent="0.25">
      <c r="A242" s="11"/>
      <c r="B242" s="22">
        <v>45642</v>
      </c>
      <c r="C242" s="11">
        <v>1032</v>
      </c>
      <c r="D242" s="11" t="s">
        <v>160</v>
      </c>
      <c r="E242" s="11" t="s">
        <v>2497</v>
      </c>
      <c r="F242" s="11"/>
      <c r="G242" s="190" t="s">
        <v>2498</v>
      </c>
      <c r="H242" s="11" t="s">
        <v>2495</v>
      </c>
      <c r="I242" s="25" t="s">
        <v>2496</v>
      </c>
      <c r="J242" s="21"/>
      <c r="K242" s="21"/>
      <c r="L242" s="21"/>
      <c r="M242" s="21"/>
      <c r="N242" s="21"/>
      <c r="O242" s="21"/>
      <c r="P242" s="21"/>
      <c r="Q242" s="21"/>
      <c r="R242" s="21"/>
      <c r="S242" s="21"/>
      <c r="T242" s="21"/>
      <c r="U242" s="21"/>
      <c r="V242" s="21"/>
      <c r="W242" s="21"/>
      <c r="X242" s="21"/>
      <c r="Y242" s="21"/>
      <c r="Z242" s="21"/>
    </row>
    <row r="243" spans="1:26" ht="15.75" customHeight="1" x14ac:dyDescent="0.25">
      <c r="A243" s="11"/>
      <c r="B243" s="22">
        <v>45643</v>
      </c>
      <c r="C243" s="11">
        <v>1033</v>
      </c>
      <c r="D243" s="11" t="s">
        <v>2489</v>
      </c>
      <c r="E243" s="11" t="s">
        <v>53</v>
      </c>
      <c r="F243" s="11"/>
      <c r="G243" s="190" t="s">
        <v>2499</v>
      </c>
      <c r="H243" s="11" t="s">
        <v>2495</v>
      </c>
      <c r="I243" s="25" t="s">
        <v>2405</v>
      </c>
      <c r="J243" s="21"/>
      <c r="K243" s="21"/>
      <c r="L243" s="21"/>
      <c r="M243" s="21"/>
      <c r="N243" s="21"/>
      <c r="O243" s="21"/>
      <c r="P243" s="21"/>
      <c r="Q243" s="21"/>
      <c r="R243" s="21"/>
      <c r="S243" s="21"/>
      <c r="T243" s="21"/>
      <c r="U243" s="21"/>
      <c r="V243" s="21"/>
      <c r="W243" s="21"/>
      <c r="X243" s="21"/>
      <c r="Y243" s="21"/>
      <c r="Z243" s="21"/>
    </row>
    <row r="244" spans="1:26" ht="15.75" customHeight="1" x14ac:dyDescent="0.25">
      <c r="A244" s="11"/>
      <c r="B244" s="22">
        <v>45644</v>
      </c>
      <c r="C244" s="11">
        <v>1034</v>
      </c>
      <c r="D244" s="11" t="s">
        <v>44</v>
      </c>
      <c r="E244" s="11">
        <v>4714044565</v>
      </c>
      <c r="F244" s="11"/>
      <c r="G244" s="190" t="s">
        <v>2500</v>
      </c>
      <c r="H244" s="11" t="s">
        <v>2292</v>
      </c>
      <c r="I244" s="25">
        <v>1</v>
      </c>
      <c r="J244" s="21"/>
      <c r="K244" s="21"/>
      <c r="L244" s="21"/>
      <c r="M244" s="21"/>
      <c r="N244" s="21"/>
      <c r="O244" s="21"/>
      <c r="P244" s="21"/>
      <c r="Q244" s="21"/>
      <c r="R244" s="21"/>
      <c r="S244" s="21"/>
      <c r="T244" s="21"/>
      <c r="U244" s="21"/>
      <c r="V244" s="21"/>
      <c r="W244" s="21"/>
      <c r="X244" s="21"/>
      <c r="Y244" s="21"/>
      <c r="Z244" s="21"/>
    </row>
    <row r="245" spans="1:26" ht="15.75" customHeight="1" x14ac:dyDescent="0.25">
      <c r="A245" s="11"/>
      <c r="B245" s="22">
        <v>45644</v>
      </c>
      <c r="C245" s="11">
        <v>1035</v>
      </c>
      <c r="D245" s="11" t="s">
        <v>44</v>
      </c>
      <c r="E245" s="11">
        <v>4714044652</v>
      </c>
      <c r="F245" s="11"/>
      <c r="G245" s="190" t="s">
        <v>2501</v>
      </c>
      <c r="H245" s="11" t="s">
        <v>2292</v>
      </c>
      <c r="I245" s="25">
        <v>1</v>
      </c>
      <c r="J245" s="21"/>
      <c r="K245" s="21"/>
      <c r="L245" s="21"/>
      <c r="M245" s="21"/>
      <c r="N245" s="21"/>
      <c r="O245" s="21"/>
      <c r="P245" s="21"/>
      <c r="Q245" s="21"/>
      <c r="R245" s="21"/>
      <c r="S245" s="21"/>
      <c r="T245" s="21"/>
      <c r="U245" s="21"/>
      <c r="V245" s="21"/>
      <c r="W245" s="21"/>
      <c r="X245" s="21"/>
      <c r="Y245" s="21"/>
      <c r="Z245" s="21"/>
    </row>
    <row r="246" spans="1:26" ht="15.75" customHeight="1" x14ac:dyDescent="0.25">
      <c r="A246" s="11"/>
      <c r="B246" s="22">
        <v>45644</v>
      </c>
      <c r="C246" s="11">
        <v>1035</v>
      </c>
      <c r="D246" s="11" t="s">
        <v>44</v>
      </c>
      <c r="E246" s="11">
        <v>4714044652</v>
      </c>
      <c r="F246" s="11"/>
      <c r="G246" s="190" t="s">
        <v>2501</v>
      </c>
      <c r="H246" s="11" t="s">
        <v>2292</v>
      </c>
      <c r="I246" s="25" t="s">
        <v>2502</v>
      </c>
      <c r="J246" s="21"/>
      <c r="K246" s="21"/>
      <c r="L246" s="21"/>
      <c r="M246" s="21"/>
      <c r="N246" s="21"/>
      <c r="O246" s="21"/>
      <c r="P246" s="21"/>
      <c r="Q246" s="21"/>
      <c r="R246" s="21"/>
      <c r="S246" s="21"/>
      <c r="T246" s="21"/>
      <c r="U246" s="21"/>
      <c r="V246" s="21"/>
      <c r="W246" s="21"/>
      <c r="X246" s="21"/>
      <c r="Y246" s="21"/>
      <c r="Z246" s="21"/>
    </row>
    <row r="247" spans="1:26" ht="15.75" customHeight="1" x14ac:dyDescent="0.25">
      <c r="A247" s="11"/>
      <c r="B247" s="22">
        <v>45644</v>
      </c>
      <c r="C247" s="11">
        <v>1036</v>
      </c>
      <c r="D247" s="11" t="s">
        <v>44</v>
      </c>
      <c r="E247" s="11">
        <v>4714044646</v>
      </c>
      <c r="F247" s="11"/>
      <c r="G247" s="190" t="s">
        <v>2503</v>
      </c>
      <c r="H247" s="11" t="s">
        <v>2292</v>
      </c>
      <c r="I247" s="25">
        <v>1</v>
      </c>
      <c r="J247" s="21"/>
      <c r="K247" s="21"/>
      <c r="L247" s="21"/>
      <c r="M247" s="21"/>
      <c r="N247" s="21"/>
      <c r="O247" s="21"/>
      <c r="P247" s="21"/>
      <c r="Q247" s="21"/>
      <c r="R247" s="21"/>
      <c r="S247" s="21"/>
      <c r="T247" s="21"/>
      <c r="U247" s="21"/>
      <c r="V247" s="21"/>
      <c r="W247" s="21"/>
      <c r="X247" s="21"/>
      <c r="Y247" s="21"/>
      <c r="Z247" s="21"/>
    </row>
    <row r="248" spans="1:26" ht="15.75" customHeight="1" x14ac:dyDescent="0.25">
      <c r="A248" s="11"/>
      <c r="B248" s="22">
        <v>45644</v>
      </c>
      <c r="C248" s="11">
        <v>1037</v>
      </c>
      <c r="D248" s="11" t="s">
        <v>66</v>
      </c>
      <c r="E248" s="11" t="s">
        <v>2504</v>
      </c>
      <c r="F248" s="11"/>
      <c r="G248" s="190" t="s">
        <v>2505</v>
      </c>
      <c r="H248" s="11" t="s">
        <v>2292</v>
      </c>
      <c r="I248" s="25">
        <v>1</v>
      </c>
      <c r="J248" s="21"/>
      <c r="K248" s="21"/>
      <c r="L248" s="21"/>
      <c r="M248" s="21"/>
      <c r="N248" s="21"/>
      <c r="O248" s="21"/>
      <c r="P248" s="21"/>
      <c r="Q248" s="21"/>
      <c r="R248" s="21"/>
      <c r="S248" s="21"/>
      <c r="T248" s="21"/>
      <c r="U248" s="21"/>
      <c r="V248" s="21"/>
      <c r="W248" s="21"/>
      <c r="X248" s="21"/>
      <c r="Y248" s="21"/>
      <c r="Z248" s="21"/>
    </row>
    <row r="249" spans="1:26" ht="15.75" customHeight="1" x14ac:dyDescent="0.25">
      <c r="A249" s="11"/>
      <c r="B249" s="22">
        <v>45649</v>
      </c>
      <c r="C249" s="11">
        <v>1038</v>
      </c>
      <c r="D249" s="11" t="s">
        <v>160</v>
      </c>
      <c r="E249" s="11" t="s">
        <v>2497</v>
      </c>
      <c r="F249" s="11"/>
      <c r="G249" s="190" t="s">
        <v>2507</v>
      </c>
      <c r="H249" s="11" t="s">
        <v>2306</v>
      </c>
      <c r="I249" s="25" t="s">
        <v>2506</v>
      </c>
      <c r="J249" s="21"/>
      <c r="K249" s="21"/>
      <c r="L249" s="21"/>
      <c r="M249" s="21"/>
      <c r="N249" s="21"/>
      <c r="O249" s="21"/>
      <c r="P249" s="21"/>
      <c r="Q249" s="21"/>
      <c r="R249" s="21"/>
      <c r="S249" s="21"/>
      <c r="T249" s="21"/>
      <c r="U249" s="21"/>
      <c r="V249" s="21"/>
      <c r="W249" s="21"/>
      <c r="X249" s="21"/>
      <c r="Y249" s="21"/>
      <c r="Z249" s="21"/>
    </row>
    <row r="250" spans="1:26" ht="15.75" customHeight="1" x14ac:dyDescent="0.25">
      <c r="A250" s="11"/>
      <c r="B250" s="22">
        <v>45649</v>
      </c>
      <c r="C250" s="11">
        <v>1039</v>
      </c>
      <c r="D250" s="11" t="s">
        <v>44</v>
      </c>
      <c r="E250" s="11">
        <v>4714044614</v>
      </c>
      <c r="F250" s="11"/>
      <c r="G250" s="190" t="s">
        <v>2508</v>
      </c>
      <c r="H250" s="11" t="s">
        <v>2292</v>
      </c>
      <c r="I250" s="25">
        <v>1</v>
      </c>
      <c r="J250" s="21"/>
      <c r="K250" s="21"/>
      <c r="L250" s="21"/>
      <c r="M250" s="21"/>
      <c r="N250" s="21"/>
      <c r="O250" s="21"/>
      <c r="P250" s="21"/>
      <c r="Q250" s="21"/>
      <c r="R250" s="21"/>
      <c r="S250" s="21"/>
      <c r="T250" s="21"/>
      <c r="U250" s="21"/>
      <c r="V250" s="21"/>
      <c r="W250" s="21"/>
      <c r="X250" s="21"/>
      <c r="Y250" s="21"/>
      <c r="Z250" s="21"/>
    </row>
    <row r="251" spans="1:26" ht="15.75" customHeight="1" x14ac:dyDescent="0.25">
      <c r="A251" s="11"/>
      <c r="B251" s="22">
        <v>45649</v>
      </c>
      <c r="C251" s="11">
        <v>1040</v>
      </c>
      <c r="D251" s="11" t="s">
        <v>44</v>
      </c>
      <c r="E251" s="11">
        <v>4714044625</v>
      </c>
      <c r="F251" s="11"/>
      <c r="G251" s="190" t="s">
        <v>2510</v>
      </c>
      <c r="H251" s="11" t="s">
        <v>2292</v>
      </c>
      <c r="I251" s="25" t="s">
        <v>2509</v>
      </c>
      <c r="J251" s="21"/>
      <c r="K251" s="21"/>
      <c r="L251" s="21"/>
      <c r="M251" s="21"/>
      <c r="N251" s="21"/>
      <c r="O251" s="21"/>
      <c r="P251" s="21"/>
      <c r="Q251" s="21"/>
      <c r="R251" s="21"/>
      <c r="S251" s="21"/>
      <c r="T251" s="21"/>
      <c r="U251" s="21"/>
      <c r="V251" s="21"/>
      <c r="W251" s="21"/>
      <c r="X251" s="21"/>
      <c r="Y251" s="21"/>
      <c r="Z251" s="21"/>
    </row>
    <row r="252" spans="1:26" ht="15.75" customHeight="1" x14ac:dyDescent="0.25">
      <c r="A252" s="11"/>
      <c r="B252" s="22">
        <v>45649</v>
      </c>
      <c r="C252" s="11">
        <v>1040</v>
      </c>
      <c r="D252" s="11" t="s">
        <v>44</v>
      </c>
      <c r="E252" s="11">
        <v>4714044625</v>
      </c>
      <c r="F252" s="11"/>
      <c r="G252" s="190" t="s">
        <v>2511</v>
      </c>
      <c r="H252" s="11" t="s">
        <v>2459</v>
      </c>
      <c r="I252" s="25" t="s">
        <v>2509</v>
      </c>
      <c r="J252" s="21"/>
      <c r="K252" s="21"/>
      <c r="L252" s="21"/>
      <c r="M252" s="21"/>
      <c r="N252" s="21"/>
      <c r="O252" s="21"/>
      <c r="P252" s="21"/>
      <c r="Q252" s="21"/>
      <c r="R252" s="21"/>
      <c r="S252" s="21"/>
      <c r="T252" s="21"/>
      <c r="U252" s="21"/>
      <c r="V252" s="21"/>
      <c r="W252" s="21"/>
      <c r="X252" s="21"/>
      <c r="Y252" s="21"/>
      <c r="Z252" s="21"/>
    </row>
    <row r="253" spans="1:26" ht="15.75" customHeight="1" x14ac:dyDescent="0.25">
      <c r="A253" s="11"/>
      <c r="B253" s="22">
        <v>45649</v>
      </c>
      <c r="C253" s="11">
        <v>1041</v>
      </c>
      <c r="D253" s="11" t="s">
        <v>44</v>
      </c>
      <c r="E253" s="11">
        <v>4714044612</v>
      </c>
      <c r="F253" s="11"/>
      <c r="G253" s="190" t="s">
        <v>2514</v>
      </c>
      <c r="H253" s="11" t="s">
        <v>2513</v>
      </c>
      <c r="I253" s="25" t="s">
        <v>2512</v>
      </c>
      <c r="J253" s="21"/>
      <c r="K253" s="21"/>
      <c r="L253" s="21"/>
      <c r="M253" s="21"/>
      <c r="N253" s="21"/>
      <c r="O253" s="21"/>
      <c r="P253" s="21"/>
      <c r="Q253" s="21"/>
      <c r="R253" s="21"/>
      <c r="S253" s="21"/>
      <c r="T253" s="21"/>
      <c r="U253" s="21"/>
      <c r="V253" s="21"/>
      <c r="W253" s="21"/>
      <c r="X253" s="21"/>
      <c r="Y253" s="21"/>
      <c r="Z253" s="21"/>
    </row>
    <row r="254" spans="1:26" ht="15.75" customHeight="1" x14ac:dyDescent="0.25">
      <c r="A254" s="11"/>
      <c r="B254" s="22">
        <v>45649</v>
      </c>
      <c r="C254" s="11">
        <v>1042</v>
      </c>
      <c r="D254" s="11" t="s">
        <v>2515</v>
      </c>
      <c r="E254" s="11" t="s">
        <v>53</v>
      </c>
      <c r="F254" s="11"/>
      <c r="G254" s="190" t="s">
        <v>2518</v>
      </c>
      <c r="H254" s="11" t="s">
        <v>2292</v>
      </c>
      <c r="I254" s="25"/>
      <c r="J254" s="21"/>
      <c r="K254" s="21"/>
      <c r="L254" s="21"/>
      <c r="M254" s="21"/>
      <c r="N254" s="21"/>
      <c r="O254" s="21"/>
      <c r="P254" s="21"/>
      <c r="Q254" s="21"/>
      <c r="R254" s="21"/>
      <c r="S254" s="21"/>
      <c r="T254" s="21"/>
      <c r="U254" s="21"/>
      <c r="V254" s="21"/>
      <c r="W254" s="21"/>
      <c r="X254" s="21"/>
      <c r="Y254" s="21"/>
      <c r="Z254" s="21"/>
    </row>
    <row r="255" spans="1:26" ht="15.75" customHeight="1" x14ac:dyDescent="0.25">
      <c r="A255" s="11"/>
      <c r="B255" s="22">
        <v>45650</v>
      </c>
      <c r="C255" s="11">
        <v>1043</v>
      </c>
      <c r="D255" s="11" t="s">
        <v>4</v>
      </c>
      <c r="E255" s="11" t="s">
        <v>2521</v>
      </c>
      <c r="F255" s="11"/>
      <c r="G255" s="190" t="s">
        <v>2522</v>
      </c>
      <c r="H255" s="11" t="s">
        <v>2519</v>
      </c>
      <c r="I255" s="25" t="s">
        <v>2520</v>
      </c>
      <c r="J255" s="21"/>
      <c r="K255" s="21"/>
      <c r="L255" s="21"/>
      <c r="M255" s="21"/>
      <c r="N255" s="21"/>
      <c r="O255" s="21"/>
      <c r="P255" s="21"/>
      <c r="Q255" s="21"/>
      <c r="R255" s="21"/>
      <c r="S255" s="21"/>
      <c r="T255" s="21"/>
      <c r="U255" s="21"/>
      <c r="V255" s="21"/>
      <c r="W255" s="21"/>
      <c r="X255" s="21"/>
      <c r="Y255" s="21"/>
      <c r="Z255" s="21"/>
    </row>
    <row r="256" spans="1:26" ht="15.75" customHeight="1" x14ac:dyDescent="0.25">
      <c r="A256" s="11"/>
      <c r="B256" s="22">
        <v>45650</v>
      </c>
      <c r="C256" s="11">
        <v>1044</v>
      </c>
      <c r="D256" s="11" t="s">
        <v>66</v>
      </c>
      <c r="E256" s="11" t="s">
        <v>2523</v>
      </c>
      <c r="F256" s="11"/>
      <c r="G256" s="190" t="s">
        <v>2524</v>
      </c>
      <c r="H256" s="11" t="s">
        <v>2292</v>
      </c>
      <c r="I256" s="25">
        <v>1</v>
      </c>
      <c r="J256" s="21"/>
      <c r="K256" s="21"/>
      <c r="L256" s="21"/>
      <c r="M256" s="21"/>
      <c r="N256" s="21"/>
      <c r="O256" s="21"/>
      <c r="P256" s="21"/>
      <c r="Q256" s="21"/>
      <c r="R256" s="21"/>
      <c r="S256" s="21"/>
      <c r="T256" s="21"/>
      <c r="U256" s="21"/>
      <c r="V256" s="21"/>
      <c r="W256" s="21"/>
      <c r="X256" s="21"/>
      <c r="Y256" s="21"/>
      <c r="Z256" s="21"/>
    </row>
    <row r="257" spans="1:26" ht="15.75" customHeight="1" x14ac:dyDescent="0.25">
      <c r="A257" s="11"/>
      <c r="B257" s="22">
        <v>45650</v>
      </c>
      <c r="C257" s="11">
        <v>1045</v>
      </c>
      <c r="D257" s="11" t="s">
        <v>2298</v>
      </c>
      <c r="E257" s="11" t="s">
        <v>2525</v>
      </c>
      <c r="F257" s="11"/>
      <c r="G257" s="190" t="s">
        <v>2526</v>
      </c>
      <c r="H257" s="11" t="s">
        <v>2292</v>
      </c>
      <c r="I257" s="25">
        <v>1</v>
      </c>
      <c r="J257" s="21"/>
      <c r="K257" s="21"/>
      <c r="L257" s="21"/>
      <c r="M257" s="21"/>
      <c r="N257" s="21"/>
      <c r="O257" s="21"/>
      <c r="P257" s="21"/>
      <c r="Q257" s="21"/>
      <c r="R257" s="21"/>
      <c r="S257" s="21"/>
      <c r="T257" s="21"/>
      <c r="U257" s="21"/>
      <c r="V257" s="21"/>
      <c r="W257" s="21"/>
      <c r="X257" s="21"/>
      <c r="Y257" s="21"/>
      <c r="Z257" s="21"/>
    </row>
    <row r="258" spans="1:26" ht="15.75" customHeight="1" x14ac:dyDescent="0.25">
      <c r="A258" s="11"/>
      <c r="B258" s="22">
        <v>45653</v>
      </c>
      <c r="C258" s="11">
        <v>1046</v>
      </c>
      <c r="D258" s="11" t="s">
        <v>44</v>
      </c>
      <c r="E258" s="11">
        <v>4714044695</v>
      </c>
      <c r="F258" s="11"/>
      <c r="G258" s="190" t="s">
        <v>2529</v>
      </c>
      <c r="H258" s="11" t="s">
        <v>2306</v>
      </c>
      <c r="I258" s="25">
        <v>7</v>
      </c>
      <c r="J258" s="21"/>
      <c r="K258" s="21"/>
      <c r="L258" s="21"/>
      <c r="M258" s="21"/>
      <c r="N258" s="21"/>
      <c r="O258" s="21"/>
      <c r="P258" s="21"/>
      <c r="Q258" s="21"/>
      <c r="R258" s="21"/>
      <c r="S258" s="21"/>
      <c r="T258" s="21"/>
      <c r="U258" s="21"/>
      <c r="V258" s="21"/>
      <c r="W258" s="21"/>
      <c r="X258" s="21"/>
      <c r="Y258" s="21"/>
      <c r="Z258" s="21"/>
    </row>
    <row r="259" spans="1:26" ht="15.75" customHeight="1" x14ac:dyDescent="0.25">
      <c r="A259" s="11"/>
      <c r="B259" s="22">
        <v>45653</v>
      </c>
      <c r="C259" s="11">
        <v>1047</v>
      </c>
      <c r="D259" s="11" t="s">
        <v>44</v>
      </c>
      <c r="E259" s="11">
        <v>4714044625</v>
      </c>
      <c r="F259" s="11"/>
      <c r="G259" s="190" t="s">
        <v>2530</v>
      </c>
      <c r="H259" s="11" t="s">
        <v>2306</v>
      </c>
      <c r="I259" s="25">
        <v>7</v>
      </c>
      <c r="J259" s="21"/>
      <c r="K259" s="21"/>
      <c r="L259" s="21"/>
      <c r="M259" s="21"/>
      <c r="N259" s="21"/>
      <c r="O259" s="21"/>
      <c r="P259" s="21"/>
      <c r="Q259" s="21"/>
      <c r="R259" s="21"/>
      <c r="S259" s="21"/>
      <c r="T259" s="21"/>
      <c r="U259" s="21"/>
      <c r="V259" s="21"/>
      <c r="W259" s="21"/>
      <c r="X259" s="21"/>
      <c r="Y259" s="21"/>
      <c r="Z259" s="21"/>
    </row>
    <row r="260" spans="1:26" ht="15.75" customHeight="1" x14ac:dyDescent="0.25">
      <c r="A260" s="11"/>
      <c r="B260" s="22">
        <v>45653</v>
      </c>
      <c r="C260" s="11">
        <v>1048</v>
      </c>
      <c r="D260" s="11" t="s">
        <v>44</v>
      </c>
      <c r="E260" s="11">
        <v>4714044692</v>
      </c>
      <c r="F260" s="11"/>
      <c r="G260" s="190" t="s">
        <v>2533</v>
      </c>
      <c r="H260" s="11" t="s">
        <v>2532</v>
      </c>
      <c r="I260" s="25" t="s">
        <v>2531</v>
      </c>
      <c r="J260" s="21"/>
      <c r="K260" s="21"/>
      <c r="L260" s="21"/>
      <c r="M260" s="21"/>
      <c r="N260" s="21"/>
      <c r="O260" s="21"/>
      <c r="P260" s="21"/>
      <c r="Q260" s="21"/>
      <c r="R260" s="21"/>
      <c r="S260" s="21"/>
      <c r="T260" s="21"/>
      <c r="U260" s="21"/>
      <c r="V260" s="21"/>
      <c r="W260" s="21"/>
      <c r="X260" s="21"/>
      <c r="Y260" s="21"/>
      <c r="Z260" s="21"/>
    </row>
    <row r="261" spans="1:26" ht="15.75" customHeight="1" x14ac:dyDescent="0.25">
      <c r="A261" s="11"/>
      <c r="B261" s="22">
        <v>45653</v>
      </c>
      <c r="C261" s="11">
        <v>1049</v>
      </c>
      <c r="D261" s="11" t="s">
        <v>44</v>
      </c>
      <c r="E261" s="11">
        <v>4714044612</v>
      </c>
      <c r="F261" s="11"/>
      <c r="G261" s="190" t="s">
        <v>2535</v>
      </c>
      <c r="H261" s="11" t="s">
        <v>2470</v>
      </c>
      <c r="I261" s="25" t="s">
        <v>2534</v>
      </c>
      <c r="J261" s="21"/>
      <c r="K261" s="21"/>
      <c r="L261" s="21"/>
      <c r="M261" s="21"/>
      <c r="N261" s="21"/>
      <c r="O261" s="21"/>
      <c r="P261" s="21"/>
      <c r="Q261" s="21"/>
      <c r="R261" s="21"/>
      <c r="S261" s="21"/>
      <c r="T261" s="21"/>
      <c r="U261" s="21"/>
      <c r="V261" s="21"/>
      <c r="W261" s="21"/>
      <c r="X261" s="21"/>
      <c r="Y261" s="21"/>
      <c r="Z261" s="21"/>
    </row>
    <row r="262" spans="1:26" ht="15.75" customHeight="1" x14ac:dyDescent="0.25">
      <c r="A262" s="11"/>
      <c r="B262" s="22">
        <v>45653</v>
      </c>
      <c r="C262" s="11">
        <v>1050</v>
      </c>
      <c r="D262" s="11" t="s">
        <v>4</v>
      </c>
      <c r="E262" s="11" t="s">
        <v>2527</v>
      </c>
      <c r="F262" s="11"/>
      <c r="G262" s="190" t="s">
        <v>2537</v>
      </c>
      <c r="H262" s="11" t="s">
        <v>2536</v>
      </c>
      <c r="I262" s="25" t="s">
        <v>2528</v>
      </c>
      <c r="J262" s="21"/>
      <c r="K262" s="21"/>
      <c r="L262" s="21"/>
      <c r="M262" s="21"/>
      <c r="N262" s="21"/>
      <c r="O262" s="21"/>
      <c r="P262" s="21"/>
      <c r="Q262" s="21"/>
      <c r="R262" s="21"/>
      <c r="S262" s="21"/>
      <c r="T262" s="21"/>
      <c r="U262" s="21"/>
      <c r="V262" s="21"/>
      <c r="W262" s="21"/>
      <c r="X262" s="21"/>
      <c r="Y262" s="21"/>
      <c r="Z262" s="21"/>
    </row>
    <row r="263" spans="1:26" ht="15.75" customHeight="1" x14ac:dyDescent="0.25">
      <c r="A263" s="11"/>
      <c r="B263" s="22">
        <v>45654</v>
      </c>
      <c r="C263" s="11">
        <v>1051</v>
      </c>
      <c r="D263" s="11" t="s">
        <v>4</v>
      </c>
      <c r="E263" s="11" t="s">
        <v>2521</v>
      </c>
      <c r="F263" s="11"/>
      <c r="G263" s="190" t="s">
        <v>2538</v>
      </c>
      <c r="H263" s="11" t="s">
        <v>2306</v>
      </c>
      <c r="I263" s="25">
        <v>7</v>
      </c>
      <c r="J263" s="21"/>
      <c r="K263" s="21"/>
      <c r="L263" s="21"/>
      <c r="M263" s="21"/>
      <c r="N263" s="21"/>
      <c r="O263" s="21"/>
      <c r="P263" s="21"/>
      <c r="Q263" s="21"/>
      <c r="R263" s="21"/>
      <c r="S263" s="21"/>
      <c r="T263" s="21"/>
      <c r="U263" s="21"/>
      <c r="V263" s="21"/>
      <c r="W263" s="21"/>
      <c r="X263" s="21"/>
      <c r="Y263" s="21"/>
      <c r="Z263" s="21"/>
    </row>
    <row r="264" spans="1:26" ht="15.75" customHeight="1" x14ac:dyDescent="0.25">
      <c r="A264" s="11"/>
      <c r="B264" s="22">
        <v>45660</v>
      </c>
      <c r="C264" s="11">
        <v>1052</v>
      </c>
      <c r="D264" s="11" t="s">
        <v>44</v>
      </c>
      <c r="E264" s="11">
        <v>4714044692</v>
      </c>
      <c r="F264" s="11"/>
      <c r="G264" s="190" t="s">
        <v>2540</v>
      </c>
      <c r="H264" s="11" t="s">
        <v>2459</v>
      </c>
      <c r="I264" s="25" t="s">
        <v>2539</v>
      </c>
      <c r="J264" s="21"/>
      <c r="K264" s="21"/>
      <c r="L264" s="21"/>
      <c r="M264" s="21"/>
      <c r="N264" s="21"/>
      <c r="O264" s="21"/>
      <c r="P264" s="21"/>
      <c r="Q264" s="21"/>
      <c r="R264" s="21"/>
      <c r="S264" s="21"/>
      <c r="T264" s="21"/>
      <c r="U264" s="21"/>
      <c r="V264" s="21"/>
      <c r="W264" s="21"/>
      <c r="X264" s="21"/>
      <c r="Y264" s="21"/>
      <c r="Z264" s="21"/>
    </row>
    <row r="265" spans="1:26" ht="15.75" customHeight="1" x14ac:dyDescent="0.25">
      <c r="A265" s="11"/>
      <c r="B265" s="22">
        <v>45661</v>
      </c>
      <c r="C265" s="11">
        <v>1053</v>
      </c>
      <c r="D265" s="11" t="s">
        <v>2298</v>
      </c>
      <c r="E265" s="11" t="s">
        <v>2541</v>
      </c>
      <c r="F265" s="11"/>
      <c r="G265" s="190" t="s">
        <v>2542</v>
      </c>
      <c r="H265" s="11" t="s">
        <v>2292</v>
      </c>
      <c r="I265" s="25">
        <v>1</v>
      </c>
      <c r="J265" s="21"/>
      <c r="K265" s="21"/>
      <c r="L265" s="21"/>
      <c r="M265" s="21"/>
      <c r="N265" s="21"/>
      <c r="O265" s="21"/>
      <c r="P265" s="21"/>
      <c r="Q265" s="21"/>
      <c r="R265" s="21"/>
      <c r="S265" s="21"/>
      <c r="T265" s="21"/>
      <c r="U265" s="21"/>
      <c r="V265" s="21"/>
      <c r="W265" s="21"/>
      <c r="X265" s="21"/>
      <c r="Y265" s="21"/>
      <c r="Z265" s="21"/>
    </row>
    <row r="266" spans="1:26" ht="15.75" customHeight="1" x14ac:dyDescent="0.25">
      <c r="A266" s="11"/>
      <c r="B266" s="22">
        <v>45661</v>
      </c>
      <c r="C266" s="11">
        <v>1054</v>
      </c>
      <c r="D266" s="11" t="s">
        <v>2298</v>
      </c>
      <c r="E266" s="11" t="s">
        <v>2543</v>
      </c>
      <c r="F266" s="11"/>
      <c r="G266" s="190" t="s">
        <v>2544</v>
      </c>
      <c r="H266" s="11" t="s">
        <v>2292</v>
      </c>
      <c r="I266" s="25">
        <v>1</v>
      </c>
      <c r="J266" s="21"/>
      <c r="K266" s="21"/>
      <c r="L266" s="21"/>
      <c r="M266" s="21"/>
      <c r="N266" s="21"/>
      <c r="O266" s="21"/>
      <c r="P266" s="21"/>
      <c r="Q266" s="21"/>
      <c r="R266" s="21"/>
      <c r="S266" s="21"/>
      <c r="T266" s="21"/>
      <c r="U266" s="21"/>
      <c r="V266" s="21"/>
      <c r="W266" s="21"/>
      <c r="X266" s="21"/>
      <c r="Y266" s="21"/>
      <c r="Z266" s="21"/>
    </row>
    <row r="267" spans="1:26" ht="15.75" customHeight="1" x14ac:dyDescent="0.25">
      <c r="A267" s="11"/>
      <c r="B267" s="22">
        <v>45661</v>
      </c>
      <c r="C267" s="11">
        <v>1055</v>
      </c>
      <c r="D267" s="11" t="s">
        <v>2298</v>
      </c>
      <c r="E267" s="11" t="s">
        <v>2545</v>
      </c>
      <c r="F267" s="11"/>
      <c r="G267" s="190" t="s">
        <v>2546</v>
      </c>
      <c r="H267" s="11" t="s">
        <v>2292</v>
      </c>
      <c r="I267" s="25">
        <v>1</v>
      </c>
      <c r="J267" s="21"/>
      <c r="K267" s="21"/>
      <c r="L267" s="21"/>
      <c r="M267" s="21"/>
      <c r="N267" s="21"/>
      <c r="O267" s="21"/>
      <c r="P267" s="21"/>
      <c r="Q267" s="21"/>
      <c r="R267" s="21"/>
      <c r="S267" s="21"/>
      <c r="T267" s="21"/>
      <c r="U267" s="21"/>
      <c r="V267" s="21"/>
      <c r="W267" s="21"/>
      <c r="X267" s="21"/>
      <c r="Y267" s="21"/>
      <c r="Z267" s="21"/>
    </row>
    <row r="268" spans="1:26" ht="15.75" customHeight="1" x14ac:dyDescent="0.25">
      <c r="A268" s="11"/>
      <c r="B268" s="22">
        <v>45661</v>
      </c>
      <c r="C268" s="11">
        <v>1056</v>
      </c>
      <c r="D268" s="11" t="s">
        <v>2298</v>
      </c>
      <c r="E268" s="11" t="s">
        <v>2547</v>
      </c>
      <c r="F268" s="11"/>
      <c r="G268" s="190" t="s">
        <v>2548</v>
      </c>
      <c r="H268" s="11" t="s">
        <v>2292</v>
      </c>
      <c r="I268" s="25">
        <v>1</v>
      </c>
      <c r="J268" s="21"/>
      <c r="K268" s="21"/>
      <c r="L268" s="21"/>
      <c r="M268" s="21"/>
      <c r="N268" s="21"/>
      <c r="O268" s="21"/>
      <c r="P268" s="21"/>
      <c r="Q268" s="21"/>
      <c r="R268" s="21"/>
      <c r="S268" s="21"/>
      <c r="T268" s="21"/>
      <c r="U268" s="21"/>
      <c r="V268" s="21"/>
      <c r="W268" s="21"/>
      <c r="X268" s="21"/>
      <c r="Y268" s="21"/>
      <c r="Z268" s="21"/>
    </row>
    <row r="269" spans="1:26" ht="15.75" customHeight="1" x14ac:dyDescent="0.25">
      <c r="A269" s="11"/>
      <c r="B269" s="22">
        <v>45665</v>
      </c>
      <c r="C269" s="11">
        <v>1057</v>
      </c>
      <c r="D269" s="11" t="s">
        <v>44</v>
      </c>
      <c r="E269" s="11">
        <v>4714044767</v>
      </c>
      <c r="F269" s="11"/>
      <c r="G269" s="190" t="s">
        <v>2549</v>
      </c>
      <c r="H269" s="11" t="s">
        <v>2306</v>
      </c>
      <c r="I269" s="25">
        <v>7</v>
      </c>
      <c r="J269" s="21"/>
      <c r="K269" s="21"/>
      <c r="L269" s="21"/>
      <c r="M269" s="21"/>
      <c r="N269" s="21"/>
      <c r="O269" s="21"/>
      <c r="P269" s="21"/>
      <c r="Q269" s="21"/>
      <c r="R269" s="21"/>
      <c r="S269" s="21"/>
      <c r="T269" s="21"/>
      <c r="U269" s="21"/>
      <c r="V269" s="21"/>
      <c r="W269" s="21"/>
      <c r="X269" s="21"/>
      <c r="Y269" s="21"/>
      <c r="Z269" s="21"/>
    </row>
    <row r="270" spans="1:26" ht="15.75" customHeight="1" x14ac:dyDescent="0.25">
      <c r="A270" s="11"/>
      <c r="B270" s="22">
        <v>45666</v>
      </c>
      <c r="C270" s="11">
        <v>1058</v>
      </c>
      <c r="D270" s="11" t="s">
        <v>41</v>
      </c>
      <c r="E270" s="11">
        <v>25900020</v>
      </c>
      <c r="F270" s="11"/>
      <c r="G270" s="190" t="s">
        <v>2550</v>
      </c>
      <c r="H270" s="11" t="s">
        <v>2306</v>
      </c>
      <c r="I270" s="25">
        <v>7</v>
      </c>
      <c r="J270" s="21"/>
      <c r="K270" s="21"/>
      <c r="L270" s="21"/>
      <c r="M270" s="21"/>
      <c r="N270" s="21"/>
      <c r="O270" s="21"/>
      <c r="P270" s="21"/>
      <c r="Q270" s="21"/>
      <c r="R270" s="21"/>
      <c r="S270" s="21"/>
      <c r="T270" s="21"/>
      <c r="U270" s="21"/>
      <c r="V270" s="21"/>
      <c r="W270" s="21"/>
      <c r="X270" s="21"/>
      <c r="Y270" s="21"/>
      <c r="Z270" s="21"/>
    </row>
    <row r="271" spans="1:26" ht="15.75" customHeight="1" x14ac:dyDescent="0.25">
      <c r="A271" s="11"/>
      <c r="B271" s="22">
        <v>45666</v>
      </c>
      <c r="C271" s="11">
        <v>1059</v>
      </c>
      <c r="D271" s="11" t="s">
        <v>4</v>
      </c>
      <c r="E271" s="11" t="s">
        <v>2552</v>
      </c>
      <c r="F271" s="11"/>
      <c r="G271" s="190" t="s">
        <v>2554</v>
      </c>
      <c r="H271" s="11" t="s">
        <v>2553</v>
      </c>
      <c r="I271" s="25" t="s">
        <v>2551</v>
      </c>
      <c r="J271" s="21"/>
      <c r="K271" s="21"/>
      <c r="L271" s="21"/>
      <c r="M271" s="21"/>
      <c r="N271" s="21"/>
      <c r="O271" s="21"/>
      <c r="P271" s="21"/>
      <c r="Q271" s="21"/>
      <c r="R271" s="21"/>
      <c r="S271" s="21"/>
      <c r="T271" s="21"/>
      <c r="U271" s="21"/>
      <c r="V271" s="21"/>
      <c r="W271" s="21"/>
      <c r="X271" s="21"/>
      <c r="Y271" s="21"/>
      <c r="Z271" s="21"/>
    </row>
    <row r="272" spans="1:26" ht="15.75" customHeight="1" x14ac:dyDescent="0.25">
      <c r="A272" s="11"/>
      <c r="B272" s="22">
        <v>45666</v>
      </c>
      <c r="C272" s="11">
        <v>1060</v>
      </c>
      <c r="D272" s="11" t="s">
        <v>4</v>
      </c>
      <c r="E272" s="11" t="s">
        <v>2555</v>
      </c>
      <c r="F272" s="11"/>
      <c r="G272" s="190" t="s">
        <v>2556</v>
      </c>
      <c r="H272" s="11" t="s">
        <v>2292</v>
      </c>
      <c r="I272" s="25">
        <v>1</v>
      </c>
      <c r="J272" s="21"/>
      <c r="K272" s="21"/>
      <c r="L272" s="21"/>
      <c r="M272" s="21"/>
      <c r="N272" s="21"/>
      <c r="O272" s="21"/>
      <c r="P272" s="21"/>
      <c r="Q272" s="21"/>
      <c r="R272" s="21"/>
      <c r="S272" s="21"/>
      <c r="T272" s="21"/>
      <c r="U272" s="21"/>
      <c r="V272" s="21"/>
      <c r="W272" s="21"/>
      <c r="X272" s="21"/>
      <c r="Y272" s="21"/>
      <c r="Z272" s="21"/>
    </row>
    <row r="273" spans="1:26" ht="15.75" customHeight="1" x14ac:dyDescent="0.25">
      <c r="A273" s="11"/>
      <c r="B273" s="22">
        <v>45666</v>
      </c>
      <c r="C273" s="11">
        <v>1061</v>
      </c>
      <c r="D273" s="11" t="s">
        <v>4</v>
      </c>
      <c r="E273" s="11" t="s">
        <v>2557</v>
      </c>
      <c r="F273" s="11"/>
      <c r="G273" s="190" t="s">
        <v>2560</v>
      </c>
      <c r="H273" s="11" t="s">
        <v>2559</v>
      </c>
      <c r="I273" s="25" t="s">
        <v>2558</v>
      </c>
      <c r="J273" s="21"/>
      <c r="K273" s="21"/>
      <c r="L273" s="21"/>
      <c r="M273" s="21"/>
      <c r="N273" s="21"/>
      <c r="O273" s="21"/>
      <c r="P273" s="21"/>
      <c r="Q273" s="21"/>
      <c r="R273" s="21"/>
      <c r="S273" s="21"/>
      <c r="T273" s="21"/>
      <c r="U273" s="21"/>
      <c r="V273" s="21"/>
      <c r="W273" s="21"/>
      <c r="X273" s="21"/>
      <c r="Y273" s="21"/>
      <c r="Z273" s="21"/>
    </row>
    <row r="274" spans="1:26" ht="15.75" customHeight="1" x14ac:dyDescent="0.25">
      <c r="A274" s="11"/>
      <c r="B274" s="22">
        <v>45666</v>
      </c>
      <c r="C274" s="11">
        <v>1061</v>
      </c>
      <c r="D274" s="11" t="s">
        <v>4</v>
      </c>
      <c r="E274" s="11" t="s">
        <v>2557</v>
      </c>
      <c r="F274" s="11" t="s">
        <v>2230</v>
      </c>
      <c r="G274" s="190" t="s">
        <v>2605</v>
      </c>
      <c r="H274" s="11" t="s">
        <v>2559</v>
      </c>
      <c r="I274" s="25" t="s">
        <v>2604</v>
      </c>
      <c r="J274" s="21"/>
      <c r="K274" s="21"/>
      <c r="L274" s="21"/>
      <c r="M274" s="21"/>
      <c r="N274" s="21"/>
      <c r="O274" s="21"/>
      <c r="P274" s="21"/>
      <c r="Q274" s="21"/>
      <c r="R274" s="21"/>
      <c r="S274" s="21"/>
      <c r="T274" s="21"/>
      <c r="U274" s="21"/>
      <c r="V274" s="21"/>
      <c r="W274" s="21"/>
      <c r="X274" s="21"/>
      <c r="Y274" s="21"/>
      <c r="Z274" s="21"/>
    </row>
    <row r="275" spans="1:26" ht="15.75" customHeight="1" x14ac:dyDescent="0.25">
      <c r="A275" s="11"/>
      <c r="B275" s="22">
        <v>45667</v>
      </c>
      <c r="C275" s="11">
        <v>1062</v>
      </c>
      <c r="D275" s="11" t="s">
        <v>41</v>
      </c>
      <c r="E275" s="11">
        <v>25900026</v>
      </c>
      <c r="F275" s="11"/>
      <c r="G275" s="190" t="s">
        <v>2561</v>
      </c>
      <c r="H275" s="11" t="s">
        <v>2306</v>
      </c>
      <c r="I275" s="25">
        <v>7</v>
      </c>
      <c r="J275" s="21"/>
      <c r="K275" s="21"/>
      <c r="L275" s="21"/>
      <c r="M275" s="21"/>
      <c r="N275" s="21"/>
      <c r="O275" s="21"/>
      <c r="P275" s="21"/>
      <c r="Q275" s="21"/>
      <c r="R275" s="21"/>
      <c r="S275" s="21"/>
      <c r="T275" s="21"/>
      <c r="U275" s="21"/>
      <c r="V275" s="21"/>
      <c r="W275" s="21"/>
      <c r="X275" s="21"/>
      <c r="Y275" s="21"/>
      <c r="Z275" s="21"/>
    </row>
    <row r="276" spans="1:26" ht="15.75" customHeight="1" x14ac:dyDescent="0.25">
      <c r="A276" s="11"/>
      <c r="B276" s="22">
        <v>45670</v>
      </c>
      <c r="C276" s="11">
        <v>1063</v>
      </c>
      <c r="D276" s="11" t="s">
        <v>2298</v>
      </c>
      <c r="E276" s="11" t="s">
        <v>2562</v>
      </c>
      <c r="F276" s="11"/>
      <c r="G276" s="190" t="s">
        <v>2563</v>
      </c>
      <c r="H276" s="11" t="s">
        <v>2292</v>
      </c>
      <c r="I276" s="25">
        <v>1</v>
      </c>
      <c r="J276" s="21"/>
      <c r="K276" s="21"/>
      <c r="L276" s="21"/>
      <c r="M276" s="21"/>
      <c r="N276" s="21"/>
      <c r="O276" s="21"/>
      <c r="P276" s="21"/>
      <c r="Q276" s="21"/>
      <c r="R276" s="21"/>
      <c r="S276" s="21"/>
      <c r="T276" s="21"/>
      <c r="U276" s="21"/>
      <c r="V276" s="21"/>
      <c r="W276" s="21"/>
      <c r="X276" s="21"/>
      <c r="Y276" s="21"/>
      <c r="Z276" s="21"/>
    </row>
    <row r="277" spans="1:26" ht="15.75" customHeight="1" x14ac:dyDescent="0.25">
      <c r="A277" s="11"/>
      <c r="B277" s="22">
        <v>45671</v>
      </c>
      <c r="C277" s="11">
        <v>1064</v>
      </c>
      <c r="D277" s="11" t="s">
        <v>2298</v>
      </c>
      <c r="E277" s="11" t="s">
        <v>2564</v>
      </c>
      <c r="F277" s="11"/>
      <c r="G277" s="190" t="s">
        <v>2571</v>
      </c>
      <c r="H277" s="11" t="s">
        <v>2292</v>
      </c>
      <c r="I277" s="25">
        <v>1</v>
      </c>
      <c r="J277" s="21"/>
      <c r="K277" s="21"/>
      <c r="L277" s="21"/>
      <c r="M277" s="21"/>
      <c r="N277" s="21"/>
      <c r="O277" s="21"/>
      <c r="P277" s="21"/>
      <c r="Q277" s="21"/>
      <c r="R277" s="21"/>
      <c r="S277" s="21"/>
      <c r="T277" s="21"/>
      <c r="U277" s="21"/>
      <c r="V277" s="21"/>
      <c r="W277" s="21"/>
      <c r="X277" s="21"/>
      <c r="Y277" s="21"/>
      <c r="Z277" s="21"/>
    </row>
    <row r="278" spans="1:26" ht="15.75" customHeight="1" x14ac:dyDescent="0.25">
      <c r="A278" s="11"/>
      <c r="B278" s="22">
        <v>45671</v>
      </c>
      <c r="C278" s="11">
        <v>1065</v>
      </c>
      <c r="D278" s="11" t="s">
        <v>4</v>
      </c>
      <c r="E278" s="11" t="s">
        <v>2557</v>
      </c>
      <c r="F278" s="11"/>
      <c r="G278" s="190" t="s">
        <v>2577</v>
      </c>
      <c r="H278" s="11" t="s">
        <v>2573</v>
      </c>
      <c r="I278" s="25" t="s">
        <v>2572</v>
      </c>
      <c r="J278" s="21"/>
      <c r="K278" s="21"/>
      <c r="L278" s="21"/>
      <c r="M278" s="21"/>
      <c r="N278" s="21"/>
      <c r="O278" s="21"/>
      <c r="P278" s="21"/>
      <c r="Q278" s="21"/>
      <c r="R278" s="21"/>
      <c r="S278" s="21"/>
      <c r="T278" s="21"/>
      <c r="U278" s="21"/>
      <c r="V278" s="21"/>
      <c r="W278" s="21"/>
      <c r="X278" s="21"/>
      <c r="Y278" s="21"/>
      <c r="Z278" s="21"/>
    </row>
    <row r="279" spans="1:26" ht="15.75" customHeight="1" x14ac:dyDescent="0.25">
      <c r="A279" s="11"/>
      <c r="B279" s="22">
        <v>45671</v>
      </c>
      <c r="C279" s="11">
        <v>1066</v>
      </c>
      <c r="D279" s="11" t="s">
        <v>160</v>
      </c>
      <c r="E279" s="11" t="s">
        <v>2575</v>
      </c>
      <c r="F279" s="11"/>
      <c r="G279" s="190" t="s">
        <v>2576</v>
      </c>
      <c r="H279" s="11" t="s">
        <v>2306</v>
      </c>
      <c r="I279" s="25">
        <v>7</v>
      </c>
      <c r="J279" s="21"/>
      <c r="K279" s="21"/>
      <c r="L279" s="21"/>
      <c r="M279" s="21"/>
      <c r="N279" s="21"/>
      <c r="O279" s="21"/>
      <c r="P279" s="21"/>
      <c r="Q279" s="21"/>
      <c r="R279" s="21"/>
      <c r="S279" s="21"/>
      <c r="T279" s="21"/>
      <c r="U279" s="21"/>
      <c r="V279" s="21"/>
      <c r="W279" s="21"/>
      <c r="X279" s="21"/>
      <c r="Y279" s="21"/>
      <c r="Z279" s="21"/>
    </row>
    <row r="280" spans="1:26" ht="15.75" customHeight="1" x14ac:dyDescent="0.25">
      <c r="A280" s="11"/>
      <c r="B280" s="22">
        <v>45672</v>
      </c>
      <c r="C280" s="11">
        <v>1067</v>
      </c>
      <c r="D280" s="11" t="s">
        <v>4</v>
      </c>
      <c r="E280" s="11" t="s">
        <v>2552</v>
      </c>
      <c r="F280" s="11"/>
      <c r="G280" s="190" t="s">
        <v>2580</v>
      </c>
      <c r="H280" s="11" t="s">
        <v>2579</v>
      </c>
      <c r="I280" s="25" t="s">
        <v>2578</v>
      </c>
      <c r="J280" s="21"/>
      <c r="K280" s="21"/>
      <c r="L280" s="21"/>
      <c r="M280" s="21"/>
      <c r="N280" s="21"/>
      <c r="O280" s="21"/>
      <c r="P280" s="21"/>
      <c r="Q280" s="21"/>
      <c r="R280" s="21"/>
      <c r="S280" s="21"/>
      <c r="T280" s="21"/>
      <c r="U280" s="21"/>
      <c r="V280" s="21"/>
      <c r="W280" s="21"/>
      <c r="X280" s="21"/>
      <c r="Y280" s="21"/>
      <c r="Z280" s="21"/>
    </row>
    <row r="281" spans="1:26" ht="15.75" customHeight="1" x14ac:dyDescent="0.25">
      <c r="A281" s="11"/>
      <c r="B281" s="22">
        <v>45672</v>
      </c>
      <c r="C281" s="11">
        <v>1068</v>
      </c>
      <c r="D281" s="11" t="s">
        <v>2581</v>
      </c>
      <c r="E281" s="11">
        <v>1002027560</v>
      </c>
      <c r="F281" s="11"/>
      <c r="G281" s="190" t="s">
        <v>2584</v>
      </c>
      <c r="H281" s="11" t="s">
        <v>2579</v>
      </c>
      <c r="I281" s="25" t="s">
        <v>2578</v>
      </c>
      <c r="J281" s="21"/>
      <c r="K281" s="21"/>
      <c r="L281" s="21"/>
      <c r="M281" s="21"/>
      <c r="N281" s="21"/>
      <c r="O281" s="21"/>
      <c r="P281" s="21"/>
      <c r="Q281" s="21"/>
      <c r="R281" s="21"/>
      <c r="S281" s="21"/>
      <c r="T281" s="21"/>
      <c r="U281" s="21"/>
      <c r="V281" s="21"/>
      <c r="W281" s="21"/>
      <c r="X281" s="21"/>
      <c r="Y281" s="21"/>
      <c r="Z281" s="21"/>
    </row>
    <row r="282" spans="1:26" ht="15.75" customHeight="1" x14ac:dyDescent="0.25">
      <c r="A282" s="11"/>
      <c r="B282" s="22">
        <v>45673</v>
      </c>
      <c r="C282" s="11">
        <v>1068</v>
      </c>
      <c r="D282" s="11" t="s">
        <v>2581</v>
      </c>
      <c r="E282" s="11">
        <v>1002027560</v>
      </c>
      <c r="F282" s="11"/>
      <c r="G282" s="190" t="s">
        <v>2586</v>
      </c>
      <c r="H282" s="11" t="s">
        <v>2306</v>
      </c>
      <c r="I282" s="25" t="s">
        <v>2585</v>
      </c>
      <c r="J282" s="21"/>
      <c r="K282" s="21"/>
      <c r="L282" s="21"/>
      <c r="M282" s="21"/>
      <c r="N282" s="21"/>
      <c r="O282" s="21"/>
      <c r="P282" s="21"/>
      <c r="Q282" s="21"/>
      <c r="R282" s="21"/>
      <c r="S282" s="21"/>
      <c r="T282" s="21"/>
      <c r="U282" s="21"/>
      <c r="V282" s="21"/>
      <c r="W282" s="21"/>
      <c r="X282" s="21"/>
      <c r="Y282" s="21"/>
      <c r="Z282" s="21"/>
    </row>
    <row r="283" spans="1:26" ht="15.75" customHeight="1" x14ac:dyDescent="0.25">
      <c r="A283" s="11"/>
      <c r="B283" s="22">
        <v>45674</v>
      </c>
      <c r="C283" s="11">
        <v>1069</v>
      </c>
      <c r="D283" s="11" t="s">
        <v>2489</v>
      </c>
      <c r="E283" s="11" t="s">
        <v>53</v>
      </c>
      <c r="F283" s="11"/>
      <c r="G283" s="190" t="s">
        <v>2587</v>
      </c>
      <c r="H283" s="11" t="s">
        <v>2405</v>
      </c>
      <c r="I283" s="25" t="s">
        <v>2405</v>
      </c>
      <c r="J283" s="21"/>
      <c r="K283" s="21"/>
      <c r="L283" s="21"/>
      <c r="M283" s="21"/>
      <c r="N283" s="21"/>
      <c r="O283" s="21"/>
      <c r="P283" s="21"/>
      <c r="Q283" s="21"/>
      <c r="R283" s="21"/>
      <c r="S283" s="21"/>
      <c r="T283" s="21"/>
      <c r="U283" s="21"/>
      <c r="V283" s="21"/>
      <c r="W283" s="21"/>
      <c r="X283" s="21"/>
      <c r="Y283" s="21"/>
      <c r="Z283" s="21"/>
    </row>
    <row r="284" spans="1:26" ht="15.75" customHeight="1" x14ac:dyDescent="0.25">
      <c r="A284" s="11"/>
      <c r="B284" s="22">
        <v>45674</v>
      </c>
      <c r="C284" s="11">
        <v>1070</v>
      </c>
      <c r="D284" s="11" t="s">
        <v>2489</v>
      </c>
      <c r="E284" s="11" t="s">
        <v>53</v>
      </c>
      <c r="F284" s="11"/>
      <c r="G284" s="190" t="s">
        <v>2589</v>
      </c>
      <c r="H284" s="11" t="s">
        <v>2588</v>
      </c>
      <c r="I284" s="25" t="s">
        <v>2405</v>
      </c>
      <c r="J284" s="21"/>
      <c r="K284" s="21"/>
      <c r="L284" s="21"/>
      <c r="M284" s="21"/>
      <c r="N284" s="21"/>
      <c r="O284" s="21"/>
      <c r="P284" s="21"/>
      <c r="Q284" s="21"/>
      <c r="R284" s="21"/>
      <c r="S284" s="21"/>
      <c r="T284" s="21"/>
      <c r="U284" s="21"/>
      <c r="V284" s="21"/>
      <c r="W284" s="21"/>
      <c r="X284" s="21"/>
      <c r="Y284" s="21"/>
      <c r="Z284" s="21"/>
    </row>
    <row r="285" spans="1:26" ht="15.75" customHeight="1" x14ac:dyDescent="0.25">
      <c r="A285" s="11"/>
      <c r="B285" s="22">
        <v>45675</v>
      </c>
      <c r="C285" s="11">
        <v>1071</v>
      </c>
      <c r="D285" s="11" t="s">
        <v>4</v>
      </c>
      <c r="E285" s="11" t="s">
        <v>2590</v>
      </c>
      <c r="F285" s="11"/>
      <c r="G285" s="190" t="s">
        <v>2591</v>
      </c>
      <c r="H285" s="11" t="s">
        <v>2487</v>
      </c>
      <c r="I285" s="25" t="s">
        <v>2487</v>
      </c>
      <c r="J285" s="21"/>
      <c r="K285" s="21"/>
      <c r="L285" s="21"/>
      <c r="M285" s="21"/>
      <c r="N285" s="21"/>
      <c r="O285" s="21"/>
      <c r="P285" s="21"/>
      <c r="Q285" s="21"/>
      <c r="R285" s="21"/>
      <c r="S285" s="21"/>
      <c r="T285" s="21"/>
      <c r="U285" s="21"/>
      <c r="V285" s="21"/>
      <c r="W285" s="21"/>
      <c r="X285" s="21"/>
      <c r="Y285" s="21"/>
      <c r="Z285" s="21"/>
    </row>
    <row r="286" spans="1:26" ht="15.75" customHeight="1" x14ac:dyDescent="0.25">
      <c r="A286" s="11"/>
      <c r="B286" s="22">
        <v>45678</v>
      </c>
      <c r="C286" s="11">
        <v>1072</v>
      </c>
      <c r="D286" s="11" t="s">
        <v>44</v>
      </c>
      <c r="E286" s="11">
        <v>4714044840</v>
      </c>
      <c r="F286" s="11"/>
      <c r="G286" s="190" t="s">
        <v>2592</v>
      </c>
      <c r="H286" s="11" t="s">
        <v>2292</v>
      </c>
      <c r="I286" s="25">
        <v>1</v>
      </c>
      <c r="J286" s="21"/>
      <c r="K286" s="21"/>
      <c r="L286" s="21"/>
      <c r="M286" s="21"/>
      <c r="N286" s="21"/>
      <c r="O286" s="21"/>
      <c r="P286" s="21"/>
      <c r="Q286" s="21"/>
      <c r="R286" s="21"/>
      <c r="S286" s="21"/>
      <c r="T286" s="21"/>
      <c r="U286" s="21"/>
      <c r="V286" s="21"/>
      <c r="W286" s="21"/>
      <c r="X286" s="21"/>
      <c r="Y286" s="21"/>
      <c r="Z286" s="21"/>
    </row>
    <row r="287" spans="1:26" ht="15.75" customHeight="1" x14ac:dyDescent="0.25">
      <c r="A287" s="11"/>
      <c r="B287" s="22">
        <v>45678</v>
      </c>
      <c r="C287" s="11">
        <v>1073</v>
      </c>
      <c r="D287" s="11" t="s">
        <v>44</v>
      </c>
      <c r="E287" s="11">
        <v>4714044855</v>
      </c>
      <c r="F287" s="11"/>
      <c r="G287" s="190" t="s">
        <v>2594</v>
      </c>
      <c r="H287" s="11" t="s">
        <v>2470</v>
      </c>
      <c r="I287" s="25" t="s">
        <v>2593</v>
      </c>
      <c r="J287" s="21"/>
      <c r="K287" s="21"/>
      <c r="L287" s="21"/>
      <c r="M287" s="21"/>
      <c r="N287" s="21"/>
      <c r="O287" s="21"/>
      <c r="P287" s="21"/>
      <c r="Q287" s="21"/>
      <c r="R287" s="21"/>
      <c r="S287" s="21"/>
      <c r="T287" s="21"/>
      <c r="U287" s="21"/>
      <c r="V287" s="21"/>
      <c r="W287" s="21"/>
      <c r="X287" s="21"/>
      <c r="Y287" s="21"/>
      <c r="Z287" s="21"/>
    </row>
    <row r="288" spans="1:26" ht="15.75" customHeight="1" x14ac:dyDescent="0.25">
      <c r="A288" s="11"/>
      <c r="B288" s="22">
        <v>45678</v>
      </c>
      <c r="C288" s="11">
        <v>1074</v>
      </c>
      <c r="D288" s="11" t="s">
        <v>41</v>
      </c>
      <c r="E288" s="11">
        <v>25900028</v>
      </c>
      <c r="F288" s="11"/>
      <c r="G288" s="190" t="s">
        <v>2597</v>
      </c>
      <c r="H288" s="11" t="s">
        <v>2595</v>
      </c>
      <c r="I288" s="25" t="s">
        <v>2596</v>
      </c>
      <c r="J288" s="21"/>
      <c r="K288" s="21"/>
      <c r="L288" s="21"/>
      <c r="M288" s="21"/>
      <c r="N288" s="21"/>
      <c r="O288" s="21"/>
      <c r="P288" s="21"/>
      <c r="Q288" s="21"/>
      <c r="R288" s="21"/>
      <c r="S288" s="21"/>
      <c r="T288" s="21"/>
      <c r="U288" s="21"/>
      <c r="V288" s="21"/>
      <c r="W288" s="21"/>
      <c r="X288" s="21"/>
      <c r="Y288" s="21"/>
      <c r="Z288" s="21"/>
    </row>
    <row r="289" spans="1:26" ht="15.75" customHeight="1" x14ac:dyDescent="0.25">
      <c r="A289" s="11"/>
      <c r="B289" s="22">
        <v>45679</v>
      </c>
      <c r="C289" s="11">
        <v>1075</v>
      </c>
      <c r="D289" s="11" t="s">
        <v>41</v>
      </c>
      <c r="E289" s="11">
        <v>25900080</v>
      </c>
      <c r="F289" s="11"/>
      <c r="G289" s="190" t="s">
        <v>2600</v>
      </c>
      <c r="H289" s="11" t="s">
        <v>2599</v>
      </c>
      <c r="I289" s="25" t="s">
        <v>2598</v>
      </c>
      <c r="J289" s="21"/>
      <c r="K289" s="21"/>
      <c r="L289" s="21"/>
      <c r="M289" s="21"/>
      <c r="N289" s="21"/>
      <c r="O289" s="21"/>
      <c r="P289" s="21"/>
      <c r="Q289" s="21"/>
      <c r="R289" s="21"/>
      <c r="S289" s="21"/>
      <c r="T289" s="21"/>
      <c r="U289" s="21"/>
      <c r="V289" s="21"/>
      <c r="W289" s="21"/>
      <c r="X289" s="21"/>
      <c r="Y289" s="21"/>
      <c r="Z289" s="21"/>
    </row>
    <row r="290" spans="1:26" ht="15.75" customHeight="1" x14ac:dyDescent="0.25">
      <c r="A290" s="11"/>
      <c r="B290" s="22">
        <v>45679</v>
      </c>
      <c r="C290" s="11">
        <v>1076</v>
      </c>
      <c r="D290" s="11" t="s">
        <v>41</v>
      </c>
      <c r="E290" s="11">
        <v>25900080</v>
      </c>
      <c r="F290" s="11"/>
      <c r="G290" s="190" t="s">
        <v>2603</v>
      </c>
      <c r="H290" s="11" t="s">
        <v>2601</v>
      </c>
      <c r="I290" s="25" t="s">
        <v>2602</v>
      </c>
      <c r="J290" s="21"/>
      <c r="K290" s="21"/>
      <c r="L290" s="21"/>
      <c r="M290" s="21"/>
      <c r="N290" s="21"/>
      <c r="O290" s="21"/>
      <c r="P290" s="21"/>
      <c r="Q290" s="21"/>
      <c r="R290" s="21"/>
      <c r="S290" s="21"/>
      <c r="T290" s="21"/>
      <c r="U290" s="21"/>
      <c r="V290" s="21"/>
      <c r="W290" s="21"/>
      <c r="X290" s="21"/>
      <c r="Y290" s="21"/>
      <c r="Z290" s="21"/>
    </row>
    <row r="291" spans="1:26" ht="15.75" customHeight="1" x14ac:dyDescent="0.25">
      <c r="A291" s="11"/>
      <c r="B291" s="22">
        <v>45680</v>
      </c>
      <c r="C291" s="11">
        <v>1077</v>
      </c>
      <c r="D291" s="11" t="s">
        <v>66</v>
      </c>
      <c r="E291" s="11" t="s">
        <v>2606</v>
      </c>
      <c r="F291" s="11"/>
      <c r="G291" s="190" t="s">
        <v>2607</v>
      </c>
      <c r="H291" s="11" t="s">
        <v>2292</v>
      </c>
      <c r="I291" s="25">
        <v>1</v>
      </c>
      <c r="J291" s="21"/>
      <c r="K291" s="21"/>
      <c r="L291" s="21"/>
      <c r="M291" s="21"/>
      <c r="N291" s="21"/>
      <c r="O291" s="21"/>
      <c r="P291" s="21"/>
      <c r="Q291" s="21"/>
      <c r="R291" s="21"/>
      <c r="S291" s="21"/>
      <c r="T291" s="21"/>
      <c r="U291" s="21"/>
      <c r="V291" s="21"/>
      <c r="W291" s="21"/>
      <c r="X291" s="21"/>
      <c r="Y291" s="21"/>
      <c r="Z291" s="21"/>
    </row>
    <row r="292" spans="1:26" ht="15.75" customHeight="1" x14ac:dyDescent="0.25">
      <c r="A292" s="11"/>
      <c r="B292" s="22">
        <v>45681</v>
      </c>
      <c r="C292" s="11">
        <v>1078</v>
      </c>
      <c r="D292" s="11" t="s">
        <v>41</v>
      </c>
      <c r="E292" s="11">
        <v>25900056</v>
      </c>
      <c r="F292" s="11"/>
      <c r="G292" s="190" t="s">
        <v>2608</v>
      </c>
      <c r="H292" s="11" t="s">
        <v>2292</v>
      </c>
      <c r="I292" s="25">
        <v>1</v>
      </c>
      <c r="J292" s="21"/>
      <c r="K292" s="21"/>
      <c r="L292" s="21"/>
      <c r="M292" s="21"/>
      <c r="N292" s="21"/>
      <c r="O292" s="21"/>
      <c r="P292" s="21"/>
      <c r="Q292" s="21"/>
      <c r="R292" s="21"/>
      <c r="S292" s="21"/>
      <c r="T292" s="21"/>
      <c r="U292" s="21"/>
      <c r="V292" s="21"/>
      <c r="W292" s="21"/>
      <c r="X292" s="21"/>
      <c r="Y292" s="21"/>
      <c r="Z292" s="21"/>
    </row>
    <row r="293" spans="1:26" ht="15.75" customHeight="1" x14ac:dyDescent="0.25">
      <c r="A293" s="11"/>
      <c r="B293" s="22">
        <v>45681</v>
      </c>
      <c r="C293" s="11">
        <v>1079</v>
      </c>
      <c r="D293" s="11" t="s">
        <v>41</v>
      </c>
      <c r="E293" s="11">
        <v>25900075</v>
      </c>
      <c r="F293" s="11"/>
      <c r="G293" s="190" t="s">
        <v>2609</v>
      </c>
      <c r="H293" s="11" t="s">
        <v>2292</v>
      </c>
      <c r="I293" s="25">
        <v>1</v>
      </c>
      <c r="J293" s="21"/>
      <c r="K293" s="21"/>
      <c r="L293" s="21"/>
      <c r="M293" s="21"/>
      <c r="N293" s="21"/>
      <c r="O293" s="21"/>
      <c r="P293" s="21"/>
      <c r="Q293" s="21"/>
      <c r="R293" s="21"/>
      <c r="S293" s="21"/>
      <c r="T293" s="21"/>
      <c r="U293" s="21"/>
      <c r="V293" s="21"/>
      <c r="W293" s="21"/>
      <c r="X293" s="21"/>
      <c r="Y293" s="21"/>
      <c r="Z293" s="21"/>
    </row>
    <row r="294" spans="1:26" ht="15.75" customHeight="1" x14ac:dyDescent="0.25">
      <c r="A294" s="11"/>
      <c r="B294" s="22">
        <v>45681</v>
      </c>
      <c r="C294" s="11">
        <v>1080</v>
      </c>
      <c r="D294" s="11" t="s">
        <v>44</v>
      </c>
      <c r="E294" s="11">
        <v>4714044855</v>
      </c>
      <c r="F294" s="11"/>
      <c r="G294" s="190" t="s">
        <v>2610</v>
      </c>
      <c r="H294" s="11" t="s">
        <v>2292</v>
      </c>
      <c r="I294" s="25">
        <v>1</v>
      </c>
      <c r="J294" s="21"/>
      <c r="K294" s="21"/>
      <c r="L294" s="21"/>
      <c r="M294" s="21"/>
      <c r="N294" s="21"/>
      <c r="O294" s="21"/>
      <c r="P294" s="21"/>
      <c r="Q294" s="21"/>
      <c r="R294" s="21"/>
      <c r="S294" s="21"/>
      <c r="T294" s="21"/>
      <c r="U294" s="21"/>
      <c r="V294" s="21"/>
      <c r="W294" s="21"/>
      <c r="X294" s="21"/>
      <c r="Y294" s="21"/>
      <c r="Z294" s="21"/>
    </row>
    <row r="295" spans="1:26" ht="15.75" customHeight="1" x14ac:dyDescent="0.25">
      <c r="A295" s="11"/>
      <c r="B295" s="22">
        <v>45692</v>
      </c>
      <c r="C295" s="11">
        <v>1082</v>
      </c>
      <c r="D295" s="11" t="s">
        <v>2623</v>
      </c>
      <c r="E295" s="11">
        <v>4500398030</v>
      </c>
      <c r="F295" s="11"/>
      <c r="G295" s="190" t="s">
        <v>2628</v>
      </c>
      <c r="H295" s="11" t="s">
        <v>2306</v>
      </c>
      <c r="I295" s="25">
        <v>7</v>
      </c>
      <c r="J295" s="21"/>
      <c r="K295" s="21"/>
      <c r="L295" s="21"/>
      <c r="M295" s="21"/>
      <c r="N295" s="21"/>
      <c r="O295" s="21"/>
      <c r="P295" s="21"/>
      <c r="Q295" s="21"/>
      <c r="R295" s="21"/>
      <c r="S295" s="21"/>
      <c r="T295" s="21"/>
      <c r="U295" s="21"/>
      <c r="V295" s="21"/>
      <c r="W295" s="21"/>
      <c r="X295" s="21"/>
      <c r="Y295" s="21"/>
      <c r="Z295" s="21"/>
    </row>
    <row r="296" spans="1:26" ht="15.75" customHeight="1" x14ac:dyDescent="0.25">
      <c r="A296" s="11"/>
      <c r="B296" s="22">
        <v>45692</v>
      </c>
      <c r="C296" s="11">
        <v>1083</v>
      </c>
      <c r="D296" s="11" t="s">
        <v>160</v>
      </c>
      <c r="E296" s="11" t="s">
        <v>2626</v>
      </c>
      <c r="F296" s="11"/>
      <c r="G296" s="190" t="s">
        <v>2627</v>
      </c>
      <c r="H296" s="11" t="s">
        <v>2306</v>
      </c>
      <c r="I296" s="25">
        <v>7</v>
      </c>
      <c r="J296" s="21"/>
      <c r="K296" s="21"/>
      <c r="L296" s="21"/>
      <c r="M296" s="21"/>
      <c r="N296" s="21"/>
      <c r="O296" s="21"/>
      <c r="P296" s="21"/>
      <c r="Q296" s="21"/>
      <c r="R296" s="21"/>
      <c r="S296" s="21"/>
      <c r="T296" s="21"/>
      <c r="U296" s="21"/>
      <c r="V296" s="21"/>
      <c r="W296" s="21"/>
      <c r="X296" s="21"/>
      <c r="Y296" s="21"/>
      <c r="Z296" s="21"/>
    </row>
    <row r="297" spans="1:26" ht="15.75" customHeight="1" x14ac:dyDescent="0.25">
      <c r="A297" s="11"/>
      <c r="B297" s="22">
        <v>45694</v>
      </c>
      <c r="C297" s="11">
        <v>1084</v>
      </c>
      <c r="D297" s="11" t="s">
        <v>66</v>
      </c>
      <c r="E297" s="11" t="s">
        <v>2636</v>
      </c>
      <c r="F297" s="11"/>
      <c r="G297" s="190" t="s">
        <v>2637</v>
      </c>
      <c r="H297" s="11" t="s">
        <v>2292</v>
      </c>
      <c r="I297" s="25">
        <v>1</v>
      </c>
      <c r="J297" s="21"/>
      <c r="K297" s="21"/>
      <c r="L297" s="21"/>
      <c r="M297" s="21"/>
      <c r="N297" s="21"/>
      <c r="O297" s="21"/>
      <c r="P297" s="21"/>
      <c r="Q297" s="21"/>
      <c r="R297" s="21"/>
      <c r="S297" s="21"/>
      <c r="T297" s="21"/>
      <c r="U297" s="21"/>
      <c r="V297" s="21"/>
      <c r="W297" s="21"/>
      <c r="X297" s="21"/>
      <c r="Y297" s="21"/>
      <c r="Z297" s="21"/>
    </row>
    <row r="298" spans="1:26" ht="15.75" customHeight="1" x14ac:dyDescent="0.25">
      <c r="A298" s="11"/>
      <c r="B298" s="22">
        <v>45694</v>
      </c>
      <c r="C298" s="11">
        <v>1085</v>
      </c>
      <c r="D298" s="11" t="s">
        <v>2311</v>
      </c>
      <c r="E298" s="11">
        <v>4000271013</v>
      </c>
      <c r="F298" s="11"/>
      <c r="G298" s="190" t="s">
        <v>2638</v>
      </c>
      <c r="H298" s="11" t="s">
        <v>2306</v>
      </c>
      <c r="I298" s="25">
        <v>7</v>
      </c>
      <c r="J298" s="21"/>
      <c r="K298" s="21"/>
      <c r="L298" s="21"/>
      <c r="M298" s="21"/>
      <c r="N298" s="21"/>
      <c r="O298" s="21"/>
      <c r="P298" s="21"/>
      <c r="Q298" s="21"/>
      <c r="R298" s="21"/>
      <c r="S298" s="21"/>
      <c r="T298" s="21"/>
      <c r="U298" s="21"/>
      <c r="V298" s="21"/>
      <c r="W298" s="21"/>
      <c r="X298" s="21"/>
      <c r="Y298" s="21"/>
      <c r="Z298" s="21"/>
    </row>
    <row r="299" spans="1:26" ht="15.75" customHeight="1" x14ac:dyDescent="0.25">
      <c r="A299" s="11"/>
      <c r="B299" s="22">
        <v>45695</v>
      </c>
      <c r="C299" s="11">
        <v>1086</v>
      </c>
      <c r="D299" s="11" t="s">
        <v>63</v>
      </c>
      <c r="E299" s="11" t="s">
        <v>2639</v>
      </c>
      <c r="F299" s="11"/>
      <c r="G299" s="190" t="s">
        <v>2640</v>
      </c>
      <c r="H299" s="11" t="s">
        <v>2292</v>
      </c>
      <c r="I299" s="25">
        <v>1</v>
      </c>
      <c r="J299" s="21"/>
      <c r="K299" s="21"/>
      <c r="L299" s="21"/>
      <c r="M299" s="21"/>
      <c r="N299" s="21"/>
      <c r="O299" s="21"/>
      <c r="P299" s="21"/>
      <c r="Q299" s="21"/>
      <c r="R299" s="21"/>
      <c r="S299" s="21"/>
      <c r="T299" s="21"/>
      <c r="U299" s="21"/>
      <c r="V299" s="21"/>
      <c r="W299" s="21"/>
      <c r="X299" s="21"/>
      <c r="Y299" s="21"/>
      <c r="Z299" s="21"/>
    </row>
    <row r="300" spans="1:26" ht="15.75" customHeight="1" x14ac:dyDescent="0.25">
      <c r="A300" s="11"/>
      <c r="B300" s="22">
        <v>45696</v>
      </c>
      <c r="C300" s="11">
        <v>1087</v>
      </c>
      <c r="D300" s="11" t="s">
        <v>44</v>
      </c>
      <c r="E300" s="11">
        <v>4714044996</v>
      </c>
      <c r="F300" s="11"/>
      <c r="G300" s="190" t="s">
        <v>2641</v>
      </c>
      <c r="H300" s="11" t="s">
        <v>2292</v>
      </c>
      <c r="I300" s="25">
        <v>1</v>
      </c>
      <c r="J300" s="21"/>
      <c r="K300" s="21"/>
      <c r="L300" s="21"/>
      <c r="M300" s="21"/>
      <c r="N300" s="21"/>
      <c r="O300" s="21"/>
      <c r="P300" s="21"/>
      <c r="Q300" s="21"/>
      <c r="R300" s="21"/>
      <c r="S300" s="21"/>
      <c r="T300" s="21"/>
      <c r="U300" s="21"/>
      <c r="V300" s="21"/>
      <c r="W300" s="21"/>
      <c r="X300" s="21"/>
      <c r="Y300" s="21"/>
      <c r="Z300" s="21"/>
    </row>
    <row r="301" spans="1:26" ht="15.75" customHeight="1" x14ac:dyDescent="0.25">
      <c r="A301" s="11"/>
      <c r="B301" s="22">
        <v>45696</v>
      </c>
      <c r="C301" s="11">
        <v>1088</v>
      </c>
      <c r="D301" s="11" t="s">
        <v>2298</v>
      </c>
      <c r="E301" s="11" t="s">
        <v>2642</v>
      </c>
      <c r="F301" s="11"/>
      <c r="G301" s="190" t="s">
        <v>2643</v>
      </c>
      <c r="H301" s="11" t="s">
        <v>2292</v>
      </c>
      <c r="I301" s="25">
        <v>1</v>
      </c>
      <c r="J301" s="21"/>
      <c r="K301" s="21"/>
      <c r="L301" s="21"/>
      <c r="M301" s="21"/>
      <c r="N301" s="21"/>
      <c r="O301" s="21"/>
      <c r="P301" s="21"/>
      <c r="Q301" s="21"/>
      <c r="R301" s="21"/>
      <c r="S301" s="21"/>
      <c r="T301" s="21"/>
      <c r="U301" s="21"/>
      <c r="V301" s="21"/>
      <c r="W301" s="21"/>
      <c r="X301" s="21"/>
      <c r="Y301" s="21"/>
      <c r="Z301" s="21"/>
    </row>
    <row r="302" spans="1:26" ht="15.75" customHeight="1" x14ac:dyDescent="0.25">
      <c r="A302" s="11"/>
      <c r="B302" s="22">
        <v>45696</v>
      </c>
      <c r="C302" s="11">
        <v>1089</v>
      </c>
      <c r="D302" s="11" t="s">
        <v>2298</v>
      </c>
      <c r="E302" s="11" t="s">
        <v>2644</v>
      </c>
      <c r="F302" s="11"/>
      <c r="G302" s="190" t="s">
        <v>2645</v>
      </c>
      <c r="H302" s="11" t="s">
        <v>2292</v>
      </c>
      <c r="I302" s="25">
        <v>1</v>
      </c>
      <c r="J302" s="21"/>
      <c r="K302" s="21"/>
      <c r="L302" s="21"/>
      <c r="M302" s="21"/>
      <c r="N302" s="21"/>
      <c r="O302" s="21"/>
      <c r="P302" s="21"/>
      <c r="Q302" s="21"/>
      <c r="R302" s="21"/>
      <c r="S302" s="21"/>
      <c r="T302" s="21"/>
      <c r="U302" s="21"/>
      <c r="V302" s="21"/>
      <c r="W302" s="21"/>
      <c r="X302" s="21"/>
      <c r="Y302" s="21"/>
      <c r="Z302" s="21"/>
    </row>
    <row r="303" spans="1:26" ht="15.75" customHeight="1" x14ac:dyDescent="0.25">
      <c r="A303" s="11"/>
      <c r="B303" s="22">
        <v>45688</v>
      </c>
      <c r="C303" s="11">
        <v>1093</v>
      </c>
      <c r="D303" s="11" t="s">
        <v>41</v>
      </c>
      <c r="E303" s="11">
        <v>25900045</v>
      </c>
      <c r="F303" s="11"/>
      <c r="G303" s="190" t="s">
        <v>2611</v>
      </c>
      <c r="H303" s="11" t="s">
        <v>2306</v>
      </c>
      <c r="I303" s="25">
        <v>7</v>
      </c>
      <c r="J303" s="21"/>
      <c r="K303" s="21"/>
      <c r="L303" s="21"/>
      <c r="M303" s="21"/>
      <c r="N303" s="21"/>
      <c r="O303" s="21"/>
      <c r="P303" s="21"/>
      <c r="Q303" s="21"/>
      <c r="R303" s="21"/>
      <c r="S303" s="21"/>
      <c r="T303" s="21"/>
      <c r="U303" s="21"/>
      <c r="V303" s="21"/>
      <c r="W303" s="21"/>
      <c r="X303" s="21"/>
      <c r="Y303" s="21"/>
      <c r="Z303" s="21"/>
    </row>
    <row r="304" spans="1:26" ht="15.75" customHeight="1" x14ac:dyDescent="0.25">
      <c r="A304" s="11"/>
      <c r="B304" s="22">
        <v>45688</v>
      </c>
      <c r="C304" s="11">
        <v>1094</v>
      </c>
      <c r="D304" s="11" t="s">
        <v>4</v>
      </c>
      <c r="E304" s="11" t="s">
        <v>2612</v>
      </c>
      <c r="F304" s="11"/>
      <c r="G304" s="190" t="s">
        <v>2613</v>
      </c>
      <c r="H304" s="11" t="s">
        <v>2292</v>
      </c>
      <c r="I304" s="25">
        <v>1</v>
      </c>
      <c r="J304" s="21"/>
      <c r="K304" s="21"/>
      <c r="L304" s="21"/>
      <c r="M304" s="21"/>
      <c r="N304" s="21"/>
      <c r="O304" s="21"/>
      <c r="P304" s="21"/>
      <c r="Q304" s="21"/>
      <c r="R304" s="21"/>
      <c r="S304" s="21"/>
      <c r="T304" s="21"/>
      <c r="U304" s="21"/>
      <c r="V304" s="21"/>
      <c r="W304" s="21"/>
      <c r="X304" s="21"/>
      <c r="Y304" s="21"/>
      <c r="Z304" s="21"/>
    </row>
    <row r="305" spans="1:26" ht="15.75" customHeight="1" x14ac:dyDescent="0.25">
      <c r="A305" s="11"/>
      <c r="B305" s="22">
        <v>45689</v>
      </c>
      <c r="C305" s="11">
        <v>1095</v>
      </c>
      <c r="D305" s="11" t="s">
        <v>4</v>
      </c>
      <c r="E305" s="11" t="s">
        <v>2557</v>
      </c>
      <c r="F305" s="11"/>
      <c r="G305" s="190" t="s">
        <v>2616</v>
      </c>
      <c r="H305" s="11" t="s">
        <v>2614</v>
      </c>
      <c r="I305" s="25" t="s">
        <v>2615</v>
      </c>
      <c r="J305" s="21"/>
      <c r="K305" s="21"/>
      <c r="L305" s="21"/>
      <c r="M305" s="21"/>
      <c r="N305" s="21"/>
      <c r="O305" s="21"/>
      <c r="P305" s="21"/>
      <c r="Q305" s="21"/>
      <c r="R305" s="21"/>
      <c r="S305" s="21"/>
      <c r="T305" s="21"/>
      <c r="U305" s="21"/>
      <c r="V305" s="21"/>
      <c r="W305" s="21"/>
      <c r="X305" s="21"/>
      <c r="Y305" s="21"/>
      <c r="Z305" s="21"/>
    </row>
    <row r="306" spans="1:26" ht="15.75" customHeight="1" x14ac:dyDescent="0.25">
      <c r="A306" s="11"/>
      <c r="B306" s="22">
        <v>45691</v>
      </c>
      <c r="C306" s="11">
        <v>1096</v>
      </c>
      <c r="D306" s="11" t="s">
        <v>44</v>
      </c>
      <c r="E306" s="11">
        <v>4714044961</v>
      </c>
      <c r="F306" s="11"/>
      <c r="G306" s="190" t="s">
        <v>2617</v>
      </c>
      <c r="H306" s="11" t="s">
        <v>2292</v>
      </c>
      <c r="I306" s="25">
        <v>1</v>
      </c>
      <c r="J306" s="21"/>
      <c r="K306" s="21"/>
      <c r="L306" s="21"/>
      <c r="M306" s="21"/>
      <c r="N306" s="21"/>
      <c r="O306" s="21"/>
      <c r="P306" s="21"/>
      <c r="Q306" s="21"/>
      <c r="R306" s="21"/>
      <c r="S306" s="21"/>
      <c r="T306" s="21"/>
      <c r="U306" s="21"/>
      <c r="V306" s="21"/>
      <c r="W306" s="21"/>
      <c r="X306" s="21"/>
      <c r="Y306" s="21"/>
      <c r="Z306" s="21"/>
    </row>
    <row r="307" spans="1:26" ht="15.75" customHeight="1" x14ac:dyDescent="0.25">
      <c r="A307" s="11"/>
      <c r="B307" s="22">
        <v>45691</v>
      </c>
      <c r="C307" s="11">
        <v>1097</v>
      </c>
      <c r="D307" s="11" t="s">
        <v>41</v>
      </c>
      <c r="E307" s="11">
        <v>259900104</v>
      </c>
      <c r="F307" s="11"/>
      <c r="G307" s="190" t="s">
        <v>2619</v>
      </c>
      <c r="H307" s="11" t="s">
        <v>2463</v>
      </c>
      <c r="I307" s="25" t="s">
        <v>2618</v>
      </c>
      <c r="J307" s="21"/>
      <c r="K307" s="21"/>
      <c r="L307" s="21"/>
      <c r="M307" s="21"/>
      <c r="N307" s="21"/>
      <c r="O307" s="21"/>
      <c r="P307" s="21"/>
      <c r="Q307" s="21"/>
      <c r="R307" s="21"/>
      <c r="S307" s="21"/>
      <c r="T307" s="21"/>
      <c r="U307" s="21"/>
      <c r="V307" s="21"/>
      <c r="W307" s="21"/>
      <c r="X307" s="21"/>
      <c r="Y307" s="21"/>
      <c r="Z307" s="21"/>
    </row>
    <row r="308" spans="1:26" ht="15.75" customHeight="1" x14ac:dyDescent="0.25">
      <c r="A308" s="11"/>
      <c r="B308" s="22">
        <v>45691</v>
      </c>
      <c r="C308" s="11">
        <v>1098</v>
      </c>
      <c r="D308" s="11" t="s">
        <v>41</v>
      </c>
      <c r="E308" s="11">
        <v>25900113</v>
      </c>
      <c r="F308" s="11"/>
      <c r="G308" s="190" t="s">
        <v>2622</v>
      </c>
      <c r="H308" s="11" t="s">
        <v>2621</v>
      </c>
      <c r="I308" s="25" t="s">
        <v>2620</v>
      </c>
      <c r="J308" s="21"/>
      <c r="K308" s="21"/>
      <c r="L308" s="21"/>
      <c r="M308" s="21"/>
      <c r="N308" s="21"/>
      <c r="O308" s="21"/>
      <c r="P308" s="21"/>
      <c r="Q308" s="21"/>
      <c r="R308" s="21"/>
      <c r="S308" s="21"/>
      <c r="T308" s="21"/>
      <c r="U308" s="21"/>
      <c r="V308" s="21"/>
      <c r="W308" s="21"/>
      <c r="X308" s="21"/>
      <c r="Y308" s="21"/>
      <c r="Z308" s="21"/>
    </row>
    <row r="309" spans="1:26" ht="15.75" customHeight="1" x14ac:dyDescent="0.25">
      <c r="A309" s="11"/>
      <c r="B309" s="22">
        <v>45693</v>
      </c>
      <c r="C309" s="11">
        <v>1099</v>
      </c>
      <c r="D309" s="11" t="s">
        <v>41</v>
      </c>
      <c r="E309" s="11">
        <v>25900104</v>
      </c>
      <c r="F309" s="11"/>
      <c r="G309" s="190" t="s">
        <v>2631</v>
      </c>
      <c r="H309" s="11" t="s">
        <v>2630</v>
      </c>
      <c r="I309" s="25" t="s">
        <v>2629</v>
      </c>
      <c r="J309" s="21"/>
      <c r="K309" s="21"/>
      <c r="L309" s="21"/>
      <c r="M309" s="21"/>
      <c r="N309" s="21"/>
      <c r="O309" s="21"/>
      <c r="P309" s="21"/>
      <c r="Q309" s="21"/>
      <c r="R309" s="21"/>
      <c r="S309" s="21"/>
      <c r="T309" s="21"/>
      <c r="U309" s="21"/>
      <c r="V309" s="21"/>
      <c r="W309" s="21"/>
      <c r="X309" s="21"/>
      <c r="Y309" s="21"/>
      <c r="Z309" s="21"/>
    </row>
    <row r="310" spans="1:26" ht="15.75" customHeight="1" x14ac:dyDescent="0.25">
      <c r="A310" s="11"/>
      <c r="B310" s="22">
        <v>45693</v>
      </c>
      <c r="C310" s="11">
        <v>1100</v>
      </c>
      <c r="D310" s="11" t="s">
        <v>41</v>
      </c>
      <c r="E310" s="11">
        <v>25900102</v>
      </c>
      <c r="F310" s="11"/>
      <c r="G310" s="190" t="s">
        <v>2632</v>
      </c>
      <c r="H310" s="11" t="s">
        <v>2306</v>
      </c>
      <c r="I310" s="25">
        <v>7</v>
      </c>
      <c r="J310" s="21"/>
      <c r="K310" s="21"/>
      <c r="L310" s="21"/>
      <c r="M310" s="21"/>
      <c r="N310" s="21"/>
      <c r="O310" s="21"/>
      <c r="P310" s="21"/>
      <c r="Q310" s="21"/>
      <c r="R310" s="21"/>
      <c r="S310" s="21"/>
      <c r="T310" s="21"/>
      <c r="U310" s="21"/>
      <c r="V310" s="21"/>
      <c r="W310" s="21"/>
      <c r="X310" s="21"/>
      <c r="Y310" s="21"/>
      <c r="Z310" s="21"/>
    </row>
    <row r="311" spans="1:26" ht="15.75" customHeight="1" x14ac:dyDescent="0.25">
      <c r="A311" s="11"/>
      <c r="B311" s="22">
        <v>45693</v>
      </c>
      <c r="C311" s="11">
        <v>1101</v>
      </c>
      <c r="D311" s="11" t="s">
        <v>41</v>
      </c>
      <c r="E311" s="11">
        <v>25900113</v>
      </c>
      <c r="F311" s="11"/>
      <c r="G311" s="190" t="s">
        <v>2635</v>
      </c>
      <c r="H311" s="11" t="s">
        <v>2634</v>
      </c>
      <c r="I311" s="25" t="s">
        <v>2633</v>
      </c>
      <c r="J311" s="21"/>
      <c r="K311" s="21"/>
      <c r="L311" s="21"/>
      <c r="M311" s="21"/>
      <c r="N311" s="21"/>
      <c r="O311" s="21"/>
      <c r="P311" s="21"/>
      <c r="Q311" s="21"/>
      <c r="R311" s="21"/>
      <c r="S311" s="21"/>
      <c r="T311" s="21"/>
      <c r="U311" s="21"/>
      <c r="V311" s="21"/>
      <c r="W311" s="21"/>
      <c r="X311" s="21"/>
      <c r="Y311" s="21"/>
      <c r="Z311" s="21"/>
    </row>
    <row r="312" spans="1:26" ht="15.75" customHeight="1" x14ac:dyDescent="0.25">
      <c r="A312" s="11"/>
      <c r="B312" s="22">
        <v>45696</v>
      </c>
      <c r="C312" s="11">
        <v>1102</v>
      </c>
      <c r="D312" s="11" t="s">
        <v>4</v>
      </c>
      <c r="E312" s="11" t="s">
        <v>2646</v>
      </c>
      <c r="F312" s="11"/>
      <c r="G312" s="190" t="s">
        <v>2647</v>
      </c>
      <c r="H312" s="11" t="s">
        <v>2292</v>
      </c>
      <c r="I312" s="25">
        <v>1</v>
      </c>
      <c r="J312" s="21"/>
      <c r="K312" s="21"/>
      <c r="L312" s="21"/>
      <c r="M312" s="21"/>
      <c r="N312" s="21"/>
      <c r="O312" s="21"/>
      <c r="P312" s="21"/>
      <c r="Q312" s="21"/>
      <c r="R312" s="21"/>
      <c r="S312" s="21"/>
      <c r="T312" s="21"/>
      <c r="U312" s="21"/>
      <c r="V312" s="21"/>
      <c r="W312" s="21"/>
      <c r="X312" s="21"/>
      <c r="Y312" s="21"/>
      <c r="Z312" s="21"/>
    </row>
    <row r="313" spans="1:26" ht="15.75" customHeight="1" x14ac:dyDescent="0.25">
      <c r="A313" s="11"/>
      <c r="B313" s="22">
        <v>45699</v>
      </c>
      <c r="C313" s="11">
        <v>1103</v>
      </c>
      <c r="D313" s="11" t="s">
        <v>41</v>
      </c>
      <c r="E313" s="11">
        <v>25900120</v>
      </c>
      <c r="F313" s="11"/>
      <c r="G313" s="190" t="s">
        <v>2648</v>
      </c>
      <c r="H313" s="11" t="s">
        <v>2306</v>
      </c>
      <c r="I313" s="25">
        <v>7</v>
      </c>
      <c r="J313" s="21"/>
      <c r="K313" s="21"/>
      <c r="L313" s="21"/>
      <c r="M313" s="21"/>
      <c r="N313" s="21"/>
      <c r="O313" s="21"/>
      <c r="P313" s="21"/>
      <c r="Q313" s="21"/>
      <c r="R313" s="21"/>
      <c r="S313" s="21"/>
      <c r="T313" s="21"/>
      <c r="U313" s="21"/>
      <c r="V313" s="21"/>
      <c r="W313" s="21"/>
      <c r="X313" s="21"/>
      <c r="Y313" s="21"/>
      <c r="Z313" s="21"/>
    </row>
    <row r="314" spans="1:26" ht="15.75" customHeight="1" x14ac:dyDescent="0.25">
      <c r="A314" s="11"/>
      <c r="B314" s="22">
        <v>45699</v>
      </c>
      <c r="C314" s="11">
        <v>1104</v>
      </c>
      <c r="D314" s="11" t="s">
        <v>41</v>
      </c>
      <c r="E314" s="11">
        <v>25900113</v>
      </c>
      <c r="F314" s="11"/>
      <c r="G314" s="190" t="s">
        <v>2651</v>
      </c>
      <c r="H314" s="11" t="s">
        <v>2650</v>
      </c>
      <c r="I314" s="25" t="s">
        <v>2649</v>
      </c>
      <c r="J314" s="21"/>
      <c r="K314" s="21"/>
      <c r="L314" s="21"/>
      <c r="M314" s="21"/>
      <c r="N314" s="21"/>
      <c r="O314" s="21"/>
      <c r="P314" s="21"/>
      <c r="Q314" s="21"/>
      <c r="R314" s="21"/>
      <c r="S314" s="21"/>
      <c r="T314" s="21"/>
      <c r="U314" s="21"/>
      <c r="V314" s="21"/>
      <c r="W314" s="21"/>
      <c r="X314" s="21"/>
      <c r="Y314" s="21"/>
      <c r="Z314" s="21"/>
    </row>
    <row r="315" spans="1:26" ht="15.75" customHeight="1" x14ac:dyDescent="0.25">
      <c r="A315" s="11"/>
      <c r="B315" s="22">
        <v>45699</v>
      </c>
      <c r="C315" s="11">
        <v>1105</v>
      </c>
      <c r="D315" s="11" t="s">
        <v>41</v>
      </c>
      <c r="E315" s="11">
        <v>25900113</v>
      </c>
      <c r="F315" s="11"/>
      <c r="G315" s="190" t="s">
        <v>2652</v>
      </c>
      <c r="H315" s="11" t="s">
        <v>2650</v>
      </c>
      <c r="I315" s="25" t="s">
        <v>2649</v>
      </c>
      <c r="J315" s="21"/>
      <c r="K315" s="21"/>
      <c r="L315" s="21"/>
      <c r="M315" s="21"/>
      <c r="N315" s="21"/>
      <c r="O315" s="21"/>
      <c r="P315" s="21"/>
      <c r="Q315" s="21"/>
      <c r="R315" s="21"/>
      <c r="S315" s="21"/>
      <c r="T315" s="21"/>
      <c r="U315" s="21"/>
      <c r="V315" s="21"/>
      <c r="W315" s="21"/>
      <c r="X315" s="21"/>
      <c r="Y315" s="21"/>
      <c r="Z315" s="21"/>
    </row>
    <row r="316" spans="1:26" ht="15.75" customHeight="1" x14ac:dyDescent="0.25">
      <c r="A316" s="11"/>
      <c r="B316" s="22">
        <v>45699</v>
      </c>
      <c r="C316" s="11">
        <v>1106</v>
      </c>
      <c r="D316" s="11" t="s">
        <v>2298</v>
      </c>
      <c r="E316" s="11" t="s">
        <v>2644</v>
      </c>
      <c r="F316" s="11"/>
      <c r="G316" s="190" t="s">
        <v>2654</v>
      </c>
      <c r="H316" s="11" t="s">
        <v>2653</v>
      </c>
      <c r="I316" s="25" t="s">
        <v>2653</v>
      </c>
      <c r="J316" s="21"/>
      <c r="K316" s="21"/>
      <c r="L316" s="21"/>
      <c r="M316" s="21"/>
      <c r="N316" s="21"/>
      <c r="O316" s="21"/>
      <c r="P316" s="21"/>
      <c r="Q316" s="21"/>
      <c r="R316" s="21"/>
      <c r="S316" s="21"/>
      <c r="T316" s="21"/>
      <c r="U316" s="21"/>
      <c r="V316" s="21"/>
      <c r="W316" s="21"/>
      <c r="X316" s="21"/>
      <c r="Y316" s="21"/>
      <c r="Z316" s="21"/>
    </row>
    <row r="317" spans="1:26" ht="15.75" customHeight="1" x14ac:dyDescent="0.25">
      <c r="A317" s="11"/>
      <c r="B317" s="22">
        <v>45699</v>
      </c>
      <c r="C317" s="11">
        <v>1107</v>
      </c>
      <c r="D317" s="11" t="s">
        <v>66</v>
      </c>
      <c r="E317" s="11" t="s">
        <v>2655</v>
      </c>
      <c r="F317" s="11"/>
      <c r="G317" s="190" t="s">
        <v>2656</v>
      </c>
      <c r="H317" s="11" t="s">
        <v>2292</v>
      </c>
      <c r="I317" s="25">
        <v>1</v>
      </c>
      <c r="J317" s="21"/>
      <c r="K317" s="21"/>
      <c r="L317" s="21"/>
      <c r="M317" s="21"/>
      <c r="N317" s="21"/>
      <c r="O317" s="21"/>
      <c r="P317" s="21"/>
      <c r="Q317" s="21"/>
      <c r="R317" s="21"/>
      <c r="S317" s="21"/>
      <c r="T317" s="21"/>
      <c r="U317" s="21"/>
      <c r="V317" s="21"/>
      <c r="W317" s="21"/>
      <c r="X317" s="21"/>
      <c r="Y317" s="21"/>
      <c r="Z317" s="21"/>
    </row>
    <row r="318" spans="1:26" ht="15.75" customHeight="1" x14ac:dyDescent="0.25">
      <c r="A318" s="11"/>
      <c r="B318" s="22">
        <v>45700</v>
      </c>
      <c r="C318" s="11">
        <v>1108</v>
      </c>
      <c r="D318" s="11" t="s">
        <v>63</v>
      </c>
      <c r="E318" s="11" t="s">
        <v>2657</v>
      </c>
      <c r="F318" s="11"/>
      <c r="G318" s="190" t="s">
        <v>2659</v>
      </c>
      <c r="H318" s="11" t="s">
        <v>2292</v>
      </c>
      <c r="I318" s="25" t="s">
        <v>2658</v>
      </c>
      <c r="J318" s="21"/>
      <c r="K318" s="21"/>
      <c r="L318" s="21"/>
      <c r="M318" s="21"/>
      <c r="N318" s="21"/>
      <c r="O318" s="21"/>
      <c r="P318" s="21"/>
      <c r="Q318" s="21"/>
      <c r="R318" s="21"/>
      <c r="S318" s="21"/>
      <c r="T318" s="21"/>
      <c r="U318" s="21"/>
      <c r="V318" s="21"/>
      <c r="W318" s="21"/>
      <c r="X318" s="21"/>
      <c r="Y318" s="21"/>
      <c r="Z318" s="21"/>
    </row>
    <row r="319" spans="1:26" ht="15.75" customHeight="1" x14ac:dyDescent="0.25">
      <c r="A319" s="11"/>
      <c r="B319" s="22">
        <v>45700</v>
      </c>
      <c r="C319" s="11">
        <v>1109</v>
      </c>
      <c r="D319" s="11" t="s">
        <v>63</v>
      </c>
      <c r="E319" s="11" t="s">
        <v>2661</v>
      </c>
      <c r="F319" s="11"/>
      <c r="G319" s="190" t="s">
        <v>2662</v>
      </c>
      <c r="H319" s="11" t="s">
        <v>2292</v>
      </c>
      <c r="I319" s="25" t="s">
        <v>2660</v>
      </c>
      <c r="J319" s="21"/>
      <c r="K319" s="21"/>
      <c r="L319" s="21"/>
      <c r="M319" s="21"/>
      <c r="N319" s="21"/>
      <c r="O319" s="21"/>
      <c r="P319" s="21"/>
      <c r="Q319" s="21"/>
      <c r="R319" s="21"/>
      <c r="S319" s="21"/>
      <c r="T319" s="21"/>
      <c r="U319" s="21"/>
      <c r="V319" s="21"/>
      <c r="W319" s="21"/>
      <c r="X319" s="21"/>
      <c r="Y319" s="21"/>
      <c r="Z319" s="21"/>
    </row>
    <row r="320" spans="1:26" ht="15.75" customHeight="1" x14ac:dyDescent="0.25">
      <c r="A320" s="11"/>
      <c r="B320" s="22">
        <v>45701</v>
      </c>
      <c r="C320" s="11">
        <v>1110</v>
      </c>
      <c r="D320" s="11" t="s">
        <v>4</v>
      </c>
      <c r="E320" s="11" t="s">
        <v>2663</v>
      </c>
      <c r="F320" s="11"/>
      <c r="G320" s="190" t="s">
        <v>2664</v>
      </c>
      <c r="H320" s="11" t="s">
        <v>2306</v>
      </c>
      <c r="I320" s="25">
        <v>7</v>
      </c>
      <c r="J320" s="21"/>
      <c r="K320" s="21"/>
      <c r="L320" s="21"/>
      <c r="M320" s="21"/>
      <c r="N320" s="21"/>
      <c r="O320" s="21"/>
      <c r="P320" s="21"/>
      <c r="Q320" s="21"/>
      <c r="R320" s="21"/>
      <c r="S320" s="21"/>
      <c r="T320" s="21"/>
      <c r="U320" s="21"/>
      <c r="V320" s="21"/>
      <c r="W320" s="21"/>
      <c r="X320" s="21"/>
      <c r="Y320" s="21"/>
      <c r="Z320" s="21"/>
    </row>
    <row r="321" spans="1:26" ht="15.75" customHeight="1" x14ac:dyDescent="0.25">
      <c r="A321" s="11"/>
      <c r="B321" s="22">
        <v>45701</v>
      </c>
      <c r="C321" s="11">
        <v>1111</v>
      </c>
      <c r="D321" s="11" t="s">
        <v>2298</v>
      </c>
      <c r="E321" s="11" t="s">
        <v>2665</v>
      </c>
      <c r="F321" s="11"/>
      <c r="G321" s="190" t="s">
        <v>2666</v>
      </c>
      <c r="H321" s="11" t="s">
        <v>2292</v>
      </c>
      <c r="I321" s="25">
        <v>1</v>
      </c>
      <c r="J321" s="21"/>
      <c r="K321" s="21"/>
      <c r="L321" s="21"/>
      <c r="M321" s="21"/>
      <c r="N321" s="21"/>
      <c r="O321" s="21"/>
      <c r="P321" s="21"/>
      <c r="Q321" s="21"/>
      <c r="R321" s="21"/>
      <c r="S321" s="21"/>
      <c r="T321" s="21"/>
      <c r="U321" s="21"/>
      <c r="V321" s="21"/>
      <c r="W321" s="21"/>
      <c r="X321" s="21"/>
      <c r="Y321" s="21"/>
      <c r="Z321" s="21"/>
    </row>
    <row r="322" spans="1:26" ht="15.75" customHeight="1" x14ac:dyDescent="0.25">
      <c r="A322" s="11"/>
      <c r="B322" s="22">
        <v>45701</v>
      </c>
      <c r="C322" s="11">
        <v>1112</v>
      </c>
      <c r="D322" s="11" t="s">
        <v>4</v>
      </c>
      <c r="E322" s="11" t="s">
        <v>2663</v>
      </c>
      <c r="F322" s="11"/>
      <c r="G322" s="190" t="s">
        <v>2667</v>
      </c>
      <c r="H322" s="11" t="s">
        <v>2306</v>
      </c>
      <c r="I322" s="25">
        <v>7</v>
      </c>
      <c r="J322" s="21"/>
      <c r="K322" s="21"/>
      <c r="L322" s="21"/>
      <c r="M322" s="21"/>
      <c r="N322" s="21"/>
      <c r="O322" s="21"/>
      <c r="P322" s="21"/>
      <c r="Q322" s="21"/>
      <c r="R322" s="21"/>
      <c r="S322" s="21"/>
      <c r="T322" s="21"/>
      <c r="U322" s="21"/>
      <c r="V322" s="21"/>
      <c r="W322" s="21"/>
      <c r="X322" s="21"/>
      <c r="Y322" s="21"/>
      <c r="Z322" s="21"/>
    </row>
    <row r="323" spans="1:26" ht="15.75" customHeight="1" x14ac:dyDescent="0.25">
      <c r="A323" s="11"/>
      <c r="B323" s="22">
        <v>45705</v>
      </c>
      <c r="C323" s="11">
        <v>1114</v>
      </c>
      <c r="D323" s="11" t="s">
        <v>44</v>
      </c>
      <c r="E323" s="11">
        <v>4714045050</v>
      </c>
      <c r="F323" s="11"/>
      <c r="G323" s="190" t="s">
        <v>2668</v>
      </c>
      <c r="H323" s="11" t="s">
        <v>2292</v>
      </c>
      <c r="I323" s="25">
        <v>1</v>
      </c>
      <c r="J323" s="21"/>
      <c r="K323" s="21"/>
      <c r="L323" s="21"/>
      <c r="M323" s="21"/>
      <c r="N323" s="21"/>
      <c r="O323" s="21"/>
      <c r="P323" s="21"/>
      <c r="Q323" s="21"/>
      <c r="R323" s="21"/>
      <c r="S323" s="21"/>
      <c r="T323" s="21"/>
      <c r="U323" s="21"/>
      <c r="V323" s="21"/>
      <c r="W323" s="21"/>
      <c r="X323" s="21"/>
      <c r="Y323" s="21"/>
      <c r="Z323" s="21"/>
    </row>
    <row r="324" spans="1:26" ht="15.75" customHeight="1" x14ac:dyDescent="0.25">
      <c r="A324" s="11"/>
      <c r="B324" s="22">
        <v>45705</v>
      </c>
      <c r="C324" s="11">
        <v>1115</v>
      </c>
      <c r="D324" s="11" t="s">
        <v>63</v>
      </c>
      <c r="E324" s="11" t="s">
        <v>2639</v>
      </c>
      <c r="F324" s="11"/>
      <c r="G324" s="190" t="s">
        <v>2670</v>
      </c>
      <c r="H324" s="11" t="s">
        <v>2292</v>
      </c>
      <c r="I324" s="25" t="s">
        <v>2669</v>
      </c>
      <c r="J324" s="21"/>
      <c r="K324" s="21"/>
      <c r="L324" s="21"/>
      <c r="M324" s="21"/>
      <c r="N324" s="21"/>
      <c r="O324" s="21"/>
      <c r="P324" s="21"/>
      <c r="Q324" s="21"/>
      <c r="R324" s="21"/>
      <c r="S324" s="21"/>
      <c r="T324" s="21"/>
      <c r="U324" s="21"/>
      <c r="V324" s="21"/>
      <c r="W324" s="21"/>
      <c r="X324" s="21"/>
      <c r="Y324" s="21"/>
      <c r="Z324" s="21"/>
    </row>
    <row r="325" spans="1:26" ht="15.75" customHeight="1" x14ac:dyDescent="0.25">
      <c r="A325" s="11"/>
      <c r="B325" s="22">
        <v>45705</v>
      </c>
      <c r="C325" s="11">
        <v>1116</v>
      </c>
      <c r="D325" s="11" t="s">
        <v>44</v>
      </c>
      <c r="E325" s="11">
        <v>4714044991</v>
      </c>
      <c r="F325" s="11"/>
      <c r="G325" s="190" t="s">
        <v>2671</v>
      </c>
      <c r="H325" s="11" t="s">
        <v>2292</v>
      </c>
      <c r="I325" s="25">
        <v>1</v>
      </c>
      <c r="J325" s="21"/>
      <c r="K325" s="21"/>
      <c r="L325" s="21"/>
      <c r="M325" s="21"/>
      <c r="N325" s="21"/>
      <c r="O325" s="21"/>
      <c r="P325" s="21"/>
      <c r="Q325" s="21"/>
      <c r="R325" s="21"/>
      <c r="S325" s="21"/>
      <c r="T325" s="21"/>
      <c r="U325" s="21"/>
      <c r="V325" s="21"/>
      <c r="W325" s="21"/>
      <c r="X325" s="21"/>
      <c r="Y325" s="21"/>
      <c r="Z325" s="21"/>
    </row>
    <row r="326" spans="1:26" ht="15.75" customHeight="1" x14ac:dyDescent="0.25">
      <c r="A326" s="11"/>
      <c r="B326" s="22">
        <v>45705</v>
      </c>
      <c r="C326" s="11">
        <v>1117</v>
      </c>
      <c r="D326" s="11" t="s">
        <v>44</v>
      </c>
      <c r="E326" s="11">
        <v>4714045030</v>
      </c>
      <c r="F326" s="11"/>
      <c r="G326" s="190" t="s">
        <v>2672</v>
      </c>
      <c r="H326" s="11" t="s">
        <v>2292</v>
      </c>
      <c r="I326" s="25">
        <v>1</v>
      </c>
      <c r="J326" s="21"/>
      <c r="K326" s="21"/>
      <c r="L326" s="21"/>
      <c r="M326" s="21"/>
      <c r="N326" s="21"/>
      <c r="O326" s="21"/>
      <c r="P326" s="21"/>
      <c r="Q326" s="21"/>
      <c r="R326" s="21"/>
      <c r="S326" s="21"/>
      <c r="T326" s="21"/>
      <c r="U326" s="21"/>
      <c r="V326" s="21"/>
      <c r="W326" s="21"/>
      <c r="X326" s="21"/>
      <c r="Y326" s="21"/>
      <c r="Z326" s="21"/>
    </row>
    <row r="327" spans="1:26" ht="15.75" customHeight="1" x14ac:dyDescent="0.25">
      <c r="A327" s="11"/>
      <c r="B327" s="22">
        <v>45705</v>
      </c>
      <c r="C327" s="11">
        <v>1117</v>
      </c>
      <c r="D327" s="11" t="s">
        <v>44</v>
      </c>
      <c r="E327" s="11">
        <v>4714045050</v>
      </c>
      <c r="F327" s="11"/>
      <c r="G327" s="190" t="s">
        <v>2674</v>
      </c>
      <c r="H327" s="11" t="s">
        <v>2292</v>
      </c>
      <c r="I327" s="25">
        <v>1</v>
      </c>
      <c r="J327" s="21"/>
      <c r="K327" s="21"/>
      <c r="L327" s="21"/>
      <c r="M327" s="21"/>
      <c r="N327" s="21"/>
      <c r="O327" s="21"/>
      <c r="P327" s="21"/>
      <c r="Q327" s="21"/>
      <c r="R327" s="21"/>
      <c r="S327" s="21"/>
      <c r="T327" s="21"/>
      <c r="U327" s="21"/>
      <c r="V327" s="21"/>
      <c r="W327" s="21"/>
      <c r="X327" s="21"/>
      <c r="Y327" s="21"/>
      <c r="Z327" s="21"/>
    </row>
    <row r="328" spans="1:26" ht="15.75" customHeight="1" x14ac:dyDescent="0.25">
      <c r="A328" s="11"/>
      <c r="B328" s="22">
        <v>45705</v>
      </c>
      <c r="C328" s="11">
        <v>1118</v>
      </c>
      <c r="D328" s="11" t="s">
        <v>44</v>
      </c>
      <c r="E328" s="11">
        <v>4714045030</v>
      </c>
      <c r="F328" s="11"/>
      <c r="G328" s="190" t="s">
        <v>2673</v>
      </c>
      <c r="H328" s="11" t="s">
        <v>2292</v>
      </c>
      <c r="I328" s="25">
        <v>1</v>
      </c>
      <c r="J328" s="21"/>
      <c r="K328" s="21"/>
      <c r="L328" s="21"/>
      <c r="M328" s="21"/>
      <c r="N328" s="21"/>
      <c r="O328" s="21"/>
      <c r="P328" s="21"/>
      <c r="Q328" s="21"/>
      <c r="R328" s="21"/>
      <c r="S328" s="21"/>
      <c r="T328" s="21"/>
      <c r="U328" s="21"/>
      <c r="V328" s="21"/>
      <c r="W328" s="21"/>
      <c r="X328" s="21"/>
      <c r="Y328" s="21"/>
      <c r="Z328" s="21"/>
    </row>
    <row r="329" spans="1:26" ht="15.75" customHeight="1" x14ac:dyDescent="0.25">
      <c r="A329" s="11"/>
      <c r="B329" s="22">
        <v>45706</v>
      </c>
      <c r="C329" s="11">
        <v>1119</v>
      </c>
      <c r="D329" s="11" t="s">
        <v>41</v>
      </c>
      <c r="E329" s="11">
        <v>25900185</v>
      </c>
      <c r="F329" s="11"/>
      <c r="G329" s="190" t="s">
        <v>2675</v>
      </c>
      <c r="H329" s="11" t="s">
        <v>2306</v>
      </c>
      <c r="I329" s="25">
        <v>7</v>
      </c>
      <c r="J329" s="21"/>
      <c r="K329" s="21"/>
      <c r="L329" s="21"/>
      <c r="M329" s="21"/>
      <c r="N329" s="21"/>
      <c r="O329" s="21"/>
      <c r="P329" s="21"/>
      <c r="Q329" s="21"/>
      <c r="R329" s="21"/>
      <c r="S329" s="21"/>
      <c r="T329" s="21"/>
      <c r="U329" s="21"/>
      <c r="V329" s="21"/>
      <c r="W329" s="21"/>
      <c r="X329" s="21"/>
      <c r="Y329" s="21"/>
      <c r="Z329" s="21"/>
    </row>
    <row r="330" spans="1:26" ht="15.75" customHeight="1" x14ac:dyDescent="0.25">
      <c r="A330" s="11"/>
      <c r="B330" s="22">
        <v>45706</v>
      </c>
      <c r="C330" s="11">
        <v>1120</v>
      </c>
      <c r="D330" s="11" t="s">
        <v>41</v>
      </c>
      <c r="E330" s="11">
        <v>25900185</v>
      </c>
      <c r="F330" s="11"/>
      <c r="G330" s="190" t="s">
        <v>2676</v>
      </c>
      <c r="H330" s="11" t="s">
        <v>2306</v>
      </c>
      <c r="I330" s="25">
        <v>7</v>
      </c>
      <c r="J330" s="21"/>
      <c r="K330" s="21"/>
      <c r="L330" s="21"/>
      <c r="M330" s="21"/>
      <c r="N330" s="21"/>
      <c r="O330" s="21"/>
      <c r="P330" s="21"/>
      <c r="Q330" s="21"/>
      <c r="R330" s="21"/>
      <c r="S330" s="21"/>
      <c r="T330" s="21"/>
      <c r="U330" s="21"/>
      <c r="V330" s="21"/>
      <c r="W330" s="21"/>
      <c r="X330" s="21"/>
      <c r="Y330" s="21"/>
      <c r="Z330" s="21"/>
    </row>
    <row r="331" spans="1:26" ht="15.75" customHeight="1" x14ac:dyDescent="0.25">
      <c r="A331" s="11"/>
      <c r="B331" s="22">
        <v>45706</v>
      </c>
      <c r="C331" s="11">
        <v>1121</v>
      </c>
      <c r="D331" s="11" t="s">
        <v>4</v>
      </c>
      <c r="E331" s="11" t="s">
        <v>2677</v>
      </c>
      <c r="F331" s="11"/>
      <c r="G331" s="190" t="s">
        <v>2678</v>
      </c>
      <c r="H331" s="11" t="s">
        <v>2292</v>
      </c>
      <c r="I331" s="25">
        <v>1</v>
      </c>
      <c r="J331" s="21"/>
      <c r="K331" s="21"/>
      <c r="L331" s="21"/>
      <c r="M331" s="21"/>
      <c r="N331" s="21"/>
      <c r="O331" s="21"/>
      <c r="P331" s="21"/>
      <c r="Q331" s="21"/>
      <c r="R331" s="21"/>
      <c r="S331" s="21"/>
      <c r="T331" s="21"/>
      <c r="U331" s="21"/>
      <c r="V331" s="21"/>
      <c r="W331" s="21"/>
      <c r="X331" s="21"/>
      <c r="Y331" s="21"/>
      <c r="Z331" s="21"/>
    </row>
    <row r="332" spans="1:26" ht="15.75" customHeight="1" x14ac:dyDescent="0.25">
      <c r="A332" s="11"/>
      <c r="B332" s="22">
        <v>45707</v>
      </c>
      <c r="C332" s="11">
        <v>1122</v>
      </c>
      <c r="D332" s="11" t="s">
        <v>41</v>
      </c>
      <c r="E332" s="11">
        <v>25900135</v>
      </c>
      <c r="F332" s="11"/>
      <c r="G332" s="190" t="s">
        <v>2679</v>
      </c>
      <c r="H332" s="11" t="s">
        <v>2306</v>
      </c>
      <c r="I332" s="25" t="s">
        <v>2585</v>
      </c>
      <c r="J332" s="21"/>
      <c r="K332" s="21"/>
      <c r="L332" s="21"/>
      <c r="M332" s="21"/>
      <c r="N332" s="21"/>
      <c r="O332" s="21"/>
      <c r="P332" s="21"/>
      <c r="Q332" s="21"/>
      <c r="R332" s="21"/>
      <c r="S332" s="21"/>
      <c r="T332" s="21"/>
      <c r="U332" s="21"/>
      <c r="V332" s="21"/>
      <c r="W332" s="21"/>
      <c r="X332" s="21"/>
      <c r="Y332" s="21"/>
      <c r="Z332" s="21"/>
    </row>
    <row r="333" spans="1:26" ht="15.75" customHeight="1" x14ac:dyDescent="0.25">
      <c r="A333" s="11"/>
      <c r="B333" s="22">
        <v>45707</v>
      </c>
      <c r="C333" s="11">
        <v>1123</v>
      </c>
      <c r="D333" s="11" t="s">
        <v>41</v>
      </c>
      <c r="E333" s="11">
        <v>25900213</v>
      </c>
      <c r="F333" s="11"/>
      <c r="G333" s="190" t="s">
        <v>2680</v>
      </c>
      <c r="H333" s="11" t="s">
        <v>2306</v>
      </c>
      <c r="I333" s="25">
        <v>7</v>
      </c>
      <c r="J333" s="21"/>
      <c r="K333" s="21"/>
      <c r="L333" s="21"/>
      <c r="M333" s="21"/>
      <c r="N333" s="21"/>
      <c r="O333" s="21"/>
      <c r="P333" s="21"/>
      <c r="Q333" s="21"/>
      <c r="R333" s="21"/>
      <c r="S333" s="21"/>
      <c r="T333" s="21"/>
      <c r="U333" s="21"/>
      <c r="V333" s="21"/>
      <c r="W333" s="21"/>
      <c r="X333" s="21"/>
      <c r="Y333" s="21"/>
      <c r="Z333" s="21"/>
    </row>
    <row r="334" spans="1:26" ht="15.75" customHeight="1" x14ac:dyDescent="0.25">
      <c r="A334" s="11"/>
      <c r="B334" s="22">
        <v>45708</v>
      </c>
      <c r="C334" s="11">
        <v>1124</v>
      </c>
      <c r="D334" s="11" t="s">
        <v>160</v>
      </c>
      <c r="E334" s="11" t="s">
        <v>53</v>
      </c>
      <c r="F334" s="11"/>
      <c r="G334" s="190" t="s">
        <v>2681</v>
      </c>
      <c r="H334" s="11" t="s">
        <v>2405</v>
      </c>
      <c r="I334" s="25" t="s">
        <v>2405</v>
      </c>
      <c r="J334" s="21"/>
      <c r="K334" s="21"/>
      <c r="L334" s="21"/>
      <c r="M334" s="21"/>
      <c r="N334" s="21"/>
      <c r="O334" s="21"/>
      <c r="P334" s="21"/>
      <c r="Q334" s="21"/>
      <c r="R334" s="21"/>
      <c r="S334" s="21"/>
      <c r="T334" s="21"/>
      <c r="U334" s="21"/>
      <c r="V334" s="21"/>
      <c r="W334" s="21"/>
      <c r="X334" s="21"/>
      <c r="Y334" s="21"/>
      <c r="Z334" s="21"/>
    </row>
    <row r="335" spans="1:26" ht="15.75" customHeight="1" x14ac:dyDescent="0.25">
      <c r="A335" s="11"/>
      <c r="B335" s="22">
        <v>45708</v>
      </c>
      <c r="C335" s="11">
        <v>1124</v>
      </c>
      <c r="D335" s="11" t="s">
        <v>160</v>
      </c>
      <c r="E335" s="11" t="s">
        <v>2682</v>
      </c>
      <c r="F335" s="11"/>
      <c r="G335" s="190" t="s">
        <v>2683</v>
      </c>
      <c r="H335" s="11" t="s">
        <v>2306</v>
      </c>
      <c r="I335" s="25">
        <v>7</v>
      </c>
      <c r="J335" s="21"/>
      <c r="K335" s="21"/>
      <c r="L335" s="21"/>
      <c r="M335" s="21"/>
      <c r="N335" s="21"/>
      <c r="O335" s="21"/>
      <c r="P335" s="21"/>
      <c r="Q335" s="21"/>
      <c r="R335" s="21"/>
      <c r="S335" s="21"/>
      <c r="T335" s="21"/>
      <c r="U335" s="21"/>
      <c r="V335" s="21"/>
      <c r="W335" s="21"/>
      <c r="X335" s="21"/>
      <c r="Y335" s="21"/>
      <c r="Z335" s="21"/>
    </row>
    <row r="336" spans="1:26" ht="15.75" customHeight="1" x14ac:dyDescent="0.25">
      <c r="A336" s="11"/>
      <c r="B336" s="22">
        <v>45708</v>
      </c>
      <c r="C336" s="11">
        <v>1125</v>
      </c>
      <c r="D336" s="11" t="s">
        <v>44</v>
      </c>
      <c r="E336" s="11">
        <v>4714045030</v>
      </c>
      <c r="F336" s="11"/>
      <c r="G336" s="190" t="s">
        <v>2685</v>
      </c>
      <c r="H336" s="11" t="s">
        <v>2621</v>
      </c>
      <c r="I336" s="25" t="s">
        <v>2684</v>
      </c>
      <c r="J336" s="21"/>
      <c r="K336" s="21"/>
      <c r="L336" s="21"/>
      <c r="M336" s="21"/>
      <c r="N336" s="21"/>
      <c r="O336" s="21"/>
      <c r="P336" s="21"/>
      <c r="Q336" s="21"/>
      <c r="R336" s="21"/>
      <c r="S336" s="21"/>
      <c r="T336" s="21"/>
      <c r="U336" s="21"/>
      <c r="V336" s="21"/>
      <c r="W336" s="21"/>
      <c r="X336" s="21"/>
      <c r="Y336" s="21"/>
      <c r="Z336" s="21"/>
    </row>
    <row r="337" spans="1:26" ht="15.75" customHeight="1" x14ac:dyDescent="0.25">
      <c r="A337" s="11"/>
      <c r="B337" s="22">
        <v>45709</v>
      </c>
      <c r="C337" s="11">
        <v>1126</v>
      </c>
      <c r="D337" s="11" t="s">
        <v>41</v>
      </c>
      <c r="E337" s="11">
        <v>25900186</v>
      </c>
      <c r="F337" s="11"/>
      <c r="G337" s="190" t="s">
        <v>2688</v>
      </c>
      <c r="H337" s="11" t="s">
        <v>2687</v>
      </c>
      <c r="I337" s="25" t="s">
        <v>2686</v>
      </c>
      <c r="J337" s="21"/>
      <c r="K337" s="21"/>
      <c r="L337" s="21"/>
      <c r="M337" s="21"/>
      <c r="N337" s="21"/>
      <c r="O337" s="21"/>
      <c r="P337" s="21"/>
      <c r="Q337" s="21"/>
      <c r="R337" s="21"/>
      <c r="S337" s="21"/>
      <c r="T337" s="21"/>
      <c r="U337" s="21"/>
      <c r="V337" s="21"/>
      <c r="W337" s="21"/>
      <c r="X337" s="21"/>
      <c r="Y337" s="21"/>
      <c r="Z337" s="21"/>
    </row>
    <row r="338" spans="1:26" ht="15.75" customHeight="1" x14ac:dyDescent="0.25">
      <c r="A338" s="11"/>
      <c r="B338" s="22">
        <v>45710</v>
      </c>
      <c r="C338" s="11">
        <v>1127</v>
      </c>
      <c r="D338" s="11" t="s">
        <v>41</v>
      </c>
      <c r="E338" s="11">
        <v>25900219</v>
      </c>
      <c r="F338" s="11"/>
      <c r="G338" s="190" t="s">
        <v>2689</v>
      </c>
      <c r="H338" s="11" t="s">
        <v>2306</v>
      </c>
      <c r="I338" s="25">
        <v>7</v>
      </c>
      <c r="J338" s="21"/>
      <c r="K338" s="21"/>
      <c r="L338" s="21"/>
      <c r="M338" s="21"/>
      <c r="N338" s="21"/>
      <c r="O338" s="21"/>
      <c r="P338" s="21"/>
      <c r="Q338" s="21"/>
      <c r="R338" s="21"/>
      <c r="S338" s="21"/>
      <c r="T338" s="21"/>
      <c r="U338" s="21"/>
      <c r="V338" s="21"/>
      <c r="W338" s="21"/>
      <c r="X338" s="21"/>
      <c r="Y338" s="21"/>
      <c r="Z338" s="21"/>
    </row>
    <row r="339" spans="1:26" ht="15.75" customHeight="1" x14ac:dyDescent="0.25">
      <c r="A339" s="11"/>
      <c r="B339" s="22">
        <v>45710</v>
      </c>
      <c r="C339" s="11">
        <v>1128</v>
      </c>
      <c r="D339" s="11" t="s">
        <v>41</v>
      </c>
      <c r="E339" s="11">
        <v>25900186</v>
      </c>
      <c r="F339" s="11"/>
      <c r="G339" s="190" t="s">
        <v>2692</v>
      </c>
      <c r="H339" s="11" t="s">
        <v>2691</v>
      </c>
      <c r="I339" s="25" t="s">
        <v>2690</v>
      </c>
      <c r="J339" s="21"/>
      <c r="K339" s="21"/>
      <c r="L339" s="21"/>
      <c r="M339" s="21"/>
      <c r="N339" s="21"/>
      <c r="O339" s="21"/>
      <c r="P339" s="21"/>
      <c r="Q339" s="21"/>
      <c r="R339" s="21"/>
      <c r="S339" s="21"/>
      <c r="T339" s="21"/>
      <c r="U339" s="21"/>
      <c r="V339" s="21"/>
      <c r="W339" s="21"/>
      <c r="X339" s="21"/>
      <c r="Y339" s="21"/>
      <c r="Z339" s="21"/>
    </row>
    <row r="340" spans="1:26" ht="15.75" customHeight="1" x14ac:dyDescent="0.25">
      <c r="A340" s="11"/>
      <c r="B340" s="22">
        <v>45712</v>
      </c>
      <c r="C340" s="11">
        <v>1130</v>
      </c>
      <c r="D340" s="11" t="s">
        <v>4</v>
      </c>
      <c r="E340" s="11" t="s">
        <v>2693</v>
      </c>
      <c r="F340" s="11"/>
      <c r="G340" s="190" t="s">
        <v>2694</v>
      </c>
      <c r="H340" s="11" t="s">
        <v>2292</v>
      </c>
      <c r="I340" s="25">
        <v>1</v>
      </c>
      <c r="J340" s="21"/>
      <c r="K340" s="21"/>
      <c r="L340" s="21"/>
      <c r="M340" s="21"/>
      <c r="N340" s="21"/>
      <c r="O340" s="21"/>
      <c r="P340" s="21"/>
      <c r="Q340" s="21"/>
      <c r="R340" s="21"/>
      <c r="S340" s="21"/>
      <c r="T340" s="21"/>
      <c r="U340" s="21"/>
      <c r="V340" s="21"/>
      <c r="W340" s="21"/>
      <c r="X340" s="21"/>
      <c r="Y340" s="21"/>
      <c r="Z340" s="21"/>
    </row>
    <row r="341" spans="1:26" ht="15.75" customHeight="1" x14ac:dyDescent="0.25">
      <c r="A341" s="11"/>
      <c r="B341" s="22">
        <v>45713</v>
      </c>
      <c r="C341" s="11">
        <v>1131</v>
      </c>
      <c r="D341" s="11" t="s">
        <v>2298</v>
      </c>
      <c r="E341" s="11" t="s">
        <v>2695</v>
      </c>
      <c r="F341" s="11"/>
      <c r="G341" s="190" t="s">
        <v>2696</v>
      </c>
      <c r="H341" s="11" t="s">
        <v>2292</v>
      </c>
      <c r="I341" s="25">
        <v>1</v>
      </c>
      <c r="J341" s="21"/>
      <c r="K341" s="21"/>
      <c r="L341" s="21"/>
      <c r="M341" s="21"/>
      <c r="N341" s="21"/>
      <c r="O341" s="21"/>
      <c r="P341" s="21"/>
      <c r="Q341" s="21"/>
      <c r="R341" s="21"/>
      <c r="S341" s="21"/>
      <c r="T341" s="21"/>
      <c r="U341" s="21"/>
      <c r="V341" s="21"/>
      <c r="W341" s="21"/>
      <c r="X341" s="21"/>
      <c r="Y341" s="21"/>
      <c r="Z341" s="21"/>
    </row>
    <row r="342" spans="1:26" ht="15.75" customHeight="1" x14ac:dyDescent="0.25">
      <c r="A342" s="11"/>
      <c r="B342" s="22">
        <v>45714</v>
      </c>
      <c r="C342" s="11">
        <v>1132</v>
      </c>
      <c r="D342" s="11" t="s">
        <v>44</v>
      </c>
      <c r="E342" s="11">
        <v>4714045086</v>
      </c>
      <c r="F342" s="11"/>
      <c r="G342" s="190" t="s">
        <v>2697</v>
      </c>
      <c r="H342" s="11" t="s">
        <v>2292</v>
      </c>
      <c r="I342" s="25">
        <v>1</v>
      </c>
      <c r="J342" s="21"/>
      <c r="K342" s="21"/>
      <c r="L342" s="21"/>
      <c r="M342" s="21"/>
      <c r="N342" s="21"/>
      <c r="O342" s="21"/>
      <c r="P342" s="21"/>
      <c r="Q342" s="21"/>
      <c r="R342" s="21"/>
      <c r="S342" s="21"/>
      <c r="T342" s="21"/>
      <c r="U342" s="21"/>
      <c r="V342" s="21"/>
      <c r="W342" s="21"/>
      <c r="X342" s="21"/>
      <c r="Y342" s="21"/>
      <c r="Z342" s="21"/>
    </row>
    <row r="343" spans="1:26" ht="15.75" customHeight="1" x14ac:dyDescent="0.25">
      <c r="A343" s="11"/>
      <c r="B343" s="22">
        <v>45714</v>
      </c>
      <c r="C343" s="11">
        <v>1133</v>
      </c>
      <c r="D343" s="11" t="s">
        <v>2298</v>
      </c>
      <c r="E343" s="11" t="s">
        <v>2644</v>
      </c>
      <c r="F343" s="11"/>
      <c r="G343" s="190" t="s">
        <v>2700</v>
      </c>
      <c r="H343" s="11" t="s">
        <v>2699</v>
      </c>
      <c r="I343" s="25" t="s">
        <v>2698</v>
      </c>
      <c r="J343" s="21"/>
      <c r="K343" s="21"/>
      <c r="L343" s="21"/>
      <c r="M343" s="21"/>
      <c r="N343" s="21"/>
      <c r="O343" s="21"/>
      <c r="P343" s="21"/>
      <c r="Q343" s="21"/>
      <c r="R343" s="21"/>
      <c r="S343" s="21"/>
      <c r="T343" s="21"/>
      <c r="U343" s="21"/>
      <c r="V343" s="21"/>
      <c r="W343" s="21"/>
      <c r="X343" s="21"/>
      <c r="Y343" s="21"/>
      <c r="Z343" s="21"/>
    </row>
    <row r="344" spans="1:26" ht="15.75" customHeight="1" x14ac:dyDescent="0.25">
      <c r="A344" s="11"/>
      <c r="B344" s="22">
        <v>45714</v>
      </c>
      <c r="C344" s="11">
        <v>1134</v>
      </c>
      <c r="D344" s="11" t="s">
        <v>41</v>
      </c>
      <c r="E344" s="11">
        <v>25900278</v>
      </c>
      <c r="F344" s="11"/>
      <c r="G344" s="190" t="s">
        <v>2701</v>
      </c>
      <c r="H344" s="11" t="s">
        <v>2306</v>
      </c>
      <c r="I344" s="25">
        <v>7</v>
      </c>
      <c r="J344" s="21"/>
      <c r="K344" s="21"/>
      <c r="L344" s="21"/>
      <c r="M344" s="21"/>
      <c r="N344" s="21"/>
      <c r="O344" s="21"/>
      <c r="P344" s="21"/>
      <c r="Q344" s="21"/>
      <c r="R344" s="21"/>
      <c r="S344" s="21"/>
      <c r="T344" s="21"/>
      <c r="U344" s="21"/>
      <c r="V344" s="21"/>
      <c r="W344" s="21"/>
      <c r="X344" s="21"/>
      <c r="Y344" s="21"/>
      <c r="Z344" s="21"/>
    </row>
    <row r="345" spans="1:26" ht="15.75" customHeight="1" x14ac:dyDescent="0.25">
      <c r="A345" s="11"/>
      <c r="B345" s="22">
        <v>45715</v>
      </c>
      <c r="C345" s="11">
        <v>1135</v>
      </c>
      <c r="D345" s="11" t="s">
        <v>2298</v>
      </c>
      <c r="E345" s="11" t="s">
        <v>2704</v>
      </c>
      <c r="F345" s="11"/>
      <c r="G345" s="190" t="s">
        <v>2705</v>
      </c>
      <c r="H345" s="11" t="s">
        <v>2703</v>
      </c>
      <c r="I345" s="25" t="s">
        <v>2702</v>
      </c>
      <c r="J345" s="21"/>
      <c r="K345" s="21"/>
      <c r="L345" s="21"/>
      <c r="M345" s="21"/>
      <c r="N345" s="21"/>
      <c r="O345" s="21"/>
      <c r="P345" s="21"/>
      <c r="Q345" s="21"/>
      <c r="R345" s="21"/>
      <c r="S345" s="21"/>
      <c r="T345" s="21"/>
      <c r="U345" s="21"/>
      <c r="V345" s="21"/>
      <c r="W345" s="21"/>
      <c r="X345" s="21"/>
      <c r="Y345" s="21"/>
      <c r="Z345" s="21"/>
    </row>
    <row r="346" spans="1:26" ht="15.75" customHeight="1" x14ac:dyDescent="0.25">
      <c r="A346" s="11"/>
      <c r="B346" s="22">
        <v>45717</v>
      </c>
      <c r="C346" s="11">
        <v>1136</v>
      </c>
      <c r="D346" s="11" t="s">
        <v>41</v>
      </c>
      <c r="E346" s="11">
        <v>25900263</v>
      </c>
      <c r="F346" s="11"/>
      <c r="G346" s="190" t="s">
        <v>2706</v>
      </c>
      <c r="H346" s="11" t="s">
        <v>2306</v>
      </c>
      <c r="I346" s="25">
        <v>7</v>
      </c>
      <c r="J346" s="21"/>
      <c r="K346" s="21"/>
      <c r="L346" s="21"/>
      <c r="M346" s="21"/>
      <c r="N346" s="21"/>
      <c r="O346" s="21"/>
      <c r="P346" s="21"/>
      <c r="Q346" s="21"/>
      <c r="R346" s="21"/>
      <c r="S346" s="21"/>
      <c r="T346" s="21"/>
      <c r="U346" s="21"/>
      <c r="V346" s="21"/>
      <c r="W346" s="21"/>
      <c r="X346" s="21"/>
      <c r="Y346" s="21"/>
      <c r="Z346" s="21"/>
    </row>
    <row r="347" spans="1:26" ht="15.75" customHeight="1" x14ac:dyDescent="0.25">
      <c r="A347" s="11"/>
      <c r="B347" s="22">
        <v>45717</v>
      </c>
      <c r="C347" s="11">
        <v>1137</v>
      </c>
      <c r="D347" s="11" t="s">
        <v>41</v>
      </c>
      <c r="E347" s="11">
        <v>25900261</v>
      </c>
      <c r="F347" s="11"/>
      <c r="G347" s="190" t="s">
        <v>2707</v>
      </c>
      <c r="H347" s="11" t="s">
        <v>2306</v>
      </c>
      <c r="I347" s="25">
        <v>7</v>
      </c>
      <c r="J347" s="21"/>
      <c r="K347" s="21"/>
      <c r="L347" s="21"/>
      <c r="M347" s="21"/>
      <c r="N347" s="21"/>
      <c r="O347" s="21"/>
      <c r="P347" s="21"/>
      <c r="Q347" s="21"/>
      <c r="R347" s="21"/>
      <c r="S347" s="21"/>
      <c r="T347" s="21"/>
      <c r="U347" s="21"/>
      <c r="V347" s="21"/>
      <c r="W347" s="21"/>
      <c r="X347" s="21"/>
      <c r="Y347" s="21"/>
      <c r="Z347" s="21"/>
    </row>
    <row r="348" spans="1:26" ht="15.75" customHeight="1" x14ac:dyDescent="0.25">
      <c r="A348" s="11"/>
      <c r="B348" s="22">
        <v>45717</v>
      </c>
      <c r="C348" s="11">
        <v>1138</v>
      </c>
      <c r="D348" s="11" t="s">
        <v>41</v>
      </c>
      <c r="E348" s="11">
        <v>25900240</v>
      </c>
      <c r="F348" s="11"/>
      <c r="G348" s="190" t="s">
        <v>2708</v>
      </c>
      <c r="H348" s="11" t="s">
        <v>2306</v>
      </c>
      <c r="I348" s="25">
        <v>7</v>
      </c>
      <c r="J348" s="21"/>
      <c r="K348" s="21"/>
      <c r="L348" s="21"/>
      <c r="M348" s="21"/>
      <c r="N348" s="21"/>
      <c r="O348" s="21"/>
      <c r="P348" s="21"/>
      <c r="Q348" s="21"/>
      <c r="R348" s="21"/>
      <c r="S348" s="21"/>
      <c r="T348" s="21"/>
      <c r="U348" s="21"/>
      <c r="V348" s="21"/>
      <c r="W348" s="21"/>
      <c r="X348" s="21"/>
      <c r="Y348" s="21"/>
      <c r="Z348" s="21"/>
    </row>
    <row r="349" spans="1:26" ht="15.75" customHeight="1" x14ac:dyDescent="0.25">
      <c r="A349" s="11"/>
      <c r="B349" s="22">
        <v>45717</v>
      </c>
      <c r="C349" s="11">
        <v>1139</v>
      </c>
      <c r="D349" s="11" t="s">
        <v>41</v>
      </c>
      <c r="E349" s="11">
        <v>25900239</v>
      </c>
      <c r="F349" s="11"/>
      <c r="G349" s="190" t="s">
        <v>2709</v>
      </c>
      <c r="H349" s="11" t="s">
        <v>2306</v>
      </c>
      <c r="I349" s="25">
        <v>7</v>
      </c>
      <c r="J349" s="21"/>
      <c r="K349" s="21"/>
      <c r="L349" s="21"/>
      <c r="M349" s="21"/>
      <c r="N349" s="21"/>
      <c r="O349" s="21"/>
      <c r="P349" s="21"/>
      <c r="Q349" s="21"/>
      <c r="R349" s="21"/>
      <c r="S349" s="21"/>
      <c r="T349" s="21"/>
      <c r="U349" s="21"/>
      <c r="V349" s="21"/>
      <c r="W349" s="21"/>
      <c r="X349" s="21"/>
      <c r="Y349" s="21"/>
      <c r="Z349" s="21"/>
    </row>
    <row r="350" spans="1:26" ht="15.75" customHeight="1" x14ac:dyDescent="0.25">
      <c r="A350" s="11"/>
      <c r="B350" s="22">
        <v>45717</v>
      </c>
      <c r="C350" s="11">
        <v>1140</v>
      </c>
      <c r="D350" s="11" t="s">
        <v>41</v>
      </c>
      <c r="E350" s="11">
        <v>25900238</v>
      </c>
      <c r="F350" s="11"/>
      <c r="G350" s="190" t="s">
        <v>2710</v>
      </c>
      <c r="H350" s="11" t="s">
        <v>2306</v>
      </c>
      <c r="I350" s="25">
        <v>7</v>
      </c>
      <c r="J350" s="21"/>
      <c r="K350" s="21"/>
      <c r="L350" s="21"/>
      <c r="M350" s="21"/>
      <c r="N350" s="21"/>
      <c r="O350" s="21"/>
      <c r="P350" s="21"/>
      <c r="Q350" s="21"/>
      <c r="R350" s="21"/>
      <c r="S350" s="21"/>
      <c r="T350" s="21"/>
      <c r="U350" s="21"/>
      <c r="V350" s="21"/>
      <c r="W350" s="21"/>
      <c r="X350" s="21"/>
      <c r="Y350" s="21"/>
      <c r="Z350" s="21"/>
    </row>
    <row r="351" spans="1:26" ht="15.75" customHeight="1" x14ac:dyDescent="0.25">
      <c r="A351" s="11"/>
      <c r="B351" s="22">
        <v>45717</v>
      </c>
      <c r="C351" s="11">
        <v>1141</v>
      </c>
      <c r="D351" s="11" t="s">
        <v>41</v>
      </c>
      <c r="E351" s="11">
        <v>25900237</v>
      </c>
      <c r="F351" s="11"/>
      <c r="G351" s="190" t="s">
        <v>2711</v>
      </c>
      <c r="H351" s="11" t="s">
        <v>2306</v>
      </c>
      <c r="I351" s="25">
        <v>7</v>
      </c>
      <c r="J351" s="21"/>
      <c r="K351" s="21"/>
      <c r="L351" s="21"/>
      <c r="M351" s="21"/>
      <c r="N351" s="21"/>
      <c r="O351" s="21"/>
      <c r="P351" s="21"/>
      <c r="Q351" s="21"/>
      <c r="R351" s="21"/>
      <c r="S351" s="21"/>
      <c r="T351" s="21"/>
      <c r="U351" s="21"/>
      <c r="V351" s="21"/>
      <c r="W351" s="21"/>
      <c r="X351" s="21"/>
      <c r="Y351" s="21"/>
      <c r="Z351" s="21"/>
    </row>
    <row r="352" spans="1:26" ht="15.75" customHeight="1" x14ac:dyDescent="0.25">
      <c r="A352" s="11"/>
      <c r="B352" s="22">
        <v>45717</v>
      </c>
      <c r="C352" s="11">
        <v>1142</v>
      </c>
      <c r="D352" s="11" t="s">
        <v>41</v>
      </c>
      <c r="E352" s="11">
        <v>25900236</v>
      </c>
      <c r="F352" s="11"/>
      <c r="G352" s="190" t="s">
        <v>2712</v>
      </c>
      <c r="H352" s="11" t="s">
        <v>2306</v>
      </c>
      <c r="I352" s="25">
        <v>7</v>
      </c>
      <c r="J352" s="21"/>
      <c r="K352" s="21"/>
      <c r="L352" s="21"/>
      <c r="M352" s="21"/>
      <c r="N352" s="21"/>
      <c r="O352" s="21"/>
      <c r="P352" s="21"/>
      <c r="Q352" s="21"/>
      <c r="R352" s="21"/>
      <c r="S352" s="21"/>
      <c r="T352" s="21"/>
      <c r="U352" s="21"/>
      <c r="V352" s="21"/>
      <c r="W352" s="21"/>
      <c r="X352" s="21"/>
      <c r="Y352" s="21"/>
      <c r="Z352" s="21"/>
    </row>
    <row r="353" spans="1:26" ht="15.75" customHeight="1" x14ac:dyDescent="0.25">
      <c r="A353" s="11"/>
      <c r="B353" s="22">
        <v>45717</v>
      </c>
      <c r="C353" s="11">
        <v>1143</v>
      </c>
      <c r="D353" s="11" t="s">
        <v>41</v>
      </c>
      <c r="E353" s="11">
        <v>25900235</v>
      </c>
      <c r="F353" s="11"/>
      <c r="G353" s="190" t="s">
        <v>2713</v>
      </c>
      <c r="H353" s="11" t="s">
        <v>2306</v>
      </c>
      <c r="I353" s="25">
        <v>7</v>
      </c>
      <c r="J353" s="21"/>
      <c r="K353" s="21"/>
      <c r="L353" s="21"/>
      <c r="M353" s="21"/>
      <c r="N353" s="21"/>
      <c r="O353" s="21"/>
      <c r="P353" s="21"/>
      <c r="Q353" s="21"/>
      <c r="R353" s="21"/>
      <c r="S353" s="21"/>
      <c r="T353" s="21"/>
      <c r="U353" s="21"/>
      <c r="V353" s="21"/>
      <c r="W353" s="21"/>
      <c r="X353" s="21"/>
      <c r="Y353" s="21"/>
      <c r="Z353" s="21"/>
    </row>
    <row r="354" spans="1:26" ht="15.75" customHeight="1" x14ac:dyDescent="0.25">
      <c r="A354" s="11"/>
      <c r="B354" s="22">
        <v>45717</v>
      </c>
      <c r="C354" s="11">
        <v>1144</v>
      </c>
      <c r="D354" s="11" t="s">
        <v>41</v>
      </c>
      <c r="E354" s="11" t="s">
        <v>53</v>
      </c>
      <c r="F354" s="11"/>
      <c r="G354" s="190" t="s">
        <v>2716</v>
      </c>
      <c r="H354" s="11" t="s">
        <v>2714</v>
      </c>
      <c r="I354" s="25" t="s">
        <v>2715</v>
      </c>
      <c r="J354" s="21"/>
      <c r="K354" s="21"/>
      <c r="L354" s="21"/>
      <c r="M354" s="21"/>
      <c r="N354" s="21"/>
      <c r="O354" s="21"/>
      <c r="P354" s="21"/>
      <c r="Q354" s="21"/>
      <c r="R354" s="21"/>
      <c r="S354" s="21"/>
      <c r="T354" s="21"/>
      <c r="U354" s="21"/>
      <c r="V354" s="21"/>
      <c r="W354" s="21"/>
      <c r="X354" s="21"/>
      <c r="Y354" s="21"/>
      <c r="Z354" s="21"/>
    </row>
    <row r="355" spans="1:26" ht="15.75" customHeight="1" x14ac:dyDescent="0.25">
      <c r="A355" s="11"/>
      <c r="B355" s="22">
        <v>45717</v>
      </c>
      <c r="C355" s="11">
        <v>1145</v>
      </c>
      <c r="D355" s="11" t="s">
        <v>41</v>
      </c>
      <c r="E355" s="11">
        <v>25900279</v>
      </c>
      <c r="F355" s="11"/>
      <c r="G355" s="190" t="s">
        <v>2717</v>
      </c>
      <c r="H355" s="11" t="s">
        <v>2306</v>
      </c>
      <c r="I355" s="25">
        <v>7</v>
      </c>
      <c r="J355" s="21"/>
      <c r="K355" s="21"/>
      <c r="L355" s="21"/>
      <c r="M355" s="21"/>
      <c r="N355" s="21"/>
      <c r="O355" s="21"/>
      <c r="P355" s="21"/>
      <c r="Q355" s="21"/>
      <c r="R355" s="21"/>
      <c r="S355" s="21"/>
      <c r="T355" s="21"/>
      <c r="U355" s="21"/>
      <c r="V355" s="21"/>
      <c r="W355" s="21"/>
      <c r="X355" s="21"/>
      <c r="Y355" s="21"/>
      <c r="Z355" s="21"/>
    </row>
    <row r="356" spans="1:26" ht="15.75" customHeight="1" x14ac:dyDescent="0.25">
      <c r="A356" s="11"/>
      <c r="B356" s="22">
        <v>45719</v>
      </c>
      <c r="C356" s="11">
        <v>1146</v>
      </c>
      <c r="D356" s="11" t="s">
        <v>160</v>
      </c>
      <c r="E356" s="11" t="s">
        <v>2718</v>
      </c>
      <c r="F356" s="11"/>
      <c r="G356" s="190" t="s">
        <v>2719</v>
      </c>
      <c r="H356" s="11" t="s">
        <v>2306</v>
      </c>
      <c r="I356" s="25">
        <v>7</v>
      </c>
      <c r="J356" s="21"/>
      <c r="K356" s="21"/>
      <c r="L356" s="21"/>
      <c r="M356" s="21"/>
      <c r="N356" s="21"/>
      <c r="O356" s="21"/>
      <c r="P356" s="21"/>
      <c r="Q356" s="21"/>
      <c r="R356" s="21"/>
      <c r="S356" s="21"/>
      <c r="T356" s="21"/>
      <c r="U356" s="21"/>
      <c r="V356" s="21"/>
      <c r="W356" s="21"/>
      <c r="X356" s="21"/>
      <c r="Y356" s="21"/>
      <c r="Z356" s="21"/>
    </row>
    <row r="357" spans="1:26" ht="15.75" customHeight="1" x14ac:dyDescent="0.25">
      <c r="A357" s="11"/>
      <c r="B357" s="22">
        <v>45719</v>
      </c>
      <c r="C357" s="11">
        <v>1147</v>
      </c>
      <c r="D357" s="11" t="s">
        <v>160</v>
      </c>
      <c r="E357" s="11" t="s">
        <v>2682</v>
      </c>
      <c r="F357" s="11"/>
      <c r="G357" s="190" t="s">
        <v>2720</v>
      </c>
      <c r="H357" s="11" t="s">
        <v>2306</v>
      </c>
      <c r="I357" s="25">
        <v>7</v>
      </c>
      <c r="J357" s="21"/>
      <c r="K357" s="21"/>
      <c r="L357" s="21"/>
      <c r="M357" s="21"/>
      <c r="N357" s="21"/>
      <c r="O357" s="21"/>
      <c r="P357" s="21"/>
      <c r="Q357" s="21"/>
      <c r="R357" s="21"/>
      <c r="S357" s="21"/>
      <c r="T357" s="21"/>
      <c r="U357" s="21"/>
      <c r="V357" s="21"/>
      <c r="W357" s="21"/>
      <c r="X357" s="21"/>
      <c r="Y357" s="21"/>
      <c r="Z357" s="21"/>
    </row>
    <row r="358" spans="1:26" ht="15.75" customHeight="1" x14ac:dyDescent="0.25">
      <c r="A358" s="11"/>
      <c r="B358" s="22">
        <v>45719</v>
      </c>
      <c r="C358" s="11">
        <v>1148</v>
      </c>
      <c r="D358" s="11" t="s">
        <v>160</v>
      </c>
      <c r="E358" s="11" t="s">
        <v>2721</v>
      </c>
      <c r="F358" s="11"/>
      <c r="G358" s="190" t="s">
        <v>2722</v>
      </c>
      <c r="H358" s="11" t="s">
        <v>2306</v>
      </c>
      <c r="I358" s="25">
        <v>7</v>
      </c>
      <c r="J358" s="21"/>
      <c r="K358" s="21"/>
      <c r="L358" s="21"/>
      <c r="M358" s="21"/>
      <c r="N358" s="21"/>
      <c r="O358" s="21"/>
      <c r="P358" s="21"/>
      <c r="Q358" s="21"/>
      <c r="R358" s="21"/>
      <c r="S358" s="21"/>
      <c r="T358" s="21"/>
      <c r="U358" s="21"/>
      <c r="V358" s="21"/>
      <c r="W358" s="21"/>
      <c r="X358" s="21"/>
      <c r="Y358" s="21"/>
      <c r="Z358" s="21"/>
    </row>
    <row r="359" spans="1:26" ht="15.75" customHeight="1" x14ac:dyDescent="0.25">
      <c r="A359" s="11"/>
      <c r="B359" s="22">
        <v>45720</v>
      </c>
      <c r="C359" s="11">
        <v>1149</v>
      </c>
      <c r="D359" s="11" t="s">
        <v>41</v>
      </c>
      <c r="E359" s="11">
        <v>25900231</v>
      </c>
      <c r="F359" s="11"/>
      <c r="G359" s="190" t="s">
        <v>2723</v>
      </c>
      <c r="H359" s="11" t="s">
        <v>2306</v>
      </c>
      <c r="I359" s="25">
        <v>7</v>
      </c>
      <c r="J359" s="21"/>
      <c r="K359" s="21"/>
      <c r="L359" s="21"/>
      <c r="M359" s="21"/>
      <c r="N359" s="21"/>
      <c r="O359" s="21"/>
      <c r="P359" s="21"/>
      <c r="Q359" s="21"/>
      <c r="R359" s="21"/>
      <c r="S359" s="21"/>
      <c r="T359" s="21"/>
      <c r="U359" s="21"/>
      <c r="V359" s="21"/>
      <c r="W359" s="21"/>
      <c r="X359" s="21"/>
      <c r="Y359" s="21"/>
      <c r="Z359" s="21"/>
    </row>
    <row r="360" spans="1:26" ht="15.75" customHeight="1" x14ac:dyDescent="0.25">
      <c r="A360" s="11"/>
      <c r="B360" s="22">
        <v>45720</v>
      </c>
      <c r="C360" s="11">
        <v>1150</v>
      </c>
      <c r="D360" s="11" t="s">
        <v>41</v>
      </c>
      <c r="E360" s="11">
        <v>25900260</v>
      </c>
      <c r="F360" s="11"/>
      <c r="G360" s="190" t="s">
        <v>2726</v>
      </c>
      <c r="H360" s="11" t="s">
        <v>2725</v>
      </c>
      <c r="I360" s="25" t="s">
        <v>2724</v>
      </c>
      <c r="J360" s="21"/>
      <c r="K360" s="21"/>
      <c r="L360" s="21"/>
      <c r="M360" s="21"/>
      <c r="N360" s="21"/>
      <c r="O360" s="21"/>
      <c r="P360" s="21"/>
      <c r="Q360" s="21"/>
      <c r="R360" s="21"/>
      <c r="S360" s="21"/>
      <c r="T360" s="21"/>
      <c r="U360" s="21"/>
      <c r="V360" s="21"/>
      <c r="W360" s="21"/>
      <c r="X360" s="21"/>
      <c r="Y360" s="21"/>
      <c r="Z360" s="21"/>
    </row>
    <row r="361" spans="1:26" ht="15.75" customHeight="1" x14ac:dyDescent="0.25">
      <c r="A361" s="11"/>
      <c r="B361" s="22">
        <v>45720</v>
      </c>
      <c r="C361" s="11">
        <v>1151</v>
      </c>
      <c r="D361" s="11" t="s">
        <v>41</v>
      </c>
      <c r="E361" s="11">
        <v>25900258</v>
      </c>
      <c r="F361" s="11"/>
      <c r="G361" s="190" t="s">
        <v>2729</v>
      </c>
      <c r="H361" s="11" t="s">
        <v>2728</v>
      </c>
      <c r="I361" s="25" t="s">
        <v>2727</v>
      </c>
      <c r="J361" s="21"/>
      <c r="K361" s="21"/>
      <c r="L361" s="21"/>
      <c r="M361" s="21"/>
      <c r="N361" s="21"/>
      <c r="O361" s="21"/>
      <c r="P361" s="21"/>
      <c r="Q361" s="21"/>
      <c r="R361" s="21"/>
      <c r="S361" s="21"/>
      <c r="T361" s="21"/>
      <c r="U361" s="21"/>
      <c r="V361" s="21"/>
      <c r="W361" s="21"/>
      <c r="X361" s="21"/>
      <c r="Y361" s="21"/>
      <c r="Z361" s="21"/>
    </row>
    <row r="362" spans="1:26" ht="15.75" customHeight="1" x14ac:dyDescent="0.25">
      <c r="A362" s="11"/>
      <c r="B362" s="22">
        <v>45720</v>
      </c>
      <c r="C362" s="11">
        <v>1152</v>
      </c>
      <c r="D362" s="11" t="s">
        <v>41</v>
      </c>
      <c r="E362" s="11">
        <v>25900262</v>
      </c>
      <c r="F362" s="11"/>
      <c r="G362" s="190" t="s">
        <v>2732</v>
      </c>
      <c r="H362" s="11" t="s">
        <v>2731</v>
      </c>
      <c r="I362" s="25" t="s">
        <v>2730</v>
      </c>
      <c r="J362" s="21"/>
      <c r="K362" s="21"/>
      <c r="L362" s="21"/>
      <c r="M362" s="21"/>
      <c r="N362" s="21"/>
      <c r="O362" s="21"/>
      <c r="P362" s="21"/>
      <c r="Q362" s="21"/>
      <c r="R362" s="21"/>
      <c r="S362" s="21"/>
      <c r="T362" s="21"/>
      <c r="U362" s="21"/>
      <c r="V362" s="21"/>
      <c r="W362" s="21"/>
      <c r="X362" s="21"/>
      <c r="Y362" s="21"/>
      <c r="Z362" s="21"/>
    </row>
    <row r="363" spans="1:26" ht="15.75" customHeight="1" x14ac:dyDescent="0.25">
      <c r="A363" s="11"/>
      <c r="B363" s="22">
        <v>45720</v>
      </c>
      <c r="C363" s="11">
        <v>1153</v>
      </c>
      <c r="D363" s="11" t="s">
        <v>41</v>
      </c>
      <c r="E363" s="11">
        <v>25900258</v>
      </c>
      <c r="F363" s="11"/>
      <c r="G363" s="190" t="s">
        <v>2733</v>
      </c>
      <c r="H363" s="11" t="s">
        <v>2728</v>
      </c>
      <c r="I363" s="25" t="s">
        <v>2727</v>
      </c>
      <c r="J363" s="21"/>
      <c r="K363" s="21"/>
      <c r="L363" s="21"/>
      <c r="M363" s="21"/>
      <c r="N363" s="21"/>
      <c r="O363" s="21"/>
      <c r="P363" s="21"/>
      <c r="Q363" s="21"/>
      <c r="R363" s="21"/>
      <c r="S363" s="21"/>
      <c r="T363" s="21"/>
      <c r="U363" s="21"/>
      <c r="V363" s="21"/>
      <c r="W363" s="21"/>
      <c r="X363" s="21"/>
      <c r="Y363" s="21"/>
      <c r="Z363" s="21"/>
    </row>
    <row r="364" spans="1:26" ht="15.75" customHeight="1" x14ac:dyDescent="0.25">
      <c r="A364" s="11"/>
      <c r="B364" s="22">
        <v>45720</v>
      </c>
      <c r="C364" s="11">
        <v>1154</v>
      </c>
      <c r="D364" s="11" t="s">
        <v>4</v>
      </c>
      <c r="E364" s="11" t="s">
        <v>2693</v>
      </c>
      <c r="F364" s="11"/>
      <c r="G364" s="190" t="s">
        <v>2734</v>
      </c>
      <c r="H364" s="11" t="s">
        <v>2292</v>
      </c>
      <c r="I364" s="25">
        <v>1</v>
      </c>
      <c r="J364" s="21"/>
      <c r="K364" s="21"/>
      <c r="L364" s="21"/>
      <c r="M364" s="21"/>
      <c r="N364" s="21"/>
      <c r="O364" s="21"/>
      <c r="P364" s="21"/>
      <c r="Q364" s="21"/>
      <c r="R364" s="21"/>
      <c r="S364" s="21"/>
      <c r="T364" s="21"/>
      <c r="U364" s="21"/>
      <c r="V364" s="21"/>
      <c r="W364" s="21"/>
      <c r="X364" s="21"/>
      <c r="Y364" s="21"/>
      <c r="Z364" s="21"/>
    </row>
    <row r="365" spans="1:26" ht="15.75" customHeight="1" x14ac:dyDescent="0.25">
      <c r="A365" s="11"/>
      <c r="B365" s="22">
        <v>45720</v>
      </c>
      <c r="C365" s="11">
        <v>1155</v>
      </c>
      <c r="D365" s="11" t="s">
        <v>44</v>
      </c>
      <c r="E365" s="11">
        <v>4714044991</v>
      </c>
      <c r="F365" s="11"/>
      <c r="G365" s="190" t="s">
        <v>2736</v>
      </c>
      <c r="H365" s="11" t="s">
        <v>2292</v>
      </c>
      <c r="I365" s="25" t="s">
        <v>2735</v>
      </c>
      <c r="J365" s="21"/>
      <c r="K365" s="21"/>
      <c r="L365" s="21"/>
      <c r="M365" s="21"/>
      <c r="N365" s="21"/>
      <c r="O365" s="21"/>
      <c r="P365" s="21"/>
      <c r="Q365" s="21"/>
      <c r="R365" s="21"/>
      <c r="S365" s="21"/>
      <c r="T365" s="21"/>
      <c r="U365" s="21"/>
      <c r="V365" s="21"/>
      <c r="W365" s="21"/>
      <c r="X365" s="21"/>
      <c r="Y365" s="21"/>
      <c r="Z365" s="21"/>
    </row>
    <row r="366" spans="1:26" ht="15.75" customHeight="1" x14ac:dyDescent="0.25">
      <c r="A366" s="11"/>
      <c r="B366" s="22">
        <v>45723</v>
      </c>
      <c r="C366" s="11">
        <v>1156</v>
      </c>
      <c r="D366" s="11" t="s">
        <v>63</v>
      </c>
      <c r="E366" s="11" t="s">
        <v>2737</v>
      </c>
      <c r="F366" s="11"/>
      <c r="G366" s="190" t="s">
        <v>2738</v>
      </c>
      <c r="H366" s="11" t="s">
        <v>2292</v>
      </c>
      <c r="I366" s="25">
        <v>1</v>
      </c>
      <c r="J366" s="21"/>
      <c r="K366" s="21"/>
      <c r="L366" s="21"/>
      <c r="M366" s="21"/>
      <c r="N366" s="21"/>
      <c r="O366" s="21"/>
      <c r="P366" s="21"/>
      <c r="Q366" s="21"/>
      <c r="R366" s="21"/>
      <c r="S366" s="21"/>
      <c r="T366" s="21"/>
      <c r="U366" s="21"/>
      <c r="V366" s="21"/>
      <c r="W366" s="21"/>
      <c r="X366" s="21"/>
      <c r="Y366" s="21"/>
      <c r="Z366" s="21"/>
    </row>
    <row r="367" spans="1:26" ht="15.75" customHeight="1" x14ac:dyDescent="0.25">
      <c r="A367" s="11"/>
      <c r="B367" s="22">
        <v>45723</v>
      </c>
      <c r="C367" s="11">
        <v>1157</v>
      </c>
      <c r="D367" s="11" t="s">
        <v>63</v>
      </c>
      <c r="E367" s="11" t="s">
        <v>2739</v>
      </c>
      <c r="F367" s="11"/>
      <c r="G367" s="190" t="s">
        <v>2741</v>
      </c>
      <c r="H367" s="11" t="s">
        <v>2292</v>
      </c>
      <c r="I367" s="25">
        <v>1</v>
      </c>
      <c r="J367" s="21"/>
      <c r="K367" s="21"/>
      <c r="L367" s="21"/>
      <c r="M367" s="21"/>
      <c r="N367" s="21"/>
      <c r="O367" s="21"/>
      <c r="P367" s="21"/>
      <c r="Q367" s="21"/>
      <c r="R367" s="21"/>
      <c r="S367" s="21"/>
      <c r="T367" s="21"/>
      <c r="U367" s="21"/>
      <c r="V367" s="21"/>
      <c r="W367" s="21"/>
      <c r="X367" s="21"/>
      <c r="Y367" s="21"/>
      <c r="Z367" s="21"/>
    </row>
    <row r="368" spans="1:26" ht="15.75" customHeight="1" x14ac:dyDescent="0.25">
      <c r="A368" s="11"/>
      <c r="B368" s="22">
        <v>45723</v>
      </c>
      <c r="C368" s="11">
        <v>1158</v>
      </c>
      <c r="D368" s="11" t="s">
        <v>66</v>
      </c>
      <c r="E368" s="11" t="s">
        <v>2740</v>
      </c>
      <c r="F368" s="11"/>
      <c r="G368" s="190" t="s">
        <v>2746</v>
      </c>
      <c r="H368" s="11" t="s">
        <v>2292</v>
      </c>
      <c r="I368" s="25">
        <v>1</v>
      </c>
      <c r="J368" s="21"/>
      <c r="K368" s="21"/>
      <c r="L368" s="21"/>
      <c r="M368" s="21"/>
      <c r="N368" s="21"/>
      <c r="O368" s="21"/>
      <c r="P368" s="21"/>
      <c r="Q368" s="21"/>
      <c r="R368" s="21"/>
      <c r="S368" s="21"/>
      <c r="T368" s="21"/>
      <c r="U368" s="21"/>
      <c r="V368" s="21"/>
      <c r="W368" s="21"/>
      <c r="X368" s="21"/>
      <c r="Y368" s="21"/>
      <c r="Z368" s="21"/>
    </row>
    <row r="369" spans="1:26" ht="15.75" customHeight="1" x14ac:dyDescent="0.25">
      <c r="A369" s="11"/>
      <c r="B369" s="22">
        <v>45723</v>
      </c>
      <c r="C369" s="11">
        <v>1159</v>
      </c>
      <c r="D369" s="11" t="s">
        <v>66</v>
      </c>
      <c r="E369" s="11" t="s">
        <v>2742</v>
      </c>
      <c r="F369" s="11"/>
      <c r="G369" s="190" t="s">
        <v>2743</v>
      </c>
      <c r="H369" s="11" t="s">
        <v>2292</v>
      </c>
      <c r="I369" s="25">
        <v>1</v>
      </c>
      <c r="J369" s="21"/>
      <c r="K369" s="21"/>
      <c r="L369" s="21"/>
      <c r="M369" s="21"/>
      <c r="N369" s="21"/>
      <c r="O369" s="21"/>
      <c r="P369" s="21"/>
      <c r="Q369" s="21"/>
      <c r="R369" s="21"/>
      <c r="S369" s="21"/>
      <c r="T369" s="21"/>
      <c r="U369" s="21"/>
      <c r="V369" s="21"/>
      <c r="W369" s="21"/>
      <c r="X369" s="21"/>
      <c r="Y369" s="21"/>
      <c r="Z369" s="21"/>
    </row>
    <row r="370" spans="1:26" ht="15.75" customHeight="1" x14ac:dyDescent="0.25">
      <c r="A370" s="11"/>
      <c r="B370" s="22">
        <v>45723</v>
      </c>
      <c r="C370" s="11">
        <v>1160</v>
      </c>
      <c r="D370" s="11" t="s">
        <v>66</v>
      </c>
      <c r="E370" s="11" t="s">
        <v>2744</v>
      </c>
      <c r="F370" s="11"/>
      <c r="G370" s="190" t="s">
        <v>2745</v>
      </c>
      <c r="H370" s="11" t="s">
        <v>2292</v>
      </c>
      <c r="I370" s="25">
        <v>1</v>
      </c>
      <c r="J370" s="21"/>
      <c r="K370" s="21"/>
      <c r="L370" s="21"/>
      <c r="M370" s="21"/>
      <c r="N370" s="21"/>
      <c r="O370" s="21"/>
      <c r="P370" s="21"/>
      <c r="Q370" s="21"/>
      <c r="R370" s="21"/>
      <c r="S370" s="21"/>
      <c r="T370" s="21"/>
      <c r="U370" s="21"/>
      <c r="V370" s="21"/>
      <c r="W370" s="21"/>
      <c r="X370" s="21"/>
      <c r="Y370" s="21"/>
      <c r="Z370" s="21"/>
    </row>
    <row r="371" spans="1:26" ht="15.75" customHeight="1" x14ac:dyDescent="0.25">
      <c r="A371" s="11"/>
      <c r="B371" s="22">
        <v>45723</v>
      </c>
      <c r="C371" s="11">
        <v>1161</v>
      </c>
      <c r="D371" s="11" t="s">
        <v>41</v>
      </c>
      <c r="E371" s="11">
        <v>25900314</v>
      </c>
      <c r="F371" s="11"/>
      <c r="G371" s="190" t="s">
        <v>2748</v>
      </c>
      <c r="H371" s="11" t="s">
        <v>2292</v>
      </c>
      <c r="I371" s="25" t="s">
        <v>2747</v>
      </c>
      <c r="J371" s="21"/>
      <c r="K371" s="21"/>
      <c r="L371" s="21"/>
      <c r="M371" s="21"/>
      <c r="N371" s="21"/>
      <c r="O371" s="21"/>
      <c r="P371" s="21"/>
      <c r="Q371" s="21"/>
      <c r="R371" s="21"/>
      <c r="S371" s="21"/>
      <c r="T371" s="21"/>
      <c r="U371" s="21"/>
      <c r="V371" s="21"/>
      <c r="W371" s="21"/>
      <c r="X371" s="21"/>
      <c r="Y371" s="21"/>
      <c r="Z371" s="21"/>
    </row>
    <row r="372" spans="1:26" ht="15.75" customHeight="1" x14ac:dyDescent="0.25">
      <c r="A372" s="11"/>
      <c r="B372" s="22">
        <v>45723</v>
      </c>
      <c r="C372" s="11">
        <v>1161</v>
      </c>
      <c r="D372" s="11" t="s">
        <v>41</v>
      </c>
      <c r="E372" s="11">
        <v>25900314</v>
      </c>
      <c r="F372" s="11"/>
      <c r="G372" s="190" t="s">
        <v>2755</v>
      </c>
      <c r="H372" s="11" t="s">
        <v>2306</v>
      </c>
      <c r="I372" s="25">
        <v>7</v>
      </c>
      <c r="J372" s="21"/>
      <c r="K372" s="21"/>
      <c r="L372" s="21"/>
      <c r="M372" s="21"/>
      <c r="N372" s="21"/>
      <c r="O372" s="21"/>
      <c r="P372" s="21"/>
      <c r="Q372" s="21"/>
      <c r="R372" s="21"/>
      <c r="S372" s="21"/>
      <c r="T372" s="21"/>
      <c r="U372" s="21"/>
      <c r="V372" s="21"/>
      <c r="W372" s="21"/>
      <c r="X372" s="21"/>
      <c r="Y372" s="21"/>
      <c r="Z372" s="21"/>
    </row>
    <row r="373" spans="1:26" ht="15.75" customHeight="1" x14ac:dyDescent="0.25">
      <c r="A373" s="11"/>
      <c r="B373" s="22">
        <v>45727</v>
      </c>
      <c r="C373" s="11">
        <v>1161</v>
      </c>
      <c r="D373" s="11" t="s">
        <v>41</v>
      </c>
      <c r="E373" s="11">
        <v>25900314</v>
      </c>
      <c r="F373" s="11"/>
      <c r="G373" s="190" t="s">
        <v>2755</v>
      </c>
      <c r="H373" s="11" t="s">
        <v>2306</v>
      </c>
      <c r="I373" s="25">
        <v>7</v>
      </c>
      <c r="J373" s="21"/>
      <c r="K373" s="21"/>
      <c r="L373" s="21"/>
      <c r="M373" s="21"/>
      <c r="N373" s="21"/>
      <c r="O373" s="21"/>
      <c r="P373" s="21"/>
      <c r="Q373" s="21"/>
      <c r="R373" s="21"/>
      <c r="S373" s="21"/>
      <c r="T373" s="21"/>
      <c r="U373" s="21"/>
      <c r="V373" s="21"/>
      <c r="W373" s="21"/>
      <c r="X373" s="21"/>
      <c r="Y373" s="21"/>
      <c r="Z373" s="21"/>
    </row>
    <row r="374" spans="1:26" ht="15.75" customHeight="1" x14ac:dyDescent="0.25">
      <c r="A374" s="11"/>
      <c r="B374" s="22">
        <v>45726</v>
      </c>
      <c r="C374" s="11">
        <v>1162</v>
      </c>
      <c r="D374" s="11" t="s">
        <v>63</v>
      </c>
      <c r="E374" s="11" t="s">
        <v>2749</v>
      </c>
      <c r="F374" s="11"/>
      <c r="G374" s="190" t="s">
        <v>2750</v>
      </c>
      <c r="H374" s="11" t="s">
        <v>2292</v>
      </c>
      <c r="I374" s="25">
        <v>1</v>
      </c>
      <c r="J374" s="21"/>
      <c r="K374" s="21"/>
      <c r="L374" s="21"/>
      <c r="M374" s="21"/>
      <c r="N374" s="21"/>
      <c r="O374" s="21"/>
      <c r="P374" s="21"/>
      <c r="Q374" s="21"/>
      <c r="R374" s="21"/>
      <c r="S374" s="21"/>
      <c r="T374" s="21"/>
      <c r="U374" s="21"/>
      <c r="V374" s="21"/>
      <c r="W374" s="21"/>
      <c r="X374" s="21"/>
      <c r="Y374" s="21"/>
      <c r="Z374" s="21"/>
    </row>
    <row r="375" spans="1:26" ht="15.75" customHeight="1" x14ac:dyDescent="0.25">
      <c r="A375" s="11"/>
      <c r="B375" s="22">
        <v>45726</v>
      </c>
      <c r="C375" s="11">
        <v>1163</v>
      </c>
      <c r="D375" s="11" t="s">
        <v>2298</v>
      </c>
      <c r="E375" s="11" t="s">
        <v>2751</v>
      </c>
      <c r="F375" s="11"/>
      <c r="G375" s="190" t="s">
        <v>2752</v>
      </c>
      <c r="H375" s="11" t="s">
        <v>2292</v>
      </c>
      <c r="I375" s="25">
        <v>1</v>
      </c>
      <c r="J375" s="21"/>
      <c r="K375" s="21"/>
      <c r="L375" s="21"/>
      <c r="M375" s="21"/>
      <c r="N375" s="21"/>
      <c r="O375" s="21"/>
      <c r="P375" s="21"/>
      <c r="Q375" s="21"/>
      <c r="R375" s="21"/>
      <c r="S375" s="21"/>
      <c r="T375" s="21"/>
      <c r="U375" s="21"/>
      <c r="V375" s="21"/>
      <c r="W375" s="21"/>
      <c r="X375" s="21"/>
      <c r="Y375" s="21"/>
      <c r="Z375" s="21"/>
    </row>
    <row r="376" spans="1:26" ht="15.75" customHeight="1" x14ac:dyDescent="0.25">
      <c r="A376" s="11"/>
      <c r="B376" s="22">
        <v>45727</v>
      </c>
      <c r="C376" s="11">
        <v>1164</v>
      </c>
      <c r="D376" s="11" t="s">
        <v>41</v>
      </c>
      <c r="E376" s="11">
        <v>25900180</v>
      </c>
      <c r="F376" s="11"/>
      <c r="G376" s="190" t="s">
        <v>2754</v>
      </c>
      <c r="H376" s="11" t="s">
        <v>2306</v>
      </c>
      <c r="I376" s="25" t="s">
        <v>2753</v>
      </c>
      <c r="J376" s="21"/>
      <c r="K376" s="21"/>
      <c r="L376" s="21"/>
      <c r="M376" s="21"/>
      <c r="N376" s="21"/>
      <c r="O376" s="21"/>
      <c r="P376" s="21"/>
      <c r="Q376" s="21"/>
      <c r="R376" s="21"/>
      <c r="S376" s="21"/>
      <c r="T376" s="21"/>
      <c r="U376" s="21"/>
      <c r="V376" s="21"/>
      <c r="W376" s="21"/>
      <c r="X376" s="21"/>
      <c r="Y376" s="21"/>
      <c r="Z376" s="21"/>
    </row>
    <row r="377" spans="1:26" ht="15.75" customHeight="1" x14ac:dyDescent="0.25">
      <c r="A377" s="11"/>
      <c r="B377" s="22">
        <v>45727</v>
      </c>
      <c r="C377" s="11">
        <v>1165</v>
      </c>
      <c r="D377" s="11" t="s">
        <v>41</v>
      </c>
      <c r="E377" s="11">
        <v>25900363</v>
      </c>
      <c r="F377" s="11"/>
      <c r="G377" s="190" t="s">
        <v>2756</v>
      </c>
      <c r="H377" s="11" t="s">
        <v>2306</v>
      </c>
      <c r="I377" s="25">
        <v>7</v>
      </c>
      <c r="J377" s="21"/>
      <c r="K377" s="21"/>
      <c r="L377" s="21"/>
      <c r="M377" s="21"/>
      <c r="N377" s="21"/>
      <c r="O377" s="21"/>
      <c r="P377" s="21"/>
      <c r="Q377" s="21"/>
      <c r="R377" s="21"/>
      <c r="S377" s="21"/>
      <c r="T377" s="21"/>
      <c r="U377" s="21"/>
      <c r="V377" s="21"/>
      <c r="W377" s="21"/>
      <c r="X377" s="21"/>
      <c r="Y377" s="21"/>
      <c r="Z377" s="21"/>
    </row>
    <row r="378" spans="1:26" ht="15.75" customHeight="1" x14ac:dyDescent="0.25">
      <c r="A378" s="11"/>
      <c r="B378" s="22">
        <v>45727</v>
      </c>
      <c r="C378" s="11">
        <v>1166</v>
      </c>
      <c r="D378" s="11" t="s">
        <v>41</v>
      </c>
      <c r="E378" s="11">
        <v>25900362</v>
      </c>
      <c r="F378" s="11"/>
      <c r="G378" s="190" t="s">
        <v>2757</v>
      </c>
      <c r="H378" s="11" t="s">
        <v>2306</v>
      </c>
      <c r="I378" s="25">
        <v>7</v>
      </c>
      <c r="J378" s="21"/>
      <c r="K378" s="21"/>
      <c r="L378" s="21"/>
      <c r="M378" s="21"/>
      <c r="N378" s="21"/>
      <c r="O378" s="21"/>
      <c r="P378" s="21"/>
      <c r="Q378" s="21"/>
      <c r="R378" s="21"/>
      <c r="S378" s="21"/>
      <c r="T378" s="21"/>
      <c r="U378" s="21"/>
      <c r="V378" s="21"/>
      <c r="W378" s="21"/>
      <c r="X378" s="21"/>
      <c r="Y378" s="21"/>
      <c r="Z378" s="21"/>
    </row>
    <row r="379" spans="1:26" ht="15.75" customHeight="1" x14ac:dyDescent="0.25">
      <c r="A379" s="11"/>
      <c r="B379" s="22">
        <v>45727</v>
      </c>
      <c r="C379" s="11">
        <v>1167</v>
      </c>
      <c r="D379" s="11" t="s">
        <v>41</v>
      </c>
      <c r="E379" s="11">
        <v>25900258</v>
      </c>
      <c r="F379" s="11"/>
      <c r="G379" s="190" t="s">
        <v>2759</v>
      </c>
      <c r="H379" s="11" t="s">
        <v>2519</v>
      </c>
      <c r="I379" s="25" t="s">
        <v>2758</v>
      </c>
      <c r="J379" s="21"/>
      <c r="K379" s="21"/>
      <c r="L379" s="21"/>
      <c r="M379" s="21"/>
      <c r="N379" s="21"/>
      <c r="O379" s="21"/>
      <c r="P379" s="21"/>
      <c r="Q379" s="21"/>
      <c r="R379" s="21"/>
      <c r="S379" s="21"/>
      <c r="T379" s="21"/>
      <c r="U379" s="21"/>
      <c r="V379" s="21"/>
      <c r="W379" s="21"/>
      <c r="X379" s="21"/>
      <c r="Y379" s="21"/>
      <c r="Z379" s="21"/>
    </row>
    <row r="380" spans="1:26" ht="15.75" customHeight="1" x14ac:dyDescent="0.25">
      <c r="A380" s="11"/>
      <c r="B380" s="22">
        <v>45727</v>
      </c>
      <c r="C380" s="11">
        <v>1168</v>
      </c>
      <c r="D380" s="11" t="s">
        <v>41</v>
      </c>
      <c r="E380" s="11">
        <v>25900291</v>
      </c>
      <c r="F380" s="11"/>
      <c r="G380" s="190" t="s">
        <v>2772</v>
      </c>
      <c r="H380" s="11" t="s">
        <v>2306</v>
      </c>
      <c r="I380" s="25">
        <v>7</v>
      </c>
      <c r="J380" s="21"/>
      <c r="K380" s="21"/>
      <c r="L380" s="21"/>
      <c r="M380" s="21"/>
      <c r="N380" s="21"/>
      <c r="O380" s="21"/>
      <c r="P380" s="21"/>
      <c r="Q380" s="21"/>
      <c r="R380" s="21"/>
      <c r="S380" s="21"/>
      <c r="T380" s="21"/>
      <c r="U380" s="21"/>
      <c r="V380" s="21"/>
      <c r="W380" s="21"/>
      <c r="X380" s="21"/>
      <c r="Y380" s="21"/>
      <c r="Z380" s="21"/>
    </row>
    <row r="381" spans="1:26" ht="15.75" customHeight="1" x14ac:dyDescent="0.25">
      <c r="A381" s="11"/>
      <c r="B381" s="22">
        <v>45727</v>
      </c>
      <c r="C381" s="11">
        <v>1169</v>
      </c>
      <c r="D381" s="11" t="s">
        <v>41</v>
      </c>
      <c r="E381" s="11">
        <v>25900262</v>
      </c>
      <c r="F381" s="11"/>
      <c r="G381" s="190" t="s">
        <v>2762</v>
      </c>
      <c r="H381" s="11" t="s">
        <v>2761</v>
      </c>
      <c r="I381" s="25" t="s">
        <v>2760</v>
      </c>
      <c r="J381" s="21"/>
      <c r="K381" s="21"/>
      <c r="L381" s="21"/>
      <c r="M381" s="21"/>
      <c r="N381" s="21"/>
      <c r="O381" s="21"/>
      <c r="P381" s="21"/>
      <c r="Q381" s="21"/>
      <c r="R381" s="21"/>
      <c r="S381" s="21"/>
      <c r="T381" s="21"/>
      <c r="U381" s="21"/>
      <c r="V381" s="21"/>
      <c r="W381" s="21"/>
      <c r="X381" s="21"/>
      <c r="Y381" s="21"/>
      <c r="Z381" s="21"/>
    </row>
    <row r="382" spans="1:26" ht="15.75" customHeight="1" x14ac:dyDescent="0.25">
      <c r="A382" s="11"/>
      <c r="B382" s="22">
        <v>45727</v>
      </c>
      <c r="C382" s="11">
        <v>1170</v>
      </c>
      <c r="D382" s="11" t="s">
        <v>44</v>
      </c>
      <c r="E382" s="11">
        <v>4714045191</v>
      </c>
      <c r="F382" s="11"/>
      <c r="G382" s="190" t="s">
        <v>2765</v>
      </c>
      <c r="H382" s="11" t="s">
        <v>2764</v>
      </c>
      <c r="I382" s="25" t="s">
        <v>2763</v>
      </c>
      <c r="J382" s="21"/>
      <c r="K382" s="21"/>
      <c r="L382" s="21"/>
      <c r="M382" s="21"/>
      <c r="N382" s="21"/>
      <c r="O382" s="21"/>
      <c r="P382" s="21"/>
      <c r="Q382" s="21"/>
      <c r="R382" s="21"/>
      <c r="S382" s="21"/>
      <c r="T382" s="21"/>
      <c r="U382" s="21"/>
      <c r="V382" s="21"/>
      <c r="W382" s="21"/>
      <c r="X382" s="21"/>
      <c r="Y382" s="21"/>
      <c r="Z382" s="21"/>
    </row>
    <row r="383" spans="1:26" ht="15.75" customHeight="1" x14ac:dyDescent="0.25">
      <c r="A383" s="11"/>
      <c r="B383" s="22">
        <v>45727</v>
      </c>
      <c r="C383" s="11">
        <v>1171</v>
      </c>
      <c r="D383" s="11" t="s">
        <v>2766</v>
      </c>
      <c r="E383" s="11">
        <v>4717048338</v>
      </c>
      <c r="F383" s="11"/>
      <c r="G383" s="190" t="s">
        <v>2769</v>
      </c>
      <c r="H383" s="11" t="s">
        <v>2292</v>
      </c>
      <c r="I383" s="25">
        <v>1</v>
      </c>
      <c r="J383" s="21"/>
      <c r="K383" s="21"/>
      <c r="L383" s="21"/>
      <c r="M383" s="21"/>
      <c r="N383" s="21"/>
      <c r="O383" s="21"/>
      <c r="P383" s="21"/>
      <c r="Q383" s="21"/>
      <c r="R383" s="21"/>
      <c r="S383" s="21"/>
      <c r="T383" s="21"/>
      <c r="U383" s="21"/>
      <c r="V383" s="21"/>
      <c r="W383" s="21"/>
      <c r="X383" s="21"/>
      <c r="Y383" s="21"/>
      <c r="Z383" s="21"/>
    </row>
    <row r="384" spans="1:26" ht="15.75" customHeight="1" x14ac:dyDescent="0.25">
      <c r="A384" s="11"/>
      <c r="B384" s="22">
        <v>45727</v>
      </c>
      <c r="C384" s="11">
        <v>1172</v>
      </c>
      <c r="D384" s="11" t="s">
        <v>4</v>
      </c>
      <c r="E384" s="11" t="s">
        <v>2770</v>
      </c>
      <c r="F384" s="11"/>
      <c r="G384" s="190" t="s">
        <v>2771</v>
      </c>
      <c r="H384" s="11"/>
      <c r="I384" s="25">
        <v>7</v>
      </c>
      <c r="J384" s="21"/>
      <c r="K384" s="21"/>
      <c r="L384" s="21"/>
      <c r="M384" s="21"/>
      <c r="N384" s="21"/>
      <c r="O384" s="21"/>
      <c r="P384" s="21"/>
      <c r="Q384" s="21"/>
      <c r="R384" s="21"/>
      <c r="S384" s="21"/>
      <c r="T384" s="21"/>
      <c r="U384" s="21"/>
      <c r="V384" s="21"/>
      <c r="W384" s="21"/>
      <c r="X384" s="21"/>
      <c r="Y384" s="21"/>
      <c r="Z384" s="21"/>
    </row>
    <row r="385" spans="1:26" ht="15.75" customHeight="1" x14ac:dyDescent="0.25">
      <c r="A385" s="11"/>
      <c r="B385" s="22">
        <v>45728</v>
      </c>
      <c r="C385" s="11">
        <v>1173</v>
      </c>
      <c r="D385" s="11" t="s">
        <v>41</v>
      </c>
      <c r="E385" s="11">
        <v>25900259</v>
      </c>
      <c r="F385" s="11"/>
      <c r="G385" s="190" t="s">
        <v>2773</v>
      </c>
      <c r="H385" s="11"/>
      <c r="I385" s="25">
        <v>7</v>
      </c>
      <c r="J385" s="21"/>
      <c r="K385" s="21"/>
      <c r="L385" s="21"/>
      <c r="M385" s="21"/>
      <c r="N385" s="21"/>
      <c r="O385" s="21"/>
      <c r="P385" s="21"/>
      <c r="Q385" s="21"/>
      <c r="R385" s="21"/>
      <c r="S385" s="21"/>
      <c r="T385" s="21"/>
      <c r="U385" s="21"/>
      <c r="V385" s="21"/>
      <c r="W385" s="21"/>
      <c r="X385" s="21"/>
      <c r="Y385" s="21"/>
      <c r="Z385" s="21"/>
    </row>
    <row r="386" spans="1:26" ht="15.75" customHeight="1" x14ac:dyDescent="0.25">
      <c r="A386" s="11"/>
      <c r="B386" s="22">
        <v>45728</v>
      </c>
      <c r="C386" s="11">
        <v>1174</v>
      </c>
      <c r="D386" s="11" t="s">
        <v>2298</v>
      </c>
      <c r="E386" s="11" t="s">
        <v>2704</v>
      </c>
      <c r="F386" s="11"/>
      <c r="G386" s="190" t="s">
        <v>2775</v>
      </c>
      <c r="H386" s="11" t="s">
        <v>2292</v>
      </c>
      <c r="I386" s="25" t="s">
        <v>2774</v>
      </c>
      <c r="J386" s="21"/>
      <c r="K386" s="21"/>
      <c r="L386" s="21"/>
      <c r="M386" s="21"/>
      <c r="N386" s="21"/>
      <c r="O386" s="21"/>
      <c r="P386" s="21"/>
      <c r="Q386" s="21"/>
      <c r="R386" s="21"/>
      <c r="S386" s="21"/>
      <c r="T386" s="21"/>
      <c r="U386" s="21"/>
      <c r="V386" s="21"/>
      <c r="W386" s="21"/>
      <c r="X386" s="21"/>
      <c r="Y386" s="21"/>
      <c r="Z386" s="21"/>
    </row>
    <row r="387" spans="1:26" ht="15.75" customHeight="1" x14ac:dyDescent="0.25">
      <c r="A387" s="11"/>
      <c r="B387" s="22">
        <v>45729</v>
      </c>
      <c r="C387" s="11">
        <v>1175</v>
      </c>
      <c r="D387" s="11" t="s">
        <v>44</v>
      </c>
      <c r="E387" s="11">
        <v>4714045191</v>
      </c>
      <c r="F387" s="11"/>
      <c r="G387" s="190" t="s">
        <v>2778</v>
      </c>
      <c r="H387" s="11" t="s">
        <v>2777</v>
      </c>
      <c r="I387" s="25" t="s">
        <v>2776</v>
      </c>
      <c r="J387" s="21"/>
      <c r="K387" s="21"/>
      <c r="L387" s="21"/>
      <c r="M387" s="21"/>
      <c r="N387" s="21"/>
      <c r="O387" s="21"/>
      <c r="P387" s="21"/>
      <c r="Q387" s="21"/>
      <c r="R387" s="21"/>
      <c r="S387" s="21"/>
      <c r="T387" s="21"/>
      <c r="U387" s="21"/>
      <c r="V387" s="21"/>
      <c r="W387" s="21"/>
      <c r="X387" s="21"/>
      <c r="Y387" s="21"/>
      <c r="Z387" s="21"/>
    </row>
    <row r="388" spans="1:26" ht="15.75" customHeight="1" x14ac:dyDescent="0.25">
      <c r="A388" s="11"/>
      <c r="B388" s="22">
        <v>45729</v>
      </c>
      <c r="C388" s="11">
        <v>1176</v>
      </c>
      <c r="D388" s="11" t="s">
        <v>66</v>
      </c>
      <c r="E388" s="11" t="s">
        <v>2779</v>
      </c>
      <c r="F388" s="11"/>
      <c r="G388" s="190" t="s">
        <v>2780</v>
      </c>
      <c r="H388" s="11" t="s">
        <v>2292</v>
      </c>
      <c r="I388" s="25">
        <v>1</v>
      </c>
      <c r="J388" s="21"/>
      <c r="K388" s="21"/>
      <c r="L388" s="21"/>
      <c r="M388" s="21"/>
      <c r="N388" s="21"/>
      <c r="O388" s="21"/>
      <c r="P388" s="21"/>
      <c r="Q388" s="21"/>
      <c r="R388" s="21"/>
      <c r="S388" s="21"/>
      <c r="T388" s="21"/>
      <c r="U388" s="21"/>
      <c r="V388" s="21"/>
      <c r="W388" s="21"/>
      <c r="X388" s="21"/>
      <c r="Y388" s="21"/>
      <c r="Z388" s="21"/>
    </row>
    <row r="389" spans="1:26" ht="15.75" customHeight="1" x14ac:dyDescent="0.25">
      <c r="A389" s="11"/>
      <c r="B389" s="22">
        <v>45731</v>
      </c>
      <c r="C389" s="11">
        <v>1177</v>
      </c>
      <c r="D389" s="11" t="s">
        <v>41</v>
      </c>
      <c r="E389" s="11">
        <v>25900262</v>
      </c>
      <c r="F389" s="11"/>
      <c r="G389" s="190" t="s">
        <v>2783</v>
      </c>
      <c r="H389" s="11" t="s">
        <v>2782</v>
      </c>
      <c r="I389" s="25" t="s">
        <v>2781</v>
      </c>
      <c r="J389" s="21"/>
      <c r="K389" s="21"/>
      <c r="L389" s="21"/>
      <c r="M389" s="21"/>
      <c r="N389" s="21"/>
      <c r="O389" s="21"/>
      <c r="P389" s="21"/>
      <c r="Q389" s="21"/>
      <c r="R389" s="21"/>
      <c r="S389" s="21"/>
      <c r="T389" s="21"/>
      <c r="U389" s="21"/>
      <c r="V389" s="21"/>
      <c r="W389" s="21"/>
      <c r="X389" s="21"/>
      <c r="Y389" s="21"/>
      <c r="Z389" s="21"/>
    </row>
    <row r="390" spans="1:26" ht="15.75" customHeight="1" x14ac:dyDescent="0.25">
      <c r="A390" s="11"/>
      <c r="B390" s="22">
        <v>45731</v>
      </c>
      <c r="C390" s="11">
        <v>1178</v>
      </c>
      <c r="D390" s="11" t="s">
        <v>41</v>
      </c>
      <c r="E390" s="11">
        <v>25900180</v>
      </c>
      <c r="F390" s="11"/>
      <c r="G390" s="190" t="s">
        <v>2786</v>
      </c>
      <c r="H390" s="11" t="s">
        <v>2785</v>
      </c>
      <c r="I390" s="25" t="s">
        <v>2784</v>
      </c>
      <c r="J390" s="21"/>
      <c r="K390" s="21"/>
      <c r="L390" s="21"/>
      <c r="M390" s="21"/>
      <c r="N390" s="21"/>
      <c r="O390" s="21"/>
      <c r="P390" s="21"/>
      <c r="Q390" s="21"/>
      <c r="R390" s="21"/>
      <c r="S390" s="21"/>
      <c r="T390" s="21"/>
      <c r="U390" s="21"/>
      <c r="V390" s="21"/>
      <c r="W390" s="21"/>
      <c r="X390" s="21"/>
      <c r="Y390" s="21"/>
      <c r="Z390" s="21"/>
    </row>
    <row r="391" spans="1:26" ht="15.75" customHeight="1" x14ac:dyDescent="0.25">
      <c r="A391" s="11"/>
      <c r="B391" s="22">
        <v>45735</v>
      </c>
      <c r="C391" s="11">
        <v>1178</v>
      </c>
      <c r="D391" s="11" t="s">
        <v>41</v>
      </c>
      <c r="E391" s="11">
        <v>25900180</v>
      </c>
      <c r="F391" s="11"/>
      <c r="G391" s="190" t="s">
        <v>2786</v>
      </c>
      <c r="H391" s="11" t="s">
        <v>2785</v>
      </c>
      <c r="I391" s="25" t="s">
        <v>2784</v>
      </c>
      <c r="J391" s="21"/>
      <c r="K391" s="21"/>
      <c r="L391" s="21"/>
      <c r="M391" s="21"/>
      <c r="N391" s="21"/>
      <c r="O391" s="21"/>
      <c r="P391" s="21"/>
      <c r="Q391" s="21"/>
      <c r="R391" s="21"/>
      <c r="S391" s="21"/>
      <c r="T391" s="21"/>
      <c r="U391" s="21"/>
      <c r="V391" s="21"/>
      <c r="W391" s="21"/>
      <c r="X391" s="21"/>
      <c r="Y391" s="21"/>
      <c r="Z391" s="21"/>
    </row>
    <row r="392" spans="1:26" ht="15.75" customHeight="1" x14ac:dyDescent="0.25">
      <c r="A392" s="11"/>
      <c r="B392" s="22">
        <v>45735</v>
      </c>
      <c r="C392" s="11">
        <v>1179</v>
      </c>
      <c r="D392" s="11" t="s">
        <v>41</v>
      </c>
      <c r="E392" s="11">
        <v>25900405</v>
      </c>
      <c r="F392" s="11"/>
      <c r="G392" s="190" t="s">
        <v>2787</v>
      </c>
      <c r="H392" s="11" t="s">
        <v>2306</v>
      </c>
      <c r="I392" s="25">
        <v>7</v>
      </c>
      <c r="J392" s="21"/>
      <c r="K392" s="21"/>
      <c r="L392" s="21"/>
      <c r="M392" s="21"/>
      <c r="N392" s="21"/>
      <c r="O392" s="21"/>
      <c r="P392" s="21"/>
      <c r="Q392" s="21"/>
      <c r="R392" s="21"/>
      <c r="S392" s="21"/>
      <c r="T392" s="21"/>
      <c r="U392" s="21"/>
      <c r="V392" s="21"/>
      <c r="W392" s="21"/>
      <c r="X392" s="21"/>
      <c r="Y392" s="21"/>
      <c r="Z392" s="21"/>
    </row>
    <row r="393" spans="1:26" ht="15.75" customHeight="1" x14ac:dyDescent="0.25">
      <c r="A393" s="11"/>
      <c r="B393" s="22">
        <v>45735</v>
      </c>
      <c r="C393" s="11">
        <v>1180</v>
      </c>
      <c r="D393" s="11" t="s">
        <v>41</v>
      </c>
      <c r="E393" s="11">
        <v>25900406</v>
      </c>
      <c r="F393" s="11"/>
      <c r="G393" s="190" t="s">
        <v>2788</v>
      </c>
      <c r="H393" s="11" t="s">
        <v>2306</v>
      </c>
      <c r="I393" s="25">
        <v>7</v>
      </c>
      <c r="J393" s="21"/>
      <c r="K393" s="21"/>
      <c r="L393" s="21"/>
      <c r="M393" s="21"/>
      <c r="N393" s="21"/>
      <c r="O393" s="21"/>
      <c r="P393" s="21"/>
      <c r="Q393" s="21"/>
      <c r="R393" s="21"/>
      <c r="S393" s="21"/>
      <c r="T393" s="21"/>
      <c r="U393" s="21"/>
      <c r="V393" s="21"/>
      <c r="W393" s="21"/>
      <c r="X393" s="21"/>
      <c r="Y393" s="21"/>
      <c r="Z393" s="21"/>
    </row>
    <row r="394" spans="1:26" ht="15.75" customHeight="1" x14ac:dyDescent="0.25">
      <c r="A394" s="11"/>
      <c r="B394" s="22">
        <v>45735</v>
      </c>
      <c r="C394" s="11">
        <v>1181</v>
      </c>
      <c r="D394" s="11" t="s">
        <v>41</v>
      </c>
      <c r="E394" s="11">
        <v>25900409</v>
      </c>
      <c r="F394" s="11"/>
      <c r="G394" s="190" t="s">
        <v>2789</v>
      </c>
      <c r="H394" s="11" t="s">
        <v>2306</v>
      </c>
      <c r="I394" s="25">
        <v>7</v>
      </c>
      <c r="J394" s="21"/>
      <c r="K394" s="21"/>
      <c r="L394" s="21"/>
      <c r="M394" s="21"/>
      <c r="N394" s="21"/>
      <c r="O394" s="21"/>
      <c r="P394" s="21"/>
      <c r="Q394" s="21"/>
      <c r="R394" s="21"/>
      <c r="S394" s="21"/>
      <c r="T394" s="21"/>
      <c r="U394" s="21"/>
      <c r="V394" s="21"/>
      <c r="W394" s="21"/>
      <c r="X394" s="21"/>
      <c r="Y394" s="21"/>
      <c r="Z394" s="21"/>
    </row>
    <row r="395" spans="1:26" ht="15.75" customHeight="1" x14ac:dyDescent="0.25">
      <c r="A395" s="11"/>
      <c r="B395" s="22">
        <v>45735</v>
      </c>
      <c r="C395" s="11">
        <v>1182</v>
      </c>
      <c r="D395" s="11" t="s">
        <v>41</v>
      </c>
      <c r="E395" s="11">
        <v>25900389</v>
      </c>
      <c r="F395" s="11"/>
      <c r="G395" s="190" t="s">
        <v>2791</v>
      </c>
      <c r="H395" s="11" t="s">
        <v>2519</v>
      </c>
      <c r="I395" s="25" t="s">
        <v>2790</v>
      </c>
      <c r="J395" s="21"/>
      <c r="K395" s="21"/>
      <c r="L395" s="21"/>
      <c r="M395" s="21"/>
      <c r="N395" s="21"/>
      <c r="O395" s="21"/>
      <c r="P395" s="21"/>
      <c r="Q395" s="21"/>
      <c r="R395" s="21"/>
      <c r="S395" s="21"/>
      <c r="T395" s="21"/>
      <c r="U395" s="21"/>
      <c r="V395" s="21"/>
      <c r="W395" s="21"/>
      <c r="X395" s="21"/>
      <c r="Y395" s="21"/>
      <c r="Z395" s="21"/>
    </row>
    <row r="396" spans="1:26" ht="15.75" customHeight="1" x14ac:dyDescent="0.25">
      <c r="A396" s="11"/>
      <c r="B396" s="22">
        <v>45735</v>
      </c>
      <c r="C396" s="11">
        <v>1183</v>
      </c>
      <c r="D396" s="11" t="s">
        <v>41</v>
      </c>
      <c r="E396" s="11" t="s">
        <v>53</v>
      </c>
      <c r="F396" s="11"/>
      <c r="G396" s="190" t="s">
        <v>2793</v>
      </c>
      <c r="H396" s="11" t="s">
        <v>2792</v>
      </c>
      <c r="I396" s="25" t="s">
        <v>2715</v>
      </c>
      <c r="J396" s="21"/>
      <c r="K396" s="21"/>
      <c r="L396" s="21"/>
      <c r="M396" s="21"/>
      <c r="N396" s="21"/>
      <c r="O396" s="21"/>
      <c r="P396" s="21"/>
      <c r="Q396" s="21"/>
      <c r="R396" s="21"/>
      <c r="S396" s="21"/>
      <c r="T396" s="21"/>
      <c r="U396" s="21"/>
      <c r="V396" s="21"/>
      <c r="W396" s="21"/>
      <c r="X396" s="21"/>
      <c r="Y396" s="21"/>
      <c r="Z396" s="21"/>
    </row>
    <row r="397" spans="1:26" ht="15.75" customHeight="1" x14ac:dyDescent="0.25">
      <c r="A397" s="11"/>
      <c r="B397" s="22">
        <v>45736</v>
      </c>
      <c r="C397" s="11">
        <v>1184</v>
      </c>
      <c r="D397" s="11" t="s">
        <v>41</v>
      </c>
      <c r="E397" s="11">
        <v>25900383</v>
      </c>
      <c r="F397" s="11"/>
      <c r="G397" s="190" t="s">
        <v>2794</v>
      </c>
      <c r="H397" s="11" t="s">
        <v>2306</v>
      </c>
      <c r="I397" s="25">
        <v>7</v>
      </c>
      <c r="J397" s="21"/>
      <c r="K397" s="21"/>
      <c r="L397" s="21"/>
      <c r="M397" s="21"/>
      <c r="N397" s="21"/>
      <c r="O397" s="21"/>
      <c r="P397" s="21"/>
      <c r="Q397" s="21"/>
      <c r="R397" s="21"/>
      <c r="S397" s="21"/>
      <c r="T397" s="21"/>
      <c r="U397" s="21"/>
      <c r="V397" s="21"/>
      <c r="W397" s="21"/>
      <c r="X397" s="21"/>
      <c r="Y397" s="21"/>
      <c r="Z397" s="21"/>
    </row>
    <row r="398" spans="1:26" ht="15.75" customHeight="1" x14ac:dyDescent="0.25">
      <c r="A398" s="11"/>
      <c r="B398" s="22">
        <v>45736</v>
      </c>
      <c r="C398" s="11">
        <v>1185</v>
      </c>
      <c r="D398" s="11" t="s">
        <v>41</v>
      </c>
      <c r="E398" s="11">
        <v>25900382</v>
      </c>
      <c r="F398" s="11"/>
      <c r="G398" s="190" t="s">
        <v>2795</v>
      </c>
      <c r="H398" s="11" t="s">
        <v>193</v>
      </c>
      <c r="I398" s="25" t="s">
        <v>2727</v>
      </c>
      <c r="J398" s="21"/>
      <c r="K398" s="21"/>
      <c r="L398" s="21"/>
      <c r="M398" s="21"/>
      <c r="N398" s="21"/>
      <c r="O398" s="21"/>
      <c r="P398" s="21"/>
      <c r="Q398" s="21"/>
      <c r="R398" s="21"/>
      <c r="S398" s="21"/>
      <c r="T398" s="21"/>
      <c r="U398" s="21"/>
      <c r="V398" s="21"/>
      <c r="W398" s="21"/>
      <c r="X398" s="21"/>
      <c r="Y398" s="21"/>
      <c r="Z398" s="21"/>
    </row>
    <row r="399" spans="1:26" ht="15.75" customHeight="1" x14ac:dyDescent="0.25">
      <c r="A399" s="11"/>
      <c r="B399" s="22">
        <v>45736</v>
      </c>
      <c r="C399" s="11">
        <v>1186</v>
      </c>
      <c r="D399" s="11" t="s">
        <v>41</v>
      </c>
      <c r="E399" s="11">
        <v>25900410</v>
      </c>
      <c r="F399" s="11"/>
      <c r="G399" s="190" t="s">
        <v>2796</v>
      </c>
      <c r="H399" s="11" t="s">
        <v>2306</v>
      </c>
      <c r="I399" s="25">
        <v>7</v>
      </c>
      <c r="J399" s="21"/>
      <c r="K399" s="21"/>
      <c r="L399" s="21"/>
      <c r="M399" s="21"/>
      <c r="N399" s="21"/>
      <c r="O399" s="21"/>
      <c r="P399" s="21"/>
      <c r="Q399" s="21"/>
      <c r="R399" s="21"/>
      <c r="S399" s="21"/>
      <c r="T399" s="21"/>
      <c r="U399" s="21"/>
      <c r="V399" s="21"/>
      <c r="W399" s="21"/>
      <c r="X399" s="21"/>
      <c r="Y399" s="21"/>
      <c r="Z399" s="21"/>
    </row>
    <row r="400" spans="1:26" ht="15.75" customHeight="1" x14ac:dyDescent="0.25">
      <c r="A400" s="11"/>
      <c r="B400" s="22">
        <v>45736</v>
      </c>
      <c r="C400" s="11">
        <v>1187</v>
      </c>
      <c r="D400" s="11" t="s">
        <v>66</v>
      </c>
      <c r="E400" s="11" t="s">
        <v>2797</v>
      </c>
      <c r="F400" s="11"/>
      <c r="G400" s="190" t="s">
        <v>2798</v>
      </c>
      <c r="H400" s="11" t="s">
        <v>2292</v>
      </c>
      <c r="I400" s="25">
        <v>1</v>
      </c>
      <c r="J400" s="21"/>
      <c r="K400" s="21"/>
      <c r="L400" s="21"/>
      <c r="M400" s="21"/>
      <c r="N400" s="21"/>
      <c r="O400" s="21"/>
      <c r="P400" s="21"/>
      <c r="Q400" s="21"/>
      <c r="R400" s="21"/>
      <c r="S400" s="21"/>
      <c r="T400" s="21"/>
      <c r="U400" s="21"/>
      <c r="V400" s="21"/>
      <c r="W400" s="21"/>
      <c r="X400" s="21"/>
      <c r="Y400" s="21"/>
      <c r="Z400" s="21"/>
    </row>
    <row r="401" spans="1:26" ht="15.75" customHeight="1" x14ac:dyDescent="0.25">
      <c r="A401" s="11"/>
      <c r="B401" s="22">
        <v>45738</v>
      </c>
      <c r="C401" s="11">
        <v>1188</v>
      </c>
      <c r="D401" s="11" t="s">
        <v>44</v>
      </c>
      <c r="E401" s="11">
        <v>4714045317</v>
      </c>
      <c r="F401" s="11"/>
      <c r="G401" s="190" t="s">
        <v>2800</v>
      </c>
      <c r="H401" s="11" t="s">
        <v>2306</v>
      </c>
      <c r="I401" s="25">
        <v>7</v>
      </c>
      <c r="J401" s="21"/>
      <c r="K401" s="21"/>
      <c r="L401" s="21"/>
      <c r="M401" s="21"/>
      <c r="N401" s="21"/>
      <c r="O401" s="21"/>
      <c r="P401" s="21"/>
      <c r="Q401" s="21"/>
      <c r="R401" s="21"/>
      <c r="S401" s="21"/>
      <c r="T401" s="21"/>
      <c r="U401" s="21"/>
      <c r="V401" s="21"/>
      <c r="W401" s="21"/>
      <c r="X401" s="21"/>
      <c r="Y401" s="21"/>
      <c r="Z401" s="21"/>
    </row>
    <row r="402" spans="1:26" ht="15.75" customHeight="1" x14ac:dyDescent="0.25">
      <c r="A402" s="11"/>
      <c r="B402" s="22">
        <v>45740</v>
      </c>
      <c r="C402" s="11">
        <v>1189</v>
      </c>
      <c r="D402" s="11" t="s">
        <v>41</v>
      </c>
      <c r="E402" s="11">
        <v>25900402</v>
      </c>
      <c r="F402" s="11"/>
      <c r="G402" s="190" t="s">
        <v>2801</v>
      </c>
      <c r="H402" s="11" t="s">
        <v>2306</v>
      </c>
      <c r="I402" s="25">
        <v>7</v>
      </c>
      <c r="J402" s="21"/>
      <c r="K402" s="21"/>
      <c r="L402" s="21"/>
      <c r="M402" s="21"/>
      <c r="N402" s="21"/>
      <c r="O402" s="21"/>
      <c r="P402" s="21"/>
      <c r="Q402" s="21"/>
      <c r="R402" s="21"/>
      <c r="S402" s="21"/>
      <c r="T402" s="21"/>
      <c r="U402" s="21"/>
      <c r="V402" s="21"/>
      <c r="W402" s="21"/>
      <c r="X402" s="21"/>
      <c r="Y402" s="21"/>
      <c r="Z402" s="21"/>
    </row>
    <row r="403" spans="1:26" ht="15.75" customHeight="1" x14ac:dyDescent="0.25">
      <c r="A403" s="11"/>
      <c r="B403" s="22">
        <v>45740</v>
      </c>
      <c r="C403" s="11">
        <v>1190</v>
      </c>
      <c r="D403" s="11" t="s">
        <v>41</v>
      </c>
      <c r="E403" s="11">
        <v>25900403</v>
      </c>
      <c r="F403" s="11"/>
      <c r="G403" s="190" t="s">
        <v>2802</v>
      </c>
      <c r="H403" s="11" t="s">
        <v>2306</v>
      </c>
      <c r="I403" s="25">
        <v>7</v>
      </c>
      <c r="J403" s="21"/>
      <c r="K403" s="21"/>
      <c r="L403" s="21"/>
      <c r="M403" s="21"/>
      <c r="N403" s="21"/>
      <c r="O403" s="21"/>
      <c r="P403" s="21"/>
      <c r="Q403" s="21"/>
      <c r="R403" s="21"/>
      <c r="S403" s="21"/>
      <c r="T403" s="21"/>
      <c r="U403" s="21"/>
      <c r="V403" s="21"/>
      <c r="W403" s="21"/>
      <c r="X403" s="21"/>
      <c r="Y403" s="21"/>
      <c r="Z403" s="21"/>
    </row>
    <row r="404" spans="1:26" ht="15.75" customHeight="1" x14ac:dyDescent="0.25">
      <c r="A404" s="11"/>
      <c r="B404" s="22">
        <v>45740</v>
      </c>
      <c r="C404" s="11">
        <v>1191</v>
      </c>
      <c r="D404" s="11" t="s">
        <v>41</v>
      </c>
      <c r="E404" s="11">
        <v>25900404</v>
      </c>
      <c r="F404" s="11"/>
      <c r="G404" s="190" t="s">
        <v>2803</v>
      </c>
      <c r="H404" s="11" t="s">
        <v>2306</v>
      </c>
      <c r="I404" s="25">
        <v>7</v>
      </c>
      <c r="J404" s="21"/>
      <c r="K404" s="21"/>
      <c r="L404" s="21"/>
      <c r="M404" s="21"/>
      <c r="N404" s="21"/>
      <c r="O404" s="21"/>
      <c r="P404" s="21"/>
      <c r="Q404" s="21"/>
      <c r="R404" s="21"/>
      <c r="S404" s="21"/>
      <c r="T404" s="21"/>
      <c r="U404" s="21"/>
      <c r="V404" s="21"/>
      <c r="W404" s="21"/>
      <c r="X404" s="21"/>
      <c r="Y404" s="21"/>
      <c r="Z404" s="21"/>
    </row>
    <row r="405" spans="1:26" ht="15.75" customHeight="1" x14ac:dyDescent="0.25">
      <c r="A405" s="11"/>
      <c r="B405" s="22">
        <v>45740</v>
      </c>
      <c r="C405" s="11">
        <v>1192</v>
      </c>
      <c r="D405" s="11" t="s">
        <v>41</v>
      </c>
      <c r="E405" s="11">
        <v>25900407</v>
      </c>
      <c r="F405" s="11"/>
      <c r="G405" s="190" t="s">
        <v>2804</v>
      </c>
      <c r="H405" s="11" t="s">
        <v>2306</v>
      </c>
      <c r="I405" s="25">
        <v>7</v>
      </c>
      <c r="J405" s="21"/>
      <c r="K405" s="21"/>
      <c r="L405" s="21"/>
      <c r="M405" s="21"/>
      <c r="N405" s="21"/>
      <c r="O405" s="21"/>
      <c r="P405" s="21"/>
      <c r="Q405" s="21"/>
      <c r="R405" s="21"/>
      <c r="S405" s="21"/>
      <c r="T405" s="21"/>
      <c r="U405" s="21"/>
      <c r="V405" s="21"/>
      <c r="W405" s="21"/>
      <c r="X405" s="21"/>
      <c r="Y405" s="21"/>
      <c r="Z405" s="21"/>
    </row>
    <row r="406" spans="1:26" ht="15.75" customHeight="1" x14ac:dyDescent="0.25">
      <c r="A406" s="11"/>
      <c r="B406" s="22">
        <v>45740</v>
      </c>
      <c r="C406" s="11">
        <v>1193</v>
      </c>
      <c r="D406" s="11" t="s">
        <v>41</v>
      </c>
      <c r="E406" s="11">
        <v>25900408</v>
      </c>
      <c r="F406" s="11"/>
      <c r="G406" s="190" t="s">
        <v>2805</v>
      </c>
      <c r="H406" s="11" t="s">
        <v>2306</v>
      </c>
      <c r="I406" s="25">
        <v>7</v>
      </c>
      <c r="J406" s="21"/>
      <c r="K406" s="21"/>
      <c r="L406" s="21"/>
      <c r="M406" s="21"/>
      <c r="N406" s="21"/>
      <c r="O406" s="21"/>
      <c r="P406" s="21"/>
      <c r="Q406" s="21"/>
      <c r="R406" s="21"/>
      <c r="S406" s="21"/>
      <c r="T406" s="21"/>
      <c r="U406" s="21"/>
      <c r="V406" s="21"/>
      <c r="W406" s="21"/>
      <c r="X406" s="21"/>
      <c r="Y406" s="21"/>
      <c r="Z406" s="21"/>
    </row>
    <row r="407" spans="1:26" ht="15.75" customHeight="1" x14ac:dyDescent="0.25">
      <c r="A407" s="11"/>
      <c r="B407" s="22">
        <v>45740</v>
      </c>
      <c r="C407" s="11">
        <v>1194</v>
      </c>
      <c r="D407" s="11" t="s">
        <v>41</v>
      </c>
      <c r="E407" s="11">
        <v>25900481</v>
      </c>
      <c r="F407" s="11"/>
      <c r="G407" s="190" t="s">
        <v>2806</v>
      </c>
      <c r="H407" s="11" t="s">
        <v>2306</v>
      </c>
      <c r="I407" s="25">
        <v>7</v>
      </c>
      <c r="J407" s="21"/>
      <c r="K407" s="21"/>
      <c r="L407" s="21"/>
      <c r="M407" s="21"/>
      <c r="N407" s="21"/>
      <c r="O407" s="21"/>
      <c r="P407" s="21"/>
      <c r="Q407" s="21"/>
      <c r="R407" s="21"/>
      <c r="S407" s="21"/>
      <c r="T407" s="21"/>
      <c r="U407" s="21"/>
      <c r="V407" s="21"/>
      <c r="W407" s="21"/>
      <c r="X407" s="21"/>
      <c r="Y407" s="21"/>
      <c r="Z407" s="21"/>
    </row>
    <row r="408" spans="1:26" ht="15.75" customHeight="1" x14ac:dyDescent="0.25">
      <c r="A408" s="11"/>
      <c r="B408" s="22">
        <v>45740</v>
      </c>
      <c r="C408" s="11">
        <v>1195</v>
      </c>
      <c r="D408" s="11" t="s">
        <v>41</v>
      </c>
      <c r="E408" s="11">
        <v>25900477</v>
      </c>
      <c r="F408" s="11"/>
      <c r="G408" s="190" t="s">
        <v>2807</v>
      </c>
      <c r="H408" s="11" t="s">
        <v>2306</v>
      </c>
      <c r="I408" s="25">
        <v>7</v>
      </c>
      <c r="J408" s="21"/>
      <c r="K408" s="21"/>
      <c r="L408" s="21"/>
      <c r="M408" s="21"/>
      <c r="N408" s="21"/>
      <c r="O408" s="21"/>
      <c r="P408" s="21"/>
      <c r="Q408" s="21"/>
      <c r="R408" s="21"/>
      <c r="S408" s="21"/>
      <c r="T408" s="21"/>
      <c r="U408" s="21"/>
      <c r="V408" s="21"/>
      <c r="W408" s="21"/>
      <c r="X408" s="21"/>
      <c r="Y408" s="21"/>
      <c r="Z408" s="21"/>
    </row>
    <row r="409" spans="1:26" ht="15.75" customHeight="1" x14ac:dyDescent="0.25">
      <c r="A409" s="11"/>
      <c r="B409" s="22">
        <v>45740</v>
      </c>
      <c r="C409" s="11">
        <v>1196</v>
      </c>
      <c r="D409" s="11" t="s">
        <v>44</v>
      </c>
      <c r="E409" s="11">
        <v>4714045317</v>
      </c>
      <c r="F409" s="11"/>
      <c r="G409" s="190" t="s">
        <v>2808</v>
      </c>
      <c r="H409" s="11" t="s">
        <v>2306</v>
      </c>
      <c r="I409" s="25">
        <v>7</v>
      </c>
      <c r="J409" s="21"/>
      <c r="K409" s="21"/>
      <c r="L409" s="21"/>
      <c r="M409" s="21"/>
      <c r="N409" s="21"/>
      <c r="O409" s="21"/>
      <c r="P409" s="21"/>
      <c r="Q409" s="21"/>
      <c r="R409" s="21"/>
      <c r="S409" s="21"/>
      <c r="T409" s="21"/>
      <c r="U409" s="21"/>
      <c r="V409" s="21"/>
      <c r="W409" s="21"/>
      <c r="X409" s="21"/>
      <c r="Y409" s="21"/>
      <c r="Z409" s="21"/>
    </row>
    <row r="410" spans="1:26" ht="15.75" customHeight="1" x14ac:dyDescent="0.25">
      <c r="A410" s="11"/>
      <c r="B410" s="22">
        <v>45740</v>
      </c>
      <c r="C410" s="11">
        <v>1196</v>
      </c>
      <c r="D410" s="11" t="s">
        <v>44</v>
      </c>
      <c r="E410" s="11">
        <v>4714045317</v>
      </c>
      <c r="F410" s="11"/>
      <c r="G410" s="190" t="s">
        <v>2809</v>
      </c>
      <c r="H410" s="11" t="s">
        <v>2292</v>
      </c>
      <c r="I410" s="25">
        <v>1</v>
      </c>
      <c r="J410" s="21"/>
      <c r="K410" s="21"/>
      <c r="L410" s="21"/>
      <c r="M410" s="21"/>
      <c r="N410" s="21"/>
      <c r="O410" s="21"/>
      <c r="P410" s="21"/>
      <c r="Q410" s="21"/>
      <c r="R410" s="21"/>
      <c r="S410" s="21"/>
      <c r="T410" s="21"/>
      <c r="U410" s="21"/>
      <c r="V410" s="21"/>
      <c r="W410" s="21"/>
      <c r="X410" s="21"/>
      <c r="Y410" s="21"/>
      <c r="Z410" s="21"/>
    </row>
    <row r="411" spans="1:26" ht="15.75" customHeight="1" x14ac:dyDescent="0.25">
      <c r="A411" s="11"/>
      <c r="B411" s="22">
        <v>45740</v>
      </c>
      <c r="C411" s="11">
        <v>1197</v>
      </c>
      <c r="D411" s="11" t="s">
        <v>66</v>
      </c>
      <c r="E411" s="11" t="s">
        <v>2810</v>
      </c>
      <c r="F411" s="11"/>
      <c r="G411" s="190" t="s">
        <v>2811</v>
      </c>
      <c r="H411" s="11" t="s">
        <v>2292</v>
      </c>
      <c r="I411" s="25">
        <v>1</v>
      </c>
      <c r="J411" s="21"/>
      <c r="K411" s="21"/>
      <c r="L411" s="21"/>
      <c r="M411" s="21"/>
      <c r="N411" s="21"/>
      <c r="O411" s="21"/>
      <c r="P411" s="21"/>
      <c r="Q411" s="21"/>
      <c r="R411" s="21"/>
      <c r="S411" s="21"/>
      <c r="T411" s="21"/>
      <c r="U411" s="21"/>
      <c r="V411" s="21"/>
      <c r="W411" s="21"/>
      <c r="X411" s="21"/>
      <c r="Y411" s="21"/>
      <c r="Z411" s="21"/>
    </row>
    <row r="412" spans="1:26" ht="15.75" customHeight="1" x14ac:dyDescent="0.25">
      <c r="A412" s="11"/>
      <c r="B412" s="22">
        <v>45740</v>
      </c>
      <c r="C412" s="11">
        <v>1198</v>
      </c>
      <c r="D412" s="11" t="s">
        <v>66</v>
      </c>
      <c r="E412" s="11" t="s">
        <v>2799</v>
      </c>
      <c r="F412" s="11"/>
      <c r="G412" s="190" t="s">
        <v>2812</v>
      </c>
      <c r="H412" s="11" t="s">
        <v>2292</v>
      </c>
      <c r="I412" s="25">
        <v>1</v>
      </c>
      <c r="J412" s="21"/>
      <c r="K412" s="21"/>
      <c r="L412" s="21"/>
      <c r="M412" s="21"/>
      <c r="N412" s="21"/>
      <c r="O412" s="21"/>
      <c r="P412" s="21"/>
      <c r="Q412" s="21"/>
      <c r="R412" s="21"/>
      <c r="S412" s="21"/>
      <c r="T412" s="21"/>
      <c r="U412" s="21"/>
      <c r="V412" s="21"/>
      <c r="W412" s="21"/>
      <c r="X412" s="21"/>
      <c r="Y412" s="21"/>
      <c r="Z412" s="21"/>
    </row>
    <row r="413" spans="1:26" ht="15.75" customHeight="1" x14ac:dyDescent="0.25">
      <c r="A413" s="11"/>
      <c r="B413" s="22">
        <v>45741</v>
      </c>
      <c r="C413" s="11">
        <v>1199</v>
      </c>
      <c r="D413" s="11" t="s">
        <v>41</v>
      </c>
      <c r="E413" s="11">
        <v>25900389</v>
      </c>
      <c r="F413" s="11"/>
      <c r="G413" s="190" t="s">
        <v>2814</v>
      </c>
      <c r="H413" s="11" t="s">
        <v>193</v>
      </c>
      <c r="I413" s="25" t="s">
        <v>2813</v>
      </c>
      <c r="J413" s="21"/>
      <c r="K413" s="21"/>
      <c r="L413" s="21"/>
      <c r="M413" s="21"/>
      <c r="N413" s="21"/>
      <c r="O413" s="21"/>
      <c r="P413" s="21"/>
      <c r="Q413" s="21"/>
      <c r="R413" s="21"/>
      <c r="S413" s="21"/>
      <c r="T413" s="21"/>
      <c r="U413" s="21"/>
      <c r="V413" s="21"/>
      <c r="W413" s="21"/>
      <c r="X413" s="21"/>
      <c r="Y413" s="21"/>
      <c r="Z413" s="21"/>
    </row>
    <row r="414" spans="1:26" ht="15.75" customHeight="1" x14ac:dyDescent="0.25">
      <c r="A414" s="11"/>
      <c r="B414" s="22">
        <v>45741</v>
      </c>
      <c r="C414" s="11">
        <v>1200</v>
      </c>
      <c r="D414" s="11" t="s">
        <v>41</v>
      </c>
      <c r="E414" s="11">
        <v>25900260</v>
      </c>
      <c r="F414" s="11"/>
      <c r="G414" s="190" t="s">
        <v>2817</v>
      </c>
      <c r="H414" s="11" t="s">
        <v>2816</v>
      </c>
      <c r="I414" s="25" t="s">
        <v>2815</v>
      </c>
      <c r="J414" s="21"/>
      <c r="K414" s="21"/>
      <c r="L414" s="21"/>
      <c r="M414" s="21"/>
      <c r="N414" s="21"/>
      <c r="O414" s="21"/>
      <c r="P414" s="21"/>
      <c r="Q414" s="21"/>
      <c r="R414" s="21"/>
      <c r="S414" s="21"/>
      <c r="T414" s="21"/>
      <c r="U414" s="21"/>
      <c r="V414" s="21"/>
      <c r="W414" s="21"/>
      <c r="X414" s="21"/>
      <c r="Y414" s="21"/>
      <c r="Z414" s="21"/>
    </row>
    <row r="415" spans="1:26" ht="15.75" customHeight="1" x14ac:dyDescent="0.25">
      <c r="A415" s="11"/>
      <c r="B415" s="22">
        <v>45741</v>
      </c>
      <c r="C415" s="11">
        <v>1201</v>
      </c>
      <c r="D415" s="11" t="s">
        <v>41</v>
      </c>
      <c r="E415" s="11">
        <v>25900382</v>
      </c>
      <c r="F415" s="11"/>
      <c r="G415" s="190" t="s">
        <v>2818</v>
      </c>
      <c r="H415" s="11" t="s">
        <v>153</v>
      </c>
      <c r="I415" s="25" t="s">
        <v>2758</v>
      </c>
      <c r="J415" s="21"/>
      <c r="K415" s="21"/>
      <c r="L415" s="21"/>
      <c r="M415" s="21"/>
      <c r="N415" s="21"/>
      <c r="O415" s="21"/>
      <c r="P415" s="21"/>
      <c r="Q415" s="21"/>
      <c r="R415" s="21"/>
      <c r="S415" s="21"/>
      <c r="T415" s="21"/>
      <c r="U415" s="21"/>
      <c r="V415" s="21"/>
      <c r="W415" s="21"/>
      <c r="X415" s="21"/>
      <c r="Y415" s="21"/>
      <c r="Z415" s="21"/>
    </row>
    <row r="416" spans="1:26" ht="15.75" customHeight="1" x14ac:dyDescent="0.25">
      <c r="A416" s="11"/>
      <c r="B416" s="22">
        <v>45741</v>
      </c>
      <c r="C416" s="11">
        <v>1202</v>
      </c>
      <c r="D416" s="11" t="s">
        <v>41</v>
      </c>
      <c r="E416" s="11">
        <v>25900262</v>
      </c>
      <c r="F416" s="11"/>
      <c r="G416" s="190" t="s">
        <v>2821</v>
      </c>
      <c r="H416" s="11" t="s">
        <v>2820</v>
      </c>
      <c r="I416" s="25" t="s">
        <v>2819</v>
      </c>
      <c r="J416" s="21"/>
      <c r="K416" s="21"/>
      <c r="L416" s="21"/>
      <c r="M416" s="21"/>
      <c r="N416" s="21"/>
      <c r="O416" s="21"/>
      <c r="P416" s="21"/>
      <c r="Q416" s="21"/>
      <c r="R416" s="21"/>
      <c r="S416" s="21"/>
      <c r="T416" s="21"/>
      <c r="U416" s="21"/>
      <c r="V416" s="21"/>
      <c r="W416" s="21"/>
      <c r="X416" s="21"/>
      <c r="Y416" s="21"/>
      <c r="Z416" s="21"/>
    </row>
    <row r="417" spans="1:26" ht="15.75" customHeight="1" x14ac:dyDescent="0.25">
      <c r="A417" s="11"/>
      <c r="B417" s="22">
        <v>45742</v>
      </c>
      <c r="C417" s="11">
        <v>1203</v>
      </c>
      <c r="D417" s="11" t="s">
        <v>41</v>
      </c>
      <c r="E417" s="11">
        <v>25900495</v>
      </c>
      <c r="F417" s="11"/>
      <c r="G417" s="190" t="s">
        <v>2822</v>
      </c>
      <c r="H417" s="11" t="s">
        <v>153</v>
      </c>
      <c r="I417" s="25" t="s">
        <v>2618</v>
      </c>
      <c r="J417" s="21"/>
      <c r="K417" s="21"/>
      <c r="L417" s="21"/>
      <c r="M417" s="21"/>
      <c r="N417" s="21"/>
      <c r="O417" s="21"/>
      <c r="P417" s="21"/>
      <c r="Q417" s="21"/>
      <c r="R417" s="21"/>
      <c r="S417" s="21"/>
      <c r="T417" s="21"/>
      <c r="U417" s="21"/>
      <c r="V417" s="21"/>
      <c r="W417" s="21"/>
      <c r="X417" s="21"/>
      <c r="Y417" s="21"/>
      <c r="Z417" s="21"/>
    </row>
    <row r="418" spans="1:26" ht="15.75" customHeight="1" x14ac:dyDescent="0.25">
      <c r="A418" s="11"/>
      <c r="B418" s="22">
        <v>45742</v>
      </c>
      <c r="C418" s="11">
        <v>1204</v>
      </c>
      <c r="D418" s="11" t="s">
        <v>41</v>
      </c>
      <c r="E418" s="11">
        <v>25900478</v>
      </c>
      <c r="F418" s="11"/>
      <c r="G418" s="190" t="s">
        <v>2824</v>
      </c>
      <c r="H418" s="11" t="s">
        <v>2463</v>
      </c>
      <c r="I418" s="25" t="s">
        <v>2823</v>
      </c>
      <c r="J418" s="21"/>
      <c r="K418" s="21"/>
      <c r="L418" s="21"/>
      <c r="M418" s="21"/>
      <c r="N418" s="21"/>
      <c r="O418" s="21"/>
      <c r="P418" s="21"/>
      <c r="Q418" s="21"/>
      <c r="R418" s="21"/>
      <c r="S418" s="21"/>
      <c r="T418" s="21"/>
      <c r="U418" s="21"/>
      <c r="V418" s="21"/>
      <c r="W418" s="21"/>
      <c r="X418" s="21"/>
      <c r="Y418" s="21"/>
      <c r="Z418" s="21"/>
    </row>
    <row r="419" spans="1:26" ht="15.75" customHeight="1" x14ac:dyDescent="0.25">
      <c r="A419" s="11"/>
      <c r="B419" s="22">
        <v>45742</v>
      </c>
      <c r="C419" s="11">
        <v>1205</v>
      </c>
      <c r="D419" s="11" t="s">
        <v>4</v>
      </c>
      <c r="E419" s="11" t="s">
        <v>2825</v>
      </c>
      <c r="F419" s="11"/>
      <c r="G419" s="190" t="s">
        <v>2826</v>
      </c>
      <c r="H419" s="11" t="s">
        <v>2306</v>
      </c>
      <c r="I419" s="25">
        <v>7</v>
      </c>
      <c r="J419" s="21"/>
      <c r="K419" s="21"/>
      <c r="L419" s="21"/>
      <c r="M419" s="21"/>
      <c r="N419" s="21"/>
      <c r="O419" s="21"/>
      <c r="P419" s="21"/>
      <c r="Q419" s="21"/>
      <c r="R419" s="21"/>
      <c r="S419" s="21"/>
      <c r="T419" s="21"/>
      <c r="U419" s="21"/>
      <c r="V419" s="21"/>
      <c r="W419" s="21"/>
      <c r="X419" s="21"/>
      <c r="Y419" s="21"/>
      <c r="Z419" s="21"/>
    </row>
    <row r="420" spans="1:26" ht="15.75" customHeight="1" x14ac:dyDescent="0.25">
      <c r="A420" s="11"/>
      <c r="B420" s="22">
        <v>45743</v>
      </c>
      <c r="C420" s="11">
        <v>1205</v>
      </c>
      <c r="D420" s="11" t="s">
        <v>4</v>
      </c>
      <c r="E420" s="11" t="s">
        <v>2825</v>
      </c>
      <c r="F420" s="11" t="s">
        <v>2230</v>
      </c>
      <c r="G420" s="190" t="s">
        <v>2832</v>
      </c>
      <c r="H420" s="11" t="s">
        <v>2306</v>
      </c>
      <c r="I420" s="25">
        <v>7</v>
      </c>
      <c r="J420" s="21"/>
      <c r="K420" s="21"/>
      <c r="L420" s="21"/>
      <c r="M420" s="21"/>
      <c r="N420" s="21"/>
      <c r="O420" s="21"/>
      <c r="P420" s="21"/>
      <c r="Q420" s="21"/>
      <c r="R420" s="21"/>
      <c r="S420" s="21"/>
      <c r="T420" s="21"/>
      <c r="U420" s="21"/>
      <c r="V420" s="21"/>
      <c r="W420" s="21"/>
      <c r="X420" s="21"/>
      <c r="Y420" s="21"/>
      <c r="Z420" s="21"/>
    </row>
    <row r="421" spans="1:26" ht="15.75" customHeight="1" x14ac:dyDescent="0.25">
      <c r="A421" s="11"/>
      <c r="B421" s="22">
        <v>45743</v>
      </c>
      <c r="C421" s="11">
        <v>1205</v>
      </c>
      <c r="D421" s="11" t="s">
        <v>4</v>
      </c>
      <c r="E421" s="11" t="s">
        <v>2825</v>
      </c>
      <c r="F421" s="11" t="s">
        <v>2837</v>
      </c>
      <c r="G421" s="190" t="s">
        <v>2838</v>
      </c>
      <c r="H421" s="11" t="s">
        <v>2306</v>
      </c>
      <c r="I421" s="25" t="s">
        <v>2836</v>
      </c>
      <c r="J421" s="21"/>
      <c r="K421" s="21"/>
      <c r="L421" s="21"/>
      <c r="M421" s="21"/>
      <c r="N421" s="21"/>
      <c r="O421" s="21"/>
      <c r="P421" s="21"/>
      <c r="Q421" s="21"/>
      <c r="R421" s="21"/>
      <c r="S421" s="21"/>
      <c r="T421" s="21"/>
      <c r="U421" s="21"/>
      <c r="V421" s="21"/>
      <c r="W421" s="21"/>
      <c r="X421" s="21"/>
      <c r="Y421" s="21"/>
      <c r="Z421" s="21"/>
    </row>
    <row r="422" spans="1:26" ht="15.75" customHeight="1" x14ac:dyDescent="0.25">
      <c r="A422" s="11"/>
      <c r="B422" s="22">
        <v>45744</v>
      </c>
      <c r="C422" s="11">
        <v>1206</v>
      </c>
      <c r="D422" s="11" t="s">
        <v>41</v>
      </c>
      <c r="E422" s="11">
        <v>25900407</v>
      </c>
      <c r="F422" s="11"/>
      <c r="G422" s="190" t="s">
        <v>2827</v>
      </c>
      <c r="H422" s="11" t="s">
        <v>2728</v>
      </c>
      <c r="I422" s="25" t="s">
        <v>2813</v>
      </c>
      <c r="J422" s="21"/>
      <c r="K422" s="21"/>
      <c r="L422" s="21"/>
      <c r="M422" s="21"/>
      <c r="N422" s="21"/>
      <c r="O422" s="21"/>
      <c r="P422" s="21"/>
      <c r="Q422" s="21"/>
      <c r="R422" s="21"/>
      <c r="S422" s="21"/>
      <c r="T422" s="21"/>
      <c r="U422" s="21"/>
      <c r="V422" s="21"/>
      <c r="W422" s="21"/>
      <c r="X422" s="21"/>
      <c r="Y422" s="21"/>
      <c r="Z422" s="21"/>
    </row>
    <row r="423" spans="1:26" ht="15.75" customHeight="1" x14ac:dyDescent="0.25">
      <c r="A423" s="11"/>
      <c r="B423" s="22">
        <v>45744</v>
      </c>
      <c r="C423" s="11">
        <v>1207</v>
      </c>
      <c r="D423" s="11" t="s">
        <v>41</v>
      </c>
      <c r="E423" s="11">
        <v>25900495</v>
      </c>
      <c r="F423" s="11"/>
      <c r="G423" s="190" t="s">
        <v>2830</v>
      </c>
      <c r="H423" s="11" t="s">
        <v>2829</v>
      </c>
      <c r="I423" s="25" t="s">
        <v>2828</v>
      </c>
      <c r="J423" s="21"/>
      <c r="K423" s="21"/>
      <c r="L423" s="21"/>
      <c r="M423" s="21"/>
      <c r="N423" s="21"/>
      <c r="O423" s="21"/>
      <c r="P423" s="21"/>
      <c r="Q423" s="21"/>
      <c r="R423" s="21"/>
      <c r="S423" s="21"/>
      <c r="T423" s="21"/>
      <c r="U423" s="21"/>
      <c r="V423" s="21"/>
      <c r="W423" s="21"/>
      <c r="X423" s="21"/>
      <c r="Y423" s="21"/>
      <c r="Z423" s="21"/>
    </row>
    <row r="424" spans="1:26" ht="15.75" customHeight="1" x14ac:dyDescent="0.25">
      <c r="A424" s="11"/>
      <c r="B424" s="22">
        <v>45744</v>
      </c>
      <c r="C424" s="11">
        <v>1208</v>
      </c>
      <c r="D424" s="11" t="s">
        <v>41</v>
      </c>
      <c r="E424" s="11">
        <v>25900486</v>
      </c>
      <c r="F424" s="11"/>
      <c r="G424" s="190" t="s">
        <v>2831</v>
      </c>
      <c r="H424" s="11" t="s">
        <v>2306</v>
      </c>
      <c r="I424" s="25">
        <v>7</v>
      </c>
      <c r="J424" s="21"/>
      <c r="K424" s="21"/>
      <c r="L424" s="21"/>
      <c r="M424" s="21"/>
      <c r="N424" s="21"/>
      <c r="O424" s="21"/>
      <c r="P424" s="21"/>
      <c r="Q424" s="21"/>
      <c r="R424" s="21"/>
      <c r="S424" s="21"/>
      <c r="T424" s="21"/>
      <c r="U424" s="21"/>
      <c r="V424" s="21"/>
      <c r="W424" s="21"/>
      <c r="X424" s="21"/>
      <c r="Y424" s="21"/>
      <c r="Z424" s="21"/>
    </row>
    <row r="425" spans="1:26" ht="15.75" customHeight="1" x14ac:dyDescent="0.25">
      <c r="A425" s="11"/>
      <c r="B425" s="22">
        <v>45744</v>
      </c>
      <c r="C425" s="11">
        <v>1209</v>
      </c>
      <c r="D425" s="11" t="s">
        <v>2833</v>
      </c>
      <c r="E425" s="11">
        <v>4500405903</v>
      </c>
      <c r="F425" s="11"/>
      <c r="G425" s="190" t="s">
        <v>2835</v>
      </c>
      <c r="H425" s="11" t="s">
        <v>2306</v>
      </c>
      <c r="I425" s="25">
        <v>7</v>
      </c>
      <c r="J425" s="21"/>
      <c r="K425" s="21"/>
      <c r="L425" s="21"/>
      <c r="M425" s="21"/>
      <c r="N425" s="21"/>
      <c r="O425" s="21"/>
      <c r="P425" s="21"/>
      <c r="Q425" s="21"/>
      <c r="R425" s="21"/>
      <c r="S425" s="21"/>
      <c r="T425" s="21"/>
      <c r="U425" s="21"/>
      <c r="V425" s="21"/>
      <c r="W425" s="21"/>
      <c r="X425" s="21"/>
      <c r="Y425" s="21"/>
      <c r="Z425" s="21"/>
    </row>
    <row r="426" spans="1:26" ht="15.75" customHeight="1" x14ac:dyDescent="0.25">
      <c r="A426" s="11"/>
      <c r="B426" s="22">
        <v>45752</v>
      </c>
      <c r="C426" s="11">
        <v>1210</v>
      </c>
      <c r="D426" s="11" t="s">
        <v>4</v>
      </c>
      <c r="E426" s="11" t="s">
        <v>2839</v>
      </c>
      <c r="F426" s="11"/>
      <c r="G426" s="190" t="s">
        <v>2840</v>
      </c>
      <c r="H426" s="11" t="s">
        <v>2292</v>
      </c>
      <c r="I426" s="25">
        <v>1</v>
      </c>
      <c r="J426" s="21"/>
      <c r="K426" s="21"/>
      <c r="L426" s="21"/>
      <c r="M426" s="21"/>
      <c r="N426" s="21"/>
      <c r="O426" s="21"/>
      <c r="P426" s="21"/>
      <c r="Q426" s="21"/>
      <c r="R426" s="21"/>
      <c r="S426" s="21"/>
      <c r="T426" s="21"/>
      <c r="U426" s="21"/>
      <c r="V426" s="21"/>
      <c r="W426" s="21"/>
      <c r="X426" s="21"/>
      <c r="Y426" s="21"/>
      <c r="Z426" s="21"/>
    </row>
    <row r="427" spans="1:26" ht="15.75" customHeight="1" x14ac:dyDescent="0.25">
      <c r="A427" s="11"/>
      <c r="B427" s="22">
        <v>45752</v>
      </c>
      <c r="C427" s="11">
        <v>1211</v>
      </c>
      <c r="D427" s="11" t="s">
        <v>4</v>
      </c>
      <c r="E427" s="11" t="s">
        <v>2841</v>
      </c>
      <c r="F427" s="11"/>
      <c r="G427" s="190" t="s">
        <v>2842</v>
      </c>
      <c r="H427" s="11" t="s">
        <v>2292</v>
      </c>
      <c r="I427" s="25">
        <v>1</v>
      </c>
      <c r="J427" s="21"/>
      <c r="K427" s="21"/>
      <c r="L427" s="21"/>
      <c r="M427" s="21"/>
      <c r="N427" s="21"/>
      <c r="O427" s="21"/>
      <c r="P427" s="21"/>
      <c r="Q427" s="21"/>
      <c r="R427" s="21"/>
      <c r="S427" s="21"/>
      <c r="T427" s="21"/>
      <c r="U427" s="21"/>
      <c r="V427" s="21"/>
      <c r="W427" s="21"/>
      <c r="X427" s="21"/>
      <c r="Y427" s="21"/>
      <c r="Z427" s="21"/>
    </row>
    <row r="428" spans="1:26" ht="15.75" customHeight="1" x14ac:dyDescent="0.25">
      <c r="A428" s="11"/>
      <c r="B428" s="22">
        <v>45752</v>
      </c>
      <c r="C428" s="11">
        <v>1211</v>
      </c>
      <c r="D428" s="11" t="s">
        <v>4</v>
      </c>
      <c r="E428" s="11" t="s">
        <v>2841</v>
      </c>
      <c r="F428" s="11"/>
      <c r="G428" s="190" t="s">
        <v>2842</v>
      </c>
      <c r="H428" s="11" t="s">
        <v>2292</v>
      </c>
      <c r="I428" s="25" t="s">
        <v>2462</v>
      </c>
      <c r="J428" s="21"/>
      <c r="K428" s="21"/>
      <c r="L428" s="21"/>
      <c r="M428" s="21"/>
      <c r="N428" s="21"/>
      <c r="O428" s="21"/>
      <c r="P428" s="21"/>
      <c r="Q428" s="21"/>
      <c r="R428" s="21"/>
      <c r="S428" s="21"/>
      <c r="T428" s="21"/>
      <c r="U428" s="21"/>
      <c r="V428" s="21"/>
      <c r="W428" s="21"/>
      <c r="X428" s="21"/>
      <c r="Y428" s="21"/>
      <c r="Z428" s="21"/>
    </row>
    <row r="429" spans="1:26" ht="15.75" customHeight="1" x14ac:dyDescent="0.25">
      <c r="A429" s="11"/>
      <c r="B429" s="22">
        <v>45754</v>
      </c>
      <c r="C429" s="11">
        <v>1212</v>
      </c>
      <c r="D429" s="11" t="s">
        <v>66</v>
      </c>
      <c r="E429" s="11" t="s">
        <v>2843</v>
      </c>
      <c r="F429" s="11"/>
      <c r="G429" s="190" t="s">
        <v>2844</v>
      </c>
      <c r="H429" s="11" t="s">
        <v>2292</v>
      </c>
      <c r="I429" s="25">
        <v>1</v>
      </c>
      <c r="J429" s="21"/>
      <c r="K429" s="21"/>
      <c r="L429" s="21"/>
      <c r="M429" s="21"/>
      <c r="N429" s="21"/>
      <c r="O429" s="21"/>
      <c r="P429" s="21"/>
      <c r="Q429" s="21"/>
      <c r="R429" s="21"/>
      <c r="S429" s="21"/>
      <c r="T429" s="21"/>
      <c r="U429" s="21"/>
      <c r="V429" s="21"/>
      <c r="W429" s="21"/>
      <c r="X429" s="21"/>
      <c r="Y429" s="21"/>
      <c r="Z429" s="21"/>
    </row>
    <row r="430" spans="1:26" ht="15.75" customHeight="1" x14ac:dyDescent="0.25">
      <c r="A430" s="11"/>
      <c r="B430" s="22">
        <v>45754</v>
      </c>
      <c r="C430" s="11">
        <v>1213</v>
      </c>
      <c r="D430" s="11" t="s">
        <v>66</v>
      </c>
      <c r="E430" s="11" t="s">
        <v>2845</v>
      </c>
      <c r="F430" s="11"/>
      <c r="G430" s="190" t="s">
        <v>2846</v>
      </c>
      <c r="H430" s="11" t="s">
        <v>2292</v>
      </c>
      <c r="I430" s="25">
        <v>1</v>
      </c>
      <c r="J430" s="21"/>
      <c r="K430" s="21"/>
      <c r="L430" s="21"/>
      <c r="M430" s="21"/>
      <c r="N430" s="21"/>
      <c r="O430" s="21"/>
      <c r="P430" s="21"/>
      <c r="Q430" s="21"/>
      <c r="R430" s="21"/>
      <c r="S430" s="21"/>
      <c r="T430" s="21"/>
      <c r="U430" s="21"/>
      <c r="V430" s="21"/>
      <c r="W430" s="21"/>
      <c r="X430" s="21"/>
      <c r="Y430" s="21"/>
      <c r="Z430" s="21"/>
    </row>
    <row r="431" spans="1:26" ht="15.75" customHeight="1" x14ac:dyDescent="0.25">
      <c r="A431" s="11"/>
      <c r="B431" s="22">
        <v>45755</v>
      </c>
      <c r="C431" s="11">
        <v>1214</v>
      </c>
      <c r="D431" s="11" t="s">
        <v>4</v>
      </c>
      <c r="E431" s="11" t="s">
        <v>2841</v>
      </c>
      <c r="F431" s="11"/>
      <c r="G431" s="190" t="s">
        <v>2847</v>
      </c>
      <c r="H431" s="11" t="s">
        <v>2292</v>
      </c>
      <c r="I431" s="25">
        <v>1</v>
      </c>
      <c r="J431" s="21"/>
      <c r="K431" s="21"/>
      <c r="L431" s="21"/>
      <c r="M431" s="21"/>
      <c r="N431" s="21"/>
      <c r="O431" s="21"/>
      <c r="P431" s="21"/>
      <c r="Q431" s="21"/>
      <c r="R431" s="21"/>
      <c r="S431" s="21"/>
      <c r="T431" s="21"/>
      <c r="U431" s="21"/>
      <c r="V431" s="21"/>
      <c r="W431" s="21"/>
      <c r="X431" s="21"/>
      <c r="Y431" s="21"/>
      <c r="Z431" s="21"/>
    </row>
    <row r="432" spans="1:26" ht="15.75" customHeight="1" x14ac:dyDescent="0.25">
      <c r="A432" s="11"/>
      <c r="B432" s="22">
        <v>45755</v>
      </c>
      <c r="C432" s="11">
        <v>1214</v>
      </c>
      <c r="D432" s="11" t="s">
        <v>4</v>
      </c>
      <c r="E432" s="11" t="s">
        <v>2841</v>
      </c>
      <c r="F432" s="11"/>
      <c r="G432" s="190" t="s">
        <v>2849</v>
      </c>
      <c r="H432" s="11" t="s">
        <v>2728</v>
      </c>
      <c r="I432" s="25" t="s">
        <v>2848</v>
      </c>
      <c r="J432" s="21"/>
      <c r="K432" s="21"/>
      <c r="L432" s="21"/>
      <c r="M432" s="21"/>
      <c r="N432" s="21"/>
      <c r="O432" s="21"/>
      <c r="P432" s="21"/>
      <c r="Q432" s="21"/>
      <c r="R432" s="21"/>
      <c r="S432" s="21"/>
      <c r="T432" s="21"/>
      <c r="U432" s="21"/>
      <c r="V432" s="21"/>
      <c r="W432" s="21"/>
      <c r="X432" s="21"/>
      <c r="Y432" s="21"/>
      <c r="Z432" s="21"/>
    </row>
    <row r="433" spans="1:26" ht="15.75" customHeight="1" x14ac:dyDescent="0.25">
      <c r="A433" s="11"/>
      <c r="B433" s="22">
        <v>45756</v>
      </c>
      <c r="C433" s="11">
        <v>1214</v>
      </c>
      <c r="D433" s="11" t="s">
        <v>4</v>
      </c>
      <c r="E433" s="11" t="s">
        <v>2841</v>
      </c>
      <c r="F433" s="11" t="s">
        <v>2230</v>
      </c>
      <c r="G433" s="190" t="s">
        <v>2853</v>
      </c>
      <c r="H433" s="11" t="s">
        <v>2728</v>
      </c>
      <c r="I433" s="25" t="s">
        <v>2852</v>
      </c>
      <c r="J433" s="21"/>
      <c r="K433" s="21"/>
      <c r="L433" s="21"/>
      <c r="M433" s="21"/>
      <c r="N433" s="21"/>
      <c r="O433" s="21"/>
      <c r="P433" s="21"/>
      <c r="Q433" s="21"/>
      <c r="R433" s="21"/>
      <c r="S433" s="21"/>
      <c r="T433" s="21"/>
      <c r="U433" s="21"/>
      <c r="V433" s="21"/>
      <c r="W433" s="21"/>
      <c r="X433" s="21"/>
      <c r="Y433" s="21"/>
      <c r="Z433" s="21"/>
    </row>
    <row r="434" spans="1:26" ht="15.75" customHeight="1" x14ac:dyDescent="0.25">
      <c r="A434" s="11"/>
      <c r="B434" s="22">
        <v>45755</v>
      </c>
      <c r="C434" s="11">
        <v>1215</v>
      </c>
      <c r="D434" s="11" t="s">
        <v>4</v>
      </c>
      <c r="E434" s="11" t="s">
        <v>2850</v>
      </c>
      <c r="F434" s="11"/>
      <c r="G434" s="190" t="s">
        <v>2851</v>
      </c>
      <c r="H434" s="11" t="s">
        <v>2306</v>
      </c>
      <c r="I434" s="25">
        <v>7</v>
      </c>
      <c r="J434" s="21"/>
      <c r="K434" s="21"/>
      <c r="L434" s="21"/>
      <c r="M434" s="21"/>
      <c r="N434" s="21"/>
      <c r="O434" s="21"/>
      <c r="P434" s="21"/>
      <c r="Q434" s="21"/>
      <c r="R434" s="21"/>
      <c r="S434" s="21"/>
      <c r="T434" s="21"/>
      <c r="U434" s="21"/>
      <c r="V434" s="21"/>
      <c r="W434" s="21"/>
      <c r="X434" s="21"/>
      <c r="Y434" s="21"/>
      <c r="Z434" s="21"/>
    </row>
    <row r="435" spans="1:26" ht="15.75" customHeight="1" x14ac:dyDescent="0.25">
      <c r="A435" s="11"/>
      <c r="B435" s="22">
        <v>45756</v>
      </c>
      <c r="C435" s="11">
        <v>1215</v>
      </c>
      <c r="D435" s="11" t="s">
        <v>4</v>
      </c>
      <c r="E435" s="11" t="s">
        <v>2850</v>
      </c>
      <c r="F435" s="11" t="s">
        <v>2230</v>
      </c>
      <c r="G435" s="190" t="s">
        <v>2854</v>
      </c>
      <c r="H435" s="11" t="s">
        <v>2306</v>
      </c>
      <c r="I435" s="25">
        <v>7</v>
      </c>
      <c r="J435" s="21"/>
      <c r="K435" s="21"/>
      <c r="L435" s="21"/>
      <c r="M435" s="21"/>
      <c r="N435" s="21"/>
      <c r="O435" s="21"/>
      <c r="P435" s="21"/>
      <c r="Q435" s="21"/>
      <c r="R435" s="21"/>
      <c r="S435" s="21"/>
      <c r="T435" s="21"/>
      <c r="U435" s="21"/>
      <c r="V435" s="21"/>
      <c r="W435" s="21"/>
      <c r="X435" s="21"/>
      <c r="Y435" s="21"/>
      <c r="Z435" s="21"/>
    </row>
    <row r="436" spans="1:26" ht="15.75" customHeight="1" x14ac:dyDescent="0.25">
      <c r="A436" s="11"/>
      <c r="B436" s="22">
        <v>45757</v>
      </c>
      <c r="C436" s="11">
        <v>1216</v>
      </c>
      <c r="D436" s="11" t="s">
        <v>66</v>
      </c>
      <c r="E436" s="11" t="s">
        <v>2855</v>
      </c>
      <c r="F436" s="11"/>
      <c r="G436" s="190" t="s">
        <v>2856</v>
      </c>
      <c r="H436" s="11" t="s">
        <v>2292</v>
      </c>
      <c r="I436" s="25">
        <v>1</v>
      </c>
      <c r="J436" s="21"/>
      <c r="K436" s="21"/>
      <c r="L436" s="21"/>
      <c r="M436" s="21"/>
      <c r="N436" s="21"/>
      <c r="O436" s="21"/>
      <c r="P436" s="21"/>
      <c r="Q436" s="21"/>
      <c r="R436" s="21"/>
      <c r="S436" s="21"/>
      <c r="T436" s="21"/>
      <c r="U436" s="21"/>
      <c r="V436" s="21"/>
      <c r="W436" s="21"/>
      <c r="X436" s="21"/>
      <c r="Y436" s="21"/>
      <c r="Z436" s="21"/>
    </row>
    <row r="437" spans="1:26" ht="15.75" customHeight="1" x14ac:dyDescent="0.25">
      <c r="A437" s="11"/>
      <c r="B437" s="22">
        <v>45757</v>
      </c>
      <c r="C437" s="11">
        <v>1217</v>
      </c>
      <c r="D437" s="11" t="s">
        <v>63</v>
      </c>
      <c r="E437" s="11" t="s">
        <v>2857</v>
      </c>
      <c r="F437" s="11"/>
      <c r="G437" s="190" t="s">
        <v>2858</v>
      </c>
      <c r="H437" s="11" t="s">
        <v>2292</v>
      </c>
      <c r="I437" s="25">
        <v>1</v>
      </c>
      <c r="J437" s="21"/>
      <c r="K437" s="21"/>
      <c r="L437" s="21"/>
      <c r="M437" s="21"/>
      <c r="N437" s="21"/>
      <c r="O437" s="21"/>
      <c r="P437" s="21"/>
      <c r="Q437" s="21"/>
      <c r="R437" s="21"/>
      <c r="S437" s="21"/>
      <c r="T437" s="21"/>
      <c r="U437" s="21"/>
      <c r="V437" s="21"/>
      <c r="W437" s="21"/>
      <c r="X437" s="21"/>
      <c r="Y437" s="21"/>
      <c r="Z437" s="21"/>
    </row>
    <row r="438" spans="1:26" ht="15.75" customHeight="1" x14ac:dyDescent="0.25">
      <c r="A438" s="11"/>
      <c r="B438" s="22">
        <v>45757</v>
      </c>
      <c r="C438" s="11">
        <v>1218</v>
      </c>
      <c r="D438" s="11" t="s">
        <v>66</v>
      </c>
      <c r="E438" s="11" t="s">
        <v>2859</v>
      </c>
      <c r="F438" s="11"/>
      <c r="G438" s="190" t="s">
        <v>2860</v>
      </c>
      <c r="H438" s="11" t="s">
        <v>2292</v>
      </c>
      <c r="I438" s="25">
        <v>1</v>
      </c>
      <c r="J438" s="21"/>
      <c r="K438" s="21"/>
      <c r="L438" s="21"/>
      <c r="M438" s="21"/>
      <c r="N438" s="21"/>
      <c r="O438" s="21"/>
      <c r="P438" s="21"/>
      <c r="Q438" s="21"/>
      <c r="R438" s="21"/>
      <c r="S438" s="21"/>
      <c r="T438" s="21"/>
      <c r="U438" s="21"/>
      <c r="V438" s="21"/>
      <c r="W438" s="21"/>
      <c r="X438" s="21"/>
      <c r="Y438" s="21"/>
      <c r="Z438" s="21"/>
    </row>
    <row r="439" spans="1:26" ht="15.75" customHeight="1" x14ac:dyDescent="0.25">
      <c r="A439" s="11"/>
      <c r="B439" s="22">
        <v>45758</v>
      </c>
      <c r="C439" s="11">
        <v>1219</v>
      </c>
      <c r="D439" s="11" t="s">
        <v>41</v>
      </c>
      <c r="E439" s="11">
        <v>25900523</v>
      </c>
      <c r="F439" s="11"/>
      <c r="G439" s="190" t="s">
        <v>2861</v>
      </c>
      <c r="H439" s="11" t="s">
        <v>2306</v>
      </c>
      <c r="I439" s="25">
        <v>7</v>
      </c>
      <c r="J439" s="21"/>
      <c r="K439" s="21"/>
      <c r="L439" s="21"/>
      <c r="M439" s="21"/>
      <c r="N439" s="21"/>
      <c r="O439" s="21"/>
      <c r="P439" s="21"/>
      <c r="Q439" s="21"/>
      <c r="R439" s="21"/>
      <c r="S439" s="21"/>
      <c r="T439" s="21"/>
      <c r="U439" s="21"/>
      <c r="V439" s="21"/>
      <c r="W439" s="21"/>
      <c r="X439" s="21"/>
      <c r="Y439" s="21"/>
      <c r="Z439" s="21"/>
    </row>
    <row r="440" spans="1:26" ht="15.75" customHeight="1" x14ac:dyDescent="0.25">
      <c r="A440" s="11"/>
      <c r="B440" s="22">
        <v>45758</v>
      </c>
      <c r="C440" s="11">
        <v>1220</v>
      </c>
      <c r="D440" s="11" t="s">
        <v>41</v>
      </c>
      <c r="E440" s="11">
        <v>25900551</v>
      </c>
      <c r="F440" s="11"/>
      <c r="G440" s="190" t="s">
        <v>2862</v>
      </c>
      <c r="H440" s="11" t="s">
        <v>2306</v>
      </c>
      <c r="I440" s="25">
        <v>7</v>
      </c>
      <c r="J440" s="21"/>
      <c r="K440" s="21"/>
      <c r="L440" s="21"/>
      <c r="M440" s="21"/>
      <c r="N440" s="21"/>
      <c r="O440" s="21"/>
      <c r="P440" s="21"/>
      <c r="Q440" s="21"/>
      <c r="R440" s="21"/>
      <c r="S440" s="21"/>
      <c r="T440" s="21"/>
      <c r="U440" s="21"/>
      <c r="V440" s="21"/>
      <c r="W440" s="21"/>
      <c r="X440" s="21"/>
      <c r="Y440" s="21"/>
      <c r="Z440" s="21"/>
    </row>
    <row r="441" spans="1:26" ht="15.75" customHeight="1" x14ac:dyDescent="0.25">
      <c r="A441" s="11"/>
      <c r="B441" s="22">
        <v>45761</v>
      </c>
      <c r="C441" s="11">
        <v>1221</v>
      </c>
      <c r="D441" s="11" t="s">
        <v>2298</v>
      </c>
      <c r="E441" s="11" t="s">
        <v>2863</v>
      </c>
      <c r="F441" s="11"/>
      <c r="G441" s="190" t="s">
        <v>2864</v>
      </c>
      <c r="H441" s="11"/>
      <c r="I441" s="25">
        <v>1</v>
      </c>
      <c r="J441" s="21"/>
      <c r="K441" s="21"/>
      <c r="L441" s="21"/>
      <c r="M441" s="21"/>
      <c r="N441" s="21"/>
      <c r="O441" s="21"/>
      <c r="P441" s="21"/>
      <c r="Q441" s="21"/>
      <c r="R441" s="21"/>
      <c r="S441" s="21"/>
      <c r="T441" s="21"/>
      <c r="U441" s="21"/>
      <c r="V441" s="21"/>
      <c r="W441" s="21"/>
      <c r="X441" s="21"/>
      <c r="Y441" s="21"/>
      <c r="Z441" s="21"/>
    </row>
    <row r="442" spans="1:26" ht="15.75" customHeight="1" x14ac:dyDescent="0.25">
      <c r="A442" s="11"/>
      <c r="B442" s="22">
        <v>45761</v>
      </c>
      <c r="C442" s="11">
        <v>1222</v>
      </c>
      <c r="D442" s="11" t="s">
        <v>63</v>
      </c>
      <c r="E442" s="11" t="s">
        <v>2865</v>
      </c>
      <c r="F442" s="11"/>
      <c r="G442" s="190" t="s">
        <v>2866</v>
      </c>
      <c r="H442" s="11"/>
      <c r="I442" s="25">
        <v>1</v>
      </c>
      <c r="J442" s="21"/>
      <c r="K442" s="21"/>
      <c r="L442" s="21"/>
      <c r="M442" s="21"/>
      <c r="N442" s="21"/>
      <c r="O442" s="21"/>
      <c r="P442" s="21"/>
      <c r="Q442" s="21"/>
      <c r="R442" s="21"/>
      <c r="S442" s="21"/>
      <c r="T442" s="21"/>
      <c r="U442" s="21"/>
      <c r="V442" s="21"/>
      <c r="W442" s="21"/>
      <c r="X442" s="21"/>
      <c r="Y442" s="21"/>
      <c r="Z442" s="21"/>
    </row>
    <row r="443" spans="1:26" ht="15.75" customHeight="1" x14ac:dyDescent="0.25">
      <c r="A443" s="11"/>
      <c r="B443" s="22">
        <v>45764</v>
      </c>
      <c r="C443" s="11">
        <v>1223</v>
      </c>
      <c r="D443" s="11" t="s">
        <v>66</v>
      </c>
      <c r="E443" s="11" t="s">
        <v>2867</v>
      </c>
      <c r="F443" s="11"/>
      <c r="G443" s="190" t="s">
        <v>2869</v>
      </c>
      <c r="H443" s="11"/>
      <c r="I443" s="25" t="s">
        <v>2868</v>
      </c>
      <c r="J443" s="21"/>
      <c r="K443" s="21"/>
      <c r="L443" s="21"/>
      <c r="M443" s="21"/>
      <c r="N443" s="21"/>
      <c r="O443" s="21"/>
      <c r="P443" s="21"/>
      <c r="Q443" s="21"/>
      <c r="R443" s="21"/>
      <c r="S443" s="21"/>
      <c r="T443" s="21"/>
      <c r="U443" s="21"/>
      <c r="V443" s="21"/>
      <c r="W443" s="21"/>
      <c r="X443" s="21"/>
      <c r="Y443" s="21"/>
      <c r="Z443" s="21"/>
    </row>
    <row r="444" spans="1:26" ht="15.75" customHeight="1" x14ac:dyDescent="0.25">
      <c r="A444" s="11"/>
      <c r="B444" s="22">
        <v>45766</v>
      </c>
      <c r="C444" s="11">
        <v>1224</v>
      </c>
      <c r="D444" s="11" t="s">
        <v>2623</v>
      </c>
      <c r="E444" s="11">
        <v>4500409407</v>
      </c>
      <c r="F444" s="11"/>
      <c r="G444" s="190" t="s">
        <v>2871</v>
      </c>
      <c r="H444" s="11"/>
      <c r="I444" s="25" t="s">
        <v>2870</v>
      </c>
      <c r="J444" s="21"/>
      <c r="K444" s="21"/>
      <c r="L444" s="21"/>
      <c r="M444" s="21"/>
      <c r="N444" s="21"/>
      <c r="O444" s="21"/>
      <c r="P444" s="21"/>
      <c r="Q444" s="21"/>
      <c r="R444" s="21"/>
      <c r="S444" s="21"/>
      <c r="T444" s="21"/>
      <c r="U444" s="21"/>
      <c r="V444" s="21"/>
      <c r="W444" s="21"/>
      <c r="X444" s="21"/>
      <c r="Y444" s="21"/>
      <c r="Z444" s="21"/>
    </row>
    <row r="445" spans="1:26" ht="15.75" customHeight="1" x14ac:dyDescent="0.25">
      <c r="A445" s="11"/>
      <c r="B445" s="22">
        <v>45766</v>
      </c>
      <c r="C445" s="11">
        <v>1224</v>
      </c>
      <c r="D445" s="11" t="s">
        <v>2623</v>
      </c>
      <c r="E445" s="11">
        <v>4500409407</v>
      </c>
      <c r="F445" s="11"/>
      <c r="G445" s="190" t="s">
        <v>2872</v>
      </c>
      <c r="H445" s="11"/>
      <c r="I445" s="25" t="s">
        <v>2870</v>
      </c>
      <c r="J445" s="21"/>
      <c r="K445" s="21"/>
      <c r="L445" s="21"/>
      <c r="M445" s="21"/>
      <c r="N445" s="21"/>
      <c r="O445" s="21"/>
      <c r="P445" s="21"/>
      <c r="Q445" s="21"/>
      <c r="R445" s="21"/>
      <c r="S445" s="21"/>
      <c r="T445" s="21"/>
      <c r="U445" s="21"/>
      <c r="V445" s="21"/>
      <c r="W445" s="21"/>
      <c r="X445" s="21"/>
      <c r="Y445" s="21"/>
      <c r="Z445" s="21"/>
    </row>
    <row r="446" spans="1:26" ht="15.75" customHeight="1" x14ac:dyDescent="0.25">
      <c r="A446" s="11"/>
      <c r="B446" s="22">
        <v>45766</v>
      </c>
      <c r="C446" s="11">
        <v>1225</v>
      </c>
      <c r="D446" s="11" t="s">
        <v>2311</v>
      </c>
      <c r="E446" s="11">
        <v>4000281068</v>
      </c>
      <c r="F446" s="11"/>
      <c r="G446" s="190" t="s">
        <v>2873</v>
      </c>
      <c r="H446" s="11"/>
      <c r="I446" s="25">
        <v>7</v>
      </c>
      <c r="J446" s="21"/>
      <c r="K446" s="21"/>
      <c r="L446" s="21"/>
      <c r="M446" s="21"/>
      <c r="N446" s="21"/>
      <c r="O446" s="21"/>
      <c r="P446" s="21"/>
      <c r="Q446" s="21"/>
      <c r="R446" s="21"/>
      <c r="S446" s="21"/>
      <c r="T446" s="21"/>
      <c r="U446" s="21"/>
      <c r="V446" s="21"/>
      <c r="W446" s="21"/>
      <c r="X446" s="21"/>
      <c r="Y446" s="21"/>
      <c r="Z446" s="21"/>
    </row>
    <row r="447" spans="1:26" ht="15.75" customHeight="1" x14ac:dyDescent="0.25">
      <c r="A447" s="11"/>
      <c r="B447" s="22">
        <v>45768</v>
      </c>
      <c r="C447" s="11">
        <v>1226</v>
      </c>
      <c r="D447" s="11" t="s">
        <v>41</v>
      </c>
      <c r="E447" s="11">
        <v>25900478</v>
      </c>
      <c r="F447" s="11"/>
      <c r="G447" s="190" t="s">
        <v>2874</v>
      </c>
      <c r="H447" s="11"/>
      <c r="I447" s="25">
        <v>1</v>
      </c>
      <c r="J447" s="21"/>
      <c r="K447" s="21"/>
      <c r="L447" s="21"/>
      <c r="M447" s="21"/>
      <c r="N447" s="21"/>
      <c r="O447" s="21"/>
      <c r="P447" s="21"/>
      <c r="Q447" s="21"/>
      <c r="R447" s="21"/>
      <c r="S447" s="21"/>
      <c r="T447" s="21"/>
      <c r="U447" s="21"/>
      <c r="V447" s="21"/>
      <c r="W447" s="21"/>
      <c r="X447" s="21"/>
      <c r="Y447" s="21"/>
      <c r="Z447" s="21"/>
    </row>
    <row r="448" spans="1:26" ht="15.75" customHeight="1" x14ac:dyDescent="0.25">
      <c r="A448" s="11"/>
      <c r="B448" s="22">
        <v>45768</v>
      </c>
      <c r="C448" s="11">
        <v>1227</v>
      </c>
      <c r="D448" s="11" t="s">
        <v>41</v>
      </c>
      <c r="E448" s="11">
        <v>25900559</v>
      </c>
      <c r="F448" s="11"/>
      <c r="G448" s="190" t="s">
        <v>2877</v>
      </c>
      <c r="H448" s="11" t="s">
        <v>2876</v>
      </c>
      <c r="I448" s="25" t="s">
        <v>2875</v>
      </c>
      <c r="J448" s="21"/>
      <c r="K448" s="21"/>
      <c r="L448" s="21"/>
      <c r="M448" s="21"/>
      <c r="N448" s="21"/>
      <c r="O448" s="21"/>
      <c r="P448" s="21"/>
      <c r="Q448" s="21"/>
      <c r="R448" s="21"/>
      <c r="S448" s="21"/>
      <c r="T448" s="21"/>
      <c r="U448" s="21"/>
      <c r="V448" s="21"/>
      <c r="W448" s="21"/>
      <c r="X448" s="21"/>
      <c r="Y448" s="21"/>
      <c r="Z448" s="21"/>
    </row>
    <row r="449" spans="1:26" ht="15.75" customHeight="1" x14ac:dyDescent="0.25">
      <c r="A449" s="11"/>
      <c r="B449" s="22">
        <v>45768</v>
      </c>
      <c r="C449" s="11">
        <v>1227</v>
      </c>
      <c r="D449" s="11" t="s">
        <v>2971</v>
      </c>
      <c r="E449" s="11">
        <v>25900559</v>
      </c>
      <c r="F449" s="11" t="s">
        <v>2230</v>
      </c>
      <c r="G449" s="190" t="s">
        <v>2992</v>
      </c>
      <c r="H449" s="11" t="s">
        <v>2991</v>
      </c>
      <c r="I449" s="25" t="s">
        <v>2990</v>
      </c>
      <c r="J449" s="21"/>
      <c r="K449" s="21"/>
      <c r="L449" s="21"/>
      <c r="M449" s="21"/>
      <c r="N449" s="21"/>
      <c r="O449" s="21"/>
      <c r="P449" s="21"/>
      <c r="Q449" s="21"/>
      <c r="R449" s="21"/>
      <c r="S449" s="21"/>
      <c r="T449" s="21"/>
      <c r="U449" s="21"/>
      <c r="V449" s="21"/>
      <c r="W449" s="21"/>
      <c r="X449" s="21"/>
      <c r="Y449" s="21"/>
      <c r="Z449" s="21"/>
    </row>
    <row r="450" spans="1:26" ht="15.75" customHeight="1" x14ac:dyDescent="0.25">
      <c r="A450" s="11"/>
      <c r="B450" s="22">
        <v>45768</v>
      </c>
      <c r="C450" s="11">
        <v>1228</v>
      </c>
      <c r="D450" s="11" t="s">
        <v>66</v>
      </c>
      <c r="E450" s="11" t="s">
        <v>2878</v>
      </c>
      <c r="F450" s="11"/>
      <c r="G450" s="190" t="s">
        <v>2879</v>
      </c>
      <c r="H450" s="11" t="s">
        <v>2292</v>
      </c>
      <c r="I450" s="25">
        <v>1</v>
      </c>
      <c r="J450" s="21"/>
      <c r="K450" s="21"/>
      <c r="L450" s="21"/>
      <c r="M450" s="21"/>
      <c r="N450" s="21"/>
      <c r="O450" s="21"/>
      <c r="P450" s="21"/>
      <c r="Q450" s="21"/>
      <c r="R450" s="21"/>
      <c r="S450" s="21"/>
      <c r="T450" s="21"/>
      <c r="U450" s="21"/>
      <c r="V450" s="21"/>
      <c r="W450" s="21"/>
      <c r="X450" s="21"/>
      <c r="Y450" s="21"/>
      <c r="Z450" s="21"/>
    </row>
    <row r="451" spans="1:26" ht="15.75" customHeight="1" x14ac:dyDescent="0.25">
      <c r="A451" s="11"/>
      <c r="B451" s="22">
        <v>45769</v>
      </c>
      <c r="C451" s="11">
        <v>1229</v>
      </c>
      <c r="D451" s="11" t="s">
        <v>4</v>
      </c>
      <c r="E451" s="11" t="s">
        <v>2841</v>
      </c>
      <c r="F451" s="11"/>
      <c r="G451" s="190" t="s">
        <v>2882</v>
      </c>
      <c r="H451" s="11" t="s">
        <v>2881</v>
      </c>
      <c r="I451" s="25" t="s">
        <v>2880</v>
      </c>
      <c r="J451" s="21"/>
      <c r="K451" s="21"/>
      <c r="L451" s="21"/>
      <c r="M451" s="21"/>
      <c r="N451" s="21"/>
      <c r="O451" s="21"/>
      <c r="P451" s="21"/>
      <c r="Q451" s="21"/>
      <c r="R451" s="21"/>
      <c r="S451" s="21"/>
      <c r="T451" s="21"/>
      <c r="U451" s="21"/>
      <c r="V451" s="21"/>
      <c r="W451" s="21"/>
      <c r="X451" s="21"/>
      <c r="Y451" s="21"/>
      <c r="Z451" s="21"/>
    </row>
    <row r="452" spans="1:26" ht="15.75" customHeight="1" x14ac:dyDescent="0.25">
      <c r="A452" s="11"/>
      <c r="B452" s="22">
        <v>45769</v>
      </c>
      <c r="C452" s="11">
        <v>1230</v>
      </c>
      <c r="D452" s="11" t="s">
        <v>2623</v>
      </c>
      <c r="E452" s="11">
        <v>4500409407</v>
      </c>
      <c r="F452" s="11"/>
      <c r="G452" s="190" t="s">
        <v>2885</v>
      </c>
      <c r="H452" s="11" t="s">
        <v>2884</v>
      </c>
      <c r="I452" s="25" t="s">
        <v>2883</v>
      </c>
      <c r="J452" s="21"/>
      <c r="K452" s="21"/>
      <c r="L452" s="21"/>
      <c r="M452" s="21"/>
      <c r="N452" s="21"/>
      <c r="O452" s="21"/>
      <c r="P452" s="21"/>
      <c r="Q452" s="21"/>
      <c r="R452" s="21"/>
      <c r="S452" s="21"/>
      <c r="T452" s="21"/>
      <c r="U452" s="21"/>
      <c r="V452" s="21"/>
      <c r="W452" s="21"/>
      <c r="X452" s="21"/>
      <c r="Y452" s="21"/>
      <c r="Z452" s="21"/>
    </row>
    <row r="453" spans="1:26" ht="15.75" customHeight="1" x14ac:dyDescent="0.25">
      <c r="A453" s="11"/>
      <c r="B453" s="22">
        <v>45769</v>
      </c>
      <c r="C453" s="11">
        <v>1231</v>
      </c>
      <c r="D453" s="11" t="s">
        <v>41</v>
      </c>
      <c r="E453" s="11">
        <v>25900226</v>
      </c>
      <c r="F453" s="11"/>
      <c r="G453" s="190" t="s">
        <v>2886</v>
      </c>
      <c r="H453" s="11" t="s">
        <v>2292</v>
      </c>
      <c r="I453" s="25">
        <v>7</v>
      </c>
      <c r="J453" s="21"/>
      <c r="K453" s="21"/>
      <c r="L453" s="21"/>
      <c r="M453" s="21"/>
      <c r="N453" s="21"/>
      <c r="O453" s="21"/>
      <c r="P453" s="21"/>
      <c r="Q453" s="21"/>
      <c r="R453" s="21"/>
      <c r="S453" s="21"/>
      <c r="T453" s="21"/>
      <c r="U453" s="21"/>
      <c r="V453" s="21"/>
      <c r="W453" s="21"/>
      <c r="X453" s="21"/>
      <c r="Y453" s="21"/>
      <c r="Z453" s="21"/>
    </row>
    <row r="454" spans="1:26" ht="15.75" customHeight="1" x14ac:dyDescent="0.25">
      <c r="A454" s="11"/>
      <c r="B454" s="22">
        <v>45770</v>
      </c>
      <c r="C454" s="11">
        <v>1232</v>
      </c>
      <c r="D454" s="11" t="s">
        <v>4</v>
      </c>
      <c r="E454" s="11" t="s">
        <v>2887</v>
      </c>
      <c r="F454" s="11"/>
      <c r="G454" s="190" t="s">
        <v>2899</v>
      </c>
      <c r="H454" s="11" t="s">
        <v>2898</v>
      </c>
      <c r="I454" s="25" t="s">
        <v>2897</v>
      </c>
      <c r="J454" s="21"/>
      <c r="K454" s="21"/>
      <c r="L454" s="21"/>
      <c r="M454" s="21"/>
      <c r="N454" s="21"/>
      <c r="O454" s="21"/>
      <c r="P454" s="21"/>
      <c r="Q454" s="21"/>
      <c r="R454" s="21"/>
      <c r="S454" s="21"/>
      <c r="T454" s="21"/>
      <c r="U454" s="21"/>
      <c r="V454" s="21"/>
      <c r="W454" s="21"/>
      <c r="X454" s="21"/>
      <c r="Y454" s="21"/>
      <c r="Z454" s="21"/>
    </row>
    <row r="455" spans="1:26" ht="15.75" customHeight="1" x14ac:dyDescent="0.25">
      <c r="A455" s="11"/>
      <c r="B455" s="22">
        <v>45770</v>
      </c>
      <c r="C455" s="11">
        <v>1233</v>
      </c>
      <c r="D455" s="11" t="s">
        <v>4</v>
      </c>
      <c r="E455" s="11" t="s">
        <v>2887</v>
      </c>
      <c r="F455" s="11"/>
      <c r="G455" s="190" t="s">
        <v>2917</v>
      </c>
      <c r="H455" s="11" t="s">
        <v>2916</v>
      </c>
      <c r="I455" s="25" t="s">
        <v>2915</v>
      </c>
      <c r="J455" s="21"/>
      <c r="K455" s="21"/>
      <c r="L455" s="21"/>
      <c r="M455" s="21"/>
      <c r="N455" s="21"/>
      <c r="O455" s="21"/>
      <c r="P455" s="21"/>
      <c r="Q455" s="21"/>
      <c r="R455" s="21"/>
      <c r="S455" s="21"/>
      <c r="T455" s="21"/>
      <c r="U455" s="21"/>
      <c r="V455" s="21"/>
      <c r="W455" s="21"/>
      <c r="X455" s="21"/>
      <c r="Y455" s="21"/>
      <c r="Z455" s="21"/>
    </row>
    <row r="456" spans="1:26" ht="15.75" customHeight="1" x14ac:dyDescent="0.25">
      <c r="A456" s="11"/>
      <c r="B456" s="22">
        <v>45771</v>
      </c>
      <c r="C456" s="11">
        <v>1234</v>
      </c>
      <c r="D456" s="11" t="s">
        <v>63</v>
      </c>
      <c r="E456" s="11" t="s">
        <v>2918</v>
      </c>
      <c r="F456" s="11"/>
      <c r="G456" s="190" t="s">
        <v>2919</v>
      </c>
      <c r="H456" s="11" t="s">
        <v>2292</v>
      </c>
      <c r="I456" s="25">
        <v>1</v>
      </c>
      <c r="J456" s="21"/>
      <c r="K456" s="21"/>
      <c r="L456" s="21"/>
      <c r="M456" s="21"/>
      <c r="N456" s="21"/>
      <c r="O456" s="21"/>
      <c r="P456" s="21"/>
      <c r="Q456" s="21"/>
      <c r="R456" s="21"/>
      <c r="S456" s="21"/>
      <c r="T456" s="21"/>
      <c r="U456" s="21"/>
      <c r="V456" s="21"/>
      <c r="W456" s="21"/>
      <c r="X456" s="21"/>
      <c r="Y456" s="21"/>
      <c r="Z456" s="21"/>
    </row>
    <row r="457" spans="1:26" ht="15.75" customHeight="1" x14ac:dyDescent="0.25">
      <c r="A457" s="11"/>
      <c r="B457" s="22">
        <v>45773</v>
      </c>
      <c r="C457" s="11">
        <v>1235</v>
      </c>
      <c r="D457" s="11" t="s">
        <v>4</v>
      </c>
      <c r="E457" s="11" t="s">
        <v>2887</v>
      </c>
      <c r="F457" s="11"/>
      <c r="G457" s="190" t="s">
        <v>2922</v>
      </c>
      <c r="H457" s="11" t="s">
        <v>2921</v>
      </c>
      <c r="I457" s="25" t="s">
        <v>2920</v>
      </c>
      <c r="J457" s="21"/>
      <c r="K457" s="21"/>
      <c r="L457" s="21"/>
      <c r="M457" s="21"/>
      <c r="N457" s="21"/>
      <c r="O457" s="21"/>
      <c r="P457" s="21"/>
      <c r="Q457" s="21"/>
      <c r="R457" s="21"/>
      <c r="S457" s="21"/>
      <c r="T457" s="21"/>
      <c r="U457" s="21"/>
      <c r="V457" s="21"/>
      <c r="W457" s="21"/>
      <c r="X457" s="21"/>
      <c r="Y457" s="21"/>
      <c r="Z457" s="21"/>
    </row>
    <row r="458" spans="1:26" ht="15.75" customHeight="1" x14ac:dyDescent="0.25">
      <c r="A458" s="11"/>
      <c r="B458" s="22">
        <v>45776</v>
      </c>
      <c r="C458" s="11">
        <v>1235</v>
      </c>
      <c r="D458" s="11" t="s">
        <v>4</v>
      </c>
      <c r="E458" s="11" t="s">
        <v>2887</v>
      </c>
      <c r="F458" s="11"/>
      <c r="G458" s="190" t="s">
        <v>2922</v>
      </c>
      <c r="H458" s="11" t="s">
        <v>2921</v>
      </c>
      <c r="I458" s="25" t="s">
        <v>2920</v>
      </c>
      <c r="J458" s="21"/>
      <c r="K458" s="21"/>
      <c r="L458" s="21"/>
      <c r="M458" s="21"/>
      <c r="N458" s="21"/>
      <c r="O458" s="21"/>
      <c r="P458" s="21"/>
      <c r="Q458" s="21"/>
      <c r="R458" s="21"/>
      <c r="S458" s="21"/>
      <c r="T458" s="21"/>
      <c r="U458" s="21"/>
      <c r="V458" s="21"/>
      <c r="W458" s="21"/>
      <c r="X458" s="21"/>
      <c r="Y458" s="21"/>
      <c r="Z458" s="21"/>
    </row>
    <row r="459" spans="1:26" ht="15.75" customHeight="1" x14ac:dyDescent="0.25">
      <c r="A459" s="11"/>
      <c r="B459" s="22">
        <v>45773</v>
      </c>
      <c r="C459" s="11">
        <v>1236</v>
      </c>
      <c r="D459" s="11" t="s">
        <v>4</v>
      </c>
      <c r="E459" s="11" t="s">
        <v>2923</v>
      </c>
      <c r="F459" s="11"/>
      <c r="G459" s="190" t="s">
        <v>2926</v>
      </c>
      <c r="H459" s="11" t="s">
        <v>2925</v>
      </c>
      <c r="I459" s="25" t="s">
        <v>2924</v>
      </c>
      <c r="J459" s="21"/>
      <c r="K459" s="21"/>
      <c r="L459" s="21"/>
      <c r="M459" s="21"/>
      <c r="N459" s="21"/>
      <c r="O459" s="21"/>
      <c r="P459" s="21"/>
      <c r="Q459" s="21"/>
      <c r="R459" s="21"/>
      <c r="S459" s="21"/>
      <c r="T459" s="21"/>
      <c r="U459" s="21"/>
      <c r="V459" s="21"/>
      <c r="W459" s="21"/>
      <c r="X459" s="21"/>
      <c r="Y459" s="21"/>
      <c r="Z459" s="21"/>
    </row>
    <row r="460" spans="1:26" ht="15.75" customHeight="1" x14ac:dyDescent="0.25">
      <c r="A460" s="11"/>
      <c r="B460" s="22">
        <v>45773</v>
      </c>
      <c r="C460" s="11">
        <v>1236</v>
      </c>
      <c r="D460" s="11" t="s">
        <v>4</v>
      </c>
      <c r="E460" s="11" t="s">
        <v>2923</v>
      </c>
      <c r="F460" s="11"/>
      <c r="G460" s="190" t="s">
        <v>2936</v>
      </c>
      <c r="H460" s="11" t="s">
        <v>2935</v>
      </c>
      <c r="I460" s="25" t="s">
        <v>2924</v>
      </c>
      <c r="J460" s="21"/>
      <c r="K460" s="21"/>
      <c r="L460" s="21"/>
      <c r="M460" s="21"/>
      <c r="N460" s="21"/>
      <c r="O460" s="21"/>
      <c r="P460" s="21"/>
      <c r="Q460" s="21"/>
      <c r="R460" s="21"/>
      <c r="S460" s="21"/>
      <c r="T460" s="21"/>
      <c r="U460" s="21"/>
      <c r="V460" s="21"/>
      <c r="W460" s="21"/>
      <c r="X460" s="21"/>
      <c r="Y460" s="21"/>
      <c r="Z460" s="21"/>
    </row>
    <row r="461" spans="1:26" ht="15.75" customHeight="1" x14ac:dyDescent="0.25">
      <c r="A461" s="11"/>
      <c r="B461" s="22">
        <v>45775</v>
      </c>
      <c r="C461" s="11">
        <v>1237</v>
      </c>
      <c r="D461" s="11" t="s">
        <v>41</v>
      </c>
      <c r="E461" s="11">
        <v>25900080</v>
      </c>
      <c r="F461" s="11"/>
      <c r="G461" s="190" t="s">
        <v>2929</v>
      </c>
      <c r="H461" s="11" t="s">
        <v>2928</v>
      </c>
      <c r="I461" s="25" t="s">
        <v>2927</v>
      </c>
      <c r="J461" s="21"/>
      <c r="K461" s="21"/>
      <c r="L461" s="21"/>
      <c r="M461" s="21"/>
      <c r="N461" s="21"/>
      <c r="O461" s="21"/>
      <c r="P461" s="21"/>
      <c r="Q461" s="21"/>
      <c r="R461" s="21"/>
      <c r="S461" s="21"/>
      <c r="T461" s="21"/>
      <c r="U461" s="21"/>
      <c r="V461" s="21"/>
      <c r="W461" s="21"/>
      <c r="X461" s="21"/>
      <c r="Y461" s="21"/>
      <c r="Z461" s="21"/>
    </row>
    <row r="462" spans="1:26" ht="15.75" customHeight="1" x14ac:dyDescent="0.25">
      <c r="A462" s="11"/>
      <c r="B462" s="22">
        <v>45775</v>
      </c>
      <c r="C462" s="11">
        <v>1237</v>
      </c>
      <c r="D462" s="11" t="s">
        <v>41</v>
      </c>
      <c r="E462" s="11">
        <v>25900080</v>
      </c>
      <c r="F462" s="11"/>
      <c r="G462" s="190" t="s">
        <v>2929</v>
      </c>
      <c r="H462" s="11" t="s">
        <v>2928</v>
      </c>
      <c r="I462" s="25" t="s">
        <v>2930</v>
      </c>
      <c r="J462" s="21"/>
      <c r="K462" s="21"/>
      <c r="L462" s="21"/>
      <c r="M462" s="21"/>
      <c r="N462" s="21"/>
      <c r="O462" s="21"/>
      <c r="P462" s="21"/>
      <c r="Q462" s="21"/>
      <c r="R462" s="21"/>
      <c r="S462" s="21"/>
      <c r="T462" s="21"/>
      <c r="U462" s="21"/>
      <c r="V462" s="21"/>
      <c r="W462" s="21"/>
      <c r="X462" s="21"/>
      <c r="Y462" s="21"/>
      <c r="Z462" s="21"/>
    </row>
    <row r="463" spans="1:26" ht="15.75" customHeight="1" x14ac:dyDescent="0.25">
      <c r="A463" s="11"/>
      <c r="B463" s="22">
        <v>45775</v>
      </c>
      <c r="C463" s="11">
        <v>1238</v>
      </c>
      <c r="D463" s="11" t="s">
        <v>41</v>
      </c>
      <c r="E463" s="11">
        <v>25900610</v>
      </c>
      <c r="F463" s="11"/>
      <c r="G463" s="190" t="s">
        <v>2931</v>
      </c>
      <c r="H463" s="11" t="s">
        <v>2306</v>
      </c>
      <c r="I463" s="25">
        <v>7</v>
      </c>
      <c r="J463" s="21"/>
      <c r="K463" s="21"/>
      <c r="L463" s="21"/>
      <c r="M463" s="21"/>
      <c r="N463" s="21"/>
      <c r="O463" s="21"/>
      <c r="P463" s="21"/>
      <c r="Q463" s="21"/>
      <c r="R463" s="21"/>
      <c r="S463" s="21"/>
      <c r="T463" s="21"/>
      <c r="U463" s="21"/>
      <c r="V463" s="21"/>
      <c r="W463" s="21"/>
      <c r="X463" s="21"/>
      <c r="Y463" s="21"/>
      <c r="Z463" s="21"/>
    </row>
    <row r="464" spans="1:26" ht="15.75" customHeight="1" x14ac:dyDescent="0.25">
      <c r="A464" s="11"/>
      <c r="B464" s="22">
        <v>45776</v>
      </c>
      <c r="C464" s="11">
        <v>1239</v>
      </c>
      <c r="D464" s="11" t="s">
        <v>4</v>
      </c>
      <c r="E464" s="11" t="s">
        <v>2887</v>
      </c>
      <c r="F464" s="11"/>
      <c r="G464" s="190" t="s">
        <v>2933</v>
      </c>
      <c r="H464" s="11" t="s">
        <v>2932</v>
      </c>
      <c r="I464" s="25" t="s">
        <v>2932</v>
      </c>
      <c r="J464" s="21"/>
      <c r="K464" s="21"/>
      <c r="L464" s="21"/>
      <c r="M464" s="21"/>
      <c r="N464" s="21"/>
      <c r="O464" s="21"/>
      <c r="P464" s="21"/>
      <c r="Q464" s="21"/>
      <c r="R464" s="21"/>
      <c r="S464" s="21"/>
      <c r="T464" s="21"/>
      <c r="U464" s="21"/>
      <c r="V464" s="21"/>
      <c r="W464" s="21"/>
      <c r="X464" s="21"/>
      <c r="Y464" s="21"/>
      <c r="Z464" s="21"/>
    </row>
    <row r="465" spans="1:26" ht="15.75" customHeight="1" x14ac:dyDescent="0.25">
      <c r="A465" s="11"/>
      <c r="B465" s="22">
        <v>45776</v>
      </c>
      <c r="C465" s="11">
        <v>1240</v>
      </c>
      <c r="D465" s="11" t="s">
        <v>2311</v>
      </c>
      <c r="E465" s="11">
        <v>4000281328</v>
      </c>
      <c r="F465" s="11"/>
      <c r="G465" s="190" t="s">
        <v>2934</v>
      </c>
      <c r="H465" s="11" t="s">
        <v>2292</v>
      </c>
      <c r="I465" s="25">
        <v>1</v>
      </c>
      <c r="J465" s="21"/>
      <c r="K465" s="21"/>
      <c r="L465" s="21"/>
      <c r="M465" s="21"/>
      <c r="N465" s="21"/>
      <c r="O465" s="21"/>
      <c r="P465" s="21"/>
      <c r="Q465" s="21"/>
      <c r="R465" s="21"/>
      <c r="S465" s="21"/>
      <c r="T465" s="21"/>
      <c r="U465" s="21"/>
      <c r="V465" s="21"/>
      <c r="W465" s="21"/>
      <c r="X465" s="21"/>
      <c r="Y465" s="21"/>
      <c r="Z465" s="21"/>
    </row>
    <row r="466" spans="1:26" ht="15.75" customHeight="1" x14ac:dyDescent="0.25">
      <c r="A466" s="11"/>
      <c r="B466" s="22">
        <v>45779</v>
      </c>
      <c r="C466" s="11">
        <v>1241</v>
      </c>
      <c r="D466" s="11" t="s">
        <v>2298</v>
      </c>
      <c r="E466" s="11" t="s">
        <v>2937</v>
      </c>
      <c r="F466" s="11"/>
      <c r="G466" s="190" t="s">
        <v>2938</v>
      </c>
      <c r="H466" s="11" t="s">
        <v>2292</v>
      </c>
      <c r="I466" s="25">
        <v>1</v>
      </c>
      <c r="J466" s="21"/>
      <c r="K466" s="21"/>
      <c r="L466" s="21"/>
      <c r="M466" s="21"/>
      <c r="N466" s="21"/>
      <c r="O466" s="21"/>
      <c r="P466" s="21"/>
      <c r="Q466" s="21"/>
      <c r="R466" s="21"/>
      <c r="S466" s="21"/>
      <c r="T466" s="21"/>
      <c r="U466" s="21"/>
      <c r="V466" s="21"/>
      <c r="W466" s="21"/>
      <c r="X466" s="21"/>
      <c r="Y466" s="21"/>
      <c r="Z466" s="21"/>
    </row>
    <row r="467" spans="1:26" ht="15.75" customHeight="1" x14ac:dyDescent="0.25">
      <c r="A467" s="11"/>
      <c r="B467" s="22">
        <v>45780</v>
      </c>
      <c r="C467" s="11">
        <v>1242</v>
      </c>
      <c r="D467" s="11" t="s">
        <v>66</v>
      </c>
      <c r="E467" s="11" t="s">
        <v>2939</v>
      </c>
      <c r="F467" s="11"/>
      <c r="G467" s="190" t="s">
        <v>2940</v>
      </c>
      <c r="H467" s="11" t="s">
        <v>2292</v>
      </c>
      <c r="I467" s="25">
        <v>1</v>
      </c>
      <c r="J467" s="21"/>
      <c r="K467" s="21"/>
      <c r="L467" s="21"/>
      <c r="M467" s="21"/>
      <c r="N467" s="21"/>
      <c r="O467" s="21"/>
      <c r="P467" s="21"/>
      <c r="Q467" s="21"/>
      <c r="R467" s="21"/>
      <c r="S467" s="21"/>
      <c r="T467" s="21"/>
      <c r="U467" s="21"/>
      <c r="V467" s="21"/>
      <c r="W467" s="21"/>
      <c r="X467" s="21"/>
      <c r="Y467" s="21"/>
      <c r="Z467" s="21"/>
    </row>
    <row r="468" spans="1:26" ht="15.75" customHeight="1" x14ac:dyDescent="0.25">
      <c r="A468" s="11"/>
      <c r="B468" s="22">
        <v>45782</v>
      </c>
      <c r="C468" s="11">
        <v>1243</v>
      </c>
      <c r="D468" s="11" t="s">
        <v>160</v>
      </c>
      <c r="E468" s="11" t="s">
        <v>2941</v>
      </c>
      <c r="F468" s="11"/>
      <c r="G468" s="190" t="s">
        <v>2942</v>
      </c>
      <c r="H468" s="11" t="s">
        <v>2306</v>
      </c>
      <c r="I468" s="25">
        <v>7</v>
      </c>
      <c r="J468" s="21"/>
      <c r="K468" s="21"/>
      <c r="L468" s="21"/>
      <c r="M468" s="21"/>
      <c r="N468" s="21"/>
      <c r="O468" s="21"/>
      <c r="P468" s="21"/>
      <c r="Q468" s="21"/>
      <c r="R468" s="21"/>
      <c r="S468" s="21"/>
      <c r="T468" s="21"/>
      <c r="U468" s="21"/>
      <c r="V468" s="21"/>
      <c r="W468" s="21"/>
      <c r="X468" s="21"/>
      <c r="Y468" s="21"/>
      <c r="Z468" s="21"/>
    </row>
    <row r="469" spans="1:26" ht="15.75" customHeight="1" x14ac:dyDescent="0.25">
      <c r="A469" s="11"/>
      <c r="B469" s="22">
        <v>45782</v>
      </c>
      <c r="C469" s="11">
        <v>1244</v>
      </c>
      <c r="D469" s="11" t="s">
        <v>44</v>
      </c>
      <c r="E469" s="11">
        <v>4714045551</v>
      </c>
      <c r="F469" s="11"/>
      <c r="G469" s="190" t="s">
        <v>2943</v>
      </c>
      <c r="H469" s="11" t="s">
        <v>2306</v>
      </c>
      <c r="I469" s="25">
        <v>7</v>
      </c>
      <c r="J469" s="21"/>
      <c r="K469" s="21"/>
      <c r="L469" s="21"/>
      <c r="M469" s="21"/>
      <c r="N469" s="21"/>
      <c r="O469" s="21"/>
      <c r="P469" s="21"/>
      <c r="Q469" s="21"/>
      <c r="R469" s="21"/>
      <c r="S469" s="21"/>
      <c r="T469" s="21"/>
      <c r="U469" s="21"/>
      <c r="V469" s="21"/>
      <c r="W469" s="21"/>
      <c r="X469" s="21"/>
      <c r="Y469" s="21"/>
      <c r="Z469" s="21"/>
    </row>
    <row r="470" spans="1:26" ht="15.75" customHeight="1" x14ac:dyDescent="0.25">
      <c r="A470" s="11"/>
      <c r="B470" s="22">
        <v>45782</v>
      </c>
      <c r="C470" s="11">
        <v>1245</v>
      </c>
      <c r="D470" s="11" t="s">
        <v>66</v>
      </c>
      <c r="E470" s="11" t="s">
        <v>2944</v>
      </c>
      <c r="F470" s="11"/>
      <c r="G470" s="190" t="s">
        <v>2945</v>
      </c>
      <c r="H470" s="11" t="s">
        <v>2292</v>
      </c>
      <c r="I470" s="25">
        <v>1</v>
      </c>
      <c r="J470" s="21"/>
      <c r="K470" s="21"/>
      <c r="L470" s="21"/>
      <c r="M470" s="21"/>
      <c r="N470" s="21"/>
      <c r="O470" s="21"/>
      <c r="P470" s="21"/>
      <c r="Q470" s="21"/>
      <c r="R470" s="21"/>
      <c r="S470" s="21"/>
      <c r="T470" s="21"/>
      <c r="U470" s="21"/>
      <c r="V470" s="21"/>
      <c r="W470" s="21"/>
      <c r="X470" s="21"/>
      <c r="Y470" s="21"/>
      <c r="Z470" s="21"/>
    </row>
    <row r="471" spans="1:26" ht="15.75" customHeight="1" x14ac:dyDescent="0.25">
      <c r="A471" s="11"/>
      <c r="B471" s="22">
        <v>45782</v>
      </c>
      <c r="C471" s="11">
        <v>1246</v>
      </c>
      <c r="D471" s="11" t="s">
        <v>66</v>
      </c>
      <c r="E471" s="11" t="s">
        <v>2946</v>
      </c>
      <c r="F471" s="11"/>
      <c r="G471" s="190" t="s">
        <v>2947</v>
      </c>
      <c r="H471" s="11" t="s">
        <v>2292</v>
      </c>
      <c r="I471" s="25">
        <v>1</v>
      </c>
      <c r="J471" s="21"/>
      <c r="K471" s="21"/>
      <c r="L471" s="21"/>
      <c r="M471" s="21"/>
      <c r="N471" s="21"/>
      <c r="O471" s="21"/>
      <c r="P471" s="21"/>
      <c r="Q471" s="21"/>
      <c r="R471" s="21"/>
      <c r="S471" s="21"/>
      <c r="T471" s="21"/>
      <c r="U471" s="21"/>
      <c r="V471" s="21"/>
      <c r="W471" s="21"/>
      <c r="X471" s="21"/>
      <c r="Y471" s="21"/>
      <c r="Z471" s="21"/>
    </row>
    <row r="472" spans="1:26" ht="15.75" customHeight="1" x14ac:dyDescent="0.25">
      <c r="A472" s="11"/>
      <c r="B472" s="22">
        <v>45782</v>
      </c>
      <c r="C472" s="11">
        <v>1247</v>
      </c>
      <c r="D472" s="11" t="s">
        <v>4</v>
      </c>
      <c r="E472" s="11" t="s">
        <v>2948</v>
      </c>
      <c r="F472" s="11"/>
      <c r="G472" s="190" t="s">
        <v>2949</v>
      </c>
      <c r="H472" s="11" t="s">
        <v>2292</v>
      </c>
      <c r="I472" s="25">
        <v>1</v>
      </c>
      <c r="J472" s="21"/>
      <c r="K472" s="21"/>
      <c r="L472" s="21"/>
      <c r="M472" s="21"/>
      <c r="N472" s="21"/>
      <c r="O472" s="21"/>
      <c r="P472" s="21"/>
      <c r="Q472" s="21"/>
      <c r="R472" s="21"/>
      <c r="S472" s="21"/>
      <c r="T472" s="21"/>
      <c r="U472" s="21"/>
      <c r="V472" s="21"/>
      <c r="W472" s="21"/>
      <c r="X472" s="21"/>
      <c r="Y472" s="21"/>
      <c r="Z472" s="21"/>
    </row>
    <row r="473" spans="1:26" ht="15.75" customHeight="1" x14ac:dyDescent="0.25">
      <c r="A473" s="11"/>
      <c r="B473" s="22">
        <v>45783</v>
      </c>
      <c r="C473" s="11">
        <v>1248</v>
      </c>
      <c r="D473" s="11" t="s">
        <v>4</v>
      </c>
      <c r="E473" s="11" t="s">
        <v>2950</v>
      </c>
      <c r="F473" s="11"/>
      <c r="G473" s="190" t="s">
        <v>2951</v>
      </c>
      <c r="H473" s="11" t="s">
        <v>2306</v>
      </c>
      <c r="I473" s="25">
        <v>7</v>
      </c>
      <c r="J473" s="21"/>
      <c r="K473" s="21"/>
      <c r="L473" s="21"/>
      <c r="M473" s="21"/>
      <c r="N473" s="21"/>
      <c r="O473" s="21"/>
      <c r="P473" s="21"/>
      <c r="Q473" s="21"/>
      <c r="R473" s="21"/>
      <c r="S473" s="21"/>
      <c r="T473" s="21"/>
      <c r="U473" s="21"/>
      <c r="V473" s="21"/>
      <c r="W473" s="21"/>
      <c r="X473" s="21"/>
      <c r="Y473" s="21"/>
      <c r="Z473" s="21"/>
    </row>
    <row r="474" spans="1:26" ht="15.75" customHeight="1" x14ac:dyDescent="0.25">
      <c r="A474" s="11"/>
      <c r="B474" s="22">
        <v>45783</v>
      </c>
      <c r="C474" s="11">
        <v>1249</v>
      </c>
      <c r="D474" s="11" t="s">
        <v>63</v>
      </c>
      <c r="E474" s="11" t="s">
        <v>2952</v>
      </c>
      <c r="F474" s="11"/>
      <c r="G474" s="190" t="s">
        <v>2953</v>
      </c>
      <c r="H474" s="11" t="s">
        <v>2292</v>
      </c>
      <c r="I474" s="25">
        <v>1</v>
      </c>
      <c r="J474" s="21"/>
      <c r="K474" s="21"/>
      <c r="L474" s="21"/>
      <c r="M474" s="21"/>
      <c r="N474" s="21"/>
      <c r="O474" s="21"/>
      <c r="P474" s="21"/>
      <c r="Q474" s="21"/>
      <c r="R474" s="21"/>
      <c r="S474" s="21"/>
      <c r="T474" s="21"/>
      <c r="U474" s="21"/>
      <c r="V474" s="21"/>
      <c r="W474" s="21"/>
      <c r="X474" s="21"/>
      <c r="Y474" s="21"/>
      <c r="Z474" s="21"/>
    </row>
    <row r="475" spans="1:26" ht="15.75" customHeight="1" x14ac:dyDescent="0.25">
      <c r="A475" s="11"/>
      <c r="B475" s="22">
        <v>45783</v>
      </c>
      <c r="C475" s="11">
        <v>1250</v>
      </c>
      <c r="D475" s="11" t="s">
        <v>63</v>
      </c>
      <c r="E475" s="11" t="s">
        <v>2954</v>
      </c>
      <c r="F475" s="11"/>
      <c r="G475" s="190" t="s">
        <v>2955</v>
      </c>
      <c r="H475" s="11" t="s">
        <v>2292</v>
      </c>
      <c r="I475" s="25">
        <v>1</v>
      </c>
      <c r="J475" s="21"/>
      <c r="K475" s="21"/>
      <c r="L475" s="21"/>
      <c r="M475" s="21"/>
      <c r="N475" s="21"/>
      <c r="O475" s="21"/>
      <c r="P475" s="21"/>
      <c r="Q475" s="21"/>
      <c r="R475" s="21"/>
      <c r="S475" s="21"/>
      <c r="T475" s="21"/>
      <c r="U475" s="21"/>
      <c r="V475" s="21"/>
      <c r="W475" s="21"/>
      <c r="X475" s="21"/>
      <c r="Y475" s="21"/>
      <c r="Z475" s="21"/>
    </row>
    <row r="476" spans="1:26" ht="15.75" customHeight="1" x14ac:dyDescent="0.25">
      <c r="A476" s="11"/>
      <c r="B476" s="22">
        <v>45783</v>
      </c>
      <c r="C476" s="11">
        <v>1251</v>
      </c>
      <c r="D476" s="11" t="s">
        <v>63</v>
      </c>
      <c r="E476" s="11" t="s">
        <v>2956</v>
      </c>
      <c r="F476" s="11"/>
      <c r="G476" s="190" t="s">
        <v>2957</v>
      </c>
      <c r="H476" s="11" t="s">
        <v>2292</v>
      </c>
      <c r="I476" s="25">
        <v>1</v>
      </c>
      <c r="J476" s="21"/>
      <c r="K476" s="21"/>
      <c r="L476" s="21"/>
      <c r="M476" s="21"/>
      <c r="N476" s="21"/>
      <c r="O476" s="21"/>
      <c r="P476" s="21"/>
      <c r="Q476" s="21"/>
      <c r="R476" s="21"/>
      <c r="S476" s="21"/>
      <c r="T476" s="21"/>
      <c r="U476" s="21"/>
      <c r="V476" s="21"/>
      <c r="W476" s="21"/>
      <c r="X476" s="21"/>
      <c r="Y476" s="21"/>
      <c r="Z476" s="21"/>
    </row>
    <row r="477" spans="1:26" ht="15.75" customHeight="1" x14ac:dyDescent="0.25">
      <c r="A477" s="11"/>
      <c r="B477" s="22">
        <v>45783</v>
      </c>
      <c r="C477" s="11">
        <v>1252</v>
      </c>
      <c r="D477" s="11" t="s">
        <v>63</v>
      </c>
      <c r="E477" s="11" t="s">
        <v>53</v>
      </c>
      <c r="F477" s="11"/>
      <c r="G477" s="190" t="s">
        <v>2958</v>
      </c>
      <c r="H477" s="11" t="s">
        <v>2405</v>
      </c>
      <c r="I477" s="25" t="s">
        <v>2405</v>
      </c>
      <c r="J477" s="21"/>
      <c r="K477" s="21"/>
      <c r="L477" s="21"/>
      <c r="M477" s="21"/>
      <c r="N477" s="21"/>
      <c r="O477" s="21"/>
      <c r="P477" s="21"/>
      <c r="Q477" s="21"/>
      <c r="R477" s="21"/>
      <c r="S477" s="21"/>
      <c r="T477" s="21"/>
      <c r="U477" s="21"/>
      <c r="V477" s="21"/>
      <c r="W477" s="21"/>
      <c r="X477" s="21"/>
      <c r="Y477" s="21"/>
      <c r="Z477" s="21"/>
    </row>
    <row r="478" spans="1:26" ht="15.75" customHeight="1" x14ac:dyDescent="0.25">
      <c r="A478" s="11"/>
      <c r="B478" s="22">
        <v>45783</v>
      </c>
      <c r="C478" s="11">
        <v>1252</v>
      </c>
      <c r="D478" s="11" t="s">
        <v>63</v>
      </c>
      <c r="E478" s="11" t="s">
        <v>2967</v>
      </c>
      <c r="F478" s="11"/>
      <c r="G478" s="190" t="s">
        <v>2968</v>
      </c>
      <c r="H478" s="11" t="s">
        <v>2292</v>
      </c>
      <c r="I478" s="25">
        <v>1</v>
      </c>
      <c r="J478" s="21"/>
      <c r="K478" s="21"/>
      <c r="L478" s="21"/>
      <c r="M478" s="21"/>
      <c r="N478" s="21"/>
      <c r="O478" s="21"/>
      <c r="P478" s="21"/>
      <c r="Q478" s="21"/>
      <c r="R478" s="21"/>
      <c r="S478" s="21"/>
      <c r="T478" s="21"/>
      <c r="U478" s="21"/>
      <c r="V478" s="21"/>
      <c r="W478" s="21"/>
      <c r="X478" s="21"/>
      <c r="Y478" s="21"/>
      <c r="Z478" s="21"/>
    </row>
    <row r="479" spans="1:26" ht="15.75" customHeight="1" x14ac:dyDescent="0.25">
      <c r="A479" s="11"/>
      <c r="B479" s="22">
        <v>45786</v>
      </c>
      <c r="C479" s="11">
        <v>1253</v>
      </c>
      <c r="D479" s="11" t="s">
        <v>44</v>
      </c>
      <c r="E479" s="11">
        <v>4714045692</v>
      </c>
      <c r="F479" s="11"/>
      <c r="G479" s="190" t="s">
        <v>2959</v>
      </c>
      <c r="H479" s="11" t="s">
        <v>2292</v>
      </c>
      <c r="I479" s="25">
        <v>1</v>
      </c>
      <c r="J479" s="21"/>
      <c r="K479" s="21"/>
      <c r="L479" s="21"/>
      <c r="M479" s="21"/>
      <c r="N479" s="21"/>
      <c r="O479" s="21"/>
      <c r="P479" s="21"/>
      <c r="Q479" s="21"/>
      <c r="R479" s="21"/>
      <c r="S479" s="21"/>
      <c r="T479" s="21"/>
      <c r="U479" s="21"/>
      <c r="V479" s="21"/>
      <c r="W479" s="21"/>
      <c r="X479" s="21"/>
      <c r="Y479" s="21"/>
      <c r="Z479" s="21"/>
    </row>
    <row r="480" spans="1:26" ht="15.75" customHeight="1" x14ac:dyDescent="0.25">
      <c r="A480" s="11"/>
      <c r="B480" s="22">
        <v>45787</v>
      </c>
      <c r="C480" s="11">
        <v>1254</v>
      </c>
      <c r="D480" s="11" t="s">
        <v>63</v>
      </c>
      <c r="E480" s="11" t="s">
        <v>2960</v>
      </c>
      <c r="F480" s="11"/>
      <c r="G480" s="190" t="s">
        <v>2961</v>
      </c>
      <c r="H480" s="11" t="s">
        <v>2292</v>
      </c>
      <c r="I480" s="25">
        <v>1</v>
      </c>
      <c r="J480" s="21"/>
      <c r="K480" s="21"/>
      <c r="L480" s="21"/>
      <c r="M480" s="21"/>
      <c r="N480" s="21"/>
      <c r="O480" s="21"/>
      <c r="P480" s="21"/>
      <c r="Q480" s="21"/>
      <c r="R480" s="21"/>
      <c r="S480" s="21"/>
      <c r="T480" s="21"/>
      <c r="U480" s="21"/>
      <c r="V480" s="21"/>
      <c r="W480" s="21"/>
      <c r="X480" s="21"/>
      <c r="Y480" s="21"/>
      <c r="Z480" s="21"/>
    </row>
    <row r="481" spans="1:26" ht="15.75" customHeight="1" x14ac:dyDescent="0.25">
      <c r="A481" s="11"/>
      <c r="B481" s="22">
        <v>45790</v>
      </c>
      <c r="C481" s="11">
        <v>1255</v>
      </c>
      <c r="D481" s="11" t="s">
        <v>4</v>
      </c>
      <c r="E481" s="11" t="s">
        <v>2962</v>
      </c>
      <c r="F481" s="11"/>
      <c r="G481" s="190" t="s">
        <v>2963</v>
      </c>
      <c r="H481" s="11" t="s">
        <v>2292</v>
      </c>
      <c r="I481" s="25">
        <v>1</v>
      </c>
      <c r="J481" s="21"/>
      <c r="K481" s="21"/>
      <c r="L481" s="21"/>
      <c r="M481" s="21"/>
      <c r="N481" s="21"/>
      <c r="O481" s="21"/>
      <c r="P481" s="21"/>
      <c r="Q481" s="21"/>
      <c r="R481" s="21"/>
      <c r="S481" s="21"/>
      <c r="T481" s="21"/>
      <c r="U481" s="21"/>
      <c r="V481" s="21"/>
      <c r="W481" s="21"/>
      <c r="X481" s="21"/>
      <c r="Y481" s="21"/>
      <c r="Z481" s="21"/>
    </row>
    <row r="482" spans="1:26" ht="15.75" customHeight="1" x14ac:dyDescent="0.25">
      <c r="A482" s="11"/>
      <c r="B482" s="22">
        <v>45790</v>
      </c>
      <c r="C482" s="11">
        <v>1256</v>
      </c>
      <c r="D482" s="11" t="s">
        <v>2833</v>
      </c>
      <c r="E482" s="11">
        <v>4500412767</v>
      </c>
      <c r="F482" s="11"/>
      <c r="G482" s="190" t="s">
        <v>2964</v>
      </c>
      <c r="H482" s="11" t="s">
        <v>2306</v>
      </c>
      <c r="I482" s="25">
        <v>7</v>
      </c>
      <c r="J482" s="21"/>
      <c r="K482" s="21"/>
      <c r="L482" s="21"/>
      <c r="M482" s="21"/>
      <c r="N482" s="21"/>
      <c r="O482" s="21"/>
      <c r="P482" s="21"/>
      <c r="Q482" s="21"/>
      <c r="R482" s="21"/>
      <c r="S482" s="21"/>
      <c r="T482" s="21"/>
      <c r="U482" s="21"/>
      <c r="V482" s="21"/>
      <c r="W482" s="21"/>
      <c r="X482" s="21"/>
      <c r="Y482" s="21"/>
      <c r="Z482" s="21"/>
    </row>
    <row r="483" spans="1:26" ht="15.75" customHeight="1" x14ac:dyDescent="0.25">
      <c r="A483" s="11"/>
      <c r="B483" s="22">
        <v>45792</v>
      </c>
      <c r="C483" s="11">
        <v>1257</v>
      </c>
      <c r="D483" s="11" t="s">
        <v>4</v>
      </c>
      <c r="E483" s="11" t="s">
        <v>2965</v>
      </c>
      <c r="F483" s="11"/>
      <c r="G483" s="190" t="s">
        <v>2966</v>
      </c>
      <c r="H483" s="11" t="s">
        <v>2292</v>
      </c>
      <c r="I483" s="25">
        <v>1</v>
      </c>
      <c r="J483" s="21"/>
      <c r="K483" s="21"/>
      <c r="L483" s="21"/>
      <c r="M483" s="21"/>
      <c r="N483" s="21"/>
      <c r="O483" s="21"/>
      <c r="P483" s="21"/>
      <c r="Q483" s="21"/>
      <c r="R483" s="21"/>
      <c r="S483" s="21"/>
      <c r="T483" s="21"/>
      <c r="U483" s="21"/>
      <c r="V483" s="21"/>
      <c r="W483" s="21"/>
      <c r="X483" s="21"/>
      <c r="Y483" s="21"/>
      <c r="Z483" s="21"/>
    </row>
    <row r="484" spans="1:26" ht="15.75" customHeight="1" x14ac:dyDescent="0.25">
      <c r="A484" s="11"/>
      <c r="B484" s="22">
        <v>45793</v>
      </c>
      <c r="C484" s="11">
        <v>1258</v>
      </c>
      <c r="D484" s="11" t="s">
        <v>66</v>
      </c>
      <c r="E484" s="11" t="s">
        <v>2969</v>
      </c>
      <c r="F484" s="11"/>
      <c r="G484" s="190" t="s">
        <v>2970</v>
      </c>
      <c r="H484" s="11" t="s">
        <v>2292</v>
      </c>
      <c r="I484" s="25">
        <v>1</v>
      </c>
      <c r="J484" s="21"/>
      <c r="K484" s="21"/>
      <c r="L484" s="21"/>
      <c r="M484" s="21"/>
      <c r="N484" s="21"/>
      <c r="O484" s="21"/>
      <c r="P484" s="21"/>
      <c r="Q484" s="21"/>
      <c r="R484" s="21"/>
      <c r="S484" s="21"/>
      <c r="T484" s="21"/>
      <c r="U484" s="21"/>
      <c r="V484" s="21"/>
      <c r="W484" s="21"/>
      <c r="X484" s="21"/>
      <c r="Y484" s="21"/>
      <c r="Z484" s="21"/>
    </row>
    <row r="485" spans="1:26" ht="15.75" customHeight="1" x14ac:dyDescent="0.25">
      <c r="A485" s="11"/>
      <c r="B485" s="22">
        <v>45799</v>
      </c>
      <c r="C485" s="11">
        <v>1259</v>
      </c>
      <c r="D485" s="11" t="s">
        <v>2971</v>
      </c>
      <c r="E485" s="11">
        <v>25900559</v>
      </c>
      <c r="F485" s="11"/>
      <c r="G485" s="190" t="s">
        <v>2975</v>
      </c>
      <c r="H485" s="252" t="s">
        <v>2974</v>
      </c>
      <c r="I485" s="25" t="s">
        <v>2974</v>
      </c>
      <c r="J485" s="21"/>
      <c r="K485" s="21"/>
      <c r="L485" s="21"/>
      <c r="M485" s="21"/>
      <c r="N485" s="21"/>
      <c r="O485" s="21"/>
      <c r="P485" s="21"/>
      <c r="Q485" s="21"/>
      <c r="R485" s="21"/>
      <c r="S485" s="21"/>
      <c r="T485" s="21"/>
      <c r="U485" s="21"/>
      <c r="V485" s="21"/>
      <c r="W485" s="21"/>
      <c r="X485" s="21"/>
      <c r="Y485" s="21"/>
      <c r="Z485" s="21"/>
    </row>
    <row r="486" spans="1:26" ht="15.75" customHeight="1" x14ac:dyDescent="0.25">
      <c r="A486" s="11"/>
      <c r="B486" s="22">
        <v>45799</v>
      </c>
      <c r="C486" s="11">
        <v>1259</v>
      </c>
      <c r="D486" s="11" t="s">
        <v>2971</v>
      </c>
      <c r="E486" s="11">
        <v>25900559</v>
      </c>
      <c r="F486" s="11"/>
      <c r="G486" s="190" t="s">
        <v>2975</v>
      </c>
      <c r="H486" s="252" t="s">
        <v>2974</v>
      </c>
      <c r="I486" s="25" t="s">
        <v>2974</v>
      </c>
      <c r="J486" s="21"/>
      <c r="K486" s="21"/>
      <c r="L486" s="21"/>
      <c r="M486" s="21"/>
      <c r="N486" s="21"/>
      <c r="O486" s="21"/>
      <c r="P486" s="21"/>
      <c r="Q486" s="21"/>
      <c r="R486" s="21"/>
      <c r="S486" s="21"/>
      <c r="T486" s="21"/>
      <c r="U486" s="21"/>
      <c r="V486" s="21"/>
      <c r="W486" s="21"/>
      <c r="X486" s="21"/>
      <c r="Y486" s="21"/>
      <c r="Z486" s="21"/>
    </row>
    <row r="487" spans="1:26" ht="15.75" customHeight="1" x14ac:dyDescent="0.25">
      <c r="A487" s="11"/>
      <c r="B487" s="22">
        <v>45799</v>
      </c>
      <c r="C487" s="11">
        <v>1260</v>
      </c>
      <c r="D487" s="11" t="s">
        <v>2971</v>
      </c>
      <c r="E487" s="11">
        <v>25900607</v>
      </c>
      <c r="F487" s="11"/>
      <c r="G487" s="190" t="s">
        <v>2976</v>
      </c>
      <c r="H487" s="252" t="s">
        <v>2306</v>
      </c>
      <c r="I487" s="25">
        <v>7</v>
      </c>
      <c r="J487" s="21"/>
      <c r="K487" s="21"/>
      <c r="L487" s="21"/>
      <c r="M487" s="21"/>
      <c r="N487" s="21"/>
      <c r="O487" s="21"/>
      <c r="P487" s="21"/>
      <c r="Q487" s="21"/>
      <c r="R487" s="21"/>
      <c r="S487" s="21"/>
      <c r="T487" s="21"/>
      <c r="U487" s="21"/>
      <c r="V487" s="21"/>
      <c r="W487" s="21"/>
      <c r="X487" s="21"/>
      <c r="Y487" s="21"/>
      <c r="Z487" s="21"/>
    </row>
    <row r="488" spans="1:26" ht="15.75" customHeight="1" x14ac:dyDescent="0.25">
      <c r="A488" s="11"/>
      <c r="B488" s="22">
        <v>45799</v>
      </c>
      <c r="C488" s="11">
        <v>1261</v>
      </c>
      <c r="D488" s="11" t="s">
        <v>2971</v>
      </c>
      <c r="E488" s="11">
        <v>25900620</v>
      </c>
      <c r="F488" s="11"/>
      <c r="G488" s="190" t="s">
        <v>2977</v>
      </c>
      <c r="H488" s="252" t="s">
        <v>2306</v>
      </c>
      <c r="I488" s="25">
        <v>7</v>
      </c>
      <c r="J488" s="21"/>
      <c r="K488" s="21"/>
      <c r="L488" s="21"/>
      <c r="M488" s="21"/>
      <c r="N488" s="21"/>
      <c r="O488" s="21"/>
      <c r="P488" s="21"/>
      <c r="Q488" s="21"/>
      <c r="R488" s="21"/>
      <c r="S488" s="21"/>
      <c r="T488" s="21"/>
      <c r="U488" s="21"/>
      <c r="V488" s="21"/>
      <c r="W488" s="21"/>
      <c r="X488" s="21"/>
      <c r="Y488" s="21"/>
      <c r="Z488" s="21"/>
    </row>
    <row r="489" spans="1:26" ht="15.75" customHeight="1" x14ac:dyDescent="0.25">
      <c r="A489" s="11"/>
      <c r="B489" s="22">
        <v>45799</v>
      </c>
      <c r="C489" s="11">
        <v>1262</v>
      </c>
      <c r="D489" s="11" t="s">
        <v>63</v>
      </c>
      <c r="E489" s="11" t="s">
        <v>2978</v>
      </c>
      <c r="F489" s="11"/>
      <c r="G489" s="190" t="s">
        <v>2979</v>
      </c>
      <c r="H489" s="11" t="s">
        <v>2292</v>
      </c>
      <c r="I489" s="25">
        <v>1</v>
      </c>
      <c r="J489" s="21"/>
      <c r="K489" s="21"/>
      <c r="L489" s="21"/>
      <c r="M489" s="21"/>
      <c r="N489" s="21"/>
      <c r="O489" s="21"/>
      <c r="P489" s="21"/>
      <c r="Q489" s="21"/>
      <c r="R489" s="21"/>
      <c r="S489" s="21"/>
      <c r="T489" s="21"/>
      <c r="U489" s="21"/>
      <c r="V489" s="21"/>
      <c r="W489" s="21"/>
      <c r="X489" s="21"/>
      <c r="Y489" s="21"/>
      <c r="Z489" s="21"/>
    </row>
    <row r="490" spans="1:26" ht="15.75" customHeight="1" x14ac:dyDescent="0.25">
      <c r="A490" s="11"/>
      <c r="B490" s="22">
        <v>45799</v>
      </c>
      <c r="C490" s="11">
        <v>1263</v>
      </c>
      <c r="D490" s="11" t="s">
        <v>63</v>
      </c>
      <c r="E490" s="11" t="s">
        <v>2980</v>
      </c>
      <c r="F490" s="11"/>
      <c r="G490" s="190" t="s">
        <v>2981</v>
      </c>
      <c r="H490" s="11" t="s">
        <v>2292</v>
      </c>
      <c r="I490" s="25">
        <v>1</v>
      </c>
      <c r="J490" s="21"/>
      <c r="K490" s="21"/>
      <c r="L490" s="21"/>
      <c r="M490" s="21"/>
      <c r="N490" s="21"/>
      <c r="O490" s="21"/>
      <c r="P490" s="21"/>
      <c r="Q490" s="21"/>
      <c r="R490" s="21"/>
      <c r="S490" s="21"/>
      <c r="T490" s="21"/>
      <c r="U490" s="21"/>
      <c r="V490" s="21"/>
      <c r="W490" s="21"/>
      <c r="X490" s="21"/>
      <c r="Y490" s="21"/>
      <c r="Z490" s="21"/>
    </row>
    <row r="491" spans="1:26" ht="15.75" customHeight="1" x14ac:dyDescent="0.25">
      <c r="A491" s="11"/>
      <c r="B491" s="22">
        <v>45799</v>
      </c>
      <c r="C491" s="11">
        <v>1264</v>
      </c>
      <c r="D491" s="11" t="s">
        <v>4</v>
      </c>
      <c r="E491" s="11" t="s">
        <v>2923</v>
      </c>
      <c r="F491" s="11"/>
      <c r="G491" s="190" t="s">
        <v>2984</v>
      </c>
      <c r="H491" s="11" t="s">
        <v>2982</v>
      </c>
      <c r="I491" s="25" t="s">
        <v>2983</v>
      </c>
      <c r="J491" s="21"/>
      <c r="K491" s="21"/>
      <c r="L491" s="21"/>
      <c r="M491" s="21"/>
      <c r="N491" s="21"/>
      <c r="O491" s="21"/>
      <c r="P491" s="21"/>
      <c r="Q491" s="21"/>
      <c r="R491" s="21"/>
      <c r="S491" s="21"/>
      <c r="T491" s="21"/>
      <c r="U491" s="21"/>
      <c r="V491" s="21"/>
      <c r="W491" s="21"/>
      <c r="X491" s="21"/>
      <c r="Y491" s="21"/>
      <c r="Z491" s="21"/>
    </row>
    <row r="492" spans="1:26" ht="15.75" customHeight="1" x14ac:dyDescent="0.25">
      <c r="A492" s="11"/>
      <c r="B492" s="22">
        <v>45799</v>
      </c>
      <c r="C492" s="11">
        <v>1265</v>
      </c>
      <c r="D492" s="11" t="s">
        <v>2987</v>
      </c>
      <c r="E492" s="11" t="s">
        <v>2988</v>
      </c>
      <c r="F492" s="11"/>
      <c r="G492" s="190" t="s">
        <v>2989</v>
      </c>
      <c r="H492" s="11" t="s">
        <v>2292</v>
      </c>
      <c r="I492" s="25">
        <v>1</v>
      </c>
      <c r="J492" s="21"/>
      <c r="K492" s="21"/>
      <c r="L492" s="21"/>
      <c r="M492" s="21"/>
      <c r="N492" s="21"/>
      <c r="O492" s="21"/>
      <c r="P492" s="21"/>
      <c r="Q492" s="21"/>
      <c r="R492" s="21"/>
      <c r="S492" s="21"/>
      <c r="T492" s="21"/>
      <c r="U492" s="21"/>
      <c r="V492" s="21"/>
      <c r="W492" s="21"/>
      <c r="X492" s="21"/>
      <c r="Y492" s="21"/>
      <c r="Z492" s="21"/>
    </row>
    <row r="493" spans="1:26" ht="15.75" customHeight="1" x14ac:dyDescent="0.25">
      <c r="A493" s="11"/>
      <c r="B493" s="22">
        <v>45800</v>
      </c>
      <c r="C493" s="11">
        <v>1266</v>
      </c>
      <c r="D493" s="11" t="s">
        <v>2298</v>
      </c>
      <c r="E493" s="11" t="s">
        <v>2993</v>
      </c>
      <c r="F493" s="11"/>
      <c r="G493" s="190" t="s">
        <v>2994</v>
      </c>
      <c r="H493" s="11" t="s">
        <v>2292</v>
      </c>
      <c r="I493" s="25">
        <v>1</v>
      </c>
      <c r="J493" s="21"/>
      <c r="K493" s="21"/>
      <c r="L493" s="21"/>
      <c r="M493" s="21"/>
      <c r="N493" s="21"/>
      <c r="O493" s="21"/>
      <c r="P493" s="21"/>
      <c r="Q493" s="21"/>
      <c r="R493" s="21"/>
      <c r="S493" s="21"/>
      <c r="T493" s="21"/>
      <c r="U493" s="21"/>
      <c r="V493" s="21"/>
      <c r="W493" s="21"/>
      <c r="X493" s="21"/>
      <c r="Y493" s="21"/>
      <c r="Z493" s="21"/>
    </row>
    <row r="494" spans="1:26" ht="15.75" customHeight="1" x14ac:dyDescent="0.25">
      <c r="A494" s="11"/>
      <c r="B494" s="22">
        <v>45801</v>
      </c>
      <c r="C494" s="11">
        <v>1267</v>
      </c>
      <c r="D494" s="11" t="s">
        <v>66</v>
      </c>
      <c r="E494" s="11" t="s">
        <v>2995</v>
      </c>
      <c r="F494" s="11"/>
      <c r="G494" s="190" t="s">
        <v>2996</v>
      </c>
      <c r="H494" s="11" t="s">
        <v>2292</v>
      </c>
      <c r="I494" s="25">
        <v>1</v>
      </c>
      <c r="J494" s="21"/>
      <c r="K494" s="21"/>
      <c r="L494" s="21"/>
      <c r="M494" s="21"/>
      <c r="N494" s="21"/>
      <c r="O494" s="21"/>
      <c r="P494" s="21"/>
      <c r="Q494" s="21"/>
      <c r="R494" s="21"/>
      <c r="S494" s="21"/>
      <c r="T494" s="21"/>
      <c r="U494" s="21"/>
      <c r="V494" s="21"/>
      <c r="W494" s="21"/>
      <c r="X494" s="21"/>
      <c r="Y494" s="21"/>
      <c r="Z494" s="21"/>
    </row>
    <row r="495" spans="1:26" ht="15.75" customHeight="1" x14ac:dyDescent="0.25">
      <c r="A495" s="11"/>
      <c r="B495" s="22">
        <v>45803</v>
      </c>
      <c r="C495" s="11">
        <v>1268</v>
      </c>
      <c r="D495" s="11" t="s">
        <v>41</v>
      </c>
      <c r="E495" s="11">
        <v>25900616</v>
      </c>
      <c r="F495" s="11"/>
      <c r="G495" s="190" t="s">
        <v>2997</v>
      </c>
      <c r="H495" s="11" t="s">
        <v>2306</v>
      </c>
      <c r="I495" s="25">
        <v>7</v>
      </c>
      <c r="J495" s="21"/>
      <c r="K495" s="21"/>
      <c r="L495" s="21"/>
      <c r="M495" s="21"/>
      <c r="N495" s="21"/>
      <c r="O495" s="21"/>
      <c r="P495" s="21"/>
      <c r="Q495" s="21"/>
      <c r="R495" s="21"/>
      <c r="S495" s="21"/>
      <c r="T495" s="21"/>
      <c r="U495" s="21"/>
      <c r="V495" s="21"/>
      <c r="W495" s="21"/>
      <c r="X495" s="21"/>
      <c r="Y495" s="21"/>
      <c r="Z495" s="21"/>
    </row>
    <row r="496" spans="1:26" ht="15.75" customHeight="1" x14ac:dyDescent="0.25">
      <c r="A496" s="11"/>
      <c r="B496" s="22">
        <v>45803</v>
      </c>
      <c r="C496" s="11">
        <v>1268</v>
      </c>
      <c r="D496" s="11" t="s">
        <v>2971</v>
      </c>
      <c r="E496" s="11">
        <v>25900616</v>
      </c>
      <c r="F496" s="11"/>
      <c r="G496" s="190" t="s">
        <v>3001</v>
      </c>
      <c r="H496" s="11" t="s">
        <v>2306</v>
      </c>
      <c r="I496" s="25">
        <v>7</v>
      </c>
      <c r="J496" s="21"/>
      <c r="K496" s="21"/>
      <c r="L496" s="21"/>
      <c r="M496" s="21"/>
      <c r="N496" s="21"/>
      <c r="O496" s="21"/>
      <c r="P496" s="21"/>
      <c r="Q496" s="21"/>
      <c r="R496" s="21"/>
      <c r="S496" s="21"/>
      <c r="T496" s="21"/>
      <c r="U496" s="21"/>
      <c r="V496" s="21"/>
      <c r="W496" s="21"/>
      <c r="X496" s="21"/>
      <c r="Y496" s="21"/>
      <c r="Z496" s="21"/>
    </row>
    <row r="497" spans="1:26" ht="15.75" customHeight="1" x14ac:dyDescent="0.25">
      <c r="A497" s="11"/>
      <c r="B497" s="22">
        <v>45803</v>
      </c>
      <c r="C497" s="11">
        <v>1269</v>
      </c>
      <c r="D497" s="11" t="s">
        <v>41</v>
      </c>
      <c r="E497" s="11">
        <v>25900630</v>
      </c>
      <c r="F497" s="11"/>
      <c r="G497" s="190" t="s">
        <v>2998</v>
      </c>
      <c r="H497" s="11" t="s">
        <v>2306</v>
      </c>
      <c r="I497" s="25">
        <v>7</v>
      </c>
      <c r="J497" s="21"/>
      <c r="K497" s="21"/>
      <c r="L497" s="21"/>
      <c r="M497" s="21"/>
      <c r="N497" s="21"/>
      <c r="O497" s="21"/>
      <c r="P497" s="21"/>
      <c r="Q497" s="21"/>
      <c r="R497" s="21"/>
      <c r="S497" s="21"/>
      <c r="T497" s="21"/>
      <c r="U497" s="21"/>
      <c r="V497" s="21"/>
      <c r="W497" s="21"/>
      <c r="X497" s="21"/>
      <c r="Y497" s="21"/>
      <c r="Z497" s="21"/>
    </row>
    <row r="498" spans="1:26" ht="15.75" customHeight="1" x14ac:dyDescent="0.25">
      <c r="A498" s="11"/>
      <c r="B498" s="22">
        <v>45803</v>
      </c>
      <c r="C498" s="11">
        <v>1269</v>
      </c>
      <c r="D498" s="11" t="s">
        <v>2971</v>
      </c>
      <c r="E498" s="11">
        <v>25900630</v>
      </c>
      <c r="F498" s="11"/>
      <c r="G498" s="190" t="s">
        <v>3002</v>
      </c>
      <c r="H498" s="11" t="s">
        <v>2306</v>
      </c>
      <c r="I498" s="25">
        <v>7</v>
      </c>
      <c r="J498" s="21"/>
      <c r="K498" s="21"/>
      <c r="L498" s="21"/>
      <c r="M498" s="21"/>
      <c r="N498" s="21"/>
      <c r="O498" s="21"/>
      <c r="P498" s="21"/>
      <c r="Q498" s="21"/>
      <c r="R498" s="21"/>
      <c r="S498" s="21"/>
      <c r="T498" s="21"/>
      <c r="U498" s="21"/>
      <c r="V498" s="21"/>
      <c r="W498" s="21"/>
      <c r="X498" s="21"/>
      <c r="Y498" s="21"/>
      <c r="Z498" s="21"/>
    </row>
    <row r="499" spans="1:26" ht="15.75" customHeight="1" x14ac:dyDescent="0.25">
      <c r="A499" s="11"/>
      <c r="B499" s="22">
        <v>45803</v>
      </c>
      <c r="C499" s="11">
        <v>1270</v>
      </c>
      <c r="D499" s="11" t="s">
        <v>2971</v>
      </c>
      <c r="E499" s="11">
        <v>25900655</v>
      </c>
      <c r="F499" s="11"/>
      <c r="G499" s="190" t="s">
        <v>3000</v>
      </c>
      <c r="H499" s="11" t="s">
        <v>2999</v>
      </c>
      <c r="I499" s="25" t="s">
        <v>2999</v>
      </c>
      <c r="J499" s="21"/>
      <c r="K499" s="21"/>
      <c r="L499" s="21"/>
      <c r="M499" s="21"/>
      <c r="N499" s="21"/>
      <c r="O499" s="21"/>
      <c r="P499" s="21"/>
      <c r="Q499" s="21"/>
      <c r="R499" s="21"/>
      <c r="S499" s="21"/>
      <c r="T499" s="21"/>
      <c r="U499" s="21"/>
      <c r="V499" s="21"/>
      <c r="W499" s="21"/>
      <c r="X499" s="21"/>
      <c r="Y499" s="21"/>
      <c r="Z499" s="21"/>
    </row>
    <row r="500" spans="1:26" ht="15.75" customHeight="1" x14ac:dyDescent="0.25">
      <c r="A500" s="11"/>
      <c r="B500" s="22">
        <v>45804</v>
      </c>
      <c r="C500" s="11">
        <v>1271</v>
      </c>
      <c r="D500" s="11" t="s">
        <v>3003</v>
      </c>
      <c r="E500" s="11" t="s">
        <v>53</v>
      </c>
      <c r="F500" s="11"/>
      <c r="G500" s="190" t="s">
        <v>3005</v>
      </c>
      <c r="H500" s="11" t="s">
        <v>2292</v>
      </c>
      <c r="I500" s="25">
        <v>1</v>
      </c>
      <c r="J500" s="21"/>
      <c r="K500" s="21"/>
      <c r="L500" s="21"/>
      <c r="M500" s="21"/>
      <c r="N500" s="21"/>
      <c r="O500" s="21"/>
      <c r="P500" s="21"/>
      <c r="Q500" s="21"/>
      <c r="R500" s="21"/>
      <c r="S500" s="21"/>
      <c r="T500" s="21"/>
      <c r="U500" s="21"/>
      <c r="V500" s="21"/>
      <c r="W500" s="21"/>
      <c r="X500" s="21"/>
      <c r="Y500" s="21"/>
      <c r="Z500" s="21"/>
    </row>
    <row r="501" spans="1:26" ht="15.75" customHeight="1" x14ac:dyDescent="0.25">
      <c r="A501" s="11"/>
      <c r="B501" s="22">
        <v>45804</v>
      </c>
      <c r="C501" s="11">
        <v>1272</v>
      </c>
      <c r="D501" s="11" t="s">
        <v>44</v>
      </c>
      <c r="E501" s="11">
        <v>4714045796</v>
      </c>
      <c r="F501" s="11"/>
      <c r="G501" s="190" t="s">
        <v>3007</v>
      </c>
      <c r="H501" s="11" t="s">
        <v>3006</v>
      </c>
      <c r="I501" s="25" t="s">
        <v>3006</v>
      </c>
      <c r="J501" s="21"/>
      <c r="K501" s="21"/>
      <c r="L501" s="21"/>
      <c r="M501" s="21"/>
      <c r="N501" s="21"/>
      <c r="O501" s="21"/>
      <c r="P501" s="21"/>
      <c r="Q501" s="21"/>
      <c r="R501" s="21"/>
      <c r="S501" s="21"/>
      <c r="T501" s="21"/>
      <c r="U501" s="21"/>
      <c r="V501" s="21"/>
      <c r="W501" s="21"/>
      <c r="X501" s="21"/>
      <c r="Y501" s="21"/>
      <c r="Z501" s="21"/>
    </row>
    <row r="502" spans="1:26" ht="15.75" customHeight="1" x14ac:dyDescent="0.25">
      <c r="A502" s="11"/>
      <c r="B502" s="22">
        <v>45804</v>
      </c>
      <c r="C502" s="11">
        <v>1272</v>
      </c>
      <c r="D502" s="11" t="s">
        <v>44</v>
      </c>
      <c r="E502" s="11">
        <v>4714045796</v>
      </c>
      <c r="F502" s="11" t="s">
        <v>2230</v>
      </c>
      <c r="G502" s="190" t="s">
        <v>3045</v>
      </c>
      <c r="H502" s="11" t="s">
        <v>3044</v>
      </c>
      <c r="I502" s="25" t="s">
        <v>3044</v>
      </c>
      <c r="J502" s="21"/>
      <c r="K502" s="21"/>
      <c r="L502" s="21"/>
      <c r="M502" s="21"/>
      <c r="N502" s="21"/>
      <c r="O502" s="21"/>
      <c r="P502" s="21"/>
      <c r="Q502" s="21"/>
      <c r="R502" s="21"/>
      <c r="S502" s="21"/>
      <c r="T502" s="21"/>
      <c r="U502" s="21"/>
      <c r="V502" s="21"/>
      <c r="W502" s="21"/>
      <c r="X502" s="21"/>
      <c r="Y502" s="21"/>
      <c r="Z502" s="21"/>
    </row>
    <row r="503" spans="1:26" ht="15.75" customHeight="1" x14ac:dyDescent="0.25">
      <c r="A503" s="11"/>
      <c r="B503" s="22">
        <v>45804</v>
      </c>
      <c r="C503" s="11">
        <v>1273</v>
      </c>
      <c r="D503" s="11" t="s">
        <v>2833</v>
      </c>
      <c r="E503" s="11">
        <v>4500413575</v>
      </c>
      <c r="F503" s="11"/>
      <c r="G503" s="190" t="s">
        <v>3008</v>
      </c>
      <c r="H503" s="11" t="s">
        <v>2306</v>
      </c>
      <c r="I503" s="25">
        <v>7</v>
      </c>
      <c r="J503" s="21"/>
      <c r="K503" s="21"/>
      <c r="L503" s="21"/>
      <c r="M503" s="21"/>
      <c r="N503" s="21"/>
      <c r="O503" s="21"/>
      <c r="P503" s="21"/>
      <c r="Q503" s="21"/>
      <c r="R503" s="21"/>
      <c r="S503" s="21"/>
      <c r="T503" s="21"/>
      <c r="U503" s="21"/>
      <c r="V503" s="21"/>
      <c r="W503" s="21"/>
      <c r="X503" s="21"/>
      <c r="Y503" s="21"/>
      <c r="Z503" s="21"/>
    </row>
    <row r="504" spans="1:26" ht="15.75" customHeight="1" x14ac:dyDescent="0.25">
      <c r="A504" s="11"/>
      <c r="B504" s="22">
        <v>45804</v>
      </c>
      <c r="C504" s="11">
        <v>1274</v>
      </c>
      <c r="D504" s="11" t="s">
        <v>4</v>
      </c>
      <c r="E504" s="11" t="s">
        <v>2923</v>
      </c>
      <c r="F504" s="11"/>
      <c r="G504" s="190" t="s">
        <v>3010</v>
      </c>
      <c r="H504" s="11" t="s">
        <v>3009</v>
      </c>
      <c r="I504" s="25" t="s">
        <v>3009</v>
      </c>
      <c r="J504" s="21"/>
      <c r="K504" s="21"/>
      <c r="L504" s="21"/>
      <c r="M504" s="21"/>
      <c r="N504" s="21"/>
      <c r="O504" s="21"/>
      <c r="P504" s="21"/>
      <c r="Q504" s="21"/>
      <c r="R504" s="21"/>
      <c r="S504" s="21"/>
      <c r="T504" s="21"/>
      <c r="U504" s="21"/>
      <c r="V504" s="21"/>
      <c r="W504" s="21"/>
      <c r="X504" s="21"/>
      <c r="Y504" s="21"/>
      <c r="Z504" s="21"/>
    </row>
    <row r="505" spans="1:26" ht="15.75" customHeight="1" x14ac:dyDescent="0.25">
      <c r="A505" s="11"/>
      <c r="B505" s="22">
        <v>45804</v>
      </c>
      <c r="C505" s="11">
        <v>1274</v>
      </c>
      <c r="D505" s="11" t="s">
        <v>4</v>
      </c>
      <c r="E505" s="11" t="s">
        <v>2923</v>
      </c>
      <c r="F505" s="11"/>
      <c r="G505" s="190" t="s">
        <v>3012</v>
      </c>
      <c r="H505" s="11" t="s">
        <v>3011</v>
      </c>
      <c r="I505" s="25" t="s">
        <v>3011</v>
      </c>
      <c r="J505" s="21"/>
      <c r="K505" s="21"/>
      <c r="L505" s="21"/>
      <c r="M505" s="21"/>
      <c r="N505" s="21"/>
      <c r="O505" s="21"/>
      <c r="P505" s="21"/>
      <c r="Q505" s="21"/>
      <c r="R505" s="21"/>
      <c r="S505" s="21"/>
      <c r="T505" s="21"/>
      <c r="U505" s="21"/>
      <c r="V505" s="21"/>
      <c r="W505" s="21"/>
      <c r="X505" s="21"/>
      <c r="Y505" s="21"/>
      <c r="Z505" s="21"/>
    </row>
    <row r="506" spans="1:26" ht="15.75" customHeight="1" x14ac:dyDescent="0.25">
      <c r="A506" s="11"/>
      <c r="B506" s="22">
        <v>45804</v>
      </c>
      <c r="C506" s="11">
        <v>1275</v>
      </c>
      <c r="D506" s="11" t="s">
        <v>4</v>
      </c>
      <c r="E506" s="11" t="s">
        <v>3013</v>
      </c>
      <c r="F506" s="11"/>
      <c r="G506" s="190" t="s">
        <v>3014</v>
      </c>
      <c r="H506" s="11" t="s">
        <v>2292</v>
      </c>
      <c r="I506" s="25">
        <v>1</v>
      </c>
      <c r="J506" s="21"/>
      <c r="K506" s="21"/>
      <c r="L506" s="21"/>
      <c r="M506" s="21"/>
      <c r="N506" s="21"/>
      <c r="O506" s="21"/>
      <c r="P506" s="21"/>
      <c r="Q506" s="21"/>
      <c r="R506" s="21"/>
      <c r="S506" s="21"/>
      <c r="T506" s="21"/>
      <c r="U506" s="21"/>
      <c r="V506" s="21"/>
      <c r="W506" s="21"/>
      <c r="X506" s="21"/>
      <c r="Y506" s="21"/>
      <c r="Z506" s="21"/>
    </row>
    <row r="507" spans="1:26" ht="15.75" customHeight="1" x14ac:dyDescent="0.25">
      <c r="A507" s="11"/>
      <c r="B507" s="22">
        <v>45805</v>
      </c>
      <c r="C507" s="11">
        <v>1276</v>
      </c>
      <c r="D507" s="11" t="s">
        <v>2971</v>
      </c>
      <c r="E507" s="11">
        <v>25900655</v>
      </c>
      <c r="F507" s="11"/>
      <c r="G507" s="190" t="s">
        <v>3016</v>
      </c>
      <c r="H507" s="11" t="s">
        <v>3015</v>
      </c>
      <c r="I507" s="25" t="s">
        <v>3015</v>
      </c>
      <c r="J507" s="21"/>
      <c r="K507" s="21"/>
      <c r="L507" s="21"/>
      <c r="M507" s="21"/>
      <c r="N507" s="21"/>
      <c r="O507" s="21"/>
      <c r="P507" s="21"/>
      <c r="Q507" s="21"/>
      <c r="R507" s="21"/>
      <c r="S507" s="21"/>
      <c r="T507" s="21"/>
      <c r="U507" s="21"/>
      <c r="V507" s="21"/>
      <c r="W507" s="21"/>
      <c r="X507" s="21"/>
      <c r="Y507" s="21"/>
      <c r="Z507" s="21"/>
    </row>
    <row r="508" spans="1:26" ht="15.75" customHeight="1" x14ac:dyDescent="0.25">
      <c r="A508" s="11"/>
      <c r="B508" s="22">
        <v>45805</v>
      </c>
      <c r="C508" s="11">
        <v>1277</v>
      </c>
      <c r="D508" s="11" t="s">
        <v>66</v>
      </c>
      <c r="E508" s="11" t="s">
        <v>3017</v>
      </c>
      <c r="F508" s="11"/>
      <c r="G508" s="190" t="s">
        <v>3018</v>
      </c>
      <c r="H508" s="11" t="s">
        <v>2292</v>
      </c>
      <c r="I508" s="25">
        <v>1</v>
      </c>
      <c r="J508" s="21"/>
      <c r="K508" s="21"/>
      <c r="L508" s="21"/>
      <c r="M508" s="21"/>
      <c r="N508" s="21"/>
      <c r="O508" s="21"/>
      <c r="P508" s="21"/>
      <c r="Q508" s="21"/>
      <c r="R508" s="21"/>
      <c r="S508" s="21"/>
      <c r="T508" s="21"/>
      <c r="U508" s="21"/>
      <c r="V508" s="21"/>
      <c r="W508" s="21"/>
      <c r="X508" s="21"/>
      <c r="Y508" s="21"/>
      <c r="Z508" s="21"/>
    </row>
    <row r="509" spans="1:26" ht="15.75" customHeight="1" x14ac:dyDescent="0.25">
      <c r="A509" s="11"/>
      <c r="B509" s="22">
        <v>45805</v>
      </c>
      <c r="C509" s="11">
        <v>1278</v>
      </c>
      <c r="D509" s="11" t="s">
        <v>2298</v>
      </c>
      <c r="E509" s="11" t="s">
        <v>3019</v>
      </c>
      <c r="F509" s="11"/>
      <c r="G509" s="190" t="s">
        <v>3020</v>
      </c>
      <c r="H509" s="11" t="s">
        <v>2292</v>
      </c>
      <c r="I509" s="25">
        <v>1</v>
      </c>
      <c r="J509" s="21"/>
      <c r="K509" s="21"/>
      <c r="L509" s="21"/>
      <c r="M509" s="21"/>
      <c r="N509" s="21"/>
      <c r="O509" s="21"/>
      <c r="P509" s="21"/>
      <c r="Q509" s="21"/>
      <c r="R509" s="21"/>
      <c r="S509" s="21"/>
      <c r="T509" s="21"/>
      <c r="U509" s="21"/>
      <c r="V509" s="21"/>
      <c r="W509" s="21"/>
      <c r="X509" s="21"/>
      <c r="Y509" s="21"/>
      <c r="Z509" s="21"/>
    </row>
    <row r="510" spans="1:26" ht="15.75" customHeight="1" x14ac:dyDescent="0.25">
      <c r="A510" s="11"/>
      <c r="B510" s="22">
        <v>45805</v>
      </c>
      <c r="C510" s="11">
        <v>1279</v>
      </c>
      <c r="D510" s="11" t="s">
        <v>2298</v>
      </c>
      <c r="E510" s="11" t="s">
        <v>3022</v>
      </c>
      <c r="F510" s="11"/>
      <c r="G510" s="190" t="s">
        <v>3023</v>
      </c>
      <c r="H510" s="11" t="s">
        <v>3021</v>
      </c>
      <c r="I510" s="25" t="s">
        <v>3021</v>
      </c>
      <c r="J510" s="21"/>
      <c r="K510" s="21"/>
      <c r="L510" s="21"/>
      <c r="M510" s="21"/>
      <c r="N510" s="21"/>
      <c r="O510" s="21"/>
      <c r="P510" s="21"/>
      <c r="Q510" s="21"/>
      <c r="R510" s="21"/>
      <c r="S510" s="21"/>
      <c r="T510" s="21"/>
      <c r="U510" s="21"/>
      <c r="V510" s="21"/>
      <c r="W510" s="21"/>
      <c r="X510" s="21"/>
      <c r="Y510" s="21"/>
      <c r="Z510" s="21"/>
    </row>
    <row r="511" spans="1:26" ht="15.75" customHeight="1" x14ac:dyDescent="0.25">
      <c r="A511" s="11"/>
      <c r="B511" s="22">
        <v>45807</v>
      </c>
      <c r="C511" s="11">
        <v>1280</v>
      </c>
      <c r="D511" s="11" t="s">
        <v>66</v>
      </c>
      <c r="E511" s="11" t="s">
        <v>3024</v>
      </c>
      <c r="F511" s="11"/>
      <c r="G511" s="190" t="s">
        <v>3025</v>
      </c>
      <c r="H511" s="11" t="s">
        <v>2292</v>
      </c>
      <c r="I511" s="25">
        <v>1</v>
      </c>
      <c r="J511" s="21"/>
      <c r="K511" s="21"/>
      <c r="L511" s="21"/>
      <c r="M511" s="21"/>
      <c r="N511" s="21"/>
      <c r="O511" s="21"/>
      <c r="P511" s="21"/>
      <c r="Q511" s="21"/>
      <c r="R511" s="21"/>
      <c r="S511" s="21"/>
      <c r="T511" s="21"/>
      <c r="U511" s="21"/>
      <c r="V511" s="21"/>
      <c r="W511" s="21"/>
      <c r="X511" s="21"/>
      <c r="Y511" s="21"/>
      <c r="Z511" s="21"/>
    </row>
    <row r="512" spans="1:26" ht="15.75" customHeight="1" x14ac:dyDescent="0.25">
      <c r="A512" s="11"/>
      <c r="B512" s="22">
        <v>45805</v>
      </c>
      <c r="C512" s="11">
        <v>1281</v>
      </c>
      <c r="D512" s="11" t="s">
        <v>2623</v>
      </c>
      <c r="E512" s="11">
        <v>4500414687</v>
      </c>
      <c r="F512" s="11"/>
      <c r="G512" s="190" t="s">
        <v>3026</v>
      </c>
      <c r="H512" s="11" t="s">
        <v>2306</v>
      </c>
      <c r="I512" s="25">
        <v>7</v>
      </c>
      <c r="J512" s="21"/>
      <c r="K512" s="21"/>
      <c r="L512" s="21"/>
      <c r="M512" s="21"/>
      <c r="N512" s="21"/>
      <c r="O512" s="21"/>
      <c r="P512" s="21"/>
      <c r="Q512" s="21"/>
      <c r="R512" s="21"/>
      <c r="S512" s="21"/>
      <c r="T512" s="21"/>
      <c r="U512" s="21"/>
      <c r="V512" s="21"/>
      <c r="W512" s="21"/>
      <c r="X512" s="21"/>
      <c r="Y512" s="21"/>
      <c r="Z512" s="21"/>
    </row>
    <row r="513" spans="1:26" ht="15.75" customHeight="1" x14ac:dyDescent="0.25">
      <c r="A513" s="11"/>
      <c r="B513" s="22">
        <v>45808</v>
      </c>
      <c r="C513" s="11">
        <v>1282</v>
      </c>
      <c r="D513" s="11" t="s">
        <v>44</v>
      </c>
      <c r="E513" s="11">
        <v>4714046037</v>
      </c>
      <c r="F513" s="11"/>
      <c r="G513" s="190" t="s">
        <v>3027</v>
      </c>
      <c r="H513" s="11" t="s">
        <v>2306</v>
      </c>
      <c r="I513" s="25">
        <v>7</v>
      </c>
      <c r="J513" s="21"/>
      <c r="K513" s="21"/>
      <c r="L513" s="21"/>
      <c r="M513" s="21"/>
      <c r="N513" s="21"/>
      <c r="O513" s="21"/>
      <c r="P513" s="21"/>
      <c r="Q513" s="21"/>
      <c r="R513" s="21"/>
      <c r="S513" s="21"/>
      <c r="T513" s="21"/>
      <c r="U513" s="21"/>
      <c r="V513" s="21"/>
      <c r="W513" s="21"/>
      <c r="X513" s="21"/>
      <c r="Y513" s="21"/>
      <c r="Z513" s="21"/>
    </row>
    <row r="514" spans="1:26" ht="15.75" customHeight="1" x14ac:dyDescent="0.25">
      <c r="A514" s="11"/>
      <c r="B514" s="22">
        <v>45807</v>
      </c>
      <c r="C514" s="11">
        <v>1283</v>
      </c>
      <c r="D514" s="11" t="s">
        <v>66</v>
      </c>
      <c r="E514" s="11" t="s">
        <v>3028</v>
      </c>
      <c r="F514" s="11"/>
      <c r="G514" s="190" t="s">
        <v>3029</v>
      </c>
      <c r="H514" s="11" t="s">
        <v>2292</v>
      </c>
      <c r="I514" s="25">
        <v>1</v>
      </c>
      <c r="J514" s="21"/>
      <c r="K514" s="21"/>
      <c r="L514" s="21"/>
      <c r="M514" s="21"/>
      <c r="N514" s="21"/>
      <c r="O514" s="21"/>
      <c r="P514" s="21"/>
      <c r="Q514" s="21"/>
      <c r="R514" s="21"/>
      <c r="S514" s="21"/>
      <c r="T514" s="21"/>
      <c r="U514" s="21"/>
      <c r="V514" s="21"/>
      <c r="W514" s="21"/>
      <c r="X514" s="21"/>
      <c r="Y514" s="21"/>
      <c r="Z514" s="21"/>
    </row>
    <row r="515" spans="1:26" ht="15.75" customHeight="1" x14ac:dyDescent="0.25">
      <c r="A515" s="11"/>
      <c r="B515" s="22">
        <v>45810</v>
      </c>
      <c r="C515" s="11">
        <v>1284</v>
      </c>
      <c r="D515" s="11" t="s">
        <v>4</v>
      </c>
      <c r="E515" s="11" t="s">
        <v>2887</v>
      </c>
      <c r="F515" s="11"/>
      <c r="G515" s="190" t="s">
        <v>3031</v>
      </c>
      <c r="H515" s="11" t="s">
        <v>3030</v>
      </c>
      <c r="I515" s="25" t="s">
        <v>3030</v>
      </c>
      <c r="J515" s="21"/>
      <c r="K515" s="21"/>
      <c r="L515" s="21"/>
      <c r="M515" s="21"/>
      <c r="N515" s="21"/>
      <c r="O515" s="21"/>
      <c r="P515" s="21"/>
      <c r="Q515" s="21"/>
      <c r="R515" s="21"/>
      <c r="S515" s="21"/>
      <c r="T515" s="21"/>
      <c r="U515" s="21"/>
      <c r="V515" s="21"/>
      <c r="W515" s="21"/>
      <c r="X515" s="21"/>
      <c r="Y515" s="21"/>
      <c r="Z515" s="21"/>
    </row>
    <row r="516" spans="1:26" ht="15.75" customHeight="1" x14ac:dyDescent="0.25">
      <c r="A516" s="11"/>
      <c r="B516" s="22">
        <v>45810</v>
      </c>
      <c r="C516" s="11">
        <v>1285</v>
      </c>
      <c r="D516" s="11" t="s">
        <v>4</v>
      </c>
      <c r="E516" s="11" t="s">
        <v>3032</v>
      </c>
      <c r="F516" s="11"/>
      <c r="G516" s="190" t="s">
        <v>3033</v>
      </c>
      <c r="H516" s="11" t="s">
        <v>2618</v>
      </c>
      <c r="I516" s="25" t="s">
        <v>2618</v>
      </c>
      <c r="J516" s="21"/>
      <c r="K516" s="21"/>
      <c r="L516" s="21"/>
      <c r="M516" s="21"/>
      <c r="N516" s="21"/>
      <c r="O516" s="21"/>
      <c r="P516" s="21"/>
      <c r="Q516" s="21"/>
      <c r="R516" s="21"/>
      <c r="S516" s="21"/>
      <c r="T516" s="21"/>
      <c r="U516" s="21"/>
      <c r="V516" s="21"/>
      <c r="W516" s="21"/>
      <c r="X516" s="21"/>
      <c r="Y516" s="21"/>
      <c r="Z516" s="21"/>
    </row>
    <row r="517" spans="1:26" ht="15.75" customHeight="1" x14ac:dyDescent="0.25">
      <c r="A517" s="11"/>
      <c r="B517" s="22">
        <v>45810</v>
      </c>
      <c r="C517" s="11">
        <v>1286</v>
      </c>
      <c r="D517" s="11" t="s">
        <v>4</v>
      </c>
      <c r="E517" s="11" t="s">
        <v>2923</v>
      </c>
      <c r="F517" s="11"/>
      <c r="G517" s="190" t="s">
        <v>3035</v>
      </c>
      <c r="H517" s="11" t="s">
        <v>3034</v>
      </c>
      <c r="I517" s="25" t="s">
        <v>3034</v>
      </c>
      <c r="J517" s="21"/>
      <c r="K517" s="21"/>
      <c r="L517" s="21"/>
      <c r="M517" s="21"/>
      <c r="N517" s="21"/>
      <c r="O517" s="21"/>
      <c r="P517" s="21"/>
      <c r="Q517" s="21"/>
      <c r="R517" s="21"/>
      <c r="S517" s="21"/>
      <c r="T517" s="21"/>
      <c r="U517" s="21"/>
      <c r="V517" s="21"/>
      <c r="W517" s="21"/>
      <c r="X517" s="21"/>
      <c r="Y517" s="21"/>
      <c r="Z517" s="21"/>
    </row>
    <row r="518" spans="1:26" ht="15.75" customHeight="1" x14ac:dyDescent="0.25">
      <c r="A518" s="11"/>
      <c r="B518" s="22">
        <v>45811</v>
      </c>
      <c r="C518" s="11">
        <v>1287</v>
      </c>
      <c r="D518" s="11" t="s">
        <v>2623</v>
      </c>
      <c r="E518" s="11">
        <v>4500414492</v>
      </c>
      <c r="F518" s="11"/>
      <c r="G518" s="190" t="s">
        <v>3036</v>
      </c>
      <c r="H518" s="11" t="s">
        <v>2306</v>
      </c>
      <c r="I518" s="25">
        <v>7</v>
      </c>
      <c r="J518" s="21"/>
      <c r="K518" s="21"/>
      <c r="L518" s="21"/>
      <c r="M518" s="21"/>
      <c r="N518" s="21"/>
      <c r="O518" s="21"/>
      <c r="P518" s="21"/>
      <c r="Q518" s="21"/>
      <c r="R518" s="21"/>
      <c r="S518" s="21"/>
      <c r="T518" s="21"/>
      <c r="U518" s="21"/>
      <c r="V518" s="21"/>
      <c r="W518" s="21"/>
      <c r="X518" s="21"/>
      <c r="Y518" s="21"/>
      <c r="Z518" s="21"/>
    </row>
    <row r="519" spans="1:26" ht="15.75" customHeight="1" x14ac:dyDescent="0.25">
      <c r="A519" s="11"/>
      <c r="B519" s="22">
        <v>45811</v>
      </c>
      <c r="C519" s="11">
        <v>1288</v>
      </c>
      <c r="D519" s="11" t="s">
        <v>63</v>
      </c>
      <c r="E519" s="11" t="s">
        <v>3037</v>
      </c>
      <c r="F519" s="11"/>
      <c r="G519" s="190" t="s">
        <v>3038</v>
      </c>
      <c r="H519" s="11" t="s">
        <v>2292</v>
      </c>
      <c r="I519" s="25">
        <v>1</v>
      </c>
      <c r="J519" s="21"/>
      <c r="K519" s="21"/>
      <c r="L519" s="21"/>
      <c r="M519" s="21"/>
      <c r="N519" s="21"/>
      <c r="O519" s="21"/>
      <c r="P519" s="21"/>
      <c r="Q519" s="21"/>
      <c r="R519" s="21"/>
      <c r="S519" s="21"/>
      <c r="T519" s="21"/>
      <c r="U519" s="21"/>
      <c r="V519" s="21"/>
      <c r="W519" s="21"/>
      <c r="X519" s="21"/>
      <c r="Y519" s="21"/>
      <c r="Z519" s="21"/>
    </row>
    <row r="520" spans="1:26" ht="15.75" customHeight="1" x14ac:dyDescent="0.25">
      <c r="A520" s="11"/>
      <c r="B520" s="22">
        <v>45812</v>
      </c>
      <c r="C520" s="11">
        <v>1289</v>
      </c>
      <c r="D520" s="11" t="s">
        <v>2623</v>
      </c>
      <c r="E520" s="11">
        <v>4500414687</v>
      </c>
      <c r="F520" s="11"/>
      <c r="G520" s="190" t="s">
        <v>3039</v>
      </c>
      <c r="H520" s="11" t="s">
        <v>2306</v>
      </c>
      <c r="I520" s="25">
        <v>7</v>
      </c>
      <c r="J520" s="21"/>
      <c r="K520" s="21"/>
      <c r="L520" s="21"/>
      <c r="M520" s="21"/>
      <c r="N520" s="21"/>
      <c r="O520" s="21"/>
      <c r="P520" s="21"/>
      <c r="Q520" s="21"/>
      <c r="R520" s="21"/>
      <c r="S520" s="21"/>
      <c r="T520" s="21"/>
      <c r="U520" s="21"/>
      <c r="V520" s="21"/>
      <c r="W520" s="21"/>
      <c r="X520" s="21"/>
      <c r="Y520" s="21"/>
      <c r="Z520" s="21"/>
    </row>
    <row r="521" spans="1:26" ht="15.75" customHeight="1" x14ac:dyDescent="0.25">
      <c r="A521" s="11"/>
      <c r="B521" s="22">
        <v>45812</v>
      </c>
      <c r="C521" s="11">
        <v>1290</v>
      </c>
      <c r="D521" s="11" t="s">
        <v>2298</v>
      </c>
      <c r="E521" s="11" t="s">
        <v>3022</v>
      </c>
      <c r="F521" s="11"/>
      <c r="G521" s="190" t="s">
        <v>3042</v>
      </c>
      <c r="H521" s="11" t="s">
        <v>3041</v>
      </c>
      <c r="I521" s="25" t="s">
        <v>3040</v>
      </c>
      <c r="J521" s="21"/>
      <c r="K521" s="21"/>
      <c r="L521" s="21"/>
      <c r="M521" s="21"/>
      <c r="N521" s="21"/>
      <c r="O521" s="21"/>
      <c r="P521" s="21"/>
      <c r="Q521" s="21"/>
      <c r="R521" s="21"/>
      <c r="S521" s="21"/>
      <c r="T521" s="21"/>
      <c r="U521" s="21"/>
      <c r="V521" s="21"/>
      <c r="W521" s="21"/>
      <c r="X521" s="21"/>
      <c r="Y521" s="21"/>
      <c r="Z521" s="21"/>
    </row>
    <row r="522" spans="1:26" ht="15.75" customHeight="1" x14ac:dyDescent="0.25">
      <c r="A522" s="11"/>
      <c r="B522" s="22">
        <v>45813</v>
      </c>
      <c r="C522" s="11">
        <v>1291</v>
      </c>
      <c r="D522" s="11" t="s">
        <v>44</v>
      </c>
      <c r="E522" s="11">
        <v>4714046073</v>
      </c>
      <c r="F522" s="11"/>
      <c r="G522" s="190" t="s">
        <v>3043</v>
      </c>
      <c r="H522" s="11" t="s">
        <v>2306</v>
      </c>
      <c r="I522" s="25">
        <v>7</v>
      </c>
      <c r="J522" s="21"/>
      <c r="K522" s="21"/>
      <c r="L522" s="21"/>
      <c r="M522" s="21"/>
      <c r="N522" s="21"/>
      <c r="O522" s="21"/>
      <c r="P522" s="21"/>
      <c r="Q522" s="21"/>
      <c r="R522" s="21"/>
      <c r="S522" s="21"/>
      <c r="T522" s="21"/>
      <c r="U522" s="21"/>
      <c r="V522" s="21"/>
      <c r="W522" s="21"/>
      <c r="X522" s="21"/>
      <c r="Y522" s="21"/>
      <c r="Z522" s="21"/>
    </row>
    <row r="523" spans="1:26" ht="15.75" customHeight="1" x14ac:dyDescent="0.25">
      <c r="A523" s="11"/>
      <c r="B523" s="22">
        <v>45813</v>
      </c>
      <c r="C523" s="11">
        <v>1292</v>
      </c>
      <c r="D523" s="11" t="s">
        <v>44</v>
      </c>
      <c r="E523" s="11">
        <v>4714045796</v>
      </c>
      <c r="F523" s="11" t="s">
        <v>2230</v>
      </c>
      <c r="G523" s="190" t="s">
        <v>3047</v>
      </c>
      <c r="H523" s="11" t="s">
        <v>3046</v>
      </c>
      <c r="I523" s="25" t="s">
        <v>3046</v>
      </c>
      <c r="J523" s="21"/>
      <c r="K523" s="21"/>
      <c r="L523" s="21"/>
      <c r="M523" s="21"/>
      <c r="N523" s="21"/>
      <c r="O523" s="21"/>
      <c r="P523" s="21"/>
      <c r="Q523" s="21"/>
      <c r="R523" s="21"/>
      <c r="S523" s="21"/>
      <c r="T523" s="21"/>
      <c r="U523" s="21"/>
      <c r="V523" s="21"/>
      <c r="W523" s="21"/>
      <c r="X523" s="21"/>
      <c r="Y523" s="21"/>
      <c r="Z523" s="21"/>
    </row>
    <row r="524" spans="1:26" ht="15.75" customHeight="1" x14ac:dyDescent="0.25">
      <c r="A524" s="11"/>
      <c r="B524" s="22">
        <v>45813</v>
      </c>
      <c r="C524" s="11">
        <v>1293</v>
      </c>
      <c r="D524" s="11" t="s">
        <v>63</v>
      </c>
      <c r="E524" s="11" t="s">
        <v>3048</v>
      </c>
      <c r="F524" s="11"/>
      <c r="G524" s="190" t="s">
        <v>3049</v>
      </c>
      <c r="H524" s="11" t="s">
        <v>2292</v>
      </c>
      <c r="I524" s="25">
        <v>1</v>
      </c>
      <c r="J524" s="21"/>
      <c r="K524" s="21"/>
      <c r="L524" s="21"/>
      <c r="M524" s="21"/>
      <c r="N524" s="21"/>
      <c r="O524" s="21"/>
      <c r="P524" s="21"/>
      <c r="Q524" s="21"/>
      <c r="R524" s="21"/>
      <c r="S524" s="21"/>
      <c r="T524" s="21"/>
      <c r="U524" s="21"/>
      <c r="V524" s="21"/>
      <c r="W524" s="21"/>
      <c r="X524" s="21"/>
      <c r="Y524" s="21"/>
      <c r="Z524" s="21"/>
    </row>
    <row r="525" spans="1:26" ht="15.75" customHeight="1" x14ac:dyDescent="0.25">
      <c r="A525" s="11"/>
      <c r="B525" s="22">
        <v>45813</v>
      </c>
      <c r="C525" s="11">
        <v>1294</v>
      </c>
      <c r="D525" s="11" t="s">
        <v>63</v>
      </c>
      <c r="E525" s="11" t="s">
        <v>3050</v>
      </c>
      <c r="F525" s="11"/>
      <c r="G525" s="190" t="s">
        <v>3051</v>
      </c>
      <c r="H525" s="11" t="s">
        <v>2292</v>
      </c>
      <c r="I525" s="25">
        <v>1</v>
      </c>
      <c r="J525" s="21"/>
      <c r="K525" s="21"/>
      <c r="L525" s="21"/>
      <c r="M525" s="21"/>
      <c r="N525" s="21"/>
      <c r="O525" s="21"/>
      <c r="P525" s="21"/>
      <c r="Q525" s="21"/>
      <c r="R525" s="21"/>
      <c r="S525" s="21"/>
      <c r="T525" s="21"/>
      <c r="U525" s="21"/>
      <c r="V525" s="21"/>
      <c r="W525" s="21"/>
      <c r="X525" s="21"/>
      <c r="Y525" s="21"/>
      <c r="Z525" s="21"/>
    </row>
    <row r="526" spans="1:26" ht="15.75" customHeight="1" x14ac:dyDescent="0.25">
      <c r="A526" s="11"/>
      <c r="B526" s="22">
        <v>45813</v>
      </c>
      <c r="C526" s="11">
        <v>1295</v>
      </c>
      <c r="D526" s="11" t="s">
        <v>2311</v>
      </c>
      <c r="E526" s="11">
        <v>4000293614</v>
      </c>
      <c r="F526" s="11"/>
      <c r="G526" s="190" t="s">
        <v>3052</v>
      </c>
      <c r="H526" s="11" t="s">
        <v>2306</v>
      </c>
      <c r="I526" s="25">
        <v>7</v>
      </c>
      <c r="J526" s="21"/>
      <c r="K526" s="21"/>
      <c r="L526" s="21"/>
      <c r="M526" s="21"/>
      <c r="N526" s="21"/>
      <c r="O526" s="21"/>
      <c r="P526" s="21"/>
      <c r="Q526" s="21"/>
      <c r="R526" s="21"/>
      <c r="S526" s="21"/>
      <c r="T526" s="21"/>
      <c r="U526" s="21"/>
      <c r="V526" s="21"/>
      <c r="W526" s="21"/>
      <c r="X526" s="21"/>
      <c r="Y526" s="21"/>
      <c r="Z526" s="21"/>
    </row>
    <row r="527" spans="1:26" ht="15.75" customHeight="1" x14ac:dyDescent="0.25">
      <c r="A527" s="11"/>
      <c r="B527" s="22">
        <v>45824</v>
      </c>
      <c r="C527" s="11">
        <v>1296</v>
      </c>
      <c r="D527" s="11" t="s">
        <v>4</v>
      </c>
      <c r="E527" s="11" t="s">
        <v>2923</v>
      </c>
      <c r="F527" s="11"/>
      <c r="G527" s="190" t="s">
        <v>3054</v>
      </c>
      <c r="H527" s="11" t="s">
        <v>3053</v>
      </c>
      <c r="I527" s="25" t="s">
        <v>3053</v>
      </c>
      <c r="J527" s="21"/>
      <c r="K527" s="21"/>
      <c r="L527" s="21"/>
      <c r="M527" s="21"/>
      <c r="N527" s="21"/>
      <c r="O527" s="21"/>
      <c r="P527" s="21"/>
      <c r="Q527" s="21"/>
      <c r="R527" s="21"/>
      <c r="S527" s="21"/>
      <c r="T527" s="21"/>
      <c r="U527" s="21"/>
      <c r="V527" s="21"/>
      <c r="W527" s="21"/>
      <c r="X527" s="21"/>
      <c r="Y527" s="21"/>
      <c r="Z527" s="21"/>
    </row>
    <row r="528" spans="1:26" ht="15.75" customHeight="1" x14ac:dyDescent="0.25">
      <c r="A528" s="11"/>
      <c r="B528" s="22">
        <v>45824</v>
      </c>
      <c r="C528" s="11">
        <v>1322</v>
      </c>
      <c r="D528" s="11" t="s">
        <v>2971</v>
      </c>
      <c r="E528" s="11">
        <v>25900824</v>
      </c>
      <c r="F528" s="11"/>
      <c r="G528" s="190" t="s">
        <v>3055</v>
      </c>
      <c r="H528" s="11" t="s">
        <v>2292</v>
      </c>
      <c r="I528" s="25">
        <v>1</v>
      </c>
      <c r="J528" s="21"/>
      <c r="K528" s="21"/>
      <c r="L528" s="21"/>
      <c r="M528" s="21"/>
      <c r="N528" s="21"/>
      <c r="O528" s="21"/>
      <c r="P528" s="21"/>
      <c r="Q528" s="21"/>
      <c r="R528" s="21"/>
      <c r="S528" s="21"/>
      <c r="T528" s="21"/>
      <c r="U528" s="21"/>
      <c r="V528" s="21"/>
      <c r="W528" s="21"/>
      <c r="X528" s="21"/>
      <c r="Y528" s="21"/>
      <c r="Z528" s="21"/>
    </row>
    <row r="529" spans="1:26" ht="15.75" customHeight="1" x14ac:dyDescent="0.25">
      <c r="A529" s="11"/>
      <c r="B529" s="22">
        <v>45824</v>
      </c>
      <c r="C529" s="11">
        <v>1323</v>
      </c>
      <c r="D529" s="11" t="s">
        <v>63</v>
      </c>
      <c r="E529" s="11" t="s">
        <v>3056</v>
      </c>
      <c r="F529" s="11"/>
      <c r="G529" s="190" t="s">
        <v>3057</v>
      </c>
      <c r="H529" s="11" t="s">
        <v>2292</v>
      </c>
      <c r="I529" s="25">
        <v>1</v>
      </c>
      <c r="J529" s="21"/>
      <c r="K529" s="21"/>
      <c r="L529" s="21"/>
      <c r="M529" s="21"/>
      <c r="N529" s="21"/>
      <c r="O529" s="21"/>
      <c r="P529" s="21"/>
      <c r="Q529" s="21"/>
      <c r="R529" s="21"/>
      <c r="S529" s="21"/>
      <c r="T529" s="21"/>
      <c r="U529" s="21"/>
      <c r="V529" s="21"/>
      <c r="W529" s="21"/>
      <c r="X529" s="21"/>
      <c r="Y529" s="21"/>
      <c r="Z529" s="21"/>
    </row>
    <row r="530" spans="1:26" ht="15.75" customHeight="1" x14ac:dyDescent="0.25">
      <c r="A530" s="11"/>
      <c r="B530" s="22">
        <v>45825</v>
      </c>
      <c r="C530" s="11">
        <v>1324</v>
      </c>
      <c r="D530" s="11" t="s">
        <v>2298</v>
      </c>
      <c r="E530" s="11" t="s">
        <v>53</v>
      </c>
      <c r="F530" s="11"/>
      <c r="G530" s="190" t="s">
        <v>3059</v>
      </c>
      <c r="H530" s="252" t="s">
        <v>3058</v>
      </c>
      <c r="I530" s="25" t="s">
        <v>3058</v>
      </c>
      <c r="J530" s="21"/>
      <c r="K530" s="21"/>
      <c r="L530" s="21"/>
      <c r="M530" s="21"/>
      <c r="N530" s="21"/>
      <c r="O530" s="21"/>
      <c r="P530" s="21"/>
      <c r="Q530" s="21"/>
      <c r="R530" s="21"/>
      <c r="S530" s="21"/>
      <c r="T530" s="21"/>
      <c r="U530" s="21"/>
      <c r="V530" s="21"/>
      <c r="W530" s="21"/>
      <c r="X530" s="21"/>
      <c r="Y530" s="21"/>
      <c r="Z530" s="21"/>
    </row>
    <row r="531" spans="1:26" ht="15.75" customHeight="1" x14ac:dyDescent="0.25">
      <c r="A531" s="11"/>
      <c r="B531" s="22">
        <v>45825</v>
      </c>
      <c r="C531" s="11">
        <v>1325</v>
      </c>
      <c r="D531" s="11" t="s">
        <v>2971</v>
      </c>
      <c r="E531" s="11">
        <v>25900793</v>
      </c>
      <c r="F531" s="11"/>
      <c r="G531" s="190" t="s">
        <v>3060</v>
      </c>
      <c r="H531" s="11" t="s">
        <v>2306</v>
      </c>
      <c r="I531" s="25">
        <v>7</v>
      </c>
      <c r="J531" s="21"/>
      <c r="K531" s="21"/>
      <c r="L531" s="21"/>
      <c r="M531" s="21"/>
      <c r="N531" s="21"/>
      <c r="O531" s="21"/>
      <c r="P531" s="21"/>
      <c r="Q531" s="21"/>
      <c r="R531" s="21"/>
      <c r="S531" s="21"/>
      <c r="T531" s="21"/>
      <c r="U531" s="21"/>
      <c r="V531" s="21"/>
      <c r="W531" s="21"/>
      <c r="X531" s="21"/>
      <c r="Y531" s="21"/>
      <c r="Z531" s="21"/>
    </row>
    <row r="532" spans="1:26" ht="15.75" customHeight="1" x14ac:dyDescent="0.25">
      <c r="A532" s="11"/>
      <c r="B532" s="22">
        <v>45828</v>
      </c>
      <c r="C532" s="11">
        <v>1325</v>
      </c>
      <c r="D532" s="11" t="s">
        <v>2971</v>
      </c>
      <c r="E532" s="11">
        <v>25900793</v>
      </c>
      <c r="F532" s="11"/>
      <c r="G532" s="190" t="s">
        <v>3060</v>
      </c>
      <c r="H532" s="11" t="s">
        <v>2306</v>
      </c>
      <c r="I532" s="25">
        <v>7</v>
      </c>
      <c r="J532" s="21"/>
      <c r="K532" s="21"/>
      <c r="L532" s="21"/>
      <c r="M532" s="21"/>
      <c r="N532" s="21"/>
      <c r="O532" s="21"/>
      <c r="P532" s="21"/>
      <c r="Q532" s="21"/>
      <c r="R532" s="21"/>
      <c r="S532" s="21"/>
      <c r="T532" s="21"/>
      <c r="U532" s="21"/>
      <c r="V532" s="21"/>
      <c r="W532" s="21"/>
      <c r="X532" s="21"/>
      <c r="Y532" s="21"/>
      <c r="Z532" s="21"/>
    </row>
    <row r="533" spans="1:26" ht="15.75" customHeight="1" x14ac:dyDescent="0.25">
      <c r="A533" s="11"/>
      <c r="B533" s="22">
        <v>45826</v>
      </c>
      <c r="C533" s="11">
        <v>1326</v>
      </c>
      <c r="D533" s="11" t="s">
        <v>160</v>
      </c>
      <c r="E533" s="11" t="s">
        <v>3061</v>
      </c>
      <c r="F533" s="11"/>
      <c r="G533" s="190" t="s">
        <v>3062</v>
      </c>
      <c r="H533" s="11" t="s">
        <v>2306</v>
      </c>
      <c r="I533" s="25">
        <v>7</v>
      </c>
      <c r="J533" s="21"/>
      <c r="K533" s="21"/>
      <c r="L533" s="21"/>
      <c r="M533" s="21"/>
      <c r="N533" s="21"/>
      <c r="O533" s="21"/>
      <c r="P533" s="21"/>
      <c r="Q533" s="21"/>
      <c r="R533" s="21"/>
      <c r="S533" s="21"/>
      <c r="T533" s="21"/>
      <c r="U533" s="21"/>
      <c r="V533" s="21"/>
      <c r="W533" s="21"/>
      <c r="X533" s="21"/>
      <c r="Y533" s="21"/>
      <c r="Z533" s="21"/>
    </row>
    <row r="534" spans="1:26" ht="15.75" customHeight="1" x14ac:dyDescent="0.25">
      <c r="A534" s="11"/>
      <c r="B534" s="22">
        <v>45826</v>
      </c>
      <c r="C534" s="11">
        <v>1326</v>
      </c>
      <c r="D534" s="11" t="s">
        <v>66</v>
      </c>
      <c r="E534" s="11" t="s">
        <v>3061</v>
      </c>
      <c r="F534" s="11"/>
      <c r="G534" s="190" t="s">
        <v>3064</v>
      </c>
      <c r="H534" s="11" t="s">
        <v>2306</v>
      </c>
      <c r="I534" s="25" t="s">
        <v>3063</v>
      </c>
      <c r="J534" s="21"/>
      <c r="K534" s="21"/>
      <c r="L534" s="21"/>
      <c r="M534" s="21"/>
      <c r="N534" s="21"/>
      <c r="O534" s="21"/>
      <c r="P534" s="21"/>
      <c r="Q534" s="21"/>
      <c r="R534" s="21"/>
      <c r="S534" s="21"/>
      <c r="T534" s="21"/>
      <c r="U534" s="21"/>
      <c r="V534" s="21"/>
      <c r="W534" s="21"/>
      <c r="X534" s="21"/>
      <c r="Y534" s="21"/>
      <c r="Z534" s="21"/>
    </row>
    <row r="535" spans="1:26" ht="15.75" customHeight="1" x14ac:dyDescent="0.25">
      <c r="A535" s="11"/>
      <c r="B535" s="22">
        <v>45826</v>
      </c>
      <c r="C535" s="11">
        <v>1326</v>
      </c>
      <c r="D535" s="11" t="s">
        <v>160</v>
      </c>
      <c r="E535" s="11" t="s">
        <v>3061</v>
      </c>
      <c r="F535" s="11"/>
      <c r="G535" s="190" t="s">
        <v>3062</v>
      </c>
      <c r="H535" s="11" t="s">
        <v>2306</v>
      </c>
      <c r="I535" s="25" t="s">
        <v>3063</v>
      </c>
      <c r="J535" s="21"/>
      <c r="K535" s="21"/>
      <c r="L535" s="21"/>
      <c r="M535" s="21"/>
      <c r="N535" s="21"/>
      <c r="O535" s="21"/>
      <c r="P535" s="21"/>
      <c r="Q535" s="21"/>
      <c r="R535" s="21"/>
      <c r="S535" s="21"/>
      <c r="T535" s="21"/>
      <c r="U535" s="21"/>
      <c r="V535" s="21"/>
      <c r="W535" s="21"/>
      <c r="X535" s="21"/>
      <c r="Y535" s="21"/>
      <c r="Z535" s="21"/>
    </row>
    <row r="536" spans="1:26" ht="15.75" customHeight="1" x14ac:dyDescent="0.25">
      <c r="A536" s="11"/>
      <c r="B536" s="22">
        <v>45826</v>
      </c>
      <c r="C536" s="11">
        <v>1327</v>
      </c>
      <c r="D536" s="11" t="s">
        <v>66</v>
      </c>
      <c r="E536" s="11" t="s">
        <v>3065</v>
      </c>
      <c r="F536" s="11"/>
      <c r="G536" s="190" t="s">
        <v>3066</v>
      </c>
      <c r="H536" s="11" t="s">
        <v>2292</v>
      </c>
      <c r="I536" s="25">
        <v>1</v>
      </c>
      <c r="J536" s="21"/>
      <c r="K536" s="21"/>
      <c r="L536" s="21"/>
      <c r="M536" s="21"/>
      <c r="N536" s="21"/>
      <c r="O536" s="21"/>
      <c r="P536" s="21"/>
      <c r="Q536" s="21"/>
      <c r="R536" s="21"/>
      <c r="S536" s="21"/>
      <c r="T536" s="21"/>
      <c r="U536" s="21"/>
      <c r="V536" s="21"/>
      <c r="W536" s="21"/>
      <c r="X536" s="21"/>
      <c r="Y536" s="21"/>
      <c r="Z536" s="21"/>
    </row>
    <row r="537" spans="1:26" ht="15.75" customHeight="1" x14ac:dyDescent="0.25">
      <c r="A537" s="11"/>
      <c r="B537" s="22">
        <v>45826</v>
      </c>
      <c r="C537" s="11">
        <v>1328</v>
      </c>
      <c r="D537" s="11" t="s">
        <v>2623</v>
      </c>
      <c r="E537" s="11">
        <v>4500414687</v>
      </c>
      <c r="F537" s="11"/>
      <c r="G537" s="190" t="s">
        <v>3068</v>
      </c>
      <c r="H537" s="11" t="s">
        <v>3067</v>
      </c>
      <c r="I537" s="25" t="s">
        <v>3067</v>
      </c>
      <c r="J537" s="21"/>
      <c r="K537" s="21"/>
      <c r="L537" s="21"/>
      <c r="M537" s="21"/>
      <c r="N537" s="21"/>
      <c r="O537" s="21"/>
      <c r="P537" s="21"/>
      <c r="Q537" s="21"/>
      <c r="R537" s="21"/>
      <c r="S537" s="21"/>
      <c r="T537" s="21"/>
      <c r="U537" s="21"/>
      <c r="V537" s="21"/>
      <c r="W537" s="21"/>
      <c r="X537" s="21"/>
      <c r="Y537" s="21"/>
      <c r="Z537" s="21"/>
    </row>
    <row r="538" spans="1:26" ht="15.75" customHeight="1" x14ac:dyDescent="0.25">
      <c r="A538" s="11"/>
      <c r="B538" s="22">
        <v>45827</v>
      </c>
      <c r="C538" s="11">
        <v>1329</v>
      </c>
      <c r="D538" s="11" t="s">
        <v>2971</v>
      </c>
      <c r="E538" s="11">
        <v>25900793</v>
      </c>
      <c r="F538" s="11"/>
      <c r="G538" s="190" t="s">
        <v>3069</v>
      </c>
      <c r="H538" s="11" t="s">
        <v>2306</v>
      </c>
      <c r="I538" s="25">
        <v>7</v>
      </c>
      <c r="J538" s="21"/>
      <c r="K538" s="21"/>
      <c r="L538" s="21"/>
      <c r="M538" s="21"/>
      <c r="N538" s="21"/>
      <c r="O538" s="21"/>
      <c r="P538" s="21"/>
      <c r="Q538" s="21"/>
      <c r="R538" s="21"/>
      <c r="S538" s="21"/>
      <c r="T538" s="21"/>
      <c r="U538" s="21"/>
      <c r="V538" s="21"/>
      <c r="W538" s="21"/>
      <c r="X538" s="21"/>
      <c r="Y538" s="21"/>
      <c r="Z538" s="21"/>
    </row>
    <row r="539" spans="1:26" ht="15.75" customHeight="1" x14ac:dyDescent="0.25">
      <c r="A539" s="11"/>
      <c r="B539" s="22">
        <v>45828</v>
      </c>
      <c r="C539" s="11">
        <v>1330</v>
      </c>
      <c r="D539" s="11" t="s">
        <v>2971</v>
      </c>
      <c r="E539" s="11">
        <v>25900767</v>
      </c>
      <c r="F539" s="11"/>
      <c r="G539" s="190" t="s">
        <v>3070</v>
      </c>
      <c r="H539" s="11" t="s">
        <v>2306</v>
      </c>
      <c r="I539" s="25">
        <v>7</v>
      </c>
      <c r="J539" s="21"/>
      <c r="K539" s="21"/>
      <c r="L539" s="21"/>
      <c r="M539" s="21"/>
      <c r="N539" s="21"/>
      <c r="O539" s="21"/>
      <c r="P539" s="21"/>
      <c r="Q539" s="21"/>
      <c r="R539" s="21"/>
      <c r="S539" s="21"/>
      <c r="T539" s="21"/>
      <c r="U539" s="21"/>
      <c r="V539" s="21"/>
      <c r="W539" s="21"/>
      <c r="X539" s="21"/>
      <c r="Y539" s="21"/>
      <c r="Z539" s="21"/>
    </row>
    <row r="540" spans="1:26" ht="15.75" customHeight="1" x14ac:dyDescent="0.25">
      <c r="A540" s="11"/>
      <c r="B540" s="22">
        <v>45828</v>
      </c>
      <c r="C540" s="11">
        <v>1331</v>
      </c>
      <c r="D540" s="11" t="s">
        <v>2971</v>
      </c>
      <c r="E540" s="11">
        <v>25900787</v>
      </c>
      <c r="F540" s="11"/>
      <c r="G540" s="190" t="s">
        <v>3071</v>
      </c>
      <c r="H540" s="252" t="s">
        <v>2618</v>
      </c>
      <c r="I540" s="25" t="s">
        <v>2618</v>
      </c>
      <c r="J540" s="21"/>
      <c r="K540" s="21"/>
      <c r="L540" s="21"/>
      <c r="M540" s="21"/>
      <c r="N540" s="21"/>
      <c r="O540" s="21"/>
      <c r="P540" s="21"/>
      <c r="Q540" s="21"/>
      <c r="R540" s="21"/>
      <c r="S540" s="21"/>
      <c r="T540" s="21"/>
      <c r="U540" s="21"/>
      <c r="V540" s="21"/>
      <c r="W540" s="21"/>
      <c r="X540" s="21"/>
      <c r="Y540" s="21"/>
      <c r="Z540" s="21"/>
    </row>
    <row r="541" spans="1:26" ht="15.75" customHeight="1" x14ac:dyDescent="0.25">
      <c r="A541" s="11"/>
      <c r="B541" s="22">
        <v>45828</v>
      </c>
      <c r="C541" s="11">
        <v>1332</v>
      </c>
      <c r="D541" s="11" t="s">
        <v>2971</v>
      </c>
      <c r="E541" s="11">
        <v>25900790</v>
      </c>
      <c r="F541" s="11"/>
      <c r="G541" s="190" t="s">
        <v>3072</v>
      </c>
      <c r="H541" s="252" t="s">
        <v>2727</v>
      </c>
      <c r="I541" s="25" t="s">
        <v>2727</v>
      </c>
      <c r="J541" s="21"/>
      <c r="K541" s="21"/>
      <c r="L541" s="21"/>
      <c r="M541" s="21"/>
      <c r="N541" s="21"/>
      <c r="O541" s="21"/>
      <c r="P541" s="21"/>
      <c r="Q541" s="21"/>
      <c r="R541" s="21"/>
      <c r="S541" s="21"/>
      <c r="T541" s="21"/>
      <c r="U541" s="21"/>
      <c r="V541" s="21"/>
      <c r="W541" s="21"/>
      <c r="X541" s="21"/>
      <c r="Y541" s="21"/>
      <c r="Z541" s="21"/>
    </row>
    <row r="542" spans="1:26" ht="15.75" customHeight="1" x14ac:dyDescent="0.25">
      <c r="A542" s="11"/>
      <c r="B542" s="22">
        <v>45828</v>
      </c>
      <c r="C542" s="11">
        <v>1333</v>
      </c>
      <c r="D542" s="11" t="s">
        <v>2971</v>
      </c>
      <c r="E542" s="11">
        <v>25900742</v>
      </c>
      <c r="F542" s="11"/>
      <c r="G542" s="190" t="s">
        <v>3074</v>
      </c>
      <c r="H542" s="252" t="s">
        <v>3073</v>
      </c>
      <c r="I542" s="25" t="s">
        <v>3073</v>
      </c>
      <c r="J542" s="21"/>
      <c r="K542" s="21"/>
      <c r="L542" s="21"/>
      <c r="M542" s="21"/>
      <c r="N542" s="21"/>
      <c r="O542" s="21"/>
      <c r="P542" s="21"/>
      <c r="Q542" s="21"/>
      <c r="R542" s="21"/>
      <c r="S542" s="21"/>
      <c r="T542" s="21"/>
      <c r="U542" s="21"/>
      <c r="V542" s="21"/>
      <c r="W542" s="21"/>
      <c r="X542" s="21"/>
      <c r="Y542" s="21"/>
      <c r="Z542" s="21"/>
    </row>
    <row r="543" spans="1:26" ht="15.75" customHeight="1" x14ac:dyDescent="0.25">
      <c r="A543" s="11"/>
      <c r="B543" s="22">
        <v>45829</v>
      </c>
      <c r="C543" s="11">
        <v>1334</v>
      </c>
      <c r="D543" s="11" t="s">
        <v>2971</v>
      </c>
      <c r="E543" s="11">
        <v>25900826</v>
      </c>
      <c r="F543" s="11"/>
      <c r="G543" s="190" t="s">
        <v>3075</v>
      </c>
      <c r="H543" s="11" t="s">
        <v>2292</v>
      </c>
      <c r="I543" s="25">
        <v>1</v>
      </c>
      <c r="J543" s="21"/>
      <c r="K543" s="21"/>
      <c r="L543" s="21"/>
      <c r="M543" s="21"/>
      <c r="N543" s="21"/>
      <c r="O543" s="21"/>
      <c r="P543" s="21"/>
      <c r="Q543" s="21"/>
      <c r="R543" s="21"/>
      <c r="S543" s="21"/>
      <c r="T543" s="21"/>
      <c r="U543" s="21"/>
      <c r="V543" s="21"/>
      <c r="W543" s="21"/>
      <c r="X543" s="21"/>
      <c r="Y543" s="21"/>
      <c r="Z543" s="21"/>
    </row>
    <row r="544" spans="1:26" ht="15.75" customHeight="1" x14ac:dyDescent="0.25">
      <c r="A544" s="11"/>
      <c r="B544" s="22">
        <v>45829</v>
      </c>
      <c r="C544" s="11">
        <v>1335</v>
      </c>
      <c r="D544" s="11" t="s">
        <v>2971</v>
      </c>
      <c r="E544" s="11">
        <v>25900787</v>
      </c>
      <c r="F544" s="11"/>
      <c r="G544" s="190" t="s">
        <v>3077</v>
      </c>
      <c r="H544" s="252" t="s">
        <v>3076</v>
      </c>
      <c r="I544" s="25" t="s">
        <v>3076</v>
      </c>
      <c r="J544" s="21"/>
      <c r="K544" s="21"/>
      <c r="L544" s="21"/>
      <c r="M544" s="21"/>
      <c r="N544" s="21"/>
      <c r="O544" s="21"/>
      <c r="P544" s="21"/>
      <c r="Q544" s="21"/>
      <c r="R544" s="21"/>
      <c r="S544" s="21"/>
      <c r="T544" s="21"/>
      <c r="U544" s="21"/>
      <c r="V544" s="21"/>
      <c r="W544" s="21"/>
      <c r="X544" s="21"/>
      <c r="Y544" s="21"/>
      <c r="Z544" s="21"/>
    </row>
    <row r="545" spans="1:26" ht="15.75" customHeight="1" x14ac:dyDescent="0.25">
      <c r="A545" s="11"/>
      <c r="B545" s="22">
        <v>45831</v>
      </c>
      <c r="C545" s="11">
        <v>1336</v>
      </c>
      <c r="D545" s="11" t="s">
        <v>3078</v>
      </c>
      <c r="E545" s="11">
        <v>251002444</v>
      </c>
      <c r="F545" s="11"/>
      <c r="G545" s="190" t="s">
        <v>3079</v>
      </c>
      <c r="H545" s="11" t="s">
        <v>2292</v>
      </c>
      <c r="I545" s="25">
        <v>1</v>
      </c>
      <c r="J545" s="21"/>
      <c r="K545" s="21"/>
      <c r="L545" s="21"/>
      <c r="M545" s="21"/>
      <c r="N545" s="21"/>
      <c r="O545" s="21"/>
      <c r="P545" s="21"/>
      <c r="Q545" s="21"/>
      <c r="R545" s="21"/>
      <c r="S545" s="21"/>
      <c r="T545" s="21"/>
      <c r="U545" s="21"/>
      <c r="V545" s="21"/>
      <c r="W545" s="21"/>
      <c r="X545" s="21"/>
      <c r="Y545" s="21"/>
      <c r="Z545" s="21"/>
    </row>
    <row r="546" spans="1:26" ht="15.75" customHeight="1" x14ac:dyDescent="0.25">
      <c r="A546" s="11"/>
      <c r="B546" s="22">
        <v>45831</v>
      </c>
      <c r="C546" s="11">
        <v>1337</v>
      </c>
      <c r="D546" s="11" t="s">
        <v>66</v>
      </c>
      <c r="E546" s="11" t="s">
        <v>3080</v>
      </c>
      <c r="F546" s="11"/>
      <c r="G546" s="190" t="s">
        <v>3083</v>
      </c>
      <c r="H546" s="11" t="s">
        <v>2292</v>
      </c>
      <c r="I546" s="25">
        <v>1</v>
      </c>
      <c r="J546" s="21"/>
      <c r="K546" s="21"/>
      <c r="L546" s="21"/>
      <c r="M546" s="21"/>
      <c r="N546" s="21"/>
      <c r="O546" s="21"/>
      <c r="P546" s="21"/>
      <c r="Q546" s="21"/>
      <c r="R546" s="21"/>
      <c r="S546" s="21"/>
      <c r="T546" s="21"/>
      <c r="U546" s="21"/>
      <c r="V546" s="21"/>
      <c r="W546" s="21"/>
      <c r="X546" s="21"/>
      <c r="Y546" s="21"/>
      <c r="Z546" s="21"/>
    </row>
    <row r="547" spans="1:26" ht="15.75" customHeight="1" x14ac:dyDescent="0.25">
      <c r="A547" s="11"/>
      <c r="B547" s="22">
        <v>45832</v>
      </c>
      <c r="C547" s="11">
        <v>1338</v>
      </c>
      <c r="D547" s="11" t="s">
        <v>44</v>
      </c>
      <c r="E547" s="11">
        <v>4714046130</v>
      </c>
      <c r="F547" s="11"/>
      <c r="G547" s="190" t="s">
        <v>3084</v>
      </c>
      <c r="H547" s="11" t="s">
        <v>2292</v>
      </c>
      <c r="I547" s="25">
        <v>1</v>
      </c>
      <c r="J547" s="21"/>
      <c r="K547" s="21"/>
      <c r="L547" s="21"/>
      <c r="M547" s="21"/>
      <c r="N547" s="21"/>
      <c r="O547" s="21"/>
      <c r="P547" s="21"/>
      <c r="Q547" s="21"/>
      <c r="R547" s="21"/>
      <c r="S547" s="21"/>
      <c r="T547" s="21"/>
      <c r="U547" s="21"/>
      <c r="V547" s="21"/>
      <c r="W547" s="21"/>
      <c r="X547" s="21"/>
      <c r="Y547" s="21"/>
      <c r="Z547" s="21"/>
    </row>
    <row r="548" spans="1:26" ht="15.75" customHeight="1" x14ac:dyDescent="0.25">
      <c r="A548" s="11"/>
      <c r="B548" s="22">
        <v>45832</v>
      </c>
      <c r="C548" s="11">
        <v>1339</v>
      </c>
      <c r="D548" s="11" t="s">
        <v>44</v>
      </c>
      <c r="E548" s="11">
        <v>4714046127</v>
      </c>
      <c r="F548" s="11"/>
      <c r="G548" s="190" t="s">
        <v>3085</v>
      </c>
      <c r="H548" s="11" t="s">
        <v>2292</v>
      </c>
      <c r="I548" s="25">
        <v>1</v>
      </c>
      <c r="J548" s="21"/>
      <c r="K548" s="21"/>
      <c r="L548" s="21"/>
      <c r="M548" s="21"/>
      <c r="N548" s="21"/>
      <c r="O548" s="21"/>
      <c r="P548" s="21"/>
      <c r="Q548" s="21"/>
      <c r="R548" s="21"/>
      <c r="S548" s="21"/>
      <c r="T548" s="21"/>
      <c r="U548" s="21"/>
      <c r="V548" s="21"/>
      <c r="W548" s="21"/>
      <c r="X548" s="21"/>
      <c r="Y548" s="21"/>
      <c r="Z548" s="21"/>
    </row>
    <row r="549" spans="1:26" ht="15.75" customHeight="1" x14ac:dyDescent="0.25">
      <c r="A549" s="11"/>
      <c r="B549" s="22">
        <v>45832</v>
      </c>
      <c r="C549" s="11">
        <v>1340</v>
      </c>
      <c r="D549" s="11" t="s">
        <v>44</v>
      </c>
      <c r="E549" s="11">
        <v>4714046298</v>
      </c>
      <c r="F549" s="11"/>
      <c r="G549" s="190" t="s">
        <v>3086</v>
      </c>
      <c r="H549" s="11" t="s">
        <v>2292</v>
      </c>
      <c r="I549" s="25">
        <v>1</v>
      </c>
      <c r="J549" s="21"/>
      <c r="K549" s="21"/>
      <c r="L549" s="21"/>
      <c r="M549" s="21"/>
      <c r="N549" s="21"/>
      <c r="O549" s="21"/>
      <c r="P549" s="21"/>
      <c r="Q549" s="21"/>
      <c r="R549" s="21"/>
      <c r="S549" s="21"/>
      <c r="T549" s="21"/>
      <c r="U549" s="21"/>
      <c r="V549" s="21"/>
      <c r="W549" s="21"/>
      <c r="X549" s="21"/>
      <c r="Y549" s="21"/>
      <c r="Z549" s="21"/>
    </row>
    <row r="550" spans="1:26" ht="15.75" customHeight="1" x14ac:dyDescent="0.25">
      <c r="A550" s="11"/>
      <c r="B550" s="22">
        <v>45832</v>
      </c>
      <c r="C550" s="11">
        <v>1341</v>
      </c>
      <c r="D550" s="11" t="s">
        <v>66</v>
      </c>
      <c r="E550" s="11" t="s">
        <v>3087</v>
      </c>
      <c r="F550" s="11"/>
      <c r="G550" s="190" t="s">
        <v>3088</v>
      </c>
      <c r="H550" s="11" t="s">
        <v>2292</v>
      </c>
      <c r="I550" s="25">
        <v>1</v>
      </c>
      <c r="J550" s="21"/>
      <c r="K550" s="21"/>
      <c r="L550" s="21"/>
      <c r="M550" s="21"/>
      <c r="N550" s="21"/>
      <c r="O550" s="21"/>
      <c r="P550" s="21"/>
      <c r="Q550" s="21"/>
      <c r="R550" s="21"/>
      <c r="S550" s="21"/>
      <c r="T550" s="21"/>
      <c r="U550" s="21"/>
      <c r="V550" s="21"/>
      <c r="W550" s="21"/>
      <c r="X550" s="21"/>
      <c r="Y550" s="21"/>
      <c r="Z550" s="21"/>
    </row>
    <row r="551" spans="1:26" ht="15.75" customHeight="1" x14ac:dyDescent="0.25">
      <c r="A551" s="11"/>
      <c r="B551" s="22">
        <v>45833</v>
      </c>
      <c r="C551" s="11">
        <v>1342</v>
      </c>
      <c r="D551" s="11" t="s">
        <v>2971</v>
      </c>
      <c r="E551" s="11">
        <v>25900792</v>
      </c>
      <c r="F551" s="11"/>
      <c r="G551" s="190" t="s">
        <v>3089</v>
      </c>
      <c r="H551" s="11" t="s">
        <v>2306</v>
      </c>
      <c r="I551" s="25">
        <v>7</v>
      </c>
      <c r="J551" s="21"/>
      <c r="K551" s="21"/>
      <c r="L551" s="21"/>
      <c r="M551" s="21"/>
      <c r="N551" s="21"/>
      <c r="O551" s="21"/>
      <c r="P551" s="21"/>
      <c r="Q551" s="21"/>
      <c r="R551" s="21"/>
      <c r="S551" s="21"/>
      <c r="T551" s="21"/>
      <c r="U551" s="21"/>
      <c r="V551" s="21"/>
      <c r="W551" s="21"/>
      <c r="X551" s="21"/>
      <c r="Y551" s="21"/>
      <c r="Z551" s="21"/>
    </row>
    <row r="552" spans="1:26" ht="15.75" customHeight="1" x14ac:dyDescent="0.25">
      <c r="A552" s="11"/>
      <c r="B552" s="22">
        <v>45833</v>
      </c>
      <c r="C552" s="11">
        <v>1343</v>
      </c>
      <c r="D552" s="11" t="s">
        <v>2971</v>
      </c>
      <c r="E552" s="11">
        <v>25900839</v>
      </c>
      <c r="F552" s="11"/>
      <c r="G552" s="190" t="s">
        <v>3090</v>
      </c>
      <c r="H552" s="11" t="s">
        <v>2306</v>
      </c>
      <c r="I552" s="25">
        <v>7</v>
      </c>
      <c r="J552" s="21"/>
      <c r="K552" s="21"/>
      <c r="L552" s="21"/>
      <c r="M552" s="21"/>
      <c r="N552" s="21"/>
      <c r="O552" s="21"/>
      <c r="P552" s="21"/>
      <c r="Q552" s="21"/>
      <c r="R552" s="21"/>
      <c r="S552" s="21"/>
      <c r="T552" s="21"/>
      <c r="U552" s="21"/>
      <c r="V552" s="21"/>
      <c r="W552" s="21"/>
      <c r="X552" s="21"/>
      <c r="Y552" s="21"/>
      <c r="Z552" s="21"/>
    </row>
    <row r="553" spans="1:26" ht="15.75" customHeight="1" x14ac:dyDescent="0.25">
      <c r="A553" s="11"/>
      <c r="B553" s="22">
        <v>45833</v>
      </c>
      <c r="C553" s="11">
        <v>1344</v>
      </c>
      <c r="D553" s="11" t="s">
        <v>2971</v>
      </c>
      <c r="E553" s="11">
        <v>25900824</v>
      </c>
      <c r="F553" s="11"/>
      <c r="G553" s="190" t="s">
        <v>3091</v>
      </c>
      <c r="H553" s="11" t="s">
        <v>2880</v>
      </c>
      <c r="I553" s="25" t="s">
        <v>2880</v>
      </c>
      <c r="J553" s="21"/>
      <c r="K553" s="21"/>
      <c r="L553" s="21"/>
      <c r="M553" s="21"/>
      <c r="N553" s="21"/>
      <c r="O553" s="21"/>
      <c r="P553" s="21"/>
      <c r="Q553" s="21"/>
      <c r="R553" s="21"/>
      <c r="S553" s="21"/>
      <c r="T553" s="21"/>
      <c r="U553" s="21"/>
      <c r="V553" s="21"/>
      <c r="W553" s="21"/>
      <c r="X553" s="21"/>
      <c r="Y553" s="21"/>
      <c r="Z553" s="21"/>
    </row>
    <row r="554" spans="1:26" ht="15.75" customHeight="1" x14ac:dyDescent="0.25">
      <c r="A554" s="11"/>
      <c r="B554" s="22">
        <v>45838</v>
      </c>
      <c r="C554" s="11">
        <v>1345</v>
      </c>
      <c r="D554" s="11" t="s">
        <v>4</v>
      </c>
      <c r="E554" s="11" t="s">
        <v>3092</v>
      </c>
      <c r="F554" s="11"/>
      <c r="G554" s="190" t="s">
        <v>3093</v>
      </c>
      <c r="H554" s="11" t="s">
        <v>2306</v>
      </c>
      <c r="I554" s="25">
        <v>7</v>
      </c>
      <c r="J554" s="21"/>
      <c r="K554" s="21"/>
      <c r="L554" s="21"/>
      <c r="M554" s="21"/>
      <c r="N554" s="21"/>
      <c r="O554" s="21"/>
      <c r="P554" s="21"/>
      <c r="Q554" s="21"/>
      <c r="R554" s="21"/>
      <c r="S554" s="21"/>
      <c r="T554" s="21"/>
      <c r="U554" s="21"/>
      <c r="V554" s="21"/>
      <c r="W554" s="21"/>
      <c r="X554" s="21"/>
      <c r="Y554" s="21"/>
      <c r="Z554" s="21"/>
    </row>
    <row r="555" spans="1:26" ht="15.75" customHeight="1" x14ac:dyDescent="0.25">
      <c r="A555" s="11"/>
      <c r="B555" s="22">
        <v>45838</v>
      </c>
      <c r="C555" s="11">
        <v>1345</v>
      </c>
      <c r="D555" s="11" t="s">
        <v>4</v>
      </c>
      <c r="E555" s="11" t="s">
        <v>3092</v>
      </c>
      <c r="F555" s="11"/>
      <c r="G555" s="190" t="s">
        <v>3093</v>
      </c>
      <c r="H555" s="11" t="s">
        <v>2306</v>
      </c>
      <c r="I555" s="25">
        <v>7</v>
      </c>
      <c r="J555" s="21"/>
      <c r="K555" s="21"/>
      <c r="L555" s="21"/>
      <c r="M555" s="21"/>
      <c r="N555" s="21"/>
      <c r="O555" s="21"/>
      <c r="P555" s="21"/>
      <c r="Q555" s="21"/>
      <c r="R555" s="21"/>
      <c r="S555" s="21"/>
      <c r="T555" s="21"/>
      <c r="U555" s="21"/>
      <c r="V555" s="21"/>
      <c r="W555" s="21"/>
      <c r="X555" s="21"/>
      <c r="Y555" s="21"/>
      <c r="Z555" s="21"/>
    </row>
    <row r="556" spans="1:26" ht="15.75" customHeight="1" x14ac:dyDescent="0.25">
      <c r="A556" s="11"/>
      <c r="B556" s="22">
        <v>45838</v>
      </c>
      <c r="C556" s="11">
        <v>1345</v>
      </c>
      <c r="D556" s="11" t="s">
        <v>4</v>
      </c>
      <c r="E556" s="11" t="s">
        <v>3092</v>
      </c>
      <c r="F556" s="11"/>
      <c r="G556" s="190" t="s">
        <v>3093</v>
      </c>
      <c r="H556" s="11" t="s">
        <v>2306</v>
      </c>
      <c r="I556" s="25">
        <v>7</v>
      </c>
      <c r="J556" s="21"/>
      <c r="K556" s="21"/>
      <c r="L556" s="21"/>
      <c r="M556" s="21"/>
      <c r="N556" s="21"/>
      <c r="O556" s="21"/>
      <c r="P556" s="21"/>
      <c r="Q556" s="21"/>
      <c r="R556" s="21"/>
      <c r="S556" s="21"/>
      <c r="T556" s="21"/>
      <c r="U556" s="21"/>
      <c r="V556" s="21"/>
      <c r="W556" s="21"/>
      <c r="X556" s="21"/>
      <c r="Y556" s="21"/>
      <c r="Z556" s="21"/>
    </row>
    <row r="557" spans="1:26" ht="15.75" customHeight="1" x14ac:dyDescent="0.25">
      <c r="A557" s="11"/>
      <c r="B557" s="22">
        <v>45838</v>
      </c>
      <c r="C557" s="11">
        <v>1346</v>
      </c>
      <c r="D557" s="11" t="s">
        <v>2623</v>
      </c>
      <c r="E557" s="11">
        <v>4500417082</v>
      </c>
      <c r="F557" s="11"/>
      <c r="G557" s="190" t="s">
        <v>3094</v>
      </c>
      <c r="H557" s="11" t="s">
        <v>2306</v>
      </c>
      <c r="I557" s="25">
        <v>7</v>
      </c>
      <c r="J557" s="21"/>
      <c r="K557" s="21"/>
      <c r="L557" s="21"/>
      <c r="M557" s="21"/>
      <c r="N557" s="21"/>
      <c r="O557" s="21"/>
      <c r="P557" s="21"/>
      <c r="Q557" s="21"/>
      <c r="R557" s="21"/>
      <c r="S557" s="21"/>
      <c r="T557" s="21"/>
      <c r="U557" s="21"/>
      <c r="V557" s="21"/>
      <c r="W557" s="21"/>
      <c r="X557" s="21"/>
      <c r="Y557" s="21"/>
      <c r="Z557" s="21"/>
    </row>
    <row r="558" spans="1:26" ht="15.75" customHeight="1" x14ac:dyDescent="0.25">
      <c r="A558" s="11"/>
      <c r="B558" s="22">
        <v>45838</v>
      </c>
      <c r="C558" s="11">
        <v>1347</v>
      </c>
      <c r="D558" s="11" t="s">
        <v>44</v>
      </c>
      <c r="E558" s="11">
        <v>4714046127</v>
      </c>
      <c r="F558" s="11"/>
      <c r="G558" s="190" t="s">
        <v>3095</v>
      </c>
      <c r="H558" s="11" t="s">
        <v>3040</v>
      </c>
      <c r="I558" s="25" t="s">
        <v>3040</v>
      </c>
      <c r="J558" s="21"/>
      <c r="K558" s="21"/>
      <c r="L558" s="21"/>
      <c r="M558" s="21"/>
      <c r="N558" s="21"/>
      <c r="O558" s="21"/>
      <c r="P558" s="21"/>
      <c r="Q558" s="21"/>
      <c r="R558" s="21"/>
      <c r="S558" s="21"/>
      <c r="T558" s="21"/>
      <c r="U558" s="21"/>
      <c r="V558" s="21"/>
      <c r="W558" s="21"/>
      <c r="X558" s="21"/>
      <c r="Y558" s="21"/>
      <c r="Z558" s="21"/>
    </row>
    <row r="559" spans="1:26" ht="15.75" customHeight="1" x14ac:dyDescent="0.25">
      <c r="A559" s="11"/>
      <c r="B559" s="22">
        <v>45839</v>
      </c>
      <c r="C559" s="11">
        <v>1348</v>
      </c>
      <c r="D559" s="11" t="s">
        <v>2971</v>
      </c>
      <c r="E559" s="11">
        <v>25900742</v>
      </c>
      <c r="F559" s="11"/>
      <c r="G559" s="190" t="s">
        <v>3097</v>
      </c>
      <c r="H559" s="11" t="s">
        <v>3096</v>
      </c>
      <c r="I559" s="25" t="s">
        <v>3096</v>
      </c>
      <c r="J559" s="21"/>
      <c r="K559" s="21"/>
      <c r="L559" s="21"/>
      <c r="M559" s="21"/>
      <c r="N559" s="21"/>
      <c r="O559" s="21"/>
      <c r="P559" s="21"/>
      <c r="Q559" s="21"/>
      <c r="R559" s="21"/>
      <c r="S559" s="21"/>
      <c r="T559" s="21"/>
      <c r="U559" s="21"/>
      <c r="V559" s="21"/>
      <c r="W559" s="21"/>
      <c r="X559" s="21"/>
      <c r="Y559" s="21"/>
      <c r="Z559" s="21"/>
    </row>
    <row r="560" spans="1:26" ht="15.75" customHeight="1" x14ac:dyDescent="0.25">
      <c r="A560" s="11"/>
      <c r="B560" s="22">
        <v>45839</v>
      </c>
      <c r="C560" s="11">
        <v>1349</v>
      </c>
      <c r="D560" s="11" t="s">
        <v>2971</v>
      </c>
      <c r="E560" s="11">
        <v>25900924</v>
      </c>
      <c r="F560" s="11"/>
      <c r="G560" s="190" t="s">
        <v>3098</v>
      </c>
      <c r="H560" s="11" t="s">
        <v>2306</v>
      </c>
      <c r="I560" s="25">
        <v>7</v>
      </c>
      <c r="J560" s="21"/>
      <c r="K560" s="21"/>
      <c r="L560" s="21"/>
      <c r="M560" s="21"/>
      <c r="N560" s="21"/>
      <c r="O560" s="21"/>
      <c r="P560" s="21"/>
      <c r="Q560" s="21"/>
      <c r="R560" s="21"/>
      <c r="S560" s="21"/>
      <c r="T560" s="21"/>
      <c r="U560" s="21"/>
      <c r="V560" s="21"/>
      <c r="W560" s="21"/>
      <c r="X560" s="21"/>
      <c r="Y560" s="21"/>
      <c r="Z560" s="21"/>
    </row>
    <row r="561" spans="1:26" ht="15.75" customHeight="1" x14ac:dyDescent="0.25">
      <c r="A561" s="11"/>
      <c r="B561" s="22">
        <v>45839</v>
      </c>
      <c r="C561" s="11">
        <v>1350</v>
      </c>
      <c r="D561" s="11" t="s">
        <v>2971</v>
      </c>
      <c r="E561" s="11">
        <v>25900908</v>
      </c>
      <c r="F561" s="11"/>
      <c r="G561" s="190" t="s">
        <v>3100</v>
      </c>
      <c r="H561" s="11" t="s">
        <v>3099</v>
      </c>
      <c r="I561" s="25" t="s">
        <v>3099</v>
      </c>
      <c r="J561" s="21"/>
      <c r="K561" s="21"/>
      <c r="L561" s="21"/>
      <c r="M561" s="21"/>
      <c r="N561" s="21"/>
      <c r="O561" s="21"/>
      <c r="P561" s="21"/>
      <c r="Q561" s="21"/>
      <c r="R561" s="21"/>
      <c r="S561" s="21"/>
      <c r="T561" s="21"/>
      <c r="U561" s="21"/>
      <c r="V561" s="21"/>
      <c r="W561" s="21"/>
      <c r="X561" s="21"/>
      <c r="Y561" s="21"/>
      <c r="Z561" s="21"/>
    </row>
    <row r="562" spans="1:26" ht="15.75" customHeight="1" x14ac:dyDescent="0.25">
      <c r="A562" s="11"/>
      <c r="B562" s="22">
        <v>45839</v>
      </c>
      <c r="C562" s="11">
        <v>1351</v>
      </c>
      <c r="D562" s="11" t="s">
        <v>2971</v>
      </c>
      <c r="E562" s="11">
        <v>25900909</v>
      </c>
      <c r="F562" s="11"/>
      <c r="G562" s="190" t="s">
        <v>3101</v>
      </c>
      <c r="H562" s="11" t="s">
        <v>2292</v>
      </c>
      <c r="I562" s="25">
        <v>1</v>
      </c>
      <c r="J562" s="21"/>
      <c r="K562" s="21"/>
      <c r="L562" s="21"/>
      <c r="M562" s="21"/>
      <c r="N562" s="21"/>
      <c r="O562" s="21"/>
      <c r="P562" s="21"/>
      <c r="Q562" s="21"/>
      <c r="R562" s="21"/>
      <c r="S562" s="21"/>
      <c r="T562" s="21"/>
      <c r="U562" s="21"/>
      <c r="V562" s="21"/>
      <c r="W562" s="21"/>
      <c r="X562" s="21"/>
      <c r="Y562" s="21"/>
      <c r="Z562" s="21"/>
    </row>
    <row r="563" spans="1:26" ht="15.75" customHeight="1" x14ac:dyDescent="0.25">
      <c r="A563" s="11"/>
      <c r="B563" s="22">
        <v>45839</v>
      </c>
      <c r="C563" s="11">
        <v>1352</v>
      </c>
      <c r="D563" s="11" t="s">
        <v>2311</v>
      </c>
      <c r="E563" s="11">
        <v>4000289619</v>
      </c>
      <c r="F563" s="11"/>
      <c r="G563" s="190" t="s">
        <v>3102</v>
      </c>
      <c r="H563" s="11" t="s">
        <v>2306</v>
      </c>
      <c r="I563" s="25">
        <v>7</v>
      </c>
      <c r="J563" s="21"/>
      <c r="K563" s="21"/>
      <c r="L563" s="21"/>
      <c r="M563" s="21"/>
      <c r="N563" s="21"/>
      <c r="O563" s="21"/>
      <c r="P563" s="21"/>
      <c r="Q563" s="21"/>
      <c r="R563" s="21"/>
      <c r="S563" s="21"/>
      <c r="T563" s="21"/>
      <c r="U563" s="21"/>
      <c r="V563" s="21"/>
      <c r="W563" s="21"/>
      <c r="X563" s="21"/>
      <c r="Y563" s="21"/>
      <c r="Z563" s="21"/>
    </row>
    <row r="564" spans="1:26" ht="15.75" customHeight="1" x14ac:dyDescent="0.25">
      <c r="A564" s="11"/>
      <c r="B564" s="22">
        <v>45840</v>
      </c>
      <c r="C564" s="11">
        <v>1353</v>
      </c>
      <c r="D564" s="11" t="s">
        <v>2971</v>
      </c>
      <c r="E564" s="11">
        <v>25900926</v>
      </c>
      <c r="F564" s="11"/>
      <c r="G564" s="190" t="s">
        <v>3103</v>
      </c>
      <c r="H564" s="11" t="s">
        <v>2306</v>
      </c>
      <c r="I564" s="25">
        <v>7</v>
      </c>
      <c r="J564" s="21"/>
      <c r="K564" s="21"/>
      <c r="L564" s="21"/>
      <c r="M564" s="21"/>
      <c r="N564" s="21"/>
      <c r="O564" s="21"/>
      <c r="P564" s="21"/>
      <c r="Q564" s="21"/>
      <c r="R564" s="21"/>
      <c r="S564" s="21"/>
      <c r="T564" s="21"/>
      <c r="U564" s="21"/>
      <c r="V564" s="21"/>
      <c r="W564" s="21"/>
      <c r="X564" s="21"/>
      <c r="Y564" s="21"/>
      <c r="Z564" s="21"/>
    </row>
    <row r="565" spans="1:26" ht="15.75" customHeight="1" x14ac:dyDescent="0.25">
      <c r="A565" s="11"/>
      <c r="B565" s="22">
        <v>45840</v>
      </c>
      <c r="C565" s="11">
        <v>1353</v>
      </c>
      <c r="D565" s="11" t="s">
        <v>2971</v>
      </c>
      <c r="E565" s="11">
        <v>25900926</v>
      </c>
      <c r="F565" s="11"/>
      <c r="G565" s="190" t="s">
        <v>3103</v>
      </c>
      <c r="H565" s="11" t="s">
        <v>2306</v>
      </c>
      <c r="I565" s="25">
        <v>7</v>
      </c>
      <c r="J565" s="21"/>
      <c r="K565" s="21"/>
      <c r="L565" s="21"/>
      <c r="M565" s="21"/>
      <c r="N565" s="21"/>
      <c r="O565" s="21"/>
      <c r="P565" s="21"/>
      <c r="Q565" s="21"/>
      <c r="R565" s="21"/>
      <c r="S565" s="21"/>
      <c r="T565" s="21"/>
      <c r="U565" s="21"/>
      <c r="V565" s="21"/>
      <c r="W565" s="21"/>
      <c r="X565" s="21"/>
      <c r="Y565" s="21"/>
      <c r="Z565" s="21"/>
    </row>
    <row r="566" spans="1:26" ht="15.75" customHeight="1" x14ac:dyDescent="0.25">
      <c r="A566" s="11"/>
      <c r="B566" s="22">
        <v>45840</v>
      </c>
      <c r="C566" s="11">
        <v>1354</v>
      </c>
      <c r="D566" s="11" t="s">
        <v>2623</v>
      </c>
      <c r="E566" s="11">
        <v>4500417910</v>
      </c>
      <c r="F566" s="11"/>
      <c r="G566" s="190" t="s">
        <v>3104</v>
      </c>
      <c r="H566" s="11" t="s">
        <v>2306</v>
      </c>
      <c r="I566" s="25">
        <v>7</v>
      </c>
      <c r="J566" s="21"/>
      <c r="K566" s="21"/>
      <c r="L566" s="21"/>
      <c r="M566" s="21"/>
      <c r="N566" s="21"/>
      <c r="O566" s="21"/>
      <c r="P566" s="21"/>
      <c r="Q566" s="21"/>
      <c r="R566" s="21"/>
      <c r="S566" s="21"/>
      <c r="T566" s="21"/>
      <c r="U566" s="21"/>
      <c r="V566" s="21"/>
      <c r="W566" s="21"/>
      <c r="X566" s="21"/>
      <c r="Y566" s="21"/>
      <c r="Z566" s="21"/>
    </row>
    <row r="567" spans="1:26" ht="15.75" customHeight="1" x14ac:dyDescent="0.25">
      <c r="A567" s="11"/>
      <c r="B567" s="22">
        <v>45841</v>
      </c>
      <c r="C567" s="11">
        <v>1354</v>
      </c>
      <c r="D567" s="11" t="s">
        <v>2623</v>
      </c>
      <c r="E567" s="11">
        <v>4500417910</v>
      </c>
      <c r="F567" s="11"/>
      <c r="G567" s="190" t="s">
        <v>3104</v>
      </c>
      <c r="H567" s="11" t="s">
        <v>2306</v>
      </c>
      <c r="I567" s="25">
        <v>7</v>
      </c>
      <c r="J567" s="21"/>
      <c r="K567" s="21"/>
      <c r="L567" s="21"/>
      <c r="M567" s="21"/>
      <c r="N567" s="21"/>
      <c r="O567" s="21"/>
      <c r="P567" s="21"/>
      <c r="Q567" s="21"/>
      <c r="R567" s="21"/>
      <c r="S567" s="21"/>
      <c r="T567" s="21"/>
      <c r="U567" s="21"/>
      <c r="V567" s="21"/>
      <c r="W567" s="21"/>
      <c r="X567" s="21"/>
      <c r="Y567" s="21"/>
      <c r="Z567" s="21"/>
    </row>
    <row r="568" spans="1:26" ht="15.75" customHeight="1" x14ac:dyDescent="0.25">
      <c r="A568" s="11"/>
      <c r="B568" s="22">
        <v>45841</v>
      </c>
      <c r="C568" s="11">
        <v>1355</v>
      </c>
      <c r="D568" s="11" t="s">
        <v>2971</v>
      </c>
      <c r="E568" s="11">
        <v>25900908</v>
      </c>
      <c r="F568" s="11"/>
      <c r="G568" s="190" t="s">
        <v>3105</v>
      </c>
      <c r="H568" s="11" t="s">
        <v>2618</v>
      </c>
      <c r="I568" s="25" t="s">
        <v>2618</v>
      </c>
      <c r="J568" s="21"/>
      <c r="K568" s="21"/>
      <c r="L568" s="21"/>
      <c r="M568" s="21"/>
      <c r="N568" s="21"/>
      <c r="O568" s="21"/>
      <c r="P568" s="21"/>
      <c r="Q568" s="21"/>
      <c r="R568" s="21"/>
      <c r="S568" s="21"/>
      <c r="T568" s="21"/>
      <c r="U568" s="21"/>
      <c r="V568" s="21"/>
      <c r="W568" s="21"/>
      <c r="X568" s="21"/>
      <c r="Y568" s="21"/>
      <c r="Z568" s="21"/>
    </row>
    <row r="569" spans="1:26" ht="15.75" customHeight="1" x14ac:dyDescent="0.25">
      <c r="A569" s="11"/>
      <c r="B569" s="22">
        <v>45841</v>
      </c>
      <c r="C569" s="11">
        <v>1356</v>
      </c>
      <c r="D569" s="11" t="s">
        <v>2298</v>
      </c>
      <c r="E569" s="11" t="s">
        <v>3106</v>
      </c>
      <c r="F569" s="11"/>
      <c r="G569" s="190" t="s">
        <v>3107</v>
      </c>
      <c r="H569" s="11" t="s">
        <v>2292</v>
      </c>
      <c r="I569" s="25">
        <v>1</v>
      </c>
      <c r="J569" s="21"/>
      <c r="K569" s="21"/>
      <c r="L569" s="21"/>
      <c r="M569" s="21"/>
      <c r="N569" s="21"/>
      <c r="O569" s="21"/>
      <c r="P569" s="21"/>
      <c r="Q569" s="21"/>
      <c r="R569" s="21"/>
      <c r="S569" s="21"/>
      <c r="T569" s="21"/>
      <c r="U569" s="21"/>
      <c r="V569" s="21"/>
      <c r="W569" s="21"/>
      <c r="X569" s="21"/>
      <c r="Y569" s="21"/>
      <c r="Z569" s="21"/>
    </row>
    <row r="570" spans="1:26" ht="15.75" customHeight="1" x14ac:dyDescent="0.25">
      <c r="A570" s="11"/>
      <c r="B570" s="22">
        <v>45842</v>
      </c>
      <c r="C570" s="11">
        <v>1357</v>
      </c>
      <c r="D570" s="11" t="s">
        <v>2971</v>
      </c>
      <c r="E570" s="11">
        <v>25900907</v>
      </c>
      <c r="F570" s="11"/>
      <c r="G570" s="190" t="s">
        <v>3108</v>
      </c>
      <c r="H570" s="11" t="s">
        <v>2618</v>
      </c>
      <c r="I570" s="25" t="s">
        <v>2618</v>
      </c>
      <c r="J570" s="21"/>
      <c r="K570" s="21"/>
      <c r="L570" s="21"/>
      <c r="M570" s="21"/>
      <c r="N570" s="21"/>
      <c r="O570" s="21"/>
      <c r="P570" s="21"/>
      <c r="Q570" s="21"/>
      <c r="R570" s="21"/>
      <c r="S570" s="21"/>
      <c r="T570" s="21"/>
      <c r="U570" s="21"/>
      <c r="V570" s="21"/>
      <c r="W570" s="21"/>
      <c r="X570" s="21"/>
      <c r="Y570" s="21"/>
      <c r="Z570" s="21"/>
    </row>
    <row r="571" spans="1:26" ht="15.75" customHeight="1" x14ac:dyDescent="0.25">
      <c r="A571" s="11"/>
      <c r="B571" s="22">
        <v>45842</v>
      </c>
      <c r="C571" s="11">
        <v>1357</v>
      </c>
      <c r="D571" s="11" t="s">
        <v>2971</v>
      </c>
      <c r="E571" s="11">
        <v>25900907</v>
      </c>
      <c r="F571" s="11" t="s">
        <v>2230</v>
      </c>
      <c r="G571" s="190" t="s">
        <v>3112</v>
      </c>
      <c r="H571" s="11" t="s">
        <v>2618</v>
      </c>
      <c r="I571" s="25" t="s">
        <v>2618</v>
      </c>
      <c r="J571" s="21"/>
      <c r="K571" s="21"/>
      <c r="L571" s="21"/>
      <c r="M571" s="21"/>
      <c r="N571" s="21"/>
      <c r="O571" s="21"/>
      <c r="P571" s="21"/>
      <c r="Q571" s="21"/>
      <c r="R571" s="21"/>
      <c r="S571" s="21"/>
      <c r="T571" s="21"/>
      <c r="U571" s="21"/>
      <c r="V571" s="21"/>
      <c r="W571" s="21"/>
      <c r="X571" s="21"/>
      <c r="Y571" s="21"/>
      <c r="Z571" s="21"/>
    </row>
    <row r="572" spans="1:26" ht="15.75" customHeight="1" x14ac:dyDescent="0.25">
      <c r="A572" s="11"/>
      <c r="B572" s="22">
        <v>45842</v>
      </c>
      <c r="C572" s="11">
        <v>1358</v>
      </c>
      <c r="D572" s="11" t="s">
        <v>2971</v>
      </c>
      <c r="E572" s="11">
        <v>25900948</v>
      </c>
      <c r="F572" s="11"/>
      <c r="G572" s="190" t="s">
        <v>3109</v>
      </c>
      <c r="H572" s="11" t="s">
        <v>2306</v>
      </c>
      <c r="I572" s="25">
        <v>7</v>
      </c>
      <c r="J572" s="21"/>
      <c r="K572" s="21"/>
      <c r="L572" s="21"/>
      <c r="M572" s="21"/>
      <c r="N572" s="21"/>
      <c r="O572" s="21"/>
      <c r="P572" s="21"/>
      <c r="Q572" s="21"/>
      <c r="R572" s="21"/>
      <c r="S572" s="21"/>
      <c r="T572" s="21"/>
      <c r="U572" s="21"/>
      <c r="V572" s="21"/>
      <c r="W572" s="21"/>
      <c r="X572" s="21"/>
      <c r="Y572" s="21"/>
      <c r="Z572" s="21"/>
    </row>
    <row r="573" spans="1:26" ht="15.75" customHeight="1" x14ac:dyDescent="0.25">
      <c r="A573" s="11"/>
      <c r="B573" s="22">
        <v>45842</v>
      </c>
      <c r="C573" s="11">
        <v>1359</v>
      </c>
      <c r="D573" s="11" t="s">
        <v>2298</v>
      </c>
      <c r="E573" s="11" t="s">
        <v>3110</v>
      </c>
      <c r="F573" s="11"/>
      <c r="G573" s="190" t="s">
        <v>3111</v>
      </c>
      <c r="H573" s="11" t="s">
        <v>2292</v>
      </c>
      <c r="I573" s="25">
        <v>1</v>
      </c>
      <c r="J573" s="21"/>
      <c r="K573" s="21"/>
      <c r="L573" s="21"/>
      <c r="M573" s="21"/>
      <c r="N573" s="21"/>
      <c r="O573" s="21"/>
      <c r="P573" s="21"/>
      <c r="Q573" s="21"/>
      <c r="R573" s="21"/>
      <c r="S573" s="21"/>
      <c r="T573" s="21"/>
      <c r="U573" s="21"/>
      <c r="V573" s="21"/>
      <c r="W573" s="21"/>
      <c r="X573" s="21"/>
      <c r="Y573" s="21"/>
      <c r="Z573" s="21"/>
    </row>
    <row r="574" spans="1:26" ht="15.75" customHeight="1" x14ac:dyDescent="0.25">
      <c r="A574" s="11"/>
      <c r="B574" s="22">
        <v>45843</v>
      </c>
      <c r="C574" s="11">
        <v>1360</v>
      </c>
      <c r="D574" s="11" t="s">
        <v>44</v>
      </c>
      <c r="E574" s="11">
        <v>4714046439</v>
      </c>
      <c r="F574" s="11"/>
      <c r="G574" s="190" t="s">
        <v>3114</v>
      </c>
      <c r="H574" s="11" t="s">
        <v>3113</v>
      </c>
      <c r="I574" s="25" t="s">
        <v>3113</v>
      </c>
      <c r="J574" s="21"/>
      <c r="K574" s="21"/>
      <c r="L574" s="21"/>
      <c r="M574" s="21"/>
      <c r="N574" s="21"/>
      <c r="O574" s="21"/>
      <c r="P574" s="21"/>
      <c r="Q574" s="21"/>
      <c r="R574" s="21"/>
      <c r="S574" s="21"/>
      <c r="T574" s="21"/>
      <c r="U574" s="21"/>
      <c r="V574" s="21"/>
      <c r="W574" s="21"/>
      <c r="X574" s="21"/>
      <c r="Y574" s="21"/>
      <c r="Z574" s="21"/>
    </row>
    <row r="575" spans="1:26" ht="15.75" customHeight="1" x14ac:dyDescent="0.25">
      <c r="A575" s="11"/>
      <c r="B575" s="22">
        <v>45843</v>
      </c>
      <c r="C575" s="11">
        <v>1361</v>
      </c>
      <c r="D575" s="11" t="s">
        <v>44</v>
      </c>
      <c r="E575" s="11">
        <v>4714046355</v>
      </c>
      <c r="F575" s="11"/>
      <c r="G575" s="190" t="s">
        <v>3116</v>
      </c>
      <c r="H575" s="11" t="s">
        <v>3115</v>
      </c>
      <c r="I575" s="25" t="s">
        <v>3115</v>
      </c>
      <c r="J575" s="21"/>
      <c r="K575" s="21"/>
      <c r="L575" s="21"/>
      <c r="M575" s="21"/>
      <c r="N575" s="21"/>
      <c r="O575" s="21"/>
      <c r="P575" s="21"/>
      <c r="Q575" s="21"/>
      <c r="R575" s="21"/>
      <c r="S575" s="21"/>
      <c r="T575" s="21"/>
      <c r="U575" s="21"/>
      <c r="V575" s="21"/>
      <c r="W575" s="21"/>
      <c r="X575" s="21"/>
      <c r="Y575" s="21"/>
      <c r="Z575" s="21"/>
    </row>
    <row r="576" spans="1:26" ht="15.75" customHeight="1" x14ac:dyDescent="0.25">
      <c r="A576" s="11"/>
      <c r="B576" s="22">
        <v>45845</v>
      </c>
      <c r="C576" s="11">
        <v>1362</v>
      </c>
      <c r="D576" s="11" t="s">
        <v>66</v>
      </c>
      <c r="E576" s="11" t="s">
        <v>3117</v>
      </c>
      <c r="F576" s="11"/>
      <c r="G576" s="190" t="s">
        <v>3118</v>
      </c>
      <c r="H576" s="11" t="s">
        <v>2292</v>
      </c>
      <c r="I576" s="25">
        <v>1</v>
      </c>
      <c r="J576" s="21"/>
      <c r="K576" s="21"/>
      <c r="L576" s="21"/>
      <c r="M576" s="21"/>
      <c r="N576" s="21"/>
      <c r="O576" s="21"/>
      <c r="P576" s="21"/>
      <c r="Q576" s="21"/>
      <c r="R576" s="21"/>
      <c r="S576" s="21"/>
      <c r="T576" s="21"/>
      <c r="U576" s="21"/>
      <c r="V576" s="21"/>
      <c r="W576" s="21"/>
      <c r="X576" s="21"/>
      <c r="Y576" s="21"/>
      <c r="Z576" s="21"/>
    </row>
    <row r="577" spans="1:26" ht="15.75" customHeight="1" x14ac:dyDescent="0.25">
      <c r="A577" s="11"/>
      <c r="B577" s="22">
        <v>45845</v>
      </c>
      <c r="C577" s="11">
        <v>1363</v>
      </c>
      <c r="D577" s="11" t="s">
        <v>2298</v>
      </c>
      <c r="E577" s="11" t="s">
        <v>3119</v>
      </c>
      <c r="F577" s="11"/>
      <c r="G577" s="190" t="s">
        <v>3120</v>
      </c>
      <c r="H577" s="11" t="s">
        <v>2292</v>
      </c>
      <c r="I577" s="25">
        <v>1</v>
      </c>
      <c r="J577" s="21"/>
      <c r="K577" s="21"/>
      <c r="L577" s="21"/>
      <c r="M577" s="21"/>
      <c r="N577" s="21"/>
      <c r="O577" s="21"/>
      <c r="P577" s="21"/>
      <c r="Q577" s="21"/>
      <c r="R577" s="21"/>
      <c r="S577" s="21"/>
      <c r="T577" s="21"/>
      <c r="U577" s="21"/>
      <c r="V577" s="21"/>
      <c r="W577" s="21"/>
      <c r="X577" s="21"/>
      <c r="Y577" s="21"/>
      <c r="Z577" s="21"/>
    </row>
    <row r="578" spans="1:26" ht="15.75" customHeight="1" x14ac:dyDescent="0.25">
      <c r="A578" s="11"/>
      <c r="B578" s="22">
        <v>45846</v>
      </c>
      <c r="C578" s="11">
        <v>1364</v>
      </c>
      <c r="D578" s="11" t="s">
        <v>4</v>
      </c>
      <c r="E578" s="11" t="s">
        <v>2950</v>
      </c>
      <c r="F578" s="11"/>
      <c r="G578" s="190" t="s">
        <v>3122</v>
      </c>
      <c r="H578" s="11" t="s">
        <v>3121</v>
      </c>
      <c r="I578" s="25" t="s">
        <v>3121</v>
      </c>
      <c r="J578" s="21"/>
      <c r="K578" s="21"/>
      <c r="L578" s="21"/>
      <c r="M578" s="21"/>
      <c r="N578" s="21"/>
      <c r="O578" s="21"/>
      <c r="P578" s="21"/>
      <c r="Q578" s="21"/>
      <c r="R578" s="21"/>
      <c r="S578" s="21"/>
      <c r="T578" s="21"/>
      <c r="U578" s="21"/>
      <c r="V578" s="21"/>
      <c r="W578" s="21"/>
      <c r="X578" s="21"/>
      <c r="Y578" s="21"/>
      <c r="Z578" s="21"/>
    </row>
    <row r="579" spans="1:26" ht="15.75" customHeight="1" x14ac:dyDescent="0.25">
      <c r="A579" s="11"/>
      <c r="B579" s="22">
        <v>45847</v>
      </c>
      <c r="C579" s="11">
        <v>1365</v>
      </c>
      <c r="D579" s="11" t="s">
        <v>2971</v>
      </c>
      <c r="E579" s="11">
        <v>25900955</v>
      </c>
      <c r="F579" s="11"/>
      <c r="G579" s="190" t="s">
        <v>3123</v>
      </c>
      <c r="H579" s="11" t="s">
        <v>2306</v>
      </c>
      <c r="I579" s="25">
        <v>7</v>
      </c>
      <c r="J579" s="21"/>
      <c r="K579" s="21"/>
      <c r="L579" s="21"/>
      <c r="M579" s="21"/>
      <c r="N579" s="21"/>
      <c r="O579" s="21"/>
      <c r="P579" s="21"/>
      <c r="Q579" s="21"/>
      <c r="R579" s="21"/>
      <c r="S579" s="21"/>
      <c r="T579" s="21"/>
      <c r="U579" s="21"/>
      <c r="V579" s="21"/>
      <c r="W579" s="21"/>
      <c r="X579" s="21"/>
      <c r="Y579" s="21"/>
      <c r="Z579" s="21"/>
    </row>
    <row r="580" spans="1:26" ht="15.75" customHeight="1" x14ac:dyDescent="0.25">
      <c r="A580" s="11"/>
      <c r="B580" s="22">
        <v>45847</v>
      </c>
      <c r="C580" s="11">
        <v>1366</v>
      </c>
      <c r="D580" s="11" t="s">
        <v>2971</v>
      </c>
      <c r="E580" s="11">
        <v>25900956</v>
      </c>
      <c r="F580" s="11"/>
      <c r="G580" s="190" t="s">
        <v>3124</v>
      </c>
      <c r="H580" s="11" t="s">
        <v>2306</v>
      </c>
      <c r="I580" s="25">
        <v>7</v>
      </c>
      <c r="J580" s="21"/>
      <c r="K580" s="21"/>
      <c r="L580" s="21"/>
      <c r="M580" s="21"/>
      <c r="N580" s="21"/>
      <c r="O580" s="21"/>
      <c r="P580" s="21"/>
      <c r="Q580" s="21"/>
      <c r="R580" s="21"/>
      <c r="S580" s="21"/>
      <c r="T580" s="21"/>
      <c r="U580" s="21"/>
      <c r="V580" s="21"/>
      <c r="W580" s="21"/>
      <c r="X580" s="21"/>
      <c r="Y580" s="21"/>
      <c r="Z580" s="21"/>
    </row>
    <row r="581" spans="1:26" ht="15.75" customHeight="1" x14ac:dyDescent="0.25">
      <c r="A581" s="11"/>
      <c r="B581" s="22">
        <v>45847</v>
      </c>
      <c r="C581" s="11">
        <v>1367</v>
      </c>
      <c r="D581" s="11" t="s">
        <v>2971</v>
      </c>
      <c r="E581" s="11">
        <v>25900907</v>
      </c>
      <c r="F581" s="11"/>
      <c r="G581" s="190" t="s">
        <v>3125</v>
      </c>
      <c r="H581" s="11" t="s">
        <v>2618</v>
      </c>
      <c r="I581" s="25" t="s">
        <v>2618</v>
      </c>
      <c r="J581" s="21"/>
      <c r="K581" s="21"/>
      <c r="L581" s="21"/>
      <c r="M581" s="21"/>
      <c r="N581" s="21"/>
      <c r="O581" s="21"/>
      <c r="P581" s="21"/>
      <c r="Q581" s="21"/>
      <c r="R581" s="21"/>
      <c r="S581" s="21"/>
      <c r="T581" s="21"/>
      <c r="U581" s="21"/>
      <c r="V581" s="21"/>
      <c r="W581" s="21"/>
      <c r="X581" s="21"/>
      <c r="Y581" s="21"/>
      <c r="Z581" s="21"/>
    </row>
    <row r="582" spans="1:26" ht="15.75" customHeight="1" x14ac:dyDescent="0.25">
      <c r="A582" s="11"/>
      <c r="B582" s="22">
        <v>45847</v>
      </c>
      <c r="C582" s="11">
        <v>1367</v>
      </c>
      <c r="D582" s="11" t="s">
        <v>2971</v>
      </c>
      <c r="E582" s="11">
        <v>25900907</v>
      </c>
      <c r="F582" s="11" t="s">
        <v>2230</v>
      </c>
      <c r="G582" s="190" t="s">
        <v>3130</v>
      </c>
      <c r="H582" s="11" t="s">
        <v>3128</v>
      </c>
      <c r="I582" s="25" t="s">
        <v>3129</v>
      </c>
      <c r="J582" s="21"/>
      <c r="K582" s="21"/>
      <c r="L582" s="21"/>
      <c r="M582" s="21"/>
      <c r="N582" s="21"/>
      <c r="O582" s="21"/>
      <c r="P582" s="21"/>
      <c r="Q582" s="21"/>
      <c r="R582" s="21"/>
      <c r="S582" s="21"/>
      <c r="T582" s="21"/>
      <c r="U582" s="21"/>
      <c r="V582" s="21"/>
      <c r="W582" s="21"/>
      <c r="X582" s="21"/>
      <c r="Y582" s="21"/>
      <c r="Z582" s="21"/>
    </row>
    <row r="583" spans="1:26" ht="15.75" customHeight="1" x14ac:dyDescent="0.25">
      <c r="A583" s="11"/>
      <c r="B583" s="22">
        <v>45847</v>
      </c>
      <c r="C583" s="11">
        <v>1368</v>
      </c>
      <c r="D583" s="11" t="s">
        <v>2971</v>
      </c>
      <c r="E583" s="11">
        <v>25900908</v>
      </c>
      <c r="F583" s="11"/>
      <c r="G583" s="190" t="s">
        <v>3127</v>
      </c>
      <c r="H583" s="11" t="s">
        <v>3126</v>
      </c>
      <c r="I583" s="25" t="s">
        <v>3126</v>
      </c>
      <c r="J583" s="21"/>
      <c r="K583" s="21"/>
      <c r="L583" s="21"/>
      <c r="M583" s="21"/>
      <c r="N583" s="21"/>
      <c r="O583" s="21"/>
      <c r="P583" s="21"/>
      <c r="Q583" s="21"/>
      <c r="R583" s="21"/>
      <c r="S583" s="21"/>
      <c r="T583" s="21"/>
      <c r="U583" s="21"/>
      <c r="V583" s="21"/>
      <c r="W583" s="21"/>
      <c r="X583" s="21"/>
      <c r="Y583" s="21"/>
      <c r="Z583" s="21"/>
    </row>
    <row r="584" spans="1:26" ht="15.75" customHeight="1" x14ac:dyDescent="0.25">
      <c r="A584" s="11"/>
      <c r="B584" s="22">
        <v>45847</v>
      </c>
      <c r="C584" s="11">
        <v>1369</v>
      </c>
      <c r="D584" s="11" t="s">
        <v>63</v>
      </c>
      <c r="E584" s="11" t="s">
        <v>3131</v>
      </c>
      <c r="F584" s="11"/>
      <c r="G584" s="190" t="s">
        <v>3132</v>
      </c>
      <c r="H584" s="11" t="s">
        <v>2292</v>
      </c>
      <c r="I584" s="25">
        <v>1</v>
      </c>
      <c r="J584" s="21"/>
      <c r="K584" s="21"/>
      <c r="L584" s="21"/>
      <c r="M584" s="21"/>
      <c r="N584" s="21"/>
      <c r="O584" s="21"/>
      <c r="P584" s="21"/>
      <c r="Q584" s="21"/>
      <c r="R584" s="21"/>
      <c r="S584" s="21"/>
      <c r="T584" s="21"/>
      <c r="U584" s="21"/>
      <c r="V584" s="21"/>
      <c r="W584" s="21"/>
      <c r="X584" s="21"/>
      <c r="Y584" s="21"/>
      <c r="Z584" s="21"/>
    </row>
    <row r="585" spans="1:26" ht="15.75" customHeight="1" x14ac:dyDescent="0.25">
      <c r="A585" s="11"/>
      <c r="B585" s="22">
        <v>45847</v>
      </c>
      <c r="C585" s="11">
        <v>1369</v>
      </c>
      <c r="D585" s="11" t="s">
        <v>63</v>
      </c>
      <c r="E585" s="11" t="s">
        <v>3131</v>
      </c>
      <c r="F585" s="11"/>
      <c r="G585" s="190" t="s">
        <v>3132</v>
      </c>
      <c r="H585" s="11" t="s">
        <v>2292</v>
      </c>
      <c r="I585" s="25">
        <v>1</v>
      </c>
      <c r="J585" s="21"/>
      <c r="K585" s="21"/>
      <c r="L585" s="21"/>
      <c r="M585" s="21"/>
      <c r="N585" s="21"/>
      <c r="O585" s="21"/>
      <c r="P585" s="21"/>
      <c r="Q585" s="21"/>
      <c r="R585" s="21"/>
      <c r="S585" s="21"/>
      <c r="T585" s="21"/>
      <c r="U585" s="21"/>
      <c r="V585" s="21"/>
      <c r="W585" s="21"/>
      <c r="X585" s="21"/>
      <c r="Y585" s="21"/>
      <c r="Z585" s="21"/>
    </row>
    <row r="586" spans="1:26" ht="15.75" customHeight="1" x14ac:dyDescent="0.25">
      <c r="A586" s="11"/>
      <c r="B586" s="22">
        <v>45847</v>
      </c>
      <c r="C586" s="11">
        <v>1370</v>
      </c>
      <c r="D586" s="11" t="s">
        <v>66</v>
      </c>
      <c r="E586" s="11" t="s">
        <v>53</v>
      </c>
      <c r="F586" s="11"/>
      <c r="G586" s="190" t="s">
        <v>3134</v>
      </c>
      <c r="H586" s="11" t="s">
        <v>3133</v>
      </c>
      <c r="I586" s="25" t="s">
        <v>3133</v>
      </c>
      <c r="J586" s="21"/>
      <c r="K586" s="21"/>
      <c r="L586" s="21"/>
      <c r="M586" s="21"/>
      <c r="N586" s="21"/>
      <c r="O586" s="21"/>
      <c r="P586" s="21"/>
      <c r="Q586" s="21"/>
      <c r="R586" s="21"/>
      <c r="S586" s="21"/>
      <c r="T586" s="21"/>
      <c r="U586" s="21"/>
      <c r="V586" s="21"/>
      <c r="W586" s="21"/>
      <c r="X586" s="21"/>
      <c r="Y586" s="21"/>
      <c r="Z586" s="21"/>
    </row>
    <row r="587" spans="1:26" ht="15.75" customHeight="1" x14ac:dyDescent="0.25">
      <c r="A587" s="11"/>
      <c r="B587" s="22">
        <v>45847</v>
      </c>
      <c r="C587" s="11">
        <v>1370</v>
      </c>
      <c r="D587" s="11" t="s">
        <v>66</v>
      </c>
      <c r="E587" s="11" t="s">
        <v>53</v>
      </c>
      <c r="F587" s="11"/>
      <c r="G587" s="190" t="s">
        <v>3134</v>
      </c>
      <c r="H587" s="11" t="s">
        <v>3133</v>
      </c>
      <c r="I587" s="25" t="s">
        <v>3133</v>
      </c>
      <c r="J587" s="21"/>
      <c r="K587" s="21"/>
      <c r="L587" s="21"/>
      <c r="M587" s="21"/>
      <c r="N587" s="21"/>
      <c r="O587" s="21"/>
      <c r="P587" s="21"/>
      <c r="Q587" s="21"/>
      <c r="R587" s="21"/>
      <c r="S587" s="21"/>
      <c r="T587" s="21"/>
      <c r="U587" s="21"/>
      <c r="V587" s="21"/>
      <c r="W587" s="21"/>
      <c r="X587" s="21"/>
      <c r="Y587" s="21"/>
      <c r="Z587" s="21"/>
    </row>
    <row r="588" spans="1:26" ht="15.75" customHeight="1" x14ac:dyDescent="0.25">
      <c r="A588" s="11"/>
      <c r="B588" s="22">
        <v>45847</v>
      </c>
      <c r="C588" s="11">
        <v>1370</v>
      </c>
      <c r="D588" s="11" t="s">
        <v>66</v>
      </c>
      <c r="E588" s="11" t="s">
        <v>3257</v>
      </c>
      <c r="F588" s="11"/>
      <c r="G588" s="190" t="s">
        <v>3258</v>
      </c>
      <c r="H588" s="11" t="s">
        <v>2292</v>
      </c>
      <c r="I588" s="25">
        <v>1</v>
      </c>
      <c r="J588" s="21"/>
      <c r="K588" s="21"/>
      <c r="L588" s="21"/>
      <c r="M588" s="21"/>
      <c r="N588" s="21"/>
      <c r="O588" s="21"/>
      <c r="P588" s="21"/>
      <c r="Q588" s="21"/>
      <c r="R588" s="21"/>
      <c r="S588" s="21"/>
      <c r="T588" s="21"/>
      <c r="U588" s="21"/>
      <c r="V588" s="21"/>
      <c r="W588" s="21"/>
      <c r="X588" s="21"/>
      <c r="Y588" s="21"/>
      <c r="Z588" s="21"/>
    </row>
    <row r="589" spans="1:26" ht="15.75" customHeight="1" x14ac:dyDescent="0.25">
      <c r="A589" s="11"/>
      <c r="B589" s="22">
        <v>45849</v>
      </c>
      <c r="C589" s="11">
        <v>1371</v>
      </c>
      <c r="D589" s="11" t="s">
        <v>44</v>
      </c>
      <c r="E589" s="11">
        <v>4714046439</v>
      </c>
      <c r="F589" s="11"/>
      <c r="G589" s="190" t="s">
        <v>3136</v>
      </c>
      <c r="H589" s="11" t="s">
        <v>3135</v>
      </c>
      <c r="I589" s="25" t="s">
        <v>3135</v>
      </c>
      <c r="J589" s="21"/>
      <c r="K589" s="21"/>
      <c r="L589" s="21"/>
      <c r="M589" s="21"/>
      <c r="N589" s="21"/>
      <c r="O589" s="21"/>
      <c r="P589" s="21"/>
      <c r="Q589" s="21"/>
      <c r="R589" s="21"/>
      <c r="S589" s="21"/>
      <c r="T589" s="21"/>
      <c r="U589" s="21"/>
      <c r="V589" s="21"/>
      <c r="W589" s="21"/>
      <c r="X589" s="21"/>
      <c r="Y589" s="21"/>
      <c r="Z589" s="21"/>
    </row>
    <row r="590" spans="1:26" ht="15.75" customHeight="1" x14ac:dyDescent="0.25">
      <c r="A590" s="11"/>
      <c r="B590" s="22">
        <v>45849</v>
      </c>
      <c r="C590" s="11">
        <v>1372</v>
      </c>
      <c r="D590" s="11" t="s">
        <v>44</v>
      </c>
      <c r="E590" s="11">
        <v>4714046355</v>
      </c>
      <c r="F590" s="11"/>
      <c r="G590" s="190" t="s">
        <v>3137</v>
      </c>
      <c r="H590" s="11" t="s">
        <v>2292</v>
      </c>
      <c r="I590" s="25">
        <v>1</v>
      </c>
      <c r="J590" s="21"/>
      <c r="K590" s="21"/>
      <c r="L590" s="21"/>
      <c r="M590" s="21"/>
      <c r="N590" s="21"/>
      <c r="O590" s="21"/>
      <c r="P590" s="21"/>
      <c r="Q590" s="21"/>
      <c r="R590" s="21"/>
      <c r="S590" s="21"/>
      <c r="T590" s="21"/>
      <c r="U590" s="21"/>
      <c r="V590" s="21"/>
      <c r="W590" s="21"/>
      <c r="X590" s="21"/>
      <c r="Y590" s="21"/>
      <c r="Z590" s="21"/>
    </row>
    <row r="591" spans="1:26" ht="15.75" customHeight="1" x14ac:dyDescent="0.25">
      <c r="A591" s="11"/>
      <c r="B591" s="22">
        <v>45849</v>
      </c>
      <c r="C591" s="11">
        <v>1373</v>
      </c>
      <c r="D591" s="11" t="s">
        <v>44</v>
      </c>
      <c r="E591" s="11">
        <v>4714046496</v>
      </c>
      <c r="F591" s="11"/>
      <c r="G591" s="190" t="s">
        <v>3139</v>
      </c>
      <c r="H591" s="11" t="s">
        <v>3138</v>
      </c>
      <c r="I591" s="25" t="s">
        <v>3138</v>
      </c>
      <c r="J591" s="21"/>
      <c r="K591" s="21"/>
      <c r="L591" s="21"/>
      <c r="M591" s="21"/>
      <c r="N591" s="21"/>
      <c r="O591" s="21"/>
      <c r="P591" s="21"/>
      <c r="Q591" s="21"/>
      <c r="R591" s="21"/>
      <c r="S591" s="21"/>
      <c r="T591" s="21"/>
      <c r="U591" s="21"/>
      <c r="V591" s="21"/>
      <c r="W591" s="21"/>
      <c r="X591" s="21"/>
      <c r="Y591" s="21"/>
      <c r="Z591" s="21"/>
    </row>
    <row r="592" spans="1:26" ht="15.75" customHeight="1" x14ac:dyDescent="0.25">
      <c r="A592" s="11"/>
      <c r="B592" s="22">
        <v>45850</v>
      </c>
      <c r="C592" s="11">
        <v>1374</v>
      </c>
      <c r="D592" s="11" t="s">
        <v>3140</v>
      </c>
      <c r="E592" s="11" t="s">
        <v>3142</v>
      </c>
      <c r="F592" s="11"/>
      <c r="G592" s="190" t="s">
        <v>3143</v>
      </c>
      <c r="H592" s="11" t="s">
        <v>2292</v>
      </c>
      <c r="I592" s="25">
        <v>1</v>
      </c>
      <c r="J592" s="21"/>
      <c r="K592" s="21"/>
      <c r="L592" s="21"/>
      <c r="M592" s="21"/>
      <c r="N592" s="21"/>
      <c r="O592" s="21"/>
      <c r="P592" s="21"/>
      <c r="Q592" s="21"/>
      <c r="R592" s="21"/>
      <c r="S592" s="21"/>
      <c r="T592" s="21"/>
      <c r="U592" s="21"/>
      <c r="V592" s="21"/>
      <c r="W592" s="21"/>
      <c r="X592" s="21"/>
      <c r="Y592" s="21"/>
      <c r="Z592" s="21"/>
    </row>
    <row r="593" spans="1:26" ht="15.75" customHeight="1" x14ac:dyDescent="0.25">
      <c r="A593" s="11"/>
      <c r="B593" s="22">
        <v>45850</v>
      </c>
      <c r="C593" s="11">
        <v>1375</v>
      </c>
      <c r="D593" s="11" t="s">
        <v>3140</v>
      </c>
      <c r="E593" s="11" t="s">
        <v>3144</v>
      </c>
      <c r="F593" s="11"/>
      <c r="G593" s="190" t="s">
        <v>3145</v>
      </c>
      <c r="H593" s="11" t="s">
        <v>2292</v>
      </c>
      <c r="I593" s="25">
        <v>1</v>
      </c>
      <c r="J593" s="21"/>
      <c r="K593" s="21"/>
      <c r="L593" s="21"/>
      <c r="M593" s="21"/>
      <c r="N593" s="21"/>
      <c r="O593" s="21"/>
      <c r="P593" s="21"/>
      <c r="Q593" s="21"/>
      <c r="R593" s="21"/>
      <c r="S593" s="21"/>
      <c r="T593" s="21"/>
      <c r="U593" s="21"/>
      <c r="V593" s="21"/>
      <c r="W593" s="21"/>
      <c r="X593" s="21"/>
      <c r="Y593" s="21"/>
      <c r="Z593" s="21"/>
    </row>
    <row r="594" spans="1:26" ht="15.75" customHeight="1" x14ac:dyDescent="0.25">
      <c r="A594" s="11"/>
      <c r="B594" s="22">
        <v>45862</v>
      </c>
      <c r="C594" s="11">
        <v>1376</v>
      </c>
      <c r="D594" s="11" t="s">
        <v>2311</v>
      </c>
      <c r="E594" s="11">
        <v>4000298388</v>
      </c>
      <c r="F594" s="11"/>
      <c r="G594" s="190" t="s">
        <v>3146</v>
      </c>
      <c r="H594" s="11" t="s">
        <v>2306</v>
      </c>
      <c r="I594" s="25">
        <v>7</v>
      </c>
      <c r="J594" s="21"/>
      <c r="K594" s="21"/>
      <c r="L594" s="21"/>
      <c r="M594" s="21"/>
      <c r="N594" s="21"/>
      <c r="O594" s="21"/>
      <c r="P594" s="21"/>
      <c r="Q594" s="21"/>
      <c r="R594" s="21"/>
      <c r="S594" s="21"/>
      <c r="T594" s="21"/>
      <c r="U594" s="21"/>
      <c r="V594" s="21"/>
      <c r="W594" s="21"/>
      <c r="X594" s="21"/>
      <c r="Y594" s="21"/>
      <c r="Z594" s="21"/>
    </row>
    <row r="595" spans="1:26" ht="15.75" customHeight="1" x14ac:dyDescent="0.25">
      <c r="A595" s="11"/>
      <c r="B595" s="22">
        <v>45852</v>
      </c>
      <c r="C595" s="11">
        <v>1377</v>
      </c>
      <c r="D595" s="11" t="s">
        <v>2971</v>
      </c>
      <c r="E595" s="11">
        <v>25900981</v>
      </c>
      <c r="F595" s="11"/>
      <c r="G595" s="190" t="s">
        <v>3147</v>
      </c>
      <c r="H595" s="11" t="s">
        <v>2306</v>
      </c>
      <c r="I595" s="25">
        <v>7</v>
      </c>
      <c r="J595" s="21"/>
      <c r="K595" s="21"/>
      <c r="L595" s="21"/>
      <c r="M595" s="21"/>
      <c r="N595" s="21"/>
      <c r="O595" s="21"/>
      <c r="P595" s="21"/>
      <c r="Q595" s="21"/>
      <c r="R595" s="21"/>
      <c r="S595" s="21"/>
      <c r="T595" s="21"/>
      <c r="U595" s="21"/>
      <c r="V595" s="21"/>
      <c r="W595" s="21"/>
      <c r="X595" s="21"/>
      <c r="Y595" s="21"/>
      <c r="Z595" s="21"/>
    </row>
    <row r="596" spans="1:26" ht="15.75" customHeight="1" x14ac:dyDescent="0.25">
      <c r="A596" s="11"/>
      <c r="B596" s="22">
        <v>45852</v>
      </c>
      <c r="C596" s="11">
        <v>1378</v>
      </c>
      <c r="D596" s="11" t="s">
        <v>2971</v>
      </c>
      <c r="E596" s="11">
        <v>25900995</v>
      </c>
      <c r="F596" s="11"/>
      <c r="G596" s="190" t="s">
        <v>3149</v>
      </c>
      <c r="H596" s="11" t="s">
        <v>3148</v>
      </c>
      <c r="I596" s="25" t="s">
        <v>3148</v>
      </c>
      <c r="J596" s="21"/>
      <c r="K596" s="21"/>
      <c r="L596" s="21"/>
      <c r="M596" s="21"/>
      <c r="N596" s="21"/>
      <c r="O596" s="21"/>
      <c r="P596" s="21"/>
      <c r="Q596" s="21"/>
      <c r="R596" s="21"/>
      <c r="S596" s="21"/>
      <c r="T596" s="21"/>
      <c r="U596" s="21"/>
      <c r="V596" s="21"/>
      <c r="W596" s="21"/>
      <c r="X596" s="21"/>
      <c r="Y596" s="21"/>
      <c r="Z596" s="21"/>
    </row>
    <row r="597" spans="1:26" ht="15.75" customHeight="1" x14ac:dyDescent="0.25">
      <c r="A597" s="11"/>
      <c r="B597" s="22">
        <v>45852</v>
      </c>
      <c r="C597" s="11">
        <v>1379</v>
      </c>
      <c r="D597" s="11" t="s">
        <v>2971</v>
      </c>
      <c r="E597" s="11">
        <v>25900995</v>
      </c>
      <c r="F597" s="11"/>
      <c r="G597" s="190" t="s">
        <v>3150</v>
      </c>
      <c r="H597" s="11" t="s">
        <v>3148</v>
      </c>
      <c r="I597" s="25" t="s">
        <v>3148</v>
      </c>
      <c r="J597" s="21"/>
      <c r="K597" s="21"/>
      <c r="L597" s="21"/>
      <c r="M597" s="21"/>
      <c r="N597" s="21"/>
      <c r="O597" s="21"/>
      <c r="P597" s="21"/>
      <c r="Q597" s="21"/>
      <c r="R597" s="21"/>
      <c r="S597" s="21"/>
      <c r="T597" s="21"/>
      <c r="U597" s="21"/>
      <c r="V597" s="21"/>
      <c r="W597" s="21"/>
      <c r="X597" s="21"/>
      <c r="Y597" s="21"/>
      <c r="Z597" s="21"/>
    </row>
    <row r="598" spans="1:26" ht="15.75" customHeight="1" x14ac:dyDescent="0.25">
      <c r="A598" s="11"/>
      <c r="B598" s="22">
        <v>45852</v>
      </c>
      <c r="C598" s="11">
        <v>1380</v>
      </c>
      <c r="D598" s="11" t="s">
        <v>66</v>
      </c>
      <c r="E598" s="11" t="s">
        <v>3151</v>
      </c>
      <c r="F598" s="11"/>
      <c r="G598" s="190" t="s">
        <v>3152</v>
      </c>
      <c r="H598" s="11" t="s">
        <v>2292</v>
      </c>
      <c r="I598" s="25">
        <v>1</v>
      </c>
      <c r="J598" s="21"/>
      <c r="K598" s="21"/>
      <c r="L598" s="21"/>
      <c r="M598" s="21"/>
      <c r="N598" s="21"/>
      <c r="O598" s="21"/>
      <c r="P598" s="21"/>
      <c r="Q598" s="21"/>
      <c r="R598" s="21"/>
      <c r="S598" s="21"/>
      <c r="T598" s="21"/>
      <c r="U598" s="21"/>
      <c r="V598" s="21"/>
      <c r="W598" s="21"/>
      <c r="X598" s="21"/>
      <c r="Y598" s="21"/>
      <c r="Z598" s="21"/>
    </row>
    <row r="599" spans="1:26" ht="15.75" customHeight="1" x14ac:dyDescent="0.25">
      <c r="A599" s="11"/>
      <c r="B599" s="22">
        <v>45854</v>
      </c>
      <c r="C599" s="11">
        <v>1381</v>
      </c>
      <c r="D599" s="11" t="s">
        <v>2971</v>
      </c>
      <c r="E599" s="11">
        <v>25900942</v>
      </c>
      <c r="F599" s="11"/>
      <c r="G599" s="190" t="s">
        <v>3154</v>
      </c>
      <c r="H599" s="11" t="s">
        <v>3153</v>
      </c>
      <c r="I599" s="25" t="s">
        <v>3153</v>
      </c>
      <c r="J599" s="21"/>
      <c r="K599" s="21"/>
      <c r="L599" s="21"/>
      <c r="M599" s="21"/>
      <c r="N599" s="21"/>
      <c r="O599" s="21"/>
      <c r="P599" s="21"/>
      <c r="Q599" s="21"/>
      <c r="R599" s="21"/>
      <c r="S599" s="21"/>
      <c r="T599" s="21"/>
      <c r="U599" s="21"/>
      <c r="V599" s="21"/>
      <c r="W599" s="21"/>
      <c r="X599" s="21"/>
      <c r="Y599" s="21"/>
      <c r="Z599" s="21"/>
    </row>
    <row r="600" spans="1:26" ht="15.75" customHeight="1" x14ac:dyDescent="0.25">
      <c r="A600" s="11"/>
      <c r="B600" s="22">
        <v>45854</v>
      </c>
      <c r="C600" s="11">
        <v>1382</v>
      </c>
      <c r="D600" s="11" t="s">
        <v>44</v>
      </c>
      <c r="E600" s="11">
        <v>4714046496</v>
      </c>
      <c r="F600" s="11"/>
      <c r="G600" s="190" t="s">
        <v>3156</v>
      </c>
      <c r="H600" s="11" t="s">
        <v>3155</v>
      </c>
      <c r="I600" s="25" t="s">
        <v>3155</v>
      </c>
      <c r="J600" s="21"/>
      <c r="K600" s="21"/>
      <c r="L600" s="21"/>
      <c r="M600" s="21"/>
      <c r="N600" s="21"/>
      <c r="O600" s="21"/>
      <c r="P600" s="21"/>
      <c r="Q600" s="21"/>
      <c r="R600" s="21"/>
      <c r="S600" s="21"/>
      <c r="T600" s="21"/>
      <c r="U600" s="21"/>
      <c r="V600" s="21"/>
      <c r="W600" s="21"/>
      <c r="X600" s="21"/>
      <c r="Y600" s="21"/>
      <c r="Z600" s="21"/>
    </row>
    <row r="601" spans="1:26" ht="15.75" customHeight="1" x14ac:dyDescent="0.25">
      <c r="A601" s="11"/>
      <c r="B601" s="22">
        <v>45854</v>
      </c>
      <c r="C601" s="11">
        <v>1383</v>
      </c>
      <c r="D601" s="11" t="s">
        <v>2971</v>
      </c>
      <c r="E601" s="11">
        <v>25900995</v>
      </c>
      <c r="F601" s="11"/>
      <c r="G601" s="190" t="s">
        <v>3157</v>
      </c>
      <c r="H601" s="11" t="s">
        <v>2618</v>
      </c>
      <c r="I601" s="25" t="s">
        <v>2618</v>
      </c>
      <c r="J601" s="21"/>
      <c r="K601" s="21"/>
      <c r="L601" s="21"/>
      <c r="M601" s="21"/>
      <c r="N601" s="21"/>
      <c r="O601" s="21"/>
      <c r="P601" s="21"/>
      <c r="Q601" s="21"/>
      <c r="R601" s="21"/>
      <c r="S601" s="21"/>
      <c r="T601" s="21"/>
      <c r="U601" s="21"/>
      <c r="V601" s="21"/>
      <c r="W601" s="21"/>
      <c r="X601" s="21"/>
      <c r="Y601" s="21"/>
      <c r="Z601" s="21"/>
    </row>
    <row r="602" spans="1:26" ht="15.75" customHeight="1" x14ac:dyDescent="0.25">
      <c r="A602" s="11"/>
      <c r="B602" s="22">
        <v>45854</v>
      </c>
      <c r="C602" s="11">
        <v>1384</v>
      </c>
      <c r="D602" s="11" t="s">
        <v>2971</v>
      </c>
      <c r="E602" s="11">
        <v>25900925</v>
      </c>
      <c r="F602" s="11"/>
      <c r="G602" s="190" t="s">
        <v>3158</v>
      </c>
      <c r="H602" s="11" t="s">
        <v>2306</v>
      </c>
      <c r="I602" s="25">
        <v>7</v>
      </c>
      <c r="J602" s="21"/>
      <c r="K602" s="21"/>
      <c r="L602" s="21"/>
      <c r="M602" s="21"/>
      <c r="N602" s="21"/>
      <c r="O602" s="21"/>
      <c r="P602" s="21"/>
      <c r="Q602" s="21"/>
      <c r="R602" s="21"/>
      <c r="S602" s="21"/>
      <c r="T602" s="21"/>
      <c r="U602" s="21"/>
      <c r="V602" s="21"/>
      <c r="W602" s="21"/>
      <c r="X602" s="21"/>
      <c r="Y602" s="21"/>
      <c r="Z602" s="21"/>
    </row>
    <row r="603" spans="1:26" ht="15.75" customHeight="1" x14ac:dyDescent="0.25">
      <c r="A603" s="11"/>
      <c r="B603" s="22">
        <v>45855</v>
      </c>
      <c r="C603" s="11">
        <v>1385</v>
      </c>
      <c r="D603" s="11" t="s">
        <v>2971</v>
      </c>
      <c r="E603" s="11">
        <v>25900791</v>
      </c>
      <c r="F603" s="11"/>
      <c r="G603" s="190" t="s">
        <v>3159</v>
      </c>
      <c r="H603" s="11" t="s">
        <v>2306</v>
      </c>
      <c r="I603" s="25">
        <v>7</v>
      </c>
      <c r="J603" s="21"/>
      <c r="K603" s="21"/>
      <c r="L603" s="21"/>
      <c r="M603" s="21"/>
      <c r="N603" s="21"/>
      <c r="O603" s="21"/>
      <c r="P603" s="21"/>
      <c r="Q603" s="21"/>
      <c r="R603" s="21"/>
      <c r="S603" s="21"/>
      <c r="T603" s="21"/>
      <c r="U603" s="21"/>
      <c r="V603" s="21"/>
      <c r="W603" s="21"/>
      <c r="X603" s="21"/>
      <c r="Y603" s="21"/>
      <c r="Z603" s="21"/>
    </row>
    <row r="604" spans="1:26" ht="15.75" customHeight="1" x14ac:dyDescent="0.25">
      <c r="A604" s="11"/>
      <c r="B604" s="22">
        <v>45855</v>
      </c>
      <c r="C604" s="11">
        <v>1386</v>
      </c>
      <c r="D604" s="11" t="s">
        <v>2971</v>
      </c>
      <c r="E604" s="11">
        <v>25901049</v>
      </c>
      <c r="F604" s="11"/>
      <c r="G604" s="190" t="s">
        <v>3160</v>
      </c>
      <c r="H604" s="11" t="s">
        <v>2306</v>
      </c>
      <c r="I604" s="25">
        <v>7</v>
      </c>
      <c r="J604" s="21"/>
      <c r="K604" s="21"/>
      <c r="L604" s="21"/>
      <c r="M604" s="21"/>
      <c r="N604" s="21"/>
      <c r="O604" s="21"/>
      <c r="P604" s="21"/>
      <c r="Q604" s="21"/>
      <c r="R604" s="21"/>
      <c r="S604" s="21"/>
      <c r="T604" s="21"/>
      <c r="U604" s="21"/>
      <c r="V604" s="21"/>
      <c r="W604" s="21"/>
      <c r="X604" s="21"/>
      <c r="Y604" s="21"/>
      <c r="Z604" s="21"/>
    </row>
    <row r="605" spans="1:26" ht="15.75" customHeight="1" x14ac:dyDescent="0.25">
      <c r="A605" s="11"/>
      <c r="B605" s="22">
        <v>45855</v>
      </c>
      <c r="C605" s="11">
        <v>1387</v>
      </c>
      <c r="D605" s="11" t="s">
        <v>2311</v>
      </c>
      <c r="E605" s="11" t="s">
        <v>3161</v>
      </c>
      <c r="F605" s="11"/>
      <c r="G605" s="190" t="s">
        <v>3164</v>
      </c>
      <c r="H605" s="11" t="s">
        <v>3163</v>
      </c>
      <c r="I605" s="25" t="s">
        <v>3162</v>
      </c>
      <c r="J605" s="21"/>
      <c r="K605" s="21"/>
      <c r="L605" s="21"/>
      <c r="M605" s="21"/>
      <c r="N605" s="21"/>
      <c r="O605" s="21"/>
      <c r="P605" s="21"/>
      <c r="Q605" s="21"/>
      <c r="R605" s="21"/>
      <c r="S605" s="21"/>
      <c r="T605" s="21"/>
      <c r="U605" s="21"/>
      <c r="V605" s="21"/>
      <c r="W605" s="21"/>
      <c r="X605" s="21"/>
      <c r="Y605" s="21"/>
      <c r="Z605" s="21"/>
    </row>
    <row r="606" spans="1:26" ht="15.75" customHeight="1" x14ac:dyDescent="0.25">
      <c r="A606" s="11"/>
      <c r="B606" s="22">
        <v>45859</v>
      </c>
      <c r="C606" s="11">
        <v>1387</v>
      </c>
      <c r="D606" s="11" t="s">
        <v>2311</v>
      </c>
      <c r="E606" s="11">
        <v>4000302971</v>
      </c>
      <c r="F606" s="11"/>
      <c r="G606" s="190" t="s">
        <v>3182</v>
      </c>
      <c r="H606" s="11" t="s">
        <v>2306</v>
      </c>
      <c r="I606" s="25">
        <v>7</v>
      </c>
      <c r="J606" s="21"/>
      <c r="K606" s="21"/>
      <c r="L606" s="21"/>
      <c r="M606" s="21"/>
      <c r="N606" s="21"/>
      <c r="O606" s="21"/>
      <c r="P606" s="21"/>
      <c r="Q606" s="21"/>
      <c r="R606" s="21"/>
      <c r="S606" s="21"/>
      <c r="T606" s="21"/>
      <c r="U606" s="21"/>
      <c r="V606" s="21"/>
      <c r="W606" s="21"/>
      <c r="X606" s="21"/>
      <c r="Y606" s="21"/>
      <c r="Z606" s="21"/>
    </row>
    <row r="607" spans="1:26" ht="15.75" customHeight="1" x14ac:dyDescent="0.25">
      <c r="A607" s="11"/>
      <c r="B607" s="22">
        <v>45856</v>
      </c>
      <c r="C607" s="11">
        <v>1388</v>
      </c>
      <c r="D607" s="11" t="s">
        <v>2971</v>
      </c>
      <c r="E607" s="11">
        <v>25901065</v>
      </c>
      <c r="F607" s="11"/>
      <c r="G607" s="190" t="s">
        <v>3165</v>
      </c>
      <c r="H607" s="11" t="s">
        <v>2306</v>
      </c>
      <c r="I607" s="25">
        <v>7</v>
      </c>
      <c r="J607" s="21"/>
      <c r="K607" s="21"/>
      <c r="L607" s="21"/>
      <c r="M607" s="21"/>
      <c r="N607" s="21"/>
      <c r="O607" s="21"/>
      <c r="P607" s="21"/>
      <c r="Q607" s="21"/>
      <c r="R607" s="21"/>
      <c r="S607" s="21"/>
      <c r="T607" s="21"/>
      <c r="U607" s="21"/>
      <c r="V607" s="21"/>
      <c r="W607" s="21"/>
      <c r="X607" s="21"/>
      <c r="Y607" s="21"/>
      <c r="Z607" s="21"/>
    </row>
    <row r="608" spans="1:26" ht="15.75" customHeight="1" x14ac:dyDescent="0.25">
      <c r="A608" s="11"/>
      <c r="B608" s="22">
        <v>45860</v>
      </c>
      <c r="C608" s="11">
        <v>1388</v>
      </c>
      <c r="D608" s="11" t="s">
        <v>2971</v>
      </c>
      <c r="E608" s="11">
        <v>25901065</v>
      </c>
      <c r="F608" s="11" t="s">
        <v>2230</v>
      </c>
      <c r="G608" s="190" t="s">
        <v>3183</v>
      </c>
      <c r="H608" s="11" t="s">
        <v>2306</v>
      </c>
      <c r="I608" s="25">
        <v>7</v>
      </c>
      <c r="J608" s="21"/>
      <c r="K608" s="21"/>
      <c r="L608" s="21"/>
      <c r="M608" s="21"/>
      <c r="N608" s="21"/>
      <c r="O608" s="21"/>
      <c r="P608" s="21"/>
      <c r="Q608" s="21"/>
      <c r="R608" s="21"/>
      <c r="S608" s="21"/>
      <c r="T608" s="21"/>
      <c r="U608" s="21"/>
      <c r="V608" s="21"/>
      <c r="W608" s="21"/>
      <c r="X608" s="21"/>
      <c r="Y608" s="21"/>
      <c r="Z608" s="21"/>
    </row>
    <row r="609" spans="1:26" ht="15.75" customHeight="1" x14ac:dyDescent="0.25">
      <c r="A609" s="11"/>
      <c r="B609" s="22">
        <v>45856</v>
      </c>
      <c r="C609" s="11">
        <v>1389</v>
      </c>
      <c r="D609" s="11" t="s">
        <v>2971</v>
      </c>
      <c r="E609" s="11">
        <v>25901058</v>
      </c>
      <c r="F609" s="11"/>
      <c r="G609" s="190" t="s">
        <v>3166</v>
      </c>
      <c r="H609" s="11" t="s">
        <v>2292</v>
      </c>
      <c r="I609" s="25">
        <v>1</v>
      </c>
      <c r="J609" s="21"/>
      <c r="K609" s="21"/>
      <c r="L609" s="21"/>
      <c r="M609" s="21"/>
      <c r="N609" s="21"/>
      <c r="O609" s="21"/>
      <c r="P609" s="21"/>
      <c r="Q609" s="21"/>
      <c r="R609" s="21"/>
      <c r="S609" s="21"/>
      <c r="T609" s="21"/>
      <c r="U609" s="21"/>
      <c r="V609" s="21"/>
      <c r="W609" s="21"/>
      <c r="X609" s="21"/>
      <c r="Y609" s="21"/>
      <c r="Z609" s="21"/>
    </row>
    <row r="610" spans="1:26" ht="15.75" customHeight="1" x14ac:dyDescent="0.25">
      <c r="A610" s="11"/>
      <c r="B610" s="22">
        <v>45856</v>
      </c>
      <c r="C610" s="11">
        <v>1390</v>
      </c>
      <c r="D610" s="11" t="s">
        <v>2971</v>
      </c>
      <c r="E610" s="11">
        <v>25901027</v>
      </c>
      <c r="F610" s="11"/>
      <c r="G610" s="190" t="s">
        <v>3167</v>
      </c>
      <c r="H610" s="11" t="s">
        <v>2292</v>
      </c>
      <c r="I610" s="25">
        <v>1</v>
      </c>
      <c r="J610" s="21"/>
      <c r="K610" s="21"/>
      <c r="L610" s="21"/>
      <c r="M610" s="21"/>
      <c r="N610" s="21"/>
      <c r="O610" s="21"/>
      <c r="P610" s="21"/>
      <c r="Q610" s="21"/>
      <c r="R610" s="21"/>
      <c r="S610" s="21"/>
      <c r="T610" s="21"/>
      <c r="U610" s="21"/>
      <c r="V610" s="21"/>
      <c r="W610" s="21"/>
      <c r="X610" s="21"/>
      <c r="Y610" s="21"/>
      <c r="Z610" s="21"/>
    </row>
    <row r="611" spans="1:26" ht="15.75" customHeight="1" x14ac:dyDescent="0.25">
      <c r="A611" s="11"/>
      <c r="B611" s="22">
        <v>45856</v>
      </c>
      <c r="C611" s="11">
        <v>1391</v>
      </c>
      <c r="D611" s="11" t="s">
        <v>2987</v>
      </c>
      <c r="E611" s="11" t="s">
        <v>2988</v>
      </c>
      <c r="F611" s="11"/>
      <c r="G611" s="190" t="s">
        <v>3169</v>
      </c>
      <c r="H611" s="11" t="s">
        <v>3168</v>
      </c>
      <c r="I611" s="25" t="s">
        <v>3168</v>
      </c>
      <c r="J611" s="21"/>
      <c r="K611" s="21"/>
      <c r="L611" s="21"/>
      <c r="M611" s="21"/>
      <c r="N611" s="21"/>
      <c r="O611" s="21"/>
      <c r="P611" s="21"/>
      <c r="Q611" s="21"/>
      <c r="R611" s="21"/>
      <c r="S611" s="21"/>
      <c r="T611" s="21"/>
      <c r="U611" s="21"/>
      <c r="V611" s="21"/>
      <c r="W611" s="21"/>
      <c r="X611" s="21"/>
      <c r="Y611" s="21"/>
      <c r="Z611" s="21"/>
    </row>
    <row r="612" spans="1:26" ht="15.75" customHeight="1" x14ac:dyDescent="0.25">
      <c r="A612" s="11"/>
      <c r="B612" s="22">
        <v>45856</v>
      </c>
      <c r="C612" s="11">
        <v>1392</v>
      </c>
      <c r="D612" s="11" t="s">
        <v>63</v>
      </c>
      <c r="E612" s="11" t="s">
        <v>53</v>
      </c>
      <c r="F612" s="11"/>
      <c r="G612" s="190" t="s">
        <v>3171</v>
      </c>
      <c r="H612" s="11" t="s">
        <v>3170</v>
      </c>
      <c r="I612" s="25" t="s">
        <v>3170</v>
      </c>
      <c r="J612" s="21"/>
      <c r="K612" s="21"/>
      <c r="L612" s="21"/>
      <c r="M612" s="21"/>
      <c r="N612" s="21"/>
      <c r="O612" s="21"/>
      <c r="P612" s="21"/>
      <c r="Q612" s="21"/>
      <c r="R612" s="21"/>
      <c r="S612" s="21"/>
      <c r="T612" s="21"/>
      <c r="U612" s="21"/>
      <c r="V612" s="21"/>
      <c r="W612" s="21"/>
      <c r="X612" s="21"/>
      <c r="Y612" s="21"/>
      <c r="Z612" s="21"/>
    </row>
    <row r="613" spans="1:26" ht="15.75" customHeight="1" x14ac:dyDescent="0.25">
      <c r="A613" s="11"/>
      <c r="B613" s="22">
        <v>45859</v>
      </c>
      <c r="C613" s="11">
        <v>1393</v>
      </c>
      <c r="D613" s="11" t="s">
        <v>4</v>
      </c>
      <c r="E613" s="11" t="s">
        <v>3172</v>
      </c>
      <c r="F613" s="11"/>
      <c r="G613" s="190" t="s">
        <v>3173</v>
      </c>
      <c r="H613" s="11" t="s">
        <v>2823</v>
      </c>
      <c r="I613" s="25" t="s">
        <v>2823</v>
      </c>
      <c r="J613" s="21"/>
      <c r="K613" s="21"/>
      <c r="L613" s="21"/>
      <c r="M613" s="21"/>
      <c r="N613" s="21"/>
      <c r="O613" s="21"/>
      <c r="P613" s="21"/>
      <c r="Q613" s="21"/>
      <c r="R613" s="21"/>
      <c r="S613" s="21"/>
      <c r="T613" s="21"/>
      <c r="U613" s="21"/>
      <c r="V613" s="21"/>
      <c r="W613" s="21"/>
      <c r="X613" s="21"/>
      <c r="Y613" s="21"/>
      <c r="Z613" s="21"/>
    </row>
    <row r="614" spans="1:26" ht="15.75" customHeight="1" x14ac:dyDescent="0.25">
      <c r="A614" s="11"/>
      <c r="B614" s="22">
        <v>45859</v>
      </c>
      <c r="C614" s="11">
        <v>1394</v>
      </c>
      <c r="D614" s="11" t="s">
        <v>2971</v>
      </c>
      <c r="E614" s="11">
        <v>25900995</v>
      </c>
      <c r="F614" s="11"/>
      <c r="G614" s="190" t="s">
        <v>3174</v>
      </c>
      <c r="H614" s="11" t="s">
        <v>2974</v>
      </c>
      <c r="I614" s="25" t="s">
        <v>2974</v>
      </c>
      <c r="J614" s="21"/>
      <c r="K614" s="21"/>
      <c r="L614" s="21"/>
      <c r="M614" s="21"/>
      <c r="N614" s="21"/>
      <c r="O614" s="21"/>
      <c r="P614" s="21"/>
      <c r="Q614" s="21"/>
      <c r="R614" s="21"/>
      <c r="S614" s="21"/>
      <c r="T614" s="21"/>
      <c r="U614" s="21"/>
      <c r="V614" s="21"/>
      <c r="W614" s="21"/>
      <c r="X614" s="21"/>
      <c r="Y614" s="21"/>
      <c r="Z614" s="21"/>
    </row>
    <row r="615" spans="1:26" ht="15.75" customHeight="1" x14ac:dyDescent="0.25">
      <c r="A615" s="11"/>
      <c r="B615" s="22">
        <v>45860</v>
      </c>
      <c r="C615" s="11">
        <v>1394</v>
      </c>
      <c r="D615" s="11" t="s">
        <v>2971</v>
      </c>
      <c r="E615" s="11">
        <v>25900995</v>
      </c>
      <c r="F615" s="11" t="s">
        <v>2230</v>
      </c>
      <c r="G615" s="190" t="s">
        <v>3184</v>
      </c>
      <c r="H615" s="11" t="s">
        <v>2974</v>
      </c>
      <c r="I615" s="25" t="s">
        <v>2974</v>
      </c>
      <c r="J615" s="21"/>
      <c r="K615" s="21"/>
      <c r="L615" s="21"/>
      <c r="M615" s="21"/>
      <c r="N615" s="21"/>
      <c r="O615" s="21"/>
      <c r="P615" s="21"/>
      <c r="Q615" s="21"/>
      <c r="R615" s="21"/>
      <c r="S615" s="21"/>
      <c r="T615" s="21"/>
      <c r="U615" s="21"/>
      <c r="V615" s="21"/>
      <c r="W615" s="21"/>
      <c r="X615" s="21"/>
      <c r="Y615" s="21"/>
      <c r="Z615" s="21"/>
    </row>
    <row r="616" spans="1:26" ht="15.75" customHeight="1" x14ac:dyDescent="0.25">
      <c r="A616" s="11"/>
      <c r="B616" s="22">
        <v>45859</v>
      </c>
      <c r="C616" s="11">
        <v>1395</v>
      </c>
      <c r="D616" s="11" t="s">
        <v>44</v>
      </c>
      <c r="E616" s="11">
        <v>4714046355</v>
      </c>
      <c r="F616" s="11"/>
      <c r="G616" s="190" t="s">
        <v>3176</v>
      </c>
      <c r="H616" s="11" t="s">
        <v>2974</v>
      </c>
      <c r="I616" s="25" t="s">
        <v>3175</v>
      </c>
      <c r="J616" s="21"/>
      <c r="K616" s="21"/>
      <c r="L616" s="21"/>
      <c r="M616" s="21"/>
      <c r="N616" s="21"/>
      <c r="O616" s="21"/>
      <c r="P616" s="21"/>
      <c r="Q616" s="21"/>
      <c r="R616" s="21"/>
      <c r="S616" s="21"/>
      <c r="T616" s="21"/>
      <c r="U616" s="21"/>
      <c r="V616" s="21"/>
      <c r="W616" s="21"/>
      <c r="X616" s="21"/>
      <c r="Y616" s="21"/>
      <c r="Z616" s="21"/>
    </row>
    <row r="617" spans="1:26" ht="15.75" customHeight="1" x14ac:dyDescent="0.25">
      <c r="A617" s="11"/>
      <c r="B617" s="22">
        <v>45859</v>
      </c>
      <c r="C617" s="11">
        <v>1396</v>
      </c>
      <c r="D617" s="11" t="s">
        <v>2987</v>
      </c>
      <c r="E617" s="11" t="s">
        <v>3177</v>
      </c>
      <c r="F617" s="11"/>
      <c r="G617" s="190" t="s">
        <v>3178</v>
      </c>
      <c r="H617" s="11" t="s">
        <v>2292</v>
      </c>
      <c r="I617" s="25">
        <v>1</v>
      </c>
      <c r="J617" s="21"/>
      <c r="K617" s="21"/>
      <c r="L617" s="21"/>
      <c r="M617" s="21"/>
      <c r="N617" s="21"/>
      <c r="O617" s="21"/>
      <c r="P617" s="21"/>
      <c r="Q617" s="21"/>
      <c r="R617" s="21"/>
      <c r="S617" s="21"/>
      <c r="T617" s="21"/>
      <c r="U617" s="21"/>
      <c r="V617" s="21"/>
      <c r="W617" s="21"/>
      <c r="X617" s="21"/>
      <c r="Y617" s="21"/>
      <c r="Z617" s="21"/>
    </row>
    <row r="618" spans="1:26" ht="15.75" customHeight="1" x14ac:dyDescent="0.25">
      <c r="A618" s="11"/>
      <c r="B618" s="22">
        <v>45859</v>
      </c>
      <c r="C618" s="11">
        <v>1397</v>
      </c>
      <c r="D618" s="11" t="s">
        <v>66</v>
      </c>
      <c r="E618" s="11" t="s">
        <v>3179</v>
      </c>
      <c r="F618" s="11"/>
      <c r="G618" s="190" t="s">
        <v>3180</v>
      </c>
      <c r="H618" s="11" t="s">
        <v>2292</v>
      </c>
      <c r="I618" s="25">
        <v>1</v>
      </c>
      <c r="J618" s="21"/>
      <c r="K618" s="21"/>
      <c r="L618" s="21"/>
      <c r="M618" s="21"/>
      <c r="N618" s="21"/>
      <c r="O618" s="21"/>
      <c r="P618" s="21"/>
      <c r="Q618" s="21"/>
      <c r="R618" s="21"/>
      <c r="S618" s="21"/>
      <c r="T618" s="21"/>
      <c r="U618" s="21"/>
      <c r="V618" s="21"/>
      <c r="W618" s="21"/>
      <c r="X618" s="21"/>
      <c r="Y618" s="21"/>
      <c r="Z618" s="21"/>
    </row>
    <row r="619" spans="1:26" ht="15.75" customHeight="1" x14ac:dyDescent="0.25">
      <c r="A619" s="11"/>
      <c r="B619" s="22">
        <v>45859</v>
      </c>
      <c r="C619" s="11">
        <v>1398</v>
      </c>
      <c r="D619" s="11" t="s">
        <v>4</v>
      </c>
      <c r="E619" s="11" t="s">
        <v>3172</v>
      </c>
      <c r="F619" s="11"/>
      <c r="G619" s="190" t="s">
        <v>3181</v>
      </c>
      <c r="H619" s="11" t="s">
        <v>2880</v>
      </c>
      <c r="I619" s="25" t="s">
        <v>2880</v>
      </c>
      <c r="J619" s="21"/>
      <c r="K619" s="21"/>
      <c r="L619" s="21"/>
      <c r="M619" s="21"/>
      <c r="N619" s="21"/>
      <c r="O619" s="21"/>
      <c r="P619" s="21"/>
      <c r="Q619" s="21"/>
      <c r="R619" s="21"/>
      <c r="S619" s="21"/>
      <c r="T619" s="21"/>
      <c r="U619" s="21"/>
      <c r="V619" s="21"/>
      <c r="W619" s="21"/>
      <c r="X619" s="21"/>
      <c r="Y619" s="21"/>
      <c r="Z619" s="21"/>
    </row>
    <row r="620" spans="1:26" ht="15.75" customHeight="1" x14ac:dyDescent="0.25">
      <c r="A620" s="11"/>
      <c r="B620" s="22">
        <v>45860</v>
      </c>
      <c r="C620" s="11">
        <v>1399</v>
      </c>
      <c r="D620" s="11" t="s">
        <v>2971</v>
      </c>
      <c r="E620" s="11">
        <v>25900787</v>
      </c>
      <c r="F620" s="11"/>
      <c r="G620" s="190" t="s">
        <v>3186</v>
      </c>
      <c r="H620" s="11" t="s">
        <v>2974</v>
      </c>
      <c r="I620" s="25" t="s">
        <v>2974</v>
      </c>
      <c r="J620" s="21"/>
      <c r="K620" s="21"/>
      <c r="L620" s="21"/>
      <c r="M620" s="21"/>
      <c r="N620" s="21"/>
      <c r="O620" s="21"/>
      <c r="P620" s="21"/>
      <c r="Q620" s="21"/>
      <c r="R620" s="21"/>
      <c r="S620" s="21"/>
      <c r="T620" s="21"/>
      <c r="U620" s="21"/>
      <c r="V620" s="21"/>
      <c r="W620" s="21"/>
      <c r="X620" s="21"/>
      <c r="Y620" s="21"/>
      <c r="Z620" s="21"/>
    </row>
    <row r="621" spans="1:26" ht="15.75" customHeight="1" x14ac:dyDescent="0.25">
      <c r="A621" s="11"/>
      <c r="B621" s="22">
        <v>45860</v>
      </c>
      <c r="C621" s="11">
        <v>1400</v>
      </c>
      <c r="D621" s="11" t="s">
        <v>2971</v>
      </c>
      <c r="E621" s="11">
        <v>25901035</v>
      </c>
      <c r="F621" s="11"/>
      <c r="G621" s="190" t="s">
        <v>3187</v>
      </c>
      <c r="H621" s="11" t="s">
        <v>2306</v>
      </c>
      <c r="I621" s="25">
        <v>7</v>
      </c>
      <c r="J621" s="21"/>
      <c r="K621" s="21"/>
      <c r="L621" s="21"/>
      <c r="M621" s="21"/>
      <c r="N621" s="21"/>
      <c r="O621" s="21"/>
      <c r="P621" s="21"/>
      <c r="Q621" s="21"/>
      <c r="R621" s="21"/>
      <c r="S621" s="21"/>
      <c r="T621" s="21"/>
      <c r="U621" s="21"/>
      <c r="V621" s="21"/>
      <c r="W621" s="21"/>
      <c r="X621" s="21"/>
      <c r="Y621" s="21"/>
      <c r="Z621" s="21"/>
    </row>
    <row r="622" spans="1:26" ht="15.75" customHeight="1" x14ac:dyDescent="0.25">
      <c r="A622" s="11"/>
      <c r="B622" s="22">
        <v>45860</v>
      </c>
      <c r="C622" s="11">
        <v>1401</v>
      </c>
      <c r="D622" s="11" t="s">
        <v>2971</v>
      </c>
      <c r="E622" s="11">
        <v>25901019</v>
      </c>
      <c r="F622" s="11"/>
      <c r="G622" s="190" t="s">
        <v>3188</v>
      </c>
      <c r="H622" s="11" t="s">
        <v>2306</v>
      </c>
      <c r="I622" s="25">
        <v>7</v>
      </c>
      <c r="J622" s="21"/>
      <c r="K622" s="21"/>
      <c r="L622" s="21"/>
      <c r="M622" s="21"/>
      <c r="N622" s="21"/>
      <c r="O622" s="21"/>
      <c r="P622" s="21"/>
      <c r="Q622" s="21"/>
      <c r="R622" s="21"/>
      <c r="S622" s="21"/>
      <c r="T622" s="21"/>
      <c r="U622" s="21"/>
      <c r="V622" s="21"/>
      <c r="W622" s="21"/>
      <c r="X622" s="21"/>
      <c r="Y622" s="21"/>
      <c r="Z622" s="21"/>
    </row>
    <row r="623" spans="1:26" ht="15.75" customHeight="1" x14ac:dyDescent="0.25">
      <c r="A623" s="11"/>
      <c r="B623" s="22">
        <v>45860</v>
      </c>
      <c r="C623" s="11">
        <v>1402</v>
      </c>
      <c r="D623" s="11" t="s">
        <v>2971</v>
      </c>
      <c r="E623" s="11">
        <v>25900995</v>
      </c>
      <c r="F623" s="11"/>
      <c r="G623" s="190" t="s">
        <v>3189</v>
      </c>
      <c r="H623" s="11" t="s">
        <v>3185</v>
      </c>
      <c r="I623" s="25" t="s">
        <v>3185</v>
      </c>
      <c r="J623" s="21"/>
      <c r="K623" s="21"/>
      <c r="L623" s="21"/>
      <c r="M623" s="21"/>
      <c r="N623" s="21"/>
      <c r="O623" s="21"/>
      <c r="P623" s="21"/>
      <c r="Q623" s="21"/>
      <c r="R623" s="21"/>
      <c r="S623" s="21"/>
      <c r="T623" s="21"/>
      <c r="U623" s="21"/>
      <c r="V623" s="21"/>
      <c r="W623" s="21"/>
      <c r="X623" s="21"/>
      <c r="Y623" s="21"/>
      <c r="Z623" s="21"/>
    </row>
    <row r="624" spans="1:26" ht="15.75" customHeight="1" x14ac:dyDescent="0.25">
      <c r="A624" s="11"/>
      <c r="B624" s="22">
        <v>45860</v>
      </c>
      <c r="C624" s="11">
        <v>1402</v>
      </c>
      <c r="D624" s="11" t="s">
        <v>2971</v>
      </c>
      <c r="E624" s="11">
        <v>25900995</v>
      </c>
      <c r="F624" s="11"/>
      <c r="G624" s="190" t="s">
        <v>3189</v>
      </c>
      <c r="H624" s="11" t="s">
        <v>3185</v>
      </c>
      <c r="I624" s="25" t="s">
        <v>3185</v>
      </c>
      <c r="J624" s="21"/>
      <c r="K624" s="21"/>
      <c r="L624" s="21"/>
      <c r="M624" s="21"/>
      <c r="N624" s="21"/>
      <c r="O624" s="21"/>
      <c r="P624" s="21"/>
      <c r="Q624" s="21"/>
      <c r="R624" s="21"/>
      <c r="S624" s="21"/>
      <c r="T624" s="21"/>
      <c r="U624" s="21"/>
      <c r="V624" s="21"/>
      <c r="W624" s="21"/>
      <c r="X624" s="21"/>
      <c r="Y624" s="21"/>
      <c r="Z624" s="21"/>
    </row>
    <row r="625" spans="1:26" ht="15.75" customHeight="1" x14ac:dyDescent="0.25">
      <c r="A625" s="11"/>
      <c r="B625" s="22">
        <v>45860</v>
      </c>
      <c r="C625" s="11">
        <v>1402</v>
      </c>
      <c r="D625" s="11" t="s">
        <v>2971</v>
      </c>
      <c r="E625" s="11">
        <v>25900995</v>
      </c>
      <c r="F625" s="11" t="s">
        <v>2230</v>
      </c>
      <c r="G625" s="190" t="s">
        <v>3191</v>
      </c>
      <c r="H625" s="11" t="s">
        <v>3190</v>
      </c>
      <c r="I625" s="25" t="s">
        <v>3190</v>
      </c>
      <c r="J625" s="21"/>
      <c r="K625" s="21"/>
      <c r="L625" s="21"/>
      <c r="M625" s="21"/>
      <c r="N625" s="21"/>
      <c r="O625" s="21"/>
      <c r="P625" s="21"/>
      <c r="Q625" s="21"/>
      <c r="R625" s="21"/>
      <c r="S625" s="21"/>
      <c r="T625" s="21"/>
      <c r="U625" s="21"/>
      <c r="V625" s="21"/>
      <c r="W625" s="21"/>
      <c r="X625" s="21"/>
      <c r="Y625" s="21"/>
      <c r="Z625" s="21"/>
    </row>
    <row r="626" spans="1:26" ht="15.75" customHeight="1" x14ac:dyDescent="0.25">
      <c r="A626" s="11"/>
      <c r="B626" s="22">
        <v>45860</v>
      </c>
      <c r="C626" s="11">
        <v>1403</v>
      </c>
      <c r="D626" s="11" t="s">
        <v>3192</v>
      </c>
      <c r="E626" s="11" t="s">
        <v>53</v>
      </c>
      <c r="F626" s="11"/>
      <c r="G626" s="190" t="s">
        <v>3193</v>
      </c>
      <c r="H626" s="11" t="s">
        <v>53</v>
      </c>
      <c r="I626" s="25" t="s">
        <v>53</v>
      </c>
      <c r="J626" s="21"/>
      <c r="K626" s="21"/>
      <c r="L626" s="21"/>
      <c r="M626" s="21"/>
      <c r="N626" s="21"/>
      <c r="O626" s="21"/>
      <c r="P626" s="21"/>
      <c r="Q626" s="21"/>
      <c r="R626" s="21"/>
      <c r="S626" s="21"/>
      <c r="T626" s="21"/>
      <c r="U626" s="21"/>
      <c r="V626" s="21"/>
      <c r="W626" s="21"/>
      <c r="X626" s="21"/>
      <c r="Y626" s="21"/>
      <c r="Z626" s="21"/>
    </row>
    <row r="627" spans="1:26" ht="15.75" customHeight="1" x14ac:dyDescent="0.25">
      <c r="A627" s="11"/>
      <c r="B627" s="22">
        <v>45860</v>
      </c>
      <c r="C627" s="11">
        <v>1404</v>
      </c>
      <c r="D627" s="11" t="s">
        <v>63</v>
      </c>
      <c r="E627" s="11" t="s">
        <v>3194</v>
      </c>
      <c r="F627" s="11"/>
      <c r="G627" s="190" t="s">
        <v>3195</v>
      </c>
      <c r="H627" s="11" t="s">
        <v>2292</v>
      </c>
      <c r="I627" s="25">
        <v>1</v>
      </c>
      <c r="J627" s="21"/>
      <c r="K627" s="21"/>
      <c r="L627" s="21"/>
      <c r="M627" s="21"/>
      <c r="N627" s="21"/>
      <c r="O627" s="21"/>
      <c r="P627" s="21"/>
      <c r="Q627" s="21"/>
      <c r="R627" s="21"/>
      <c r="S627" s="21"/>
      <c r="T627" s="21"/>
      <c r="U627" s="21"/>
      <c r="V627" s="21"/>
      <c r="W627" s="21"/>
      <c r="X627" s="21"/>
      <c r="Y627" s="21"/>
      <c r="Z627" s="21"/>
    </row>
    <row r="628" spans="1:26" ht="15.75" customHeight="1" x14ac:dyDescent="0.25">
      <c r="A628" s="11"/>
      <c r="B628" s="22">
        <v>45861</v>
      </c>
      <c r="C628" s="11">
        <v>1405</v>
      </c>
      <c r="D628" s="11" t="s">
        <v>2987</v>
      </c>
      <c r="E628" s="11" t="s">
        <v>3196</v>
      </c>
      <c r="F628" s="11"/>
      <c r="G628" s="190" t="s">
        <v>3197</v>
      </c>
      <c r="H628" s="11" t="s">
        <v>2292</v>
      </c>
      <c r="I628" s="25">
        <v>1</v>
      </c>
      <c r="J628" s="21"/>
      <c r="K628" s="21"/>
      <c r="L628" s="21"/>
      <c r="M628" s="21"/>
      <c r="N628" s="21"/>
      <c r="O628" s="21"/>
      <c r="P628" s="21"/>
      <c r="Q628" s="21"/>
      <c r="R628" s="21"/>
      <c r="S628" s="21"/>
      <c r="T628" s="21"/>
      <c r="U628" s="21"/>
      <c r="V628" s="21"/>
      <c r="W628" s="21"/>
      <c r="X628" s="21"/>
      <c r="Y628" s="21"/>
      <c r="Z628" s="21"/>
    </row>
    <row r="629" spans="1:26" ht="15.75" customHeight="1" x14ac:dyDescent="0.25">
      <c r="A629" s="11"/>
      <c r="B629" s="22">
        <v>45862</v>
      </c>
      <c r="C629" s="11">
        <v>1406</v>
      </c>
      <c r="D629" s="11" t="s">
        <v>2311</v>
      </c>
      <c r="E629" s="11">
        <v>4000293835</v>
      </c>
      <c r="F629" s="11"/>
      <c r="G629" s="190" t="s">
        <v>3198</v>
      </c>
      <c r="H629" s="11" t="s">
        <v>2306</v>
      </c>
      <c r="I629" s="25">
        <v>7</v>
      </c>
      <c r="J629" s="21"/>
      <c r="K629" s="21"/>
      <c r="L629" s="21"/>
      <c r="M629" s="21"/>
      <c r="N629" s="21"/>
      <c r="O629" s="21"/>
      <c r="P629" s="21"/>
      <c r="Q629" s="21"/>
      <c r="R629" s="21"/>
      <c r="S629" s="21"/>
      <c r="T629" s="21"/>
      <c r="U629" s="21"/>
      <c r="V629" s="21"/>
      <c r="W629" s="21"/>
      <c r="X629" s="21"/>
      <c r="Y629" s="21"/>
      <c r="Z629" s="21"/>
    </row>
    <row r="630" spans="1:26" ht="15.75" customHeight="1" x14ac:dyDescent="0.25">
      <c r="A630" s="11"/>
      <c r="B630" s="22">
        <v>45862</v>
      </c>
      <c r="C630" s="11">
        <v>1407</v>
      </c>
      <c r="D630" s="11" t="s">
        <v>2311</v>
      </c>
      <c r="E630" s="11">
        <v>4000290758</v>
      </c>
      <c r="F630" s="11"/>
      <c r="G630" s="190" t="s">
        <v>3199</v>
      </c>
      <c r="H630" s="11" t="s">
        <v>2306</v>
      </c>
      <c r="I630" s="25">
        <v>7</v>
      </c>
      <c r="J630" s="21"/>
      <c r="K630" s="21"/>
      <c r="L630" s="21"/>
      <c r="M630" s="21"/>
      <c r="N630" s="21"/>
      <c r="O630" s="21"/>
      <c r="P630" s="21"/>
      <c r="Q630" s="21"/>
      <c r="R630" s="21"/>
      <c r="S630" s="21"/>
      <c r="T630" s="21"/>
      <c r="U630" s="21"/>
      <c r="V630" s="21"/>
      <c r="W630" s="21"/>
      <c r="X630" s="21"/>
      <c r="Y630" s="21"/>
      <c r="Z630" s="21"/>
    </row>
    <row r="631" spans="1:26" ht="15.75" customHeight="1" x14ac:dyDescent="0.25">
      <c r="A631" s="11"/>
      <c r="B631" s="22">
        <v>45863</v>
      </c>
      <c r="C631" s="11">
        <v>1408</v>
      </c>
      <c r="D631" s="11" t="s">
        <v>63</v>
      </c>
      <c r="E631" s="11" t="s">
        <v>3200</v>
      </c>
      <c r="F631" s="11"/>
      <c r="G631" s="190" t="s">
        <v>3201</v>
      </c>
      <c r="H631" s="11" t="s">
        <v>2292</v>
      </c>
      <c r="I631" s="25">
        <v>1</v>
      </c>
      <c r="J631" s="21"/>
      <c r="K631" s="21"/>
      <c r="L631" s="21"/>
      <c r="M631" s="21"/>
      <c r="N631" s="21"/>
      <c r="O631" s="21"/>
      <c r="P631" s="21"/>
      <c r="Q631" s="21"/>
      <c r="R631" s="21"/>
      <c r="S631" s="21"/>
      <c r="T631" s="21"/>
      <c r="U631" s="21"/>
      <c r="V631" s="21"/>
      <c r="W631" s="21"/>
      <c r="X631" s="21"/>
      <c r="Y631" s="21"/>
      <c r="Z631" s="21"/>
    </row>
    <row r="632" spans="1:26" ht="15.75" customHeight="1" x14ac:dyDescent="0.25">
      <c r="A632" s="11"/>
      <c r="B632" s="22">
        <v>45863</v>
      </c>
      <c r="C632" s="11">
        <v>1409</v>
      </c>
      <c r="D632" s="11" t="s">
        <v>66</v>
      </c>
      <c r="E632" s="11" t="s">
        <v>3179</v>
      </c>
      <c r="F632" s="11"/>
      <c r="G632" s="190" t="s">
        <v>3203</v>
      </c>
      <c r="H632" s="11" t="s">
        <v>3202</v>
      </c>
      <c r="I632" s="25" t="s">
        <v>3202</v>
      </c>
      <c r="J632" s="21"/>
      <c r="K632" s="21"/>
      <c r="L632" s="21"/>
      <c r="M632" s="21"/>
      <c r="N632" s="21"/>
      <c r="O632" s="21"/>
      <c r="P632" s="21"/>
      <c r="Q632" s="21"/>
      <c r="R632" s="21"/>
      <c r="S632" s="21"/>
      <c r="T632" s="21"/>
      <c r="U632" s="21"/>
      <c r="V632" s="21"/>
      <c r="W632" s="21"/>
      <c r="X632" s="21"/>
      <c r="Y632" s="21"/>
      <c r="Z632" s="21"/>
    </row>
    <row r="633" spans="1:26" ht="15.75" customHeight="1" x14ac:dyDescent="0.25">
      <c r="A633" s="11"/>
      <c r="B633" s="22">
        <v>45863</v>
      </c>
      <c r="C633" s="11">
        <v>1410</v>
      </c>
      <c r="D633" s="11" t="s">
        <v>66</v>
      </c>
      <c r="E633" s="11" t="s">
        <v>3204</v>
      </c>
      <c r="F633" s="11"/>
      <c r="G633" s="190" t="s">
        <v>3205</v>
      </c>
      <c r="H633" s="11" t="s">
        <v>2292</v>
      </c>
      <c r="I633" s="25">
        <v>1</v>
      </c>
      <c r="J633" s="21"/>
      <c r="K633" s="21"/>
      <c r="L633" s="21"/>
      <c r="M633" s="21"/>
      <c r="N633" s="21"/>
      <c r="O633" s="21"/>
      <c r="P633" s="21"/>
      <c r="Q633" s="21"/>
      <c r="R633" s="21"/>
      <c r="S633" s="21"/>
      <c r="T633" s="21"/>
      <c r="U633" s="21"/>
      <c r="V633" s="21"/>
      <c r="W633" s="21"/>
      <c r="X633" s="21"/>
      <c r="Y633" s="21"/>
      <c r="Z633" s="21"/>
    </row>
    <row r="634" spans="1:26" ht="15.75" customHeight="1" x14ac:dyDescent="0.25">
      <c r="A634" s="11"/>
      <c r="B634" s="22">
        <v>45866</v>
      </c>
      <c r="C634" s="11">
        <v>1412</v>
      </c>
      <c r="D634" s="11" t="s">
        <v>2971</v>
      </c>
      <c r="E634" s="11" t="s">
        <v>53</v>
      </c>
      <c r="F634" s="11"/>
      <c r="G634" s="190" t="s">
        <v>3206</v>
      </c>
      <c r="H634" s="11" t="s">
        <v>2292</v>
      </c>
      <c r="I634" s="25">
        <v>1</v>
      </c>
      <c r="J634" s="21"/>
      <c r="K634" s="21"/>
      <c r="L634" s="21"/>
      <c r="M634" s="21"/>
      <c r="N634" s="21"/>
      <c r="O634" s="21"/>
      <c r="P634" s="21"/>
      <c r="Q634" s="21"/>
      <c r="R634" s="21"/>
      <c r="S634" s="21"/>
      <c r="T634" s="21"/>
      <c r="U634" s="21"/>
      <c r="V634" s="21"/>
      <c r="W634" s="21"/>
      <c r="X634" s="21"/>
      <c r="Y634" s="21"/>
      <c r="Z634" s="21"/>
    </row>
    <row r="635" spans="1:26" ht="15.75" customHeight="1" x14ac:dyDescent="0.25">
      <c r="A635" s="11"/>
      <c r="B635" s="22">
        <v>45866</v>
      </c>
      <c r="C635" s="11">
        <v>1412</v>
      </c>
      <c r="D635" s="11" t="s">
        <v>2971</v>
      </c>
      <c r="E635" s="11">
        <v>25901106</v>
      </c>
      <c r="F635" s="11"/>
      <c r="G635" s="190" t="s">
        <v>3228</v>
      </c>
      <c r="H635" s="11" t="s">
        <v>2292</v>
      </c>
      <c r="I635" s="25">
        <v>1</v>
      </c>
      <c r="J635" s="21"/>
      <c r="K635" s="21"/>
      <c r="L635" s="21"/>
      <c r="M635" s="21"/>
      <c r="N635" s="21"/>
      <c r="O635" s="21"/>
      <c r="P635" s="21"/>
      <c r="Q635" s="21"/>
      <c r="R635" s="21"/>
      <c r="S635" s="21"/>
      <c r="T635" s="21"/>
      <c r="U635" s="21"/>
      <c r="V635" s="21"/>
      <c r="W635" s="21"/>
      <c r="X635" s="21"/>
      <c r="Y635" s="21"/>
      <c r="Z635" s="21"/>
    </row>
    <row r="636" spans="1:26" ht="15.75" customHeight="1" x14ac:dyDescent="0.25">
      <c r="A636" s="11"/>
      <c r="B636" s="22" t="s">
        <v>3208</v>
      </c>
      <c r="C636" s="11">
        <v>1413</v>
      </c>
      <c r="D636" s="11" t="s">
        <v>63</v>
      </c>
      <c r="E636" s="11" t="s">
        <v>3207</v>
      </c>
      <c r="F636" s="11"/>
      <c r="G636" s="190" t="s">
        <v>3209</v>
      </c>
      <c r="H636" s="11" t="s">
        <v>2292</v>
      </c>
      <c r="I636" s="25">
        <v>1</v>
      </c>
      <c r="J636" s="21"/>
      <c r="K636" s="21"/>
      <c r="L636" s="21"/>
      <c r="M636" s="21"/>
      <c r="N636" s="21"/>
      <c r="O636" s="21"/>
      <c r="P636" s="21"/>
      <c r="Q636" s="21"/>
      <c r="R636" s="21"/>
      <c r="S636" s="21"/>
      <c r="T636" s="21"/>
      <c r="U636" s="21"/>
      <c r="V636" s="21"/>
      <c r="W636" s="21"/>
      <c r="X636" s="21"/>
      <c r="Y636" s="21"/>
      <c r="Z636" s="21"/>
    </row>
    <row r="637" spans="1:26" ht="15.75" customHeight="1" x14ac:dyDescent="0.25">
      <c r="A637" s="11"/>
      <c r="B637" s="22">
        <v>45866</v>
      </c>
      <c r="C637" s="11">
        <v>1413</v>
      </c>
      <c r="D637" s="11" t="s">
        <v>63</v>
      </c>
      <c r="E637" s="11" t="s">
        <v>3207</v>
      </c>
      <c r="F637" s="11"/>
      <c r="G637" s="190" t="s">
        <v>3209</v>
      </c>
      <c r="H637" s="11" t="s">
        <v>2292</v>
      </c>
      <c r="I637" s="25">
        <v>1</v>
      </c>
      <c r="J637" s="21"/>
      <c r="K637" s="21"/>
      <c r="L637" s="21"/>
      <c r="M637" s="21"/>
      <c r="N637" s="21"/>
      <c r="O637" s="21"/>
      <c r="P637" s="21"/>
      <c r="Q637" s="21"/>
      <c r="R637" s="21"/>
      <c r="S637" s="21"/>
      <c r="T637" s="21"/>
      <c r="U637" s="21"/>
      <c r="V637" s="21"/>
      <c r="W637" s="21"/>
      <c r="X637" s="21"/>
      <c r="Y637" s="21"/>
      <c r="Z637" s="21"/>
    </row>
    <row r="638" spans="1:26" ht="15.75" customHeight="1" x14ac:dyDescent="0.25">
      <c r="A638" s="11"/>
      <c r="B638" s="22">
        <v>45866</v>
      </c>
      <c r="C638" s="11">
        <v>1414</v>
      </c>
      <c r="D638" s="11" t="s">
        <v>63</v>
      </c>
      <c r="E638" s="11" t="s">
        <v>3210</v>
      </c>
      <c r="F638" s="11"/>
      <c r="G638" s="190" t="s">
        <v>3211</v>
      </c>
      <c r="H638" s="11" t="s">
        <v>2292</v>
      </c>
      <c r="I638" s="25">
        <v>1</v>
      </c>
      <c r="J638" s="21"/>
      <c r="K638" s="21"/>
      <c r="L638" s="21"/>
      <c r="M638" s="21"/>
      <c r="N638" s="21"/>
      <c r="O638" s="21"/>
      <c r="P638" s="21"/>
      <c r="Q638" s="21"/>
      <c r="R638" s="21"/>
      <c r="S638" s="21"/>
      <c r="T638" s="21"/>
      <c r="U638" s="21"/>
      <c r="V638" s="21"/>
      <c r="W638" s="21"/>
      <c r="X638" s="21"/>
      <c r="Y638" s="21"/>
      <c r="Z638" s="21"/>
    </row>
    <row r="639" spans="1:26" ht="15.75" customHeight="1" x14ac:dyDescent="0.25">
      <c r="A639" s="11"/>
      <c r="B639" s="22">
        <v>45866</v>
      </c>
      <c r="C639" s="11">
        <v>1415</v>
      </c>
      <c r="D639" s="11" t="s">
        <v>66</v>
      </c>
      <c r="E639" s="11" t="s">
        <v>3212</v>
      </c>
      <c r="F639" s="11"/>
      <c r="G639" s="190" t="s">
        <v>3213</v>
      </c>
      <c r="H639" s="11" t="s">
        <v>2292</v>
      </c>
      <c r="I639" s="25">
        <v>1</v>
      </c>
      <c r="J639" s="21"/>
      <c r="K639" s="21"/>
      <c r="L639" s="21"/>
      <c r="M639" s="21"/>
      <c r="N639" s="21"/>
      <c r="O639" s="21"/>
      <c r="P639" s="21"/>
      <c r="Q639" s="21"/>
      <c r="R639" s="21"/>
      <c r="S639" s="21"/>
      <c r="T639" s="21"/>
      <c r="U639" s="21"/>
      <c r="V639" s="21"/>
      <c r="W639" s="21"/>
      <c r="X639" s="21"/>
      <c r="Y639" s="21"/>
      <c r="Z639" s="21"/>
    </row>
    <row r="640" spans="1:26" ht="15.75" customHeight="1" x14ac:dyDescent="0.25">
      <c r="A640" s="11"/>
      <c r="B640" s="22">
        <v>45867</v>
      </c>
      <c r="C640" s="11">
        <v>1416</v>
      </c>
      <c r="D640" s="11" t="s">
        <v>3192</v>
      </c>
      <c r="E640" s="11">
        <v>251000134</v>
      </c>
      <c r="F640" s="11"/>
      <c r="G640" s="190" t="s">
        <v>3214</v>
      </c>
      <c r="H640" s="11" t="s">
        <v>2292</v>
      </c>
      <c r="I640" s="25">
        <v>1</v>
      </c>
      <c r="J640" s="21"/>
      <c r="K640" s="21"/>
      <c r="L640" s="21"/>
      <c r="M640" s="21"/>
      <c r="N640" s="21"/>
      <c r="O640" s="21"/>
      <c r="P640" s="21"/>
      <c r="Q640" s="21"/>
      <c r="R640" s="21"/>
      <c r="S640" s="21"/>
      <c r="T640" s="21"/>
      <c r="U640" s="21"/>
      <c r="V640" s="21"/>
      <c r="W640" s="21"/>
      <c r="X640" s="21"/>
      <c r="Y640" s="21"/>
      <c r="Z640" s="21"/>
    </row>
    <row r="641" spans="1:26" ht="15.75" customHeight="1" x14ac:dyDescent="0.25">
      <c r="A641" s="11"/>
      <c r="B641" s="22">
        <v>45868</v>
      </c>
      <c r="C641" s="11">
        <v>1417</v>
      </c>
      <c r="D641" s="11" t="s">
        <v>160</v>
      </c>
      <c r="E641" s="11" t="s">
        <v>3215</v>
      </c>
      <c r="F641" s="11"/>
      <c r="G641" s="190" t="s">
        <v>3216</v>
      </c>
      <c r="H641" s="11" t="s">
        <v>2306</v>
      </c>
      <c r="I641" s="25">
        <v>7</v>
      </c>
      <c r="J641" s="21"/>
      <c r="K641" s="21"/>
      <c r="L641" s="21"/>
      <c r="M641" s="21"/>
      <c r="N641" s="21"/>
      <c r="O641" s="21"/>
      <c r="P641" s="21"/>
      <c r="Q641" s="21"/>
      <c r="R641" s="21"/>
      <c r="S641" s="21"/>
      <c r="T641" s="21"/>
      <c r="U641" s="21"/>
      <c r="V641" s="21"/>
      <c r="W641" s="21"/>
      <c r="X641" s="21"/>
      <c r="Y641" s="21"/>
      <c r="Z641" s="21"/>
    </row>
    <row r="642" spans="1:26" ht="15.75" customHeight="1" x14ac:dyDescent="0.25">
      <c r="A642" s="11"/>
      <c r="B642" s="22">
        <v>45869</v>
      </c>
      <c r="C642" s="11">
        <v>1418</v>
      </c>
      <c r="D642" s="11" t="s">
        <v>44</v>
      </c>
      <c r="E642" s="11">
        <v>4714046496</v>
      </c>
      <c r="F642" s="11"/>
      <c r="G642" s="190" t="s">
        <v>3217</v>
      </c>
      <c r="H642" s="11" t="s">
        <v>2292</v>
      </c>
      <c r="I642" s="25" t="s">
        <v>2880</v>
      </c>
      <c r="J642" s="21"/>
      <c r="K642" s="21"/>
      <c r="L642" s="21"/>
      <c r="M642" s="21"/>
      <c r="N642" s="21"/>
      <c r="O642" s="21"/>
      <c r="P642" s="21"/>
      <c r="Q642" s="21"/>
      <c r="R642" s="21"/>
      <c r="S642" s="21"/>
      <c r="T642" s="21"/>
      <c r="U642" s="21"/>
      <c r="V642" s="21"/>
      <c r="W642" s="21"/>
      <c r="X642" s="21"/>
      <c r="Y642" s="21"/>
      <c r="Z642" s="21"/>
    </row>
    <row r="643" spans="1:26" ht="15.75" customHeight="1" x14ac:dyDescent="0.25">
      <c r="A643" s="11"/>
      <c r="B643" s="22">
        <v>45869</v>
      </c>
      <c r="C643" s="11">
        <v>1419</v>
      </c>
      <c r="D643" s="11" t="s">
        <v>2971</v>
      </c>
      <c r="E643" s="11">
        <v>25900952</v>
      </c>
      <c r="F643" s="11"/>
      <c r="G643" s="190" t="s">
        <v>3218</v>
      </c>
      <c r="H643" s="11" t="s">
        <v>2306</v>
      </c>
      <c r="I643" s="25">
        <v>7</v>
      </c>
      <c r="J643" s="21"/>
      <c r="K643" s="21"/>
      <c r="L643" s="21"/>
      <c r="M643" s="21"/>
      <c r="N643" s="21"/>
      <c r="O643" s="21"/>
      <c r="P643" s="21"/>
      <c r="Q643" s="21"/>
      <c r="R643" s="21"/>
      <c r="S643" s="21"/>
      <c r="T643" s="21"/>
      <c r="U643" s="21"/>
      <c r="V643" s="21"/>
      <c r="W643" s="21"/>
      <c r="X643" s="21"/>
      <c r="Y643" s="21"/>
      <c r="Z643" s="21"/>
    </row>
    <row r="644" spans="1:26" ht="15.75" customHeight="1" x14ac:dyDescent="0.25">
      <c r="A644" s="11"/>
      <c r="B644" s="22">
        <v>45877</v>
      </c>
      <c r="C644" s="11">
        <v>1419</v>
      </c>
      <c r="D644" s="11" t="s">
        <v>2971</v>
      </c>
      <c r="E644" s="11">
        <v>25900952</v>
      </c>
      <c r="F644" s="11"/>
      <c r="G644" s="190" t="s">
        <v>3218</v>
      </c>
      <c r="H644" s="11" t="s">
        <v>2306</v>
      </c>
      <c r="I644" s="25">
        <v>7</v>
      </c>
      <c r="J644" s="21"/>
      <c r="K644" s="21"/>
      <c r="L644" s="21"/>
      <c r="M644" s="21"/>
      <c r="N644" s="21"/>
      <c r="O644" s="21"/>
      <c r="P644" s="21"/>
      <c r="Q644" s="21"/>
      <c r="R644" s="21"/>
      <c r="S644" s="21"/>
      <c r="T644" s="21"/>
      <c r="U644" s="21"/>
      <c r="V644" s="21"/>
      <c r="W644" s="21"/>
      <c r="X644" s="21"/>
      <c r="Y644" s="21"/>
      <c r="Z644" s="21"/>
    </row>
    <row r="645" spans="1:26" ht="15.75" customHeight="1" x14ac:dyDescent="0.25">
      <c r="A645" s="11"/>
      <c r="B645" s="22">
        <v>45869</v>
      </c>
      <c r="C645" s="11">
        <v>1420</v>
      </c>
      <c r="D645" s="11" t="s">
        <v>2971</v>
      </c>
      <c r="E645" s="11">
        <v>25900942</v>
      </c>
      <c r="F645" s="11"/>
      <c r="G645" s="190" t="s">
        <v>3220</v>
      </c>
      <c r="H645" s="11" t="s">
        <v>3219</v>
      </c>
      <c r="I645" s="25" t="s">
        <v>3219</v>
      </c>
      <c r="J645" s="21"/>
      <c r="K645" s="21"/>
      <c r="L645" s="21"/>
      <c r="M645" s="21"/>
      <c r="N645" s="21"/>
      <c r="O645" s="21"/>
      <c r="P645" s="21"/>
      <c r="Q645" s="21"/>
      <c r="R645" s="21"/>
      <c r="S645" s="21"/>
      <c r="T645" s="21"/>
      <c r="U645" s="21"/>
      <c r="V645" s="21"/>
      <c r="W645" s="21"/>
      <c r="X645" s="21"/>
      <c r="Y645" s="21"/>
      <c r="Z645" s="21"/>
    </row>
    <row r="646" spans="1:26" ht="15.75" customHeight="1" x14ac:dyDescent="0.25">
      <c r="A646" s="11"/>
      <c r="B646" s="22">
        <v>45877</v>
      </c>
      <c r="C646" s="11">
        <v>1420</v>
      </c>
      <c r="D646" s="11" t="s">
        <v>2971</v>
      </c>
      <c r="E646" s="11">
        <v>25900942</v>
      </c>
      <c r="F646" s="11"/>
      <c r="G646" s="190" t="s">
        <v>3220</v>
      </c>
      <c r="H646" s="11" t="s">
        <v>3219</v>
      </c>
      <c r="I646" s="25" t="s">
        <v>3219</v>
      </c>
      <c r="J646" s="21"/>
      <c r="K646" s="21"/>
      <c r="L646" s="21"/>
      <c r="M646" s="21"/>
      <c r="N646" s="21"/>
      <c r="O646" s="21"/>
      <c r="P646" s="21"/>
      <c r="Q646" s="21"/>
      <c r="R646" s="21"/>
      <c r="S646" s="21"/>
      <c r="T646" s="21"/>
      <c r="U646" s="21"/>
      <c r="V646" s="21"/>
      <c r="W646" s="21"/>
      <c r="X646" s="21"/>
      <c r="Y646" s="21"/>
      <c r="Z646" s="21"/>
    </row>
    <row r="647" spans="1:26" ht="15.75" customHeight="1" x14ac:dyDescent="0.25">
      <c r="A647" s="11"/>
      <c r="B647" s="22">
        <v>45870</v>
      </c>
      <c r="C647" s="11">
        <v>1421</v>
      </c>
      <c r="D647" s="11" t="s">
        <v>2971</v>
      </c>
      <c r="E647" s="11" t="s">
        <v>53</v>
      </c>
      <c r="F647" s="11"/>
      <c r="G647" s="190" t="s">
        <v>3223</v>
      </c>
      <c r="H647" s="11" t="s">
        <v>129</v>
      </c>
      <c r="I647" s="25" t="s">
        <v>129</v>
      </c>
      <c r="J647" s="21"/>
      <c r="K647" s="21"/>
      <c r="L647" s="21"/>
      <c r="M647" s="21"/>
      <c r="N647" s="21"/>
      <c r="O647" s="21"/>
      <c r="P647" s="21"/>
      <c r="Q647" s="21"/>
      <c r="R647" s="21"/>
      <c r="S647" s="21"/>
      <c r="T647" s="21"/>
      <c r="U647" s="21"/>
      <c r="V647" s="21"/>
      <c r="W647" s="21"/>
      <c r="X647" s="21"/>
      <c r="Y647" s="21"/>
      <c r="Z647" s="21"/>
    </row>
    <row r="648" spans="1:26" ht="15.75" customHeight="1" x14ac:dyDescent="0.25">
      <c r="A648" s="11"/>
      <c r="B648" s="22">
        <v>45870</v>
      </c>
      <c r="C648" s="11">
        <v>1421</v>
      </c>
      <c r="D648" s="11" t="s">
        <v>2971</v>
      </c>
      <c r="E648" s="11">
        <v>25901117</v>
      </c>
      <c r="F648" s="11"/>
      <c r="G648" s="190" t="s">
        <v>3229</v>
      </c>
      <c r="H648" s="11" t="s">
        <v>2306</v>
      </c>
      <c r="I648" s="25">
        <v>7</v>
      </c>
      <c r="J648" s="21"/>
      <c r="K648" s="21"/>
      <c r="L648" s="21"/>
      <c r="M648" s="21"/>
      <c r="N648" s="21"/>
      <c r="O648" s="21"/>
      <c r="P648" s="21"/>
      <c r="Q648" s="21"/>
      <c r="R648" s="21"/>
      <c r="S648" s="21"/>
      <c r="T648" s="21"/>
      <c r="U648" s="21"/>
      <c r="V648" s="21"/>
      <c r="W648" s="21"/>
      <c r="X648" s="21"/>
      <c r="Y648" s="21"/>
      <c r="Z648" s="21"/>
    </row>
    <row r="649" spans="1:26" ht="15.75" customHeight="1" x14ac:dyDescent="0.25">
      <c r="A649" s="11"/>
      <c r="B649" s="22">
        <v>45870</v>
      </c>
      <c r="C649" s="11">
        <v>1422</v>
      </c>
      <c r="D649" s="11" t="s">
        <v>2971</v>
      </c>
      <c r="E649" s="11" t="s">
        <v>53</v>
      </c>
      <c r="F649" s="11"/>
      <c r="G649" s="190" t="s">
        <v>3224</v>
      </c>
      <c r="H649" s="11" t="s">
        <v>129</v>
      </c>
      <c r="I649" s="25" t="s">
        <v>129</v>
      </c>
      <c r="J649" s="21"/>
      <c r="K649" s="21"/>
      <c r="L649" s="21"/>
      <c r="M649" s="21"/>
      <c r="N649" s="21"/>
      <c r="O649" s="21"/>
      <c r="P649" s="21"/>
      <c r="Q649" s="21"/>
      <c r="R649" s="21"/>
      <c r="S649" s="21"/>
      <c r="T649" s="21"/>
      <c r="U649" s="21"/>
      <c r="V649" s="21"/>
      <c r="W649" s="21"/>
      <c r="X649" s="21"/>
      <c r="Y649" s="21"/>
      <c r="Z649" s="21"/>
    </row>
    <row r="650" spans="1:26" ht="15.75" customHeight="1" x14ac:dyDescent="0.25">
      <c r="A650" s="11"/>
      <c r="B650" s="22">
        <v>45870</v>
      </c>
      <c r="C650" s="11">
        <v>1422</v>
      </c>
      <c r="D650" s="11" t="s">
        <v>2971</v>
      </c>
      <c r="E650" s="11">
        <v>25901116</v>
      </c>
      <c r="F650" s="11"/>
      <c r="G650" s="190" t="s">
        <v>3230</v>
      </c>
      <c r="H650" s="11" t="s">
        <v>2306</v>
      </c>
      <c r="I650" s="25">
        <v>7</v>
      </c>
      <c r="J650" s="21"/>
      <c r="K650" s="21"/>
      <c r="L650" s="21"/>
      <c r="M650" s="21"/>
      <c r="N650" s="21"/>
      <c r="O650" s="21"/>
      <c r="P650" s="21"/>
      <c r="Q650" s="21"/>
      <c r="R650" s="21"/>
      <c r="S650" s="21"/>
      <c r="T650" s="21"/>
      <c r="U650" s="21"/>
      <c r="V650" s="21"/>
      <c r="W650" s="21"/>
      <c r="X650" s="21"/>
      <c r="Y650" s="21"/>
      <c r="Z650" s="21"/>
    </row>
    <row r="651" spans="1:26" ht="15.75" customHeight="1" x14ac:dyDescent="0.25">
      <c r="A651" s="11"/>
      <c r="B651" s="22">
        <v>45868</v>
      </c>
      <c r="C651" s="11">
        <v>1423</v>
      </c>
      <c r="D651" s="11" t="s">
        <v>2971</v>
      </c>
      <c r="E651" s="11" t="s">
        <v>53</v>
      </c>
      <c r="F651" s="11"/>
      <c r="G651" s="190" t="s">
        <v>3225</v>
      </c>
      <c r="H651" s="11" t="s">
        <v>129</v>
      </c>
      <c r="I651" s="25" t="s">
        <v>129</v>
      </c>
      <c r="J651" s="21"/>
      <c r="K651" s="21"/>
      <c r="L651" s="21"/>
      <c r="M651" s="21"/>
      <c r="N651" s="21"/>
      <c r="O651" s="21"/>
      <c r="P651" s="21"/>
      <c r="Q651" s="21"/>
      <c r="R651" s="21"/>
      <c r="S651" s="21"/>
      <c r="T651" s="21"/>
      <c r="U651" s="21"/>
      <c r="V651" s="21"/>
      <c r="W651" s="21"/>
      <c r="X651" s="21"/>
      <c r="Y651" s="21"/>
      <c r="Z651" s="21"/>
    </row>
    <row r="652" spans="1:26" ht="15.75" customHeight="1" x14ac:dyDescent="0.25">
      <c r="A652" s="11"/>
      <c r="B652" s="22">
        <v>45868</v>
      </c>
      <c r="C652" s="11">
        <v>1423</v>
      </c>
      <c r="D652" s="11" t="s">
        <v>2971</v>
      </c>
      <c r="E652" s="11">
        <v>25901127</v>
      </c>
      <c r="F652" s="11"/>
      <c r="G652" s="190" t="s">
        <v>3237</v>
      </c>
      <c r="H652" s="11" t="s">
        <v>2306</v>
      </c>
      <c r="I652" s="25">
        <v>7</v>
      </c>
      <c r="J652" s="21"/>
      <c r="K652" s="21"/>
      <c r="L652" s="21"/>
      <c r="M652" s="21"/>
      <c r="N652" s="21"/>
      <c r="O652" s="21"/>
      <c r="P652" s="21"/>
      <c r="Q652" s="21"/>
      <c r="R652" s="21"/>
      <c r="S652" s="21"/>
      <c r="T652" s="21"/>
      <c r="U652" s="21"/>
      <c r="V652" s="21"/>
      <c r="W652" s="21"/>
      <c r="X652" s="21"/>
      <c r="Y652" s="21"/>
      <c r="Z652" s="21"/>
    </row>
    <row r="653" spans="1:26" ht="15.75" customHeight="1" x14ac:dyDescent="0.25">
      <c r="A653" s="11"/>
      <c r="B653" s="22">
        <v>45871</v>
      </c>
      <c r="C653" s="11">
        <v>1424</v>
      </c>
      <c r="D653" s="11" t="s">
        <v>2971</v>
      </c>
      <c r="E653" s="11" t="s">
        <v>53</v>
      </c>
      <c r="F653" s="11"/>
      <c r="G653" s="190" t="s">
        <v>3226</v>
      </c>
      <c r="H653" s="11" t="s">
        <v>129</v>
      </c>
      <c r="I653" s="25" t="s">
        <v>129</v>
      </c>
      <c r="J653" s="21"/>
      <c r="K653" s="21"/>
      <c r="L653" s="21"/>
      <c r="M653" s="21"/>
      <c r="N653" s="21"/>
      <c r="O653" s="21"/>
      <c r="P653" s="21"/>
      <c r="Q653" s="21"/>
      <c r="R653" s="21"/>
      <c r="S653" s="21"/>
      <c r="T653" s="21"/>
      <c r="U653" s="21"/>
      <c r="V653" s="21"/>
      <c r="W653" s="21"/>
      <c r="X653" s="21"/>
      <c r="Y653" s="21"/>
      <c r="Z653" s="21"/>
    </row>
    <row r="654" spans="1:26" ht="15.75" customHeight="1" x14ac:dyDescent="0.25">
      <c r="A654" s="11"/>
      <c r="B654" s="22">
        <v>45871</v>
      </c>
      <c r="C654" s="11">
        <v>1424</v>
      </c>
      <c r="D654" s="11" t="s">
        <v>2971</v>
      </c>
      <c r="E654" s="11" t="s">
        <v>53</v>
      </c>
      <c r="F654" s="11"/>
      <c r="G654" s="190" t="s">
        <v>3226</v>
      </c>
      <c r="H654" s="11" t="s">
        <v>129</v>
      </c>
      <c r="I654" s="25" t="s">
        <v>3227</v>
      </c>
      <c r="J654" s="21"/>
      <c r="K654" s="21"/>
      <c r="L654" s="21"/>
      <c r="M654" s="21"/>
      <c r="N654" s="21"/>
      <c r="O654" s="21"/>
      <c r="P654" s="21"/>
      <c r="Q654" s="21"/>
      <c r="R654" s="21"/>
      <c r="S654" s="21"/>
      <c r="T654" s="21"/>
      <c r="U654" s="21"/>
      <c r="V654" s="21"/>
      <c r="W654" s="21"/>
      <c r="X654" s="21"/>
      <c r="Y654" s="21"/>
      <c r="Z654" s="21"/>
    </row>
    <row r="655" spans="1:26" ht="15.75" customHeight="1" x14ac:dyDescent="0.25">
      <c r="A655" s="11"/>
      <c r="B655" s="22">
        <v>45871</v>
      </c>
      <c r="C655" s="11">
        <v>1424</v>
      </c>
      <c r="D655" s="11" t="s">
        <v>2971</v>
      </c>
      <c r="E655" s="11">
        <v>25901096</v>
      </c>
      <c r="F655" s="11"/>
      <c r="G655" s="190" t="s">
        <v>3232</v>
      </c>
      <c r="H655" s="11" t="s">
        <v>3231</v>
      </c>
      <c r="I655" s="25" t="s">
        <v>3231</v>
      </c>
      <c r="J655" s="21"/>
      <c r="K655" s="21"/>
      <c r="L655" s="21"/>
      <c r="M655" s="21"/>
      <c r="N655" s="21"/>
      <c r="O655" s="21"/>
      <c r="P655" s="21"/>
      <c r="Q655" s="21"/>
      <c r="R655" s="21"/>
      <c r="S655" s="21"/>
      <c r="T655" s="21"/>
      <c r="U655" s="21"/>
      <c r="V655" s="21"/>
      <c r="W655" s="21"/>
      <c r="X655" s="21"/>
      <c r="Y655" s="21"/>
      <c r="Z655" s="21"/>
    </row>
    <row r="656" spans="1:26" ht="15.75" customHeight="1" x14ac:dyDescent="0.25">
      <c r="A656" s="11"/>
      <c r="B656" s="22">
        <v>45871</v>
      </c>
      <c r="C656" s="11">
        <v>1424</v>
      </c>
      <c r="D656" s="11" t="s">
        <v>2971</v>
      </c>
      <c r="E656" s="11">
        <v>25901096</v>
      </c>
      <c r="F656" s="11"/>
      <c r="G656" s="190" t="s">
        <v>3232</v>
      </c>
      <c r="H656" s="11" t="s">
        <v>3231</v>
      </c>
      <c r="I656" s="25" t="s">
        <v>3231</v>
      </c>
      <c r="J656" s="21"/>
      <c r="K656" s="21"/>
      <c r="L656" s="21"/>
      <c r="M656" s="21"/>
      <c r="N656" s="21"/>
      <c r="O656" s="21"/>
      <c r="P656" s="21"/>
      <c r="Q656" s="21"/>
      <c r="R656" s="21"/>
      <c r="S656" s="21"/>
      <c r="T656" s="21"/>
      <c r="U656" s="21"/>
      <c r="V656" s="21"/>
      <c r="W656" s="21"/>
      <c r="X656" s="21"/>
      <c r="Y656" s="21"/>
      <c r="Z656" s="21"/>
    </row>
    <row r="657" spans="1:26" ht="15.75" customHeight="1" x14ac:dyDescent="0.25">
      <c r="A657" s="11"/>
      <c r="B657" s="22">
        <v>45873</v>
      </c>
      <c r="C657" s="11">
        <v>1425</v>
      </c>
      <c r="D657" s="11" t="s">
        <v>66</v>
      </c>
      <c r="E657" s="11" t="s">
        <v>3233</v>
      </c>
      <c r="F657" s="11"/>
      <c r="G657" s="190" t="s">
        <v>3234</v>
      </c>
      <c r="H657" s="11" t="s">
        <v>2292</v>
      </c>
      <c r="I657" s="25">
        <v>1</v>
      </c>
      <c r="J657" s="21"/>
      <c r="K657" s="21"/>
      <c r="L657" s="21"/>
      <c r="M657" s="21"/>
      <c r="N657" s="21"/>
      <c r="O657" s="21"/>
      <c r="P657" s="21"/>
      <c r="Q657" s="21"/>
      <c r="R657" s="21"/>
      <c r="S657" s="21"/>
      <c r="T657" s="21"/>
      <c r="U657" s="21"/>
      <c r="V657" s="21"/>
      <c r="W657" s="21"/>
      <c r="X657" s="21"/>
      <c r="Y657" s="21"/>
      <c r="Z657" s="21"/>
    </row>
    <row r="658" spans="1:26" ht="15.75" customHeight="1" x14ac:dyDescent="0.25">
      <c r="A658" s="11"/>
      <c r="B658" s="22">
        <v>45873</v>
      </c>
      <c r="C658" s="11">
        <v>1426</v>
      </c>
      <c r="D658" s="11" t="s">
        <v>66</v>
      </c>
      <c r="E658" s="11" t="s">
        <v>3235</v>
      </c>
      <c r="F658" s="11"/>
      <c r="G658" s="190" t="s">
        <v>3236</v>
      </c>
      <c r="H658" s="11" t="s">
        <v>2292</v>
      </c>
      <c r="I658" s="25">
        <v>1</v>
      </c>
      <c r="J658" s="21"/>
      <c r="K658" s="21"/>
      <c r="L658" s="21"/>
      <c r="M658" s="21"/>
      <c r="N658" s="21"/>
      <c r="O658" s="21"/>
      <c r="P658" s="21"/>
      <c r="Q658" s="21"/>
      <c r="R658" s="21"/>
      <c r="S658" s="21"/>
      <c r="T658" s="21"/>
      <c r="U658" s="21"/>
      <c r="V658" s="21"/>
      <c r="W658" s="21"/>
      <c r="X658" s="21"/>
      <c r="Y658" s="21"/>
      <c r="Z658" s="21"/>
    </row>
    <row r="659" spans="1:26" ht="15.75" customHeight="1" x14ac:dyDescent="0.25">
      <c r="A659" s="11"/>
      <c r="B659" s="22">
        <v>45874</v>
      </c>
      <c r="C659" s="11">
        <v>1427</v>
      </c>
      <c r="D659" s="11" t="s">
        <v>66</v>
      </c>
      <c r="E659" s="11" t="s">
        <v>3238</v>
      </c>
      <c r="F659" s="11"/>
      <c r="G659" s="190" t="s">
        <v>3239</v>
      </c>
      <c r="H659" s="11" t="s">
        <v>2292</v>
      </c>
      <c r="I659" s="25">
        <v>1</v>
      </c>
      <c r="J659" s="21"/>
      <c r="K659" s="21"/>
      <c r="L659" s="21"/>
      <c r="M659" s="21"/>
      <c r="N659" s="21"/>
      <c r="O659" s="21"/>
      <c r="P659" s="21"/>
      <c r="Q659" s="21"/>
      <c r="R659" s="21"/>
      <c r="S659" s="21"/>
      <c r="T659" s="21"/>
      <c r="U659" s="21"/>
      <c r="V659" s="21"/>
      <c r="W659" s="21"/>
      <c r="X659" s="21"/>
      <c r="Y659" s="21"/>
      <c r="Z659" s="21"/>
    </row>
    <row r="660" spans="1:26" ht="15.75" customHeight="1" x14ac:dyDescent="0.25">
      <c r="A660" s="11"/>
      <c r="B660" s="22">
        <v>45874</v>
      </c>
      <c r="C660" s="11">
        <v>1428</v>
      </c>
      <c r="D660" s="11" t="s">
        <v>66</v>
      </c>
      <c r="E660" s="11" t="s">
        <v>53</v>
      </c>
      <c r="F660" s="11"/>
      <c r="G660" s="190" t="s">
        <v>3240</v>
      </c>
      <c r="H660" s="11" t="s">
        <v>129</v>
      </c>
      <c r="I660" s="25" t="s">
        <v>129</v>
      </c>
      <c r="J660" s="21"/>
      <c r="K660" s="21"/>
      <c r="L660" s="21"/>
      <c r="M660" s="21"/>
      <c r="N660" s="21"/>
      <c r="O660" s="21"/>
      <c r="P660" s="21"/>
      <c r="Q660" s="21"/>
      <c r="R660" s="21"/>
      <c r="S660" s="21"/>
      <c r="T660" s="21"/>
      <c r="U660" s="21"/>
      <c r="V660" s="21"/>
      <c r="W660" s="21"/>
      <c r="X660" s="21"/>
      <c r="Y660" s="21"/>
      <c r="Z660" s="21"/>
    </row>
    <row r="661" spans="1:26" ht="15.75" customHeight="1" x14ac:dyDescent="0.25">
      <c r="A661" s="11"/>
      <c r="B661" s="22">
        <v>45874</v>
      </c>
      <c r="C661" s="11">
        <v>1428</v>
      </c>
      <c r="D661" s="11" t="s">
        <v>66</v>
      </c>
      <c r="E661" s="11" t="s">
        <v>3255</v>
      </c>
      <c r="F661" s="11"/>
      <c r="G661" s="190" t="s">
        <v>3256</v>
      </c>
      <c r="H661" s="11" t="s">
        <v>2292</v>
      </c>
      <c r="I661" s="25">
        <v>1</v>
      </c>
      <c r="J661" s="21"/>
      <c r="K661" s="21"/>
      <c r="L661" s="21"/>
      <c r="M661" s="21"/>
      <c r="N661" s="21"/>
      <c r="O661" s="21"/>
      <c r="P661" s="21"/>
      <c r="Q661" s="21"/>
      <c r="R661" s="21"/>
      <c r="S661" s="21"/>
      <c r="T661" s="21"/>
      <c r="U661" s="21"/>
      <c r="V661" s="21"/>
      <c r="W661" s="21"/>
      <c r="X661" s="21"/>
      <c r="Y661" s="21"/>
      <c r="Z661" s="21"/>
    </row>
    <row r="662" spans="1:26" ht="15.75" customHeight="1" x14ac:dyDescent="0.25">
      <c r="A662" s="11"/>
      <c r="B662" s="22">
        <v>45875</v>
      </c>
      <c r="C662" s="11">
        <v>1429</v>
      </c>
      <c r="D662" s="11" t="s">
        <v>2971</v>
      </c>
      <c r="E662" s="11">
        <v>25901096</v>
      </c>
      <c r="F662" s="11"/>
      <c r="G662" s="190" t="s">
        <v>3242</v>
      </c>
      <c r="H662" s="11" t="s">
        <v>3241</v>
      </c>
      <c r="I662" s="25" t="s">
        <v>3241</v>
      </c>
      <c r="J662" s="21"/>
      <c r="K662" s="21"/>
      <c r="L662" s="21"/>
      <c r="M662" s="21"/>
      <c r="N662" s="21"/>
      <c r="O662" s="21"/>
      <c r="P662" s="21"/>
      <c r="Q662" s="21"/>
      <c r="R662" s="21"/>
      <c r="S662" s="21"/>
      <c r="T662" s="21"/>
      <c r="U662" s="21"/>
      <c r="V662" s="21"/>
      <c r="W662" s="21"/>
      <c r="X662" s="21"/>
      <c r="Y662" s="21"/>
      <c r="Z662" s="21"/>
    </row>
    <row r="663" spans="1:26" ht="15.75" customHeight="1" x14ac:dyDescent="0.25">
      <c r="A663" s="11"/>
      <c r="B663" s="22">
        <v>45875</v>
      </c>
      <c r="C663" s="11">
        <v>1430</v>
      </c>
      <c r="D663" s="11" t="s">
        <v>2971</v>
      </c>
      <c r="E663" s="11">
        <v>25901103</v>
      </c>
      <c r="F663" s="11"/>
      <c r="G663" s="190" t="s">
        <v>3243</v>
      </c>
      <c r="H663" s="11" t="s">
        <v>2306</v>
      </c>
      <c r="I663" s="25">
        <v>7</v>
      </c>
      <c r="J663" s="21"/>
      <c r="K663" s="21"/>
      <c r="L663" s="21"/>
      <c r="M663" s="21"/>
      <c r="N663" s="21"/>
      <c r="O663" s="21"/>
      <c r="P663" s="21"/>
      <c r="Q663" s="21"/>
      <c r="R663" s="21"/>
      <c r="S663" s="21"/>
      <c r="T663" s="21"/>
      <c r="U663" s="21"/>
      <c r="V663" s="21"/>
      <c r="W663" s="21"/>
      <c r="X663" s="21"/>
      <c r="Y663" s="21"/>
      <c r="Z663" s="21"/>
    </row>
    <row r="664" spans="1:26" ht="15.75" customHeight="1" x14ac:dyDescent="0.25">
      <c r="A664" s="11"/>
      <c r="B664" s="22">
        <v>45875</v>
      </c>
      <c r="C664" s="11">
        <v>1431</v>
      </c>
      <c r="D664" s="11" t="s">
        <v>160</v>
      </c>
      <c r="E664" s="11" t="s">
        <v>3061</v>
      </c>
      <c r="F664" s="11"/>
      <c r="G664" s="190" t="s">
        <v>3245</v>
      </c>
      <c r="H664" s="11" t="s">
        <v>3244</v>
      </c>
      <c r="I664" s="25" t="s">
        <v>3244</v>
      </c>
      <c r="J664" s="21"/>
      <c r="K664" s="21"/>
      <c r="L664" s="21"/>
      <c r="M664" s="21"/>
      <c r="N664" s="21"/>
      <c r="O664" s="21"/>
      <c r="P664" s="21"/>
      <c r="Q664" s="21"/>
      <c r="R664" s="21"/>
      <c r="S664" s="21"/>
      <c r="T664" s="21"/>
      <c r="U664" s="21"/>
      <c r="V664" s="21"/>
      <c r="W664" s="21"/>
      <c r="X664" s="21"/>
      <c r="Y664" s="21"/>
      <c r="Z664" s="21"/>
    </row>
    <row r="665" spans="1:26" ht="15.75" customHeight="1" x14ac:dyDescent="0.25">
      <c r="A665" s="11"/>
      <c r="B665" s="22">
        <v>45876</v>
      </c>
      <c r="C665" s="11">
        <v>1432</v>
      </c>
      <c r="D665" s="11" t="s">
        <v>3140</v>
      </c>
      <c r="E665" s="11" t="s">
        <v>3246</v>
      </c>
      <c r="F665" s="11"/>
      <c r="G665" s="190" t="s">
        <v>3248</v>
      </c>
      <c r="H665" s="11" t="s">
        <v>2292</v>
      </c>
      <c r="I665" s="25" t="s">
        <v>3247</v>
      </c>
      <c r="J665" s="21"/>
      <c r="K665" s="21"/>
      <c r="L665" s="21"/>
      <c r="M665" s="21"/>
      <c r="N665" s="21"/>
      <c r="O665" s="21"/>
      <c r="P665" s="21"/>
      <c r="Q665" s="21"/>
      <c r="R665" s="21"/>
      <c r="S665" s="21"/>
      <c r="T665" s="21"/>
      <c r="U665" s="21"/>
      <c r="V665" s="21"/>
      <c r="W665" s="21"/>
      <c r="X665" s="21"/>
      <c r="Y665" s="21"/>
      <c r="Z665" s="21"/>
    </row>
    <row r="666" spans="1:26" ht="15.75" customHeight="1" x14ac:dyDescent="0.25">
      <c r="A666" s="11"/>
      <c r="B666" s="22">
        <v>45876</v>
      </c>
      <c r="C666" s="11">
        <v>1433</v>
      </c>
      <c r="D666" s="11" t="s">
        <v>3140</v>
      </c>
      <c r="E666" s="11" t="s">
        <v>3249</v>
      </c>
      <c r="F666" s="11"/>
      <c r="G666" s="190" t="s">
        <v>3250</v>
      </c>
      <c r="H666" s="11" t="s">
        <v>2292</v>
      </c>
      <c r="I666" s="25">
        <v>1</v>
      </c>
      <c r="J666" s="21"/>
      <c r="K666" s="21"/>
      <c r="L666" s="21"/>
      <c r="M666" s="21"/>
      <c r="N666" s="21"/>
      <c r="O666" s="21"/>
      <c r="P666" s="21"/>
      <c r="Q666" s="21"/>
      <c r="R666" s="21"/>
      <c r="S666" s="21"/>
      <c r="T666" s="21"/>
      <c r="U666" s="21"/>
      <c r="V666" s="21"/>
      <c r="W666" s="21"/>
      <c r="X666" s="21"/>
      <c r="Y666" s="21"/>
      <c r="Z666" s="21"/>
    </row>
    <row r="667" spans="1:26" ht="15.75" customHeight="1" x14ac:dyDescent="0.25">
      <c r="A667" s="11"/>
      <c r="B667" s="22">
        <v>45877</v>
      </c>
      <c r="C667" s="11">
        <v>1434</v>
      </c>
      <c r="D667" s="11" t="s">
        <v>2971</v>
      </c>
      <c r="E667" s="11">
        <v>25901096</v>
      </c>
      <c r="F667" s="11"/>
      <c r="G667" s="190" t="s">
        <v>3252</v>
      </c>
      <c r="H667" s="11" t="s">
        <v>3251</v>
      </c>
      <c r="I667" s="25" t="s">
        <v>3251</v>
      </c>
      <c r="J667" s="21"/>
      <c r="K667" s="21"/>
      <c r="L667" s="21"/>
      <c r="M667" s="21"/>
      <c r="N667" s="21"/>
      <c r="O667" s="21"/>
      <c r="P667" s="21"/>
      <c r="Q667" s="21"/>
      <c r="R667" s="21"/>
      <c r="S667" s="21"/>
      <c r="T667" s="21"/>
      <c r="U667" s="21"/>
      <c r="V667" s="21"/>
      <c r="W667" s="21"/>
      <c r="X667" s="21"/>
      <c r="Y667" s="21"/>
      <c r="Z667" s="21"/>
    </row>
    <row r="668" spans="1:26" ht="15.75" customHeight="1" x14ac:dyDescent="0.25">
      <c r="A668" s="11"/>
      <c r="B668" s="22">
        <v>45880</v>
      </c>
      <c r="C668" s="11">
        <v>1435</v>
      </c>
      <c r="D668" s="11" t="s">
        <v>44</v>
      </c>
      <c r="E668" s="11">
        <v>4714046813</v>
      </c>
      <c r="F668" s="11"/>
      <c r="G668" s="190" t="s">
        <v>3253</v>
      </c>
      <c r="H668" s="11" t="s">
        <v>2292</v>
      </c>
      <c r="I668" s="25">
        <v>1</v>
      </c>
      <c r="J668" s="21"/>
      <c r="K668" s="21"/>
      <c r="L668" s="21"/>
      <c r="M668" s="21"/>
      <c r="N668" s="21"/>
      <c r="O668" s="21"/>
      <c r="P668" s="21"/>
      <c r="Q668" s="21"/>
      <c r="R668" s="21"/>
      <c r="S668" s="21"/>
      <c r="T668" s="21"/>
      <c r="U668" s="21"/>
      <c r="V668" s="21"/>
      <c r="W668" s="21"/>
      <c r="X668" s="21"/>
      <c r="Y668" s="21"/>
      <c r="Z668" s="21"/>
    </row>
    <row r="669" spans="1:26" ht="15.75" customHeight="1" x14ac:dyDescent="0.25">
      <c r="A669" s="11"/>
      <c r="B669" s="22">
        <v>45880</v>
      </c>
      <c r="C669" s="11">
        <v>1436</v>
      </c>
      <c r="D669" s="11" t="s">
        <v>44</v>
      </c>
      <c r="E669" s="11">
        <v>4714046794</v>
      </c>
      <c r="F669" s="11"/>
      <c r="G669" s="190" t="s">
        <v>3254</v>
      </c>
      <c r="H669" s="11" t="s">
        <v>2292</v>
      </c>
      <c r="I669" s="25">
        <v>1</v>
      </c>
      <c r="J669" s="21"/>
      <c r="K669" s="21"/>
      <c r="L669" s="21"/>
      <c r="M669" s="21"/>
      <c r="N669" s="21"/>
      <c r="O669" s="21"/>
      <c r="P669" s="21"/>
      <c r="Q669" s="21"/>
      <c r="R669" s="21"/>
      <c r="S669" s="21"/>
      <c r="T669" s="21"/>
      <c r="U669" s="21"/>
      <c r="V669" s="21"/>
      <c r="W669" s="21"/>
      <c r="X669" s="21"/>
      <c r="Y669" s="21"/>
      <c r="Z669" s="21"/>
    </row>
    <row r="670" spans="1:26" ht="15.75" customHeight="1" x14ac:dyDescent="0.25">
      <c r="A670" s="11"/>
      <c r="B670" s="22">
        <v>45881</v>
      </c>
      <c r="C670" s="11">
        <v>1437</v>
      </c>
      <c r="D670" s="11" t="s">
        <v>2971</v>
      </c>
      <c r="E670" s="11" t="s">
        <v>53</v>
      </c>
      <c r="F670" s="11"/>
      <c r="G670" s="190" t="s">
        <v>3260</v>
      </c>
      <c r="H670" s="11" t="s">
        <v>3259</v>
      </c>
      <c r="I670" s="25" t="s">
        <v>3259</v>
      </c>
      <c r="J670" s="21"/>
      <c r="K670" s="21"/>
      <c r="L670" s="21"/>
      <c r="M670" s="21"/>
      <c r="N670" s="21"/>
      <c r="O670" s="21"/>
      <c r="P670" s="21"/>
      <c r="Q670" s="21"/>
      <c r="R670" s="21"/>
      <c r="S670" s="21"/>
      <c r="T670" s="21"/>
      <c r="U670" s="21"/>
      <c r="V670" s="21"/>
      <c r="W670" s="21"/>
      <c r="X670" s="21"/>
      <c r="Y670" s="21"/>
      <c r="Z670" s="21"/>
    </row>
    <row r="671" spans="1:26" ht="15.75" customHeight="1" x14ac:dyDescent="0.25">
      <c r="A671" s="11"/>
      <c r="B671" s="22">
        <v>45881</v>
      </c>
      <c r="C671" s="11">
        <v>1437</v>
      </c>
      <c r="D671" s="11" t="s">
        <v>2971</v>
      </c>
      <c r="E671" s="11">
        <v>25901203</v>
      </c>
      <c r="F671" s="11"/>
      <c r="G671" s="190" t="s">
        <v>3282</v>
      </c>
      <c r="H671" s="11" t="s">
        <v>2292</v>
      </c>
      <c r="I671" s="25">
        <v>1</v>
      </c>
      <c r="J671" s="21"/>
      <c r="K671" s="21"/>
      <c r="L671" s="21"/>
      <c r="M671" s="21"/>
      <c r="N671" s="21"/>
      <c r="O671" s="21"/>
      <c r="P671" s="21"/>
      <c r="Q671" s="21"/>
      <c r="R671" s="21"/>
      <c r="S671" s="21"/>
      <c r="T671" s="21"/>
      <c r="U671" s="21"/>
      <c r="V671" s="21"/>
      <c r="W671" s="21"/>
      <c r="X671" s="21"/>
      <c r="Y671" s="21"/>
      <c r="Z671" s="21"/>
    </row>
    <row r="672" spans="1:26" ht="15.75" customHeight="1" x14ac:dyDescent="0.25">
      <c r="A672" s="11"/>
      <c r="B672" s="22">
        <v>45882</v>
      </c>
      <c r="C672" s="11">
        <v>1438</v>
      </c>
      <c r="D672" s="11" t="s">
        <v>66</v>
      </c>
      <c r="E672" s="11" t="s">
        <v>3261</v>
      </c>
      <c r="F672" s="11"/>
      <c r="G672" s="190" t="s">
        <v>3262</v>
      </c>
      <c r="H672" s="11" t="s">
        <v>2292</v>
      </c>
      <c r="I672" s="25">
        <v>1</v>
      </c>
      <c r="J672" s="21"/>
      <c r="K672" s="21"/>
      <c r="L672" s="21"/>
      <c r="M672" s="21"/>
      <c r="N672" s="21"/>
      <c r="O672" s="21"/>
      <c r="P672" s="21"/>
      <c r="Q672" s="21"/>
      <c r="R672" s="21"/>
      <c r="S672" s="21"/>
      <c r="T672" s="21"/>
      <c r="U672" s="21"/>
      <c r="V672" s="21"/>
      <c r="W672" s="21"/>
      <c r="X672" s="21"/>
      <c r="Y672" s="21"/>
      <c r="Z672" s="21"/>
    </row>
    <row r="673" spans="1:26" ht="15.75" customHeight="1" x14ac:dyDescent="0.25">
      <c r="A673" s="11"/>
      <c r="B673" s="22">
        <v>45883</v>
      </c>
      <c r="C673" s="11">
        <v>1439</v>
      </c>
      <c r="D673" s="11" t="s">
        <v>2971</v>
      </c>
      <c r="E673" s="11" t="s">
        <v>53</v>
      </c>
      <c r="F673" s="11"/>
      <c r="G673" s="190" t="s">
        <v>3263</v>
      </c>
      <c r="H673" s="11" t="s">
        <v>3133</v>
      </c>
      <c r="I673" s="25" t="s">
        <v>3133</v>
      </c>
      <c r="J673" s="21"/>
      <c r="K673" s="21"/>
      <c r="L673" s="21"/>
      <c r="M673" s="21"/>
      <c r="N673" s="21"/>
      <c r="O673" s="21"/>
      <c r="P673" s="21"/>
      <c r="Q673" s="21"/>
      <c r="R673" s="21"/>
      <c r="S673" s="21"/>
      <c r="T673" s="21"/>
      <c r="U673" s="21"/>
      <c r="V673" s="21"/>
      <c r="W673" s="21"/>
      <c r="X673" s="21"/>
      <c r="Y673" s="21"/>
      <c r="Z673" s="21"/>
    </row>
    <row r="674" spans="1:26" ht="15.75" customHeight="1" x14ac:dyDescent="0.25">
      <c r="A674" s="11"/>
      <c r="B674" s="22">
        <v>45883</v>
      </c>
      <c r="C674" s="11">
        <v>1439</v>
      </c>
      <c r="D674" s="11" t="s">
        <v>2971</v>
      </c>
      <c r="E674" s="11">
        <v>25901201</v>
      </c>
      <c r="F674" s="11"/>
      <c r="G674" s="190" t="s">
        <v>3283</v>
      </c>
      <c r="H674" s="11" t="s">
        <v>2292</v>
      </c>
      <c r="I674" s="25">
        <v>1</v>
      </c>
      <c r="J674" s="21"/>
      <c r="K674" s="21"/>
      <c r="L674" s="21"/>
      <c r="M674" s="21"/>
      <c r="N674" s="21"/>
      <c r="O674" s="21"/>
      <c r="P674" s="21"/>
      <c r="Q674" s="21"/>
      <c r="R674" s="21"/>
      <c r="S674" s="21"/>
      <c r="T674" s="21"/>
      <c r="U674" s="21"/>
      <c r="V674" s="21"/>
      <c r="W674" s="21"/>
      <c r="X674" s="21"/>
      <c r="Y674" s="21"/>
      <c r="Z674" s="21"/>
    </row>
    <row r="675" spans="1:26" ht="15.75" customHeight="1" x14ac:dyDescent="0.25">
      <c r="A675" s="11"/>
      <c r="B675" s="22">
        <v>45884</v>
      </c>
      <c r="C675" s="11">
        <v>1440</v>
      </c>
      <c r="D675" s="11" t="s">
        <v>44</v>
      </c>
      <c r="E675" s="11">
        <v>4714045796</v>
      </c>
      <c r="F675" s="11"/>
      <c r="G675" s="190" t="s">
        <v>3265</v>
      </c>
      <c r="H675" s="11" t="s">
        <v>3264</v>
      </c>
      <c r="I675" s="25" t="s">
        <v>3264</v>
      </c>
      <c r="J675" s="21"/>
      <c r="K675" s="21"/>
      <c r="L675" s="21"/>
      <c r="M675" s="21"/>
      <c r="N675" s="21"/>
      <c r="O675" s="21"/>
      <c r="P675" s="21"/>
      <c r="Q675" s="21"/>
      <c r="R675" s="21"/>
      <c r="S675" s="21"/>
      <c r="T675" s="21"/>
      <c r="U675" s="21"/>
      <c r="V675" s="21"/>
      <c r="W675" s="21"/>
      <c r="X675" s="21"/>
      <c r="Y675" s="21"/>
      <c r="Z675" s="21"/>
    </row>
    <row r="676" spans="1:26" ht="15.75" customHeight="1" x14ac:dyDescent="0.25">
      <c r="A676" s="11"/>
      <c r="B676" s="22">
        <v>45884</v>
      </c>
      <c r="C676" s="11">
        <v>1440</v>
      </c>
      <c r="D676" s="11" t="s">
        <v>44</v>
      </c>
      <c r="E676" s="11">
        <v>4714045796</v>
      </c>
      <c r="F676" s="11"/>
      <c r="G676" s="190" t="s">
        <v>3265</v>
      </c>
      <c r="H676" s="11" t="s">
        <v>3264</v>
      </c>
      <c r="I676" s="25" t="s">
        <v>3264</v>
      </c>
      <c r="J676" s="21"/>
      <c r="K676" s="21"/>
      <c r="L676" s="21"/>
      <c r="M676" s="21"/>
      <c r="N676" s="21"/>
      <c r="O676" s="21"/>
      <c r="P676" s="21"/>
      <c r="Q676" s="21"/>
      <c r="R676" s="21"/>
      <c r="S676" s="21"/>
      <c r="T676" s="21"/>
      <c r="U676" s="21"/>
      <c r="V676" s="21"/>
      <c r="W676" s="21"/>
      <c r="X676" s="21"/>
      <c r="Y676" s="21"/>
      <c r="Z676" s="21"/>
    </row>
    <row r="677" spans="1:26" ht="15.75" customHeight="1" x14ac:dyDescent="0.25">
      <c r="A677" s="11"/>
      <c r="B677" s="22">
        <v>45820</v>
      </c>
      <c r="C677" s="11">
        <v>1441</v>
      </c>
      <c r="D677" s="11" t="s">
        <v>44</v>
      </c>
      <c r="E677" s="11">
        <v>4714045796</v>
      </c>
      <c r="F677" s="11"/>
      <c r="G677" s="190" t="s">
        <v>3266</v>
      </c>
      <c r="H677" s="11" t="s">
        <v>3264</v>
      </c>
      <c r="I677" s="25" t="s">
        <v>3264</v>
      </c>
      <c r="J677" s="21"/>
      <c r="K677" s="21"/>
      <c r="L677" s="21"/>
      <c r="M677" s="21"/>
      <c r="N677" s="21"/>
      <c r="O677" s="21"/>
      <c r="P677" s="21"/>
      <c r="Q677" s="21"/>
      <c r="R677" s="21"/>
      <c r="S677" s="21"/>
      <c r="T677" s="21"/>
      <c r="U677" s="21"/>
      <c r="V677" s="21"/>
      <c r="W677" s="21"/>
      <c r="X677" s="21"/>
      <c r="Y677" s="21"/>
      <c r="Z677" s="21"/>
    </row>
    <row r="678" spans="1:26" ht="15.75" customHeight="1" x14ac:dyDescent="0.25">
      <c r="A678" s="11"/>
      <c r="B678" s="22">
        <v>45890</v>
      </c>
      <c r="C678" s="11">
        <v>1442</v>
      </c>
      <c r="D678" s="11" t="s">
        <v>2971</v>
      </c>
      <c r="E678" s="11">
        <v>25901238</v>
      </c>
      <c r="F678" s="11"/>
      <c r="G678" s="190" t="s">
        <v>3267</v>
      </c>
      <c r="H678" s="11" t="s">
        <v>2292</v>
      </c>
      <c r="I678" s="25">
        <v>1</v>
      </c>
      <c r="J678" s="21"/>
      <c r="K678" s="21"/>
      <c r="L678" s="21"/>
      <c r="M678" s="21"/>
      <c r="N678" s="21"/>
      <c r="O678" s="21"/>
      <c r="P678" s="21"/>
      <c r="Q678" s="21"/>
      <c r="R678" s="21"/>
      <c r="S678" s="21"/>
      <c r="T678" s="21"/>
      <c r="U678" s="21"/>
      <c r="V678" s="21"/>
      <c r="W678" s="21"/>
      <c r="X678" s="21"/>
      <c r="Y678" s="21"/>
      <c r="Z678" s="21"/>
    </row>
    <row r="679" spans="1:26" ht="15.75" customHeight="1" x14ac:dyDescent="0.25">
      <c r="A679" s="11"/>
      <c r="B679" s="22">
        <v>45890</v>
      </c>
      <c r="C679" s="11">
        <v>1443</v>
      </c>
      <c r="D679" s="11" t="s">
        <v>2971</v>
      </c>
      <c r="E679" s="11" t="s">
        <v>53</v>
      </c>
      <c r="F679" s="11"/>
      <c r="G679" s="190" t="s">
        <v>3269</v>
      </c>
      <c r="H679" s="11" t="s">
        <v>3268</v>
      </c>
      <c r="I679" s="25" t="s">
        <v>3268</v>
      </c>
      <c r="J679" s="21"/>
      <c r="K679" s="21"/>
      <c r="L679" s="21"/>
      <c r="M679" s="21"/>
      <c r="N679" s="21"/>
      <c r="O679" s="21"/>
      <c r="P679" s="21"/>
      <c r="Q679" s="21"/>
      <c r="R679" s="21"/>
      <c r="S679" s="21"/>
      <c r="T679" s="21"/>
      <c r="U679" s="21"/>
      <c r="V679" s="21"/>
      <c r="W679" s="21"/>
      <c r="X679" s="21"/>
      <c r="Y679" s="21"/>
      <c r="Z679" s="21"/>
    </row>
    <row r="680" spans="1:26" ht="15.75" customHeight="1" x14ac:dyDescent="0.25">
      <c r="A680" s="11"/>
      <c r="B680" s="22">
        <v>45891</v>
      </c>
      <c r="C680" s="11">
        <v>1444</v>
      </c>
      <c r="D680" s="11" t="s">
        <v>2298</v>
      </c>
      <c r="E680" s="11" t="s">
        <v>3270</v>
      </c>
      <c r="F680" s="11"/>
      <c r="G680" s="190" t="s">
        <v>3271</v>
      </c>
      <c r="H680" s="11" t="s">
        <v>2292</v>
      </c>
      <c r="I680" s="25">
        <v>1</v>
      </c>
      <c r="J680" s="21"/>
      <c r="K680" s="21"/>
      <c r="L680" s="21"/>
      <c r="M680" s="21"/>
      <c r="N680" s="21"/>
      <c r="O680" s="21"/>
      <c r="P680" s="21"/>
      <c r="Q680" s="21"/>
      <c r="R680" s="21"/>
      <c r="S680" s="21"/>
      <c r="T680" s="21"/>
      <c r="U680" s="21"/>
      <c r="V680" s="21"/>
      <c r="W680" s="21"/>
      <c r="X680" s="21"/>
      <c r="Y680" s="21"/>
      <c r="Z680" s="21"/>
    </row>
    <row r="681" spans="1:26" ht="15.75" customHeight="1" x14ac:dyDescent="0.25">
      <c r="A681" s="11"/>
      <c r="B681" s="22">
        <v>45891</v>
      </c>
      <c r="C681" s="11">
        <v>1445</v>
      </c>
      <c r="D681" s="11" t="s">
        <v>2971</v>
      </c>
      <c r="E681" s="11">
        <v>25901232</v>
      </c>
      <c r="F681" s="11"/>
      <c r="G681" s="190" t="s">
        <v>3272</v>
      </c>
      <c r="H681" s="11" t="s">
        <v>2306</v>
      </c>
      <c r="I681" s="25">
        <v>7</v>
      </c>
      <c r="J681" s="21"/>
      <c r="K681" s="21"/>
      <c r="L681" s="21"/>
      <c r="M681" s="21"/>
      <c r="N681" s="21"/>
      <c r="O681" s="21"/>
      <c r="P681" s="21"/>
      <c r="Q681" s="21"/>
      <c r="R681" s="21"/>
      <c r="S681" s="21"/>
      <c r="T681" s="21"/>
      <c r="U681" s="21"/>
      <c r="V681" s="21"/>
      <c r="W681" s="21"/>
      <c r="X681" s="21"/>
      <c r="Y681" s="21"/>
      <c r="Z681" s="21"/>
    </row>
    <row r="682" spans="1:26" ht="15.75" customHeight="1" x14ac:dyDescent="0.25">
      <c r="A682" s="11"/>
      <c r="B682" s="22">
        <v>45891</v>
      </c>
      <c r="C682" s="11">
        <v>1446</v>
      </c>
      <c r="D682" s="11" t="s">
        <v>2971</v>
      </c>
      <c r="E682" s="11">
        <v>25901233</v>
      </c>
      <c r="F682" s="11"/>
      <c r="G682" s="190" t="s">
        <v>3273</v>
      </c>
      <c r="H682" s="11" t="s">
        <v>2306</v>
      </c>
      <c r="I682" s="25">
        <v>7</v>
      </c>
      <c r="J682" s="21"/>
      <c r="K682" s="21"/>
      <c r="L682" s="21"/>
      <c r="M682" s="21"/>
      <c r="N682" s="21"/>
      <c r="O682" s="21"/>
      <c r="P682" s="21"/>
      <c r="Q682" s="21"/>
      <c r="R682" s="21"/>
      <c r="S682" s="21"/>
      <c r="T682" s="21"/>
      <c r="U682" s="21"/>
      <c r="V682" s="21"/>
      <c r="W682" s="21"/>
      <c r="X682" s="21"/>
      <c r="Y682" s="21"/>
      <c r="Z682" s="21"/>
    </row>
    <row r="683" spans="1:26" ht="15.75" customHeight="1" x14ac:dyDescent="0.25">
      <c r="A683" s="11"/>
      <c r="B683" s="22">
        <v>45892</v>
      </c>
      <c r="C683" s="11">
        <v>1447</v>
      </c>
      <c r="D683" s="11" t="s">
        <v>2298</v>
      </c>
      <c r="E683" s="11" t="s">
        <v>3274</v>
      </c>
      <c r="F683" s="11"/>
      <c r="G683" s="190" t="s">
        <v>3275</v>
      </c>
      <c r="H683" s="11" t="s">
        <v>2292</v>
      </c>
      <c r="I683" s="25">
        <v>1</v>
      </c>
      <c r="J683" s="21"/>
      <c r="K683" s="21"/>
      <c r="L683" s="21"/>
      <c r="M683" s="21"/>
      <c r="N683" s="21"/>
      <c r="O683" s="21"/>
      <c r="P683" s="21"/>
      <c r="Q683" s="21"/>
      <c r="R683" s="21"/>
      <c r="S683" s="21"/>
      <c r="T683" s="21"/>
      <c r="U683" s="21"/>
      <c r="V683" s="21"/>
      <c r="W683" s="21"/>
      <c r="X683" s="21"/>
      <c r="Y683" s="21"/>
      <c r="Z683" s="21"/>
    </row>
    <row r="684" spans="1:26" ht="15.75" customHeight="1" x14ac:dyDescent="0.25">
      <c r="A684" s="11"/>
      <c r="B684" s="22">
        <v>45892</v>
      </c>
      <c r="C684" s="11">
        <v>1448</v>
      </c>
      <c r="D684" s="11" t="s">
        <v>2971</v>
      </c>
      <c r="E684" s="11">
        <v>25901209</v>
      </c>
      <c r="F684" s="11"/>
      <c r="G684" s="190" t="s">
        <v>3276</v>
      </c>
      <c r="H684" s="11" t="s">
        <v>2292</v>
      </c>
      <c r="I684" s="25">
        <v>1</v>
      </c>
      <c r="J684" s="21"/>
      <c r="K684" s="21"/>
      <c r="L684" s="21"/>
      <c r="M684" s="21"/>
      <c r="N684" s="21"/>
      <c r="O684" s="21"/>
      <c r="P684" s="21"/>
      <c r="Q684" s="21"/>
      <c r="R684" s="21"/>
      <c r="S684" s="21"/>
      <c r="T684" s="21"/>
      <c r="U684" s="21"/>
      <c r="V684" s="21"/>
      <c r="W684" s="21"/>
      <c r="X684" s="21"/>
      <c r="Y684" s="21"/>
      <c r="Z684" s="21"/>
    </row>
    <row r="685" spans="1:26" ht="15.75" customHeight="1" x14ac:dyDescent="0.25">
      <c r="A685" s="11"/>
      <c r="B685" s="22">
        <v>45892</v>
      </c>
      <c r="C685" s="11">
        <v>1449</v>
      </c>
      <c r="D685" s="11" t="s">
        <v>63</v>
      </c>
      <c r="E685" s="11" t="s">
        <v>3277</v>
      </c>
      <c r="F685" s="11"/>
      <c r="G685" s="190" t="s">
        <v>3278</v>
      </c>
      <c r="H685" s="11" t="s">
        <v>2292</v>
      </c>
      <c r="I685" s="25">
        <v>1</v>
      </c>
      <c r="J685" s="21"/>
      <c r="K685" s="21"/>
      <c r="L685" s="21"/>
      <c r="M685" s="21"/>
      <c r="N685" s="21"/>
      <c r="O685" s="21"/>
      <c r="P685" s="21"/>
      <c r="Q685" s="21"/>
      <c r="R685" s="21"/>
      <c r="S685" s="21"/>
      <c r="T685" s="21"/>
      <c r="U685" s="21"/>
      <c r="V685" s="21"/>
      <c r="W685" s="21"/>
      <c r="X685" s="21"/>
      <c r="Y685" s="21"/>
      <c r="Z685" s="21"/>
    </row>
    <row r="686" spans="1:26" ht="15.75" customHeight="1" x14ac:dyDescent="0.25">
      <c r="A686" s="11"/>
      <c r="B686" s="22">
        <v>45894</v>
      </c>
      <c r="C686" s="11">
        <v>1450</v>
      </c>
      <c r="D686" s="11" t="s">
        <v>2311</v>
      </c>
      <c r="E686" s="11">
        <v>4000300015</v>
      </c>
      <c r="F686" s="11"/>
      <c r="G686" s="190" t="s">
        <v>3279</v>
      </c>
      <c r="H686" s="11" t="s">
        <v>2306</v>
      </c>
      <c r="I686" s="25">
        <v>7</v>
      </c>
      <c r="J686" s="21"/>
      <c r="K686" s="21"/>
      <c r="L686" s="21"/>
      <c r="M686" s="21"/>
      <c r="N686" s="21"/>
      <c r="O686" s="21"/>
      <c r="P686" s="21"/>
      <c r="Q686" s="21"/>
      <c r="R686" s="21"/>
      <c r="S686" s="21"/>
      <c r="T686" s="21"/>
      <c r="U686" s="21"/>
      <c r="V686" s="21"/>
      <c r="W686" s="21"/>
      <c r="X686" s="21"/>
      <c r="Y686" s="21"/>
      <c r="Z686" s="21"/>
    </row>
    <row r="687" spans="1:26" ht="15.75" customHeight="1" x14ac:dyDescent="0.25">
      <c r="A687" s="11"/>
      <c r="B687" s="22">
        <v>45894</v>
      </c>
      <c r="C687" s="11">
        <v>1451</v>
      </c>
      <c r="D687" s="11" t="s">
        <v>2311</v>
      </c>
      <c r="E687" s="11">
        <v>4000300278</v>
      </c>
      <c r="F687" s="11"/>
      <c r="G687" s="190" t="s">
        <v>3280</v>
      </c>
      <c r="H687" s="11" t="s">
        <v>2306</v>
      </c>
      <c r="I687" s="25">
        <v>7</v>
      </c>
      <c r="J687" s="21"/>
      <c r="K687" s="21"/>
      <c r="L687" s="21"/>
      <c r="M687" s="21"/>
      <c r="N687" s="21"/>
      <c r="O687" s="21"/>
      <c r="P687" s="21"/>
      <c r="Q687" s="21"/>
      <c r="R687" s="21"/>
      <c r="S687" s="21"/>
      <c r="T687" s="21"/>
      <c r="U687" s="21"/>
      <c r="V687" s="21"/>
      <c r="W687" s="21"/>
      <c r="X687" s="21"/>
      <c r="Y687" s="21"/>
      <c r="Z687" s="21"/>
    </row>
    <row r="688" spans="1:26" ht="15.75" customHeight="1" x14ac:dyDescent="0.25">
      <c r="A688" s="11"/>
      <c r="B688" s="22">
        <v>45894</v>
      </c>
      <c r="C688" s="11">
        <v>1452</v>
      </c>
      <c r="D688" s="11" t="s">
        <v>2311</v>
      </c>
      <c r="E688" s="11">
        <v>4000299720</v>
      </c>
      <c r="F688" s="11"/>
      <c r="G688" s="190" t="s">
        <v>3281</v>
      </c>
      <c r="H688" s="11" t="s">
        <v>2306</v>
      </c>
      <c r="I688" s="25">
        <v>7</v>
      </c>
      <c r="J688" s="21"/>
      <c r="K688" s="21"/>
      <c r="L688" s="21"/>
      <c r="M688" s="21"/>
      <c r="N688" s="21"/>
      <c r="O688" s="21"/>
      <c r="P688" s="21"/>
      <c r="Q688" s="21"/>
      <c r="R688" s="21"/>
      <c r="S688" s="21"/>
      <c r="T688" s="21"/>
      <c r="U688" s="21"/>
      <c r="V688" s="21"/>
      <c r="W688" s="21"/>
      <c r="X688" s="21"/>
      <c r="Y688" s="21"/>
      <c r="Z688" s="21"/>
    </row>
    <row r="689" spans="1:26" ht="15.75" customHeight="1" x14ac:dyDescent="0.25">
      <c r="A689" s="11"/>
      <c r="B689" s="22">
        <v>45894</v>
      </c>
      <c r="C689" s="11">
        <v>1452</v>
      </c>
      <c r="D689" s="11" t="s">
        <v>2311</v>
      </c>
      <c r="E689" s="11">
        <v>4000299720</v>
      </c>
      <c r="F689" s="11"/>
      <c r="G689" s="190" t="s">
        <v>3281</v>
      </c>
      <c r="H689" s="11" t="s">
        <v>2306</v>
      </c>
      <c r="I689" s="25">
        <v>7</v>
      </c>
      <c r="J689" s="21"/>
      <c r="K689" s="21"/>
      <c r="L689" s="21"/>
      <c r="M689" s="21"/>
      <c r="N689" s="21"/>
      <c r="O689" s="21"/>
      <c r="P689" s="21"/>
      <c r="Q689" s="21"/>
      <c r="R689" s="21"/>
      <c r="S689" s="21"/>
      <c r="T689" s="21"/>
      <c r="U689" s="21"/>
      <c r="V689" s="21"/>
      <c r="W689" s="21"/>
      <c r="X689" s="21"/>
      <c r="Y689" s="21"/>
      <c r="Z689" s="21"/>
    </row>
    <row r="690" spans="1:26" ht="15.75" customHeight="1" x14ac:dyDescent="0.25">
      <c r="A690" s="11"/>
      <c r="B690" s="22">
        <v>45894</v>
      </c>
      <c r="C690" s="11">
        <v>1453</v>
      </c>
      <c r="D690" s="11" t="s">
        <v>2971</v>
      </c>
      <c r="E690" s="11">
        <v>25901221</v>
      </c>
      <c r="F690" s="11"/>
      <c r="G690" s="190" t="s">
        <v>3284</v>
      </c>
      <c r="H690" s="11" t="s">
        <v>2306</v>
      </c>
      <c r="I690" s="25">
        <v>7</v>
      </c>
      <c r="J690" s="21"/>
      <c r="K690" s="21"/>
      <c r="L690" s="21"/>
      <c r="M690" s="21"/>
      <c r="N690" s="21"/>
      <c r="O690" s="21"/>
      <c r="P690" s="21"/>
      <c r="Q690" s="21"/>
      <c r="R690" s="21"/>
      <c r="S690" s="21"/>
      <c r="T690" s="21"/>
      <c r="U690" s="21"/>
      <c r="V690" s="21"/>
      <c r="W690" s="21"/>
      <c r="X690" s="21"/>
      <c r="Y690" s="21"/>
      <c r="Z690" s="21"/>
    </row>
    <row r="691" spans="1:26" ht="15.75" customHeight="1" x14ac:dyDescent="0.25">
      <c r="A691" s="11"/>
      <c r="B691" s="22">
        <v>45894</v>
      </c>
      <c r="C691" s="11">
        <v>1454</v>
      </c>
      <c r="D691" s="11" t="s">
        <v>2971</v>
      </c>
      <c r="E691" s="11">
        <v>25901153</v>
      </c>
      <c r="F691" s="11"/>
      <c r="G691" s="190" t="s">
        <v>3285</v>
      </c>
      <c r="H691" s="11" t="s">
        <v>2292</v>
      </c>
      <c r="I691" s="25">
        <v>1</v>
      </c>
      <c r="J691" s="21"/>
      <c r="K691" s="21"/>
      <c r="L691" s="21"/>
      <c r="M691" s="21"/>
      <c r="N691" s="21"/>
      <c r="O691" s="21"/>
      <c r="P691" s="21"/>
      <c r="Q691" s="21"/>
      <c r="R691" s="21"/>
      <c r="S691" s="21"/>
      <c r="T691" s="21"/>
      <c r="U691" s="21"/>
      <c r="V691" s="21"/>
      <c r="W691" s="21"/>
      <c r="X691" s="21"/>
      <c r="Y691" s="21"/>
      <c r="Z691" s="21"/>
    </row>
    <row r="692" spans="1:26" ht="15.75" customHeight="1" x14ac:dyDescent="0.25">
      <c r="A692" s="11"/>
      <c r="B692" s="22">
        <v>45894</v>
      </c>
      <c r="C692" s="11">
        <v>1455</v>
      </c>
      <c r="D692" s="11" t="s">
        <v>2298</v>
      </c>
      <c r="E692" s="11" t="s">
        <v>3286</v>
      </c>
      <c r="F692" s="11"/>
      <c r="G692" s="190" t="s">
        <v>3288</v>
      </c>
      <c r="H692" s="11" t="s">
        <v>3287</v>
      </c>
      <c r="I692" s="25" t="s">
        <v>3287</v>
      </c>
      <c r="J692" s="21"/>
      <c r="K692" s="21"/>
      <c r="L692" s="21"/>
      <c r="M692" s="21"/>
      <c r="N692" s="21"/>
      <c r="O692" s="21"/>
      <c r="P692" s="21"/>
      <c r="Q692" s="21"/>
      <c r="R692" s="21"/>
      <c r="S692" s="21"/>
      <c r="T692" s="21"/>
      <c r="U692" s="21"/>
      <c r="V692" s="21"/>
      <c r="W692" s="21"/>
      <c r="X692" s="21"/>
      <c r="Y692" s="21"/>
      <c r="Z692" s="21"/>
    </row>
    <row r="693" spans="1:26" ht="15.75" customHeight="1" x14ac:dyDescent="0.25">
      <c r="A693" s="11"/>
      <c r="B693" s="22">
        <v>45894</v>
      </c>
      <c r="C693" s="11">
        <v>1456</v>
      </c>
      <c r="D693" s="11" t="s">
        <v>2298</v>
      </c>
      <c r="E693" s="11" t="s">
        <v>3290</v>
      </c>
      <c r="F693" s="11"/>
      <c r="G693" s="190" t="s">
        <v>3291</v>
      </c>
      <c r="H693" s="11" t="s">
        <v>3289</v>
      </c>
      <c r="I693" s="25" t="s">
        <v>3289</v>
      </c>
      <c r="J693" s="21"/>
      <c r="K693" s="21"/>
      <c r="L693" s="21"/>
      <c r="M693" s="21"/>
      <c r="N693" s="21"/>
      <c r="O693" s="21"/>
      <c r="P693" s="21"/>
      <c r="Q693" s="21"/>
      <c r="R693" s="21"/>
      <c r="S693" s="21"/>
      <c r="T693" s="21"/>
      <c r="U693" s="21"/>
      <c r="V693" s="21"/>
      <c r="W693" s="21"/>
      <c r="X693" s="21"/>
      <c r="Y693" s="21"/>
      <c r="Z693" s="21"/>
    </row>
    <row r="694" spans="1:26" ht="15.75" customHeight="1" x14ac:dyDescent="0.25">
      <c r="A694" s="11"/>
      <c r="B694" s="22">
        <v>45894</v>
      </c>
      <c r="C694" s="11">
        <v>1457</v>
      </c>
      <c r="D694" s="11" t="s">
        <v>2298</v>
      </c>
      <c r="E694" s="11" t="s">
        <v>3292</v>
      </c>
      <c r="F694" s="11"/>
      <c r="G694" s="190" t="s">
        <v>3294</v>
      </c>
      <c r="H694" s="11" t="s">
        <v>3293</v>
      </c>
      <c r="I694" s="25" t="s">
        <v>3293</v>
      </c>
      <c r="J694" s="21"/>
      <c r="K694" s="21"/>
      <c r="L694" s="21"/>
      <c r="M694" s="21"/>
      <c r="N694" s="21"/>
      <c r="O694" s="21"/>
      <c r="P694" s="21"/>
      <c r="Q694" s="21"/>
      <c r="R694" s="21"/>
      <c r="S694" s="21"/>
      <c r="T694" s="21"/>
      <c r="U694" s="21"/>
      <c r="V694" s="21"/>
      <c r="W694" s="21"/>
      <c r="X694" s="21"/>
      <c r="Y694" s="21"/>
      <c r="Z694" s="21"/>
    </row>
    <row r="695" spans="1:26" ht="15.75" customHeight="1" x14ac:dyDescent="0.25">
      <c r="A695" s="11"/>
      <c r="B695" s="22">
        <v>45894</v>
      </c>
      <c r="C695" s="11">
        <v>1457</v>
      </c>
      <c r="D695" s="11" t="s">
        <v>2311</v>
      </c>
      <c r="E695" s="11" t="s">
        <v>3292</v>
      </c>
      <c r="F695" s="11"/>
      <c r="G695" s="190" t="s">
        <v>3295</v>
      </c>
      <c r="H695" s="11" t="s">
        <v>3293</v>
      </c>
      <c r="I695" s="25" t="s">
        <v>3293</v>
      </c>
      <c r="J695" s="21"/>
      <c r="K695" s="21"/>
      <c r="L695" s="21"/>
      <c r="M695" s="21"/>
      <c r="N695" s="21"/>
      <c r="O695" s="21"/>
      <c r="P695" s="21"/>
      <c r="Q695" s="21"/>
      <c r="R695" s="21"/>
      <c r="S695" s="21"/>
      <c r="T695" s="21"/>
      <c r="U695" s="21"/>
      <c r="V695" s="21"/>
      <c r="W695" s="21"/>
      <c r="X695" s="21"/>
      <c r="Y695" s="21"/>
      <c r="Z695" s="21"/>
    </row>
    <row r="696" spans="1:26" ht="15.75" customHeight="1" x14ac:dyDescent="0.25">
      <c r="A696" s="11"/>
      <c r="B696" s="22">
        <v>45895</v>
      </c>
      <c r="C696" s="11">
        <v>1458</v>
      </c>
      <c r="D696" s="11" t="s">
        <v>2298</v>
      </c>
      <c r="E696" s="11" t="s">
        <v>3286</v>
      </c>
      <c r="F696" s="11"/>
      <c r="G696" s="190" t="s">
        <v>3296</v>
      </c>
      <c r="H696" s="11" t="s">
        <v>3044</v>
      </c>
      <c r="I696" s="25" t="s">
        <v>3044</v>
      </c>
      <c r="J696" s="21"/>
      <c r="K696" s="21"/>
      <c r="L696" s="21"/>
      <c r="M696" s="21"/>
      <c r="N696" s="21"/>
      <c r="O696" s="21"/>
      <c r="P696" s="21"/>
      <c r="Q696" s="21"/>
      <c r="R696" s="21"/>
      <c r="S696" s="21"/>
      <c r="T696" s="21"/>
      <c r="U696" s="21"/>
      <c r="V696" s="21"/>
      <c r="W696" s="21"/>
      <c r="X696" s="21"/>
      <c r="Y696" s="21"/>
      <c r="Z696" s="21"/>
    </row>
    <row r="697" spans="1:26" ht="15.75" customHeight="1" x14ac:dyDescent="0.25">
      <c r="A697" s="11"/>
      <c r="B697" s="22">
        <v>45895</v>
      </c>
      <c r="C697" s="11">
        <v>1459</v>
      </c>
      <c r="D697" s="11" t="s">
        <v>66</v>
      </c>
      <c r="E697" s="11" t="s">
        <v>3297</v>
      </c>
      <c r="F697" s="11"/>
      <c r="G697" s="190" t="s">
        <v>3298</v>
      </c>
      <c r="H697" s="11" t="s">
        <v>2292</v>
      </c>
      <c r="I697" s="25">
        <v>1</v>
      </c>
      <c r="J697" s="21"/>
      <c r="K697" s="21"/>
      <c r="L697" s="21"/>
      <c r="M697" s="21"/>
      <c r="N697" s="21"/>
      <c r="O697" s="21"/>
      <c r="P697" s="21"/>
      <c r="Q697" s="21"/>
      <c r="R697" s="21"/>
      <c r="S697" s="21"/>
      <c r="T697" s="21"/>
      <c r="U697" s="21"/>
      <c r="V697" s="21"/>
      <c r="W697" s="21"/>
      <c r="X697" s="21"/>
      <c r="Y697" s="21"/>
      <c r="Z697" s="21"/>
    </row>
    <row r="698" spans="1:26" ht="15.75" customHeight="1" x14ac:dyDescent="0.25">
      <c r="A698" s="11"/>
      <c r="B698" s="22">
        <v>45895</v>
      </c>
      <c r="C698" s="11">
        <v>1460</v>
      </c>
      <c r="D698" s="11" t="s">
        <v>66</v>
      </c>
      <c r="E698" s="11" t="s">
        <v>3299</v>
      </c>
      <c r="F698" s="11"/>
      <c r="G698" s="190" t="s">
        <v>3300</v>
      </c>
      <c r="H698" s="11" t="s">
        <v>2292</v>
      </c>
      <c r="I698" s="25">
        <v>1</v>
      </c>
      <c r="J698" s="21"/>
      <c r="K698" s="21"/>
      <c r="L698" s="21"/>
      <c r="M698" s="21"/>
      <c r="N698" s="21"/>
      <c r="O698" s="21"/>
      <c r="P698" s="21"/>
      <c r="Q698" s="21"/>
      <c r="R698" s="21"/>
      <c r="S698" s="21"/>
      <c r="T698" s="21"/>
      <c r="U698" s="21"/>
      <c r="V698" s="21"/>
      <c r="W698" s="21"/>
      <c r="X698" s="21"/>
      <c r="Y698" s="21"/>
      <c r="Z698" s="21"/>
    </row>
    <row r="699" spans="1:26" ht="15.75" customHeight="1" x14ac:dyDescent="0.25">
      <c r="A699" s="11"/>
      <c r="B699" s="22">
        <v>45896</v>
      </c>
      <c r="C699" s="11">
        <v>1461</v>
      </c>
      <c r="D699" s="11" t="s">
        <v>44</v>
      </c>
      <c r="E699" s="11">
        <v>4714046991</v>
      </c>
      <c r="F699" s="11"/>
      <c r="G699" s="190" t="s">
        <v>3301</v>
      </c>
      <c r="H699" s="11" t="s">
        <v>2306</v>
      </c>
      <c r="I699" s="25">
        <v>7</v>
      </c>
      <c r="J699" s="21"/>
      <c r="K699" s="21"/>
      <c r="L699" s="21"/>
      <c r="M699" s="21"/>
      <c r="N699" s="21"/>
      <c r="O699" s="21"/>
      <c r="P699" s="21"/>
      <c r="Q699" s="21"/>
      <c r="R699" s="21"/>
      <c r="S699" s="21"/>
      <c r="T699" s="21"/>
      <c r="U699" s="21"/>
      <c r="V699" s="21"/>
      <c r="W699" s="21"/>
      <c r="X699" s="21"/>
      <c r="Y699" s="21"/>
      <c r="Z699" s="21"/>
    </row>
    <row r="700" spans="1:26" ht="15.75" customHeight="1" x14ac:dyDescent="0.25">
      <c r="A700" s="11"/>
      <c r="B700" s="22">
        <v>45896</v>
      </c>
      <c r="C700" s="11">
        <v>1462</v>
      </c>
      <c r="D700" s="11" t="s">
        <v>2971</v>
      </c>
      <c r="E700" s="11">
        <v>45896</v>
      </c>
      <c r="F700" s="11"/>
      <c r="G700" s="190" t="s">
        <v>3302</v>
      </c>
      <c r="H700" s="11" t="s">
        <v>2292</v>
      </c>
      <c r="I700" s="25">
        <v>1</v>
      </c>
      <c r="J700" s="21"/>
      <c r="K700" s="21"/>
      <c r="L700" s="21"/>
      <c r="M700" s="21"/>
      <c r="N700" s="21"/>
      <c r="O700" s="21"/>
      <c r="P700" s="21"/>
      <c r="Q700" s="21"/>
      <c r="R700" s="21"/>
      <c r="S700" s="21"/>
      <c r="T700" s="21"/>
      <c r="U700" s="21"/>
      <c r="V700" s="21"/>
      <c r="W700" s="21"/>
      <c r="X700" s="21"/>
      <c r="Y700" s="21"/>
      <c r="Z700" s="21"/>
    </row>
    <row r="701" spans="1:26" ht="15.75" customHeight="1" x14ac:dyDescent="0.25">
      <c r="A701" s="11"/>
      <c r="B701" s="22">
        <v>45896</v>
      </c>
      <c r="C701" s="11">
        <v>1462</v>
      </c>
      <c r="D701" s="11" t="s">
        <v>2971</v>
      </c>
      <c r="E701" s="11">
        <v>25901255</v>
      </c>
      <c r="F701" s="11"/>
      <c r="G701" s="190" t="s">
        <v>3303</v>
      </c>
      <c r="H701" s="11" t="s">
        <v>2292</v>
      </c>
      <c r="I701" s="25">
        <v>1</v>
      </c>
      <c r="J701" s="21"/>
      <c r="K701" s="21"/>
      <c r="L701" s="21"/>
      <c r="M701" s="21"/>
      <c r="N701" s="21"/>
      <c r="O701" s="21"/>
      <c r="P701" s="21"/>
      <c r="Q701" s="21"/>
      <c r="R701" s="21"/>
      <c r="S701" s="21"/>
      <c r="T701" s="21"/>
      <c r="U701" s="21"/>
      <c r="V701" s="21"/>
      <c r="W701" s="21"/>
      <c r="X701" s="21"/>
      <c r="Y701" s="21"/>
      <c r="Z701" s="21"/>
    </row>
    <row r="702" spans="1:26" ht="15.75" customHeight="1" x14ac:dyDescent="0.25">
      <c r="A702" s="11"/>
      <c r="B702" s="22">
        <v>45896</v>
      </c>
      <c r="C702" s="11">
        <v>1463</v>
      </c>
      <c r="D702" s="11" t="s">
        <v>66</v>
      </c>
      <c r="E702" s="11" t="s">
        <v>3290</v>
      </c>
      <c r="F702" s="11"/>
      <c r="G702" s="190" t="s">
        <v>3305</v>
      </c>
      <c r="H702" s="11" t="s">
        <v>3304</v>
      </c>
      <c r="I702" s="25" t="s">
        <v>3304</v>
      </c>
      <c r="J702" s="21"/>
      <c r="K702" s="21"/>
      <c r="L702" s="21"/>
      <c r="M702" s="21"/>
      <c r="N702" s="21"/>
      <c r="O702" s="21"/>
      <c r="P702" s="21"/>
      <c r="Q702" s="21"/>
      <c r="R702" s="21"/>
      <c r="S702" s="21"/>
      <c r="T702" s="21"/>
      <c r="U702" s="21"/>
      <c r="V702" s="21"/>
      <c r="W702" s="21"/>
      <c r="X702" s="21"/>
      <c r="Y702" s="21"/>
      <c r="Z702" s="21"/>
    </row>
    <row r="703" spans="1:26" ht="15.75" customHeight="1" x14ac:dyDescent="0.25">
      <c r="A703" s="11"/>
      <c r="B703" s="22">
        <v>45896</v>
      </c>
      <c r="C703" s="11">
        <v>1463</v>
      </c>
      <c r="D703" s="11" t="s">
        <v>2298</v>
      </c>
      <c r="E703" s="11" t="s">
        <v>3290</v>
      </c>
      <c r="F703" s="11"/>
      <c r="G703" s="190" t="s">
        <v>3306</v>
      </c>
      <c r="H703" s="11" t="s">
        <v>3304</v>
      </c>
      <c r="I703" s="25" t="s">
        <v>3304</v>
      </c>
      <c r="J703" s="21"/>
      <c r="K703" s="21"/>
      <c r="L703" s="21"/>
      <c r="M703" s="21"/>
      <c r="N703" s="21"/>
      <c r="O703" s="21"/>
      <c r="P703" s="21"/>
      <c r="Q703" s="21"/>
      <c r="R703" s="21"/>
      <c r="S703" s="21"/>
      <c r="T703" s="21"/>
      <c r="U703" s="21"/>
      <c r="V703" s="21"/>
      <c r="W703" s="21"/>
      <c r="X703" s="21"/>
      <c r="Y703" s="21"/>
      <c r="Z703" s="21"/>
    </row>
    <row r="704" spans="1:26" ht="15.75" customHeight="1" x14ac:dyDescent="0.25">
      <c r="A704" s="11"/>
      <c r="B704" s="22">
        <v>45898</v>
      </c>
      <c r="C704" s="11">
        <v>1464</v>
      </c>
      <c r="D704" s="11" t="s">
        <v>63</v>
      </c>
      <c r="E704" s="11" t="s">
        <v>3307</v>
      </c>
      <c r="F704" s="11"/>
      <c r="G704" s="190" t="s">
        <v>3308</v>
      </c>
      <c r="H704" s="11" t="s">
        <v>2292</v>
      </c>
      <c r="I704" s="25">
        <v>1</v>
      </c>
      <c r="J704" s="21"/>
      <c r="K704" s="21"/>
      <c r="L704" s="21"/>
      <c r="M704" s="21"/>
      <c r="N704" s="21"/>
      <c r="O704" s="21"/>
      <c r="P704" s="21"/>
      <c r="Q704" s="21"/>
      <c r="R704" s="21"/>
      <c r="S704" s="21"/>
      <c r="T704" s="21"/>
      <c r="U704" s="21"/>
      <c r="V704" s="21"/>
      <c r="W704" s="21"/>
      <c r="X704" s="21"/>
      <c r="Y704" s="21"/>
      <c r="Z704" s="21"/>
    </row>
    <row r="705" spans="1:26" ht="15.75" customHeight="1" x14ac:dyDescent="0.25">
      <c r="A705" s="11"/>
      <c r="B705" s="22">
        <v>45898</v>
      </c>
      <c r="C705" s="11">
        <v>1465</v>
      </c>
      <c r="D705" s="11" t="s">
        <v>63</v>
      </c>
      <c r="E705" s="11" t="s">
        <v>3309</v>
      </c>
      <c r="F705" s="11"/>
      <c r="G705" s="190" t="s">
        <v>3310</v>
      </c>
      <c r="H705" s="11" t="s">
        <v>2292</v>
      </c>
      <c r="I705" s="25">
        <v>1</v>
      </c>
      <c r="J705" s="21"/>
      <c r="K705" s="21"/>
      <c r="L705" s="21"/>
      <c r="M705" s="21"/>
      <c r="N705" s="21"/>
      <c r="O705" s="21"/>
      <c r="P705" s="21"/>
      <c r="Q705" s="21"/>
      <c r="R705" s="21"/>
      <c r="S705" s="21"/>
      <c r="T705" s="21"/>
      <c r="U705" s="21"/>
      <c r="V705" s="21"/>
      <c r="W705" s="21"/>
      <c r="X705" s="21"/>
      <c r="Y705" s="21"/>
      <c r="Z705" s="21"/>
    </row>
    <row r="706" spans="1:26" ht="15.75" customHeight="1" x14ac:dyDescent="0.25">
      <c r="A706" s="11"/>
      <c r="B706" s="22">
        <v>45898</v>
      </c>
      <c r="C706" s="11">
        <v>1466</v>
      </c>
      <c r="D706" s="11" t="s">
        <v>2971</v>
      </c>
      <c r="E706" s="11">
        <v>25901275</v>
      </c>
      <c r="F706" s="11"/>
      <c r="G706" s="190" t="s">
        <v>3311</v>
      </c>
      <c r="H706" s="11" t="s">
        <v>2306</v>
      </c>
      <c r="I706" s="25">
        <v>7</v>
      </c>
      <c r="J706" s="21"/>
      <c r="K706" s="21"/>
      <c r="L706" s="21"/>
      <c r="M706" s="21"/>
      <c r="N706" s="21"/>
      <c r="O706" s="21"/>
      <c r="P706" s="21"/>
      <c r="Q706" s="21"/>
      <c r="R706" s="21"/>
      <c r="S706" s="21"/>
      <c r="T706" s="21"/>
      <c r="U706" s="21"/>
      <c r="V706" s="21"/>
      <c r="W706" s="21"/>
      <c r="X706" s="21"/>
      <c r="Y706" s="21"/>
      <c r="Z706" s="21"/>
    </row>
    <row r="707" spans="1:26" ht="15.75" customHeight="1" x14ac:dyDescent="0.25">
      <c r="A707" s="11"/>
      <c r="B707" s="22">
        <v>45898</v>
      </c>
      <c r="C707" s="11">
        <v>1467</v>
      </c>
      <c r="D707" s="11" t="s">
        <v>2971</v>
      </c>
      <c r="E707" s="11">
        <v>25901216</v>
      </c>
      <c r="F707" s="11"/>
      <c r="G707" s="190" t="s">
        <v>3312</v>
      </c>
      <c r="H707" s="11" t="s">
        <v>2823</v>
      </c>
      <c r="I707" s="25" t="s">
        <v>2823</v>
      </c>
      <c r="J707" s="21"/>
      <c r="K707" s="21"/>
      <c r="L707" s="21"/>
      <c r="M707" s="21"/>
      <c r="N707" s="21"/>
      <c r="O707" s="21"/>
      <c r="P707" s="21"/>
      <c r="Q707" s="21"/>
      <c r="R707" s="21"/>
      <c r="S707" s="21"/>
      <c r="T707" s="21"/>
      <c r="U707" s="21"/>
      <c r="V707" s="21"/>
      <c r="W707" s="21"/>
      <c r="X707" s="21"/>
      <c r="Y707" s="21"/>
      <c r="Z707" s="21"/>
    </row>
    <row r="708" spans="1:26" ht="15.75" customHeight="1" x14ac:dyDescent="0.25">
      <c r="A708" s="11"/>
      <c r="B708" s="22">
        <v>45898</v>
      </c>
      <c r="C708" s="11">
        <v>1468</v>
      </c>
      <c r="D708" s="11" t="s">
        <v>2298</v>
      </c>
      <c r="E708" s="11" t="s">
        <v>3286</v>
      </c>
      <c r="F708" s="11"/>
      <c r="G708" s="190" t="s">
        <v>3314</v>
      </c>
      <c r="H708" s="11" t="s">
        <v>3313</v>
      </c>
      <c r="I708" s="25" t="s">
        <v>3313</v>
      </c>
      <c r="J708" s="21"/>
      <c r="K708" s="21"/>
      <c r="L708" s="21"/>
      <c r="M708" s="21"/>
      <c r="N708" s="21"/>
      <c r="O708" s="21"/>
      <c r="P708" s="21"/>
      <c r="Q708" s="21"/>
      <c r="R708" s="21"/>
      <c r="S708" s="21"/>
      <c r="T708" s="21"/>
      <c r="U708" s="21"/>
      <c r="V708" s="21"/>
      <c r="W708" s="21"/>
      <c r="X708" s="21"/>
      <c r="Y708" s="21"/>
      <c r="Z708" s="21"/>
    </row>
    <row r="709" spans="1:26" ht="15.75" customHeight="1" x14ac:dyDescent="0.25">
      <c r="A709" s="11"/>
      <c r="B709" s="22">
        <v>45898</v>
      </c>
      <c r="C709" s="11">
        <v>1469</v>
      </c>
      <c r="D709" s="11" t="s">
        <v>66</v>
      </c>
      <c r="E709" s="11" t="s">
        <v>3315</v>
      </c>
      <c r="F709" s="11"/>
      <c r="G709" s="190" t="s">
        <v>3316</v>
      </c>
      <c r="H709" s="11" t="s">
        <v>2292</v>
      </c>
      <c r="I709" s="25">
        <v>1</v>
      </c>
      <c r="J709" s="21"/>
      <c r="K709" s="21"/>
      <c r="L709" s="21"/>
      <c r="M709" s="21"/>
      <c r="N709" s="21"/>
      <c r="O709" s="21"/>
      <c r="P709" s="21"/>
      <c r="Q709" s="21"/>
      <c r="R709" s="21"/>
      <c r="S709" s="21"/>
      <c r="T709" s="21"/>
      <c r="U709" s="21"/>
      <c r="V709" s="21"/>
      <c r="W709" s="21"/>
      <c r="X709" s="21"/>
      <c r="Y709" s="21"/>
      <c r="Z709" s="21"/>
    </row>
    <row r="710" spans="1:26" ht="15.75" customHeight="1" x14ac:dyDescent="0.25">
      <c r="A710" s="11"/>
      <c r="B710" s="22">
        <v>45898</v>
      </c>
      <c r="C710" s="11">
        <v>1470</v>
      </c>
      <c r="D710" s="11" t="s">
        <v>2987</v>
      </c>
      <c r="E710" s="11" t="s">
        <v>3317</v>
      </c>
      <c r="F710" s="11"/>
      <c r="G710" s="190" t="s">
        <v>3318</v>
      </c>
      <c r="H710" s="11" t="s">
        <v>2292</v>
      </c>
      <c r="I710" s="25">
        <v>1</v>
      </c>
      <c r="J710" s="21"/>
      <c r="K710" s="21"/>
      <c r="L710" s="21"/>
      <c r="M710" s="21"/>
      <c r="N710" s="21"/>
      <c r="O710" s="21"/>
      <c r="P710" s="21"/>
      <c r="Q710" s="21"/>
      <c r="R710" s="21"/>
      <c r="S710" s="21"/>
      <c r="T710" s="21"/>
      <c r="U710" s="21"/>
      <c r="V710" s="21"/>
      <c r="W710" s="21"/>
      <c r="X710" s="21"/>
      <c r="Y710" s="21"/>
      <c r="Z710" s="21"/>
    </row>
    <row r="711" spans="1:26" ht="15.75" customHeight="1" x14ac:dyDescent="0.25">
      <c r="A711" s="11"/>
      <c r="B711" s="22">
        <v>45901</v>
      </c>
      <c r="C711" s="11">
        <v>1471</v>
      </c>
      <c r="D711" s="11" t="s">
        <v>66</v>
      </c>
      <c r="E711" s="11" t="s">
        <v>3319</v>
      </c>
      <c r="F711" s="11"/>
      <c r="G711" s="190" t="s">
        <v>3320</v>
      </c>
      <c r="H711" s="11" t="s">
        <v>2292</v>
      </c>
      <c r="I711" s="25">
        <v>1</v>
      </c>
      <c r="J711" s="21"/>
      <c r="K711" s="21"/>
      <c r="L711" s="21"/>
      <c r="M711" s="21"/>
      <c r="N711" s="21"/>
      <c r="O711" s="21"/>
      <c r="P711" s="21"/>
      <c r="Q711" s="21"/>
      <c r="R711" s="21"/>
      <c r="S711" s="21"/>
      <c r="T711" s="21"/>
      <c r="U711" s="21"/>
      <c r="V711" s="21"/>
      <c r="W711" s="21"/>
      <c r="X711" s="21"/>
      <c r="Y711" s="21"/>
      <c r="Z711" s="21"/>
    </row>
    <row r="712" spans="1:26" ht="15.75" customHeight="1" x14ac:dyDescent="0.25">
      <c r="A712" s="11"/>
      <c r="B712" s="22">
        <v>45904</v>
      </c>
      <c r="C712" s="11">
        <v>1472</v>
      </c>
      <c r="D712" s="11" t="s">
        <v>3140</v>
      </c>
      <c r="E712" s="11" t="s">
        <v>3321</v>
      </c>
      <c r="F712" s="11"/>
      <c r="G712" s="190" t="s">
        <v>3323</v>
      </c>
      <c r="H712" s="11" t="s">
        <v>3322</v>
      </c>
      <c r="I712" s="25" t="s">
        <v>3322</v>
      </c>
      <c r="J712" s="21"/>
      <c r="K712" s="21"/>
      <c r="L712" s="21"/>
      <c r="M712" s="21"/>
      <c r="N712" s="21"/>
      <c r="O712" s="21"/>
      <c r="P712" s="21"/>
      <c r="Q712" s="21"/>
      <c r="R712" s="21"/>
      <c r="S712" s="21"/>
      <c r="T712" s="21"/>
      <c r="U712" s="21"/>
      <c r="V712" s="21"/>
      <c r="W712" s="21"/>
      <c r="X712" s="21"/>
      <c r="Y712" s="21"/>
      <c r="Z712" s="21"/>
    </row>
    <row r="713" spans="1:26" ht="15.75" customHeight="1" x14ac:dyDescent="0.25">
      <c r="A713" s="11"/>
      <c r="B713" s="22">
        <v>45904</v>
      </c>
      <c r="C713" s="11">
        <v>1473</v>
      </c>
      <c r="D713" s="11" t="s">
        <v>4</v>
      </c>
      <c r="E713" s="11" t="s">
        <v>3324</v>
      </c>
      <c r="F713" s="11"/>
      <c r="G713" s="190" t="s">
        <v>3325</v>
      </c>
      <c r="H713" s="11" t="s">
        <v>2292</v>
      </c>
      <c r="I713" s="25">
        <v>1</v>
      </c>
      <c r="J713" s="21"/>
      <c r="K713" s="21"/>
      <c r="L713" s="21"/>
      <c r="M713" s="21"/>
      <c r="N713" s="21"/>
      <c r="O713" s="21"/>
      <c r="P713" s="21"/>
      <c r="Q713" s="21"/>
      <c r="R713" s="21"/>
      <c r="S713" s="21"/>
      <c r="T713" s="21"/>
      <c r="U713" s="21"/>
      <c r="V713" s="21"/>
      <c r="W713" s="21"/>
      <c r="X713" s="21"/>
      <c r="Y713" s="21"/>
      <c r="Z713" s="21"/>
    </row>
    <row r="714" spans="1:26" ht="15.75" customHeight="1" x14ac:dyDescent="0.25">
      <c r="A714" s="11"/>
      <c r="B714" s="22">
        <v>45904</v>
      </c>
      <c r="C714" s="11">
        <v>1474</v>
      </c>
      <c r="D714" s="11" t="s">
        <v>66</v>
      </c>
      <c r="E714" s="11" t="s">
        <v>3326</v>
      </c>
      <c r="F714" s="11"/>
      <c r="G714" s="190" t="s">
        <v>3327</v>
      </c>
      <c r="H714" s="11" t="s">
        <v>2292</v>
      </c>
      <c r="I714" s="25">
        <v>1</v>
      </c>
      <c r="J714" s="21"/>
      <c r="K714" s="21"/>
      <c r="L714" s="21"/>
      <c r="M714" s="21"/>
      <c r="N714" s="21"/>
      <c r="O714" s="21"/>
      <c r="P714" s="21"/>
      <c r="Q714" s="21"/>
      <c r="R714" s="21"/>
      <c r="S714" s="21"/>
      <c r="T714" s="21"/>
      <c r="U714" s="21"/>
      <c r="V714" s="21"/>
      <c r="W714" s="21"/>
      <c r="X714" s="21"/>
      <c r="Y714" s="21"/>
      <c r="Z714" s="21"/>
    </row>
    <row r="715" spans="1:26" ht="15.75" customHeight="1" x14ac:dyDescent="0.25">
      <c r="A715" s="11"/>
      <c r="B715" s="22">
        <v>45904</v>
      </c>
      <c r="C715" s="11">
        <v>1475</v>
      </c>
      <c r="D715" s="11" t="s">
        <v>66</v>
      </c>
      <c r="E715" s="11" t="s">
        <v>3328</v>
      </c>
      <c r="F715" s="11"/>
      <c r="G715" s="190" t="s">
        <v>3329</v>
      </c>
      <c r="H715" s="11" t="s">
        <v>2292</v>
      </c>
      <c r="I715" s="25">
        <v>1</v>
      </c>
      <c r="J715" s="21"/>
      <c r="K715" s="21"/>
      <c r="L715" s="21"/>
      <c r="M715" s="21"/>
      <c r="N715" s="21"/>
      <c r="O715" s="21"/>
      <c r="P715" s="21"/>
      <c r="Q715" s="21"/>
      <c r="R715" s="21"/>
      <c r="S715" s="21"/>
      <c r="T715" s="21"/>
      <c r="U715" s="21"/>
      <c r="V715" s="21"/>
      <c r="W715" s="21"/>
      <c r="X715" s="21"/>
      <c r="Y715" s="21"/>
      <c r="Z715" s="21"/>
    </row>
    <row r="716" spans="1:26" ht="15.75" customHeight="1" x14ac:dyDescent="0.25">
      <c r="A716" s="11"/>
      <c r="B716" s="22">
        <v>45904</v>
      </c>
      <c r="C716" s="11">
        <v>1476</v>
      </c>
      <c r="D716" s="11" t="s">
        <v>66</v>
      </c>
      <c r="E716" s="11" t="s">
        <v>3330</v>
      </c>
      <c r="F716" s="11"/>
      <c r="G716" s="190" t="s">
        <v>3331</v>
      </c>
      <c r="H716" s="11" t="s">
        <v>2292</v>
      </c>
      <c r="I716" s="25">
        <v>1</v>
      </c>
      <c r="J716" s="21"/>
      <c r="K716" s="21"/>
      <c r="L716" s="21"/>
      <c r="M716" s="21"/>
      <c r="N716" s="21"/>
      <c r="O716" s="21"/>
      <c r="P716" s="21"/>
      <c r="Q716" s="21"/>
      <c r="R716" s="21"/>
      <c r="S716" s="21"/>
      <c r="T716" s="21"/>
      <c r="U716" s="21"/>
      <c r="V716" s="21"/>
      <c r="W716" s="21"/>
      <c r="X716" s="21"/>
      <c r="Y716" s="21"/>
      <c r="Z716" s="21"/>
    </row>
    <row r="717" spans="1:26" ht="15.75" customHeight="1" x14ac:dyDescent="0.25">
      <c r="A717" s="11"/>
      <c r="B717" s="22">
        <v>45906</v>
      </c>
      <c r="C717" s="11">
        <v>1477</v>
      </c>
      <c r="D717" s="11" t="s">
        <v>3140</v>
      </c>
      <c r="E717" s="11" t="s">
        <v>3321</v>
      </c>
      <c r="F717" s="11"/>
      <c r="G717" s="190" t="s">
        <v>3333</v>
      </c>
      <c r="H717" s="11" t="s">
        <v>3332</v>
      </c>
      <c r="I717" s="25" t="s">
        <v>3332</v>
      </c>
      <c r="J717" s="21"/>
      <c r="K717" s="21"/>
      <c r="L717" s="21"/>
      <c r="M717" s="21"/>
      <c r="N717" s="21"/>
      <c r="O717" s="21"/>
      <c r="P717" s="21"/>
      <c r="Q717" s="21"/>
      <c r="R717" s="21"/>
      <c r="S717" s="21"/>
      <c r="T717" s="21"/>
      <c r="U717" s="21"/>
      <c r="V717" s="21"/>
      <c r="W717" s="21"/>
      <c r="X717" s="21"/>
      <c r="Y717" s="21"/>
      <c r="Z717" s="21"/>
    </row>
    <row r="718" spans="1:26" ht="15.75" customHeight="1" x14ac:dyDescent="0.25">
      <c r="A718" s="11"/>
      <c r="B718" s="22">
        <v>45908</v>
      </c>
      <c r="C718" s="11">
        <v>1478</v>
      </c>
      <c r="D718" s="11" t="s">
        <v>160</v>
      </c>
      <c r="E718" s="11" t="s">
        <v>3334</v>
      </c>
      <c r="F718" s="11"/>
      <c r="G718" s="190" t="s">
        <v>3335</v>
      </c>
      <c r="H718" s="11" t="s">
        <v>2306</v>
      </c>
      <c r="I718" s="25">
        <v>7</v>
      </c>
      <c r="J718" s="21"/>
      <c r="K718" s="21"/>
      <c r="L718" s="21"/>
      <c r="M718" s="21"/>
      <c r="N718" s="21"/>
      <c r="O718" s="21"/>
      <c r="P718" s="21"/>
      <c r="Q718" s="21"/>
      <c r="R718" s="21"/>
      <c r="S718" s="21"/>
      <c r="T718" s="21"/>
      <c r="U718" s="21"/>
      <c r="V718" s="21"/>
      <c r="W718" s="21"/>
      <c r="X718" s="21"/>
      <c r="Y718" s="21"/>
      <c r="Z718" s="21"/>
    </row>
    <row r="719" spans="1:26" ht="15.75" customHeight="1" x14ac:dyDescent="0.25">
      <c r="A719" s="11"/>
      <c r="B719" s="22">
        <v>45908</v>
      </c>
      <c r="C719" s="11">
        <v>1479</v>
      </c>
      <c r="D719" s="11" t="s">
        <v>160</v>
      </c>
      <c r="E719" s="11" t="s">
        <v>3337</v>
      </c>
      <c r="F719" s="11"/>
      <c r="G719" s="190" t="s">
        <v>3338</v>
      </c>
      <c r="H719" s="11" t="s">
        <v>3336</v>
      </c>
      <c r="I719" s="25" t="s">
        <v>3336</v>
      </c>
      <c r="J719" s="21"/>
      <c r="K719" s="21"/>
      <c r="L719" s="21"/>
      <c r="M719" s="21"/>
      <c r="N719" s="21"/>
      <c r="O719" s="21"/>
      <c r="P719" s="21"/>
      <c r="Q719" s="21"/>
      <c r="R719" s="21"/>
      <c r="S719" s="21"/>
      <c r="T719" s="21"/>
      <c r="U719" s="21"/>
      <c r="V719" s="21"/>
      <c r="W719" s="21"/>
      <c r="X719" s="21"/>
      <c r="Y719" s="21"/>
      <c r="Z719" s="21"/>
    </row>
    <row r="720" spans="1:26" ht="15.75" customHeight="1" x14ac:dyDescent="0.25">
      <c r="A720" s="11"/>
      <c r="B720" s="22">
        <v>45908</v>
      </c>
      <c r="C720" s="11">
        <v>1480</v>
      </c>
      <c r="D720" s="11" t="s">
        <v>160</v>
      </c>
      <c r="E720" s="11" t="s">
        <v>3339</v>
      </c>
      <c r="F720" s="11"/>
      <c r="G720" s="190" t="s">
        <v>3340</v>
      </c>
      <c r="H720" s="11" t="s">
        <v>2306</v>
      </c>
      <c r="I720" s="25">
        <v>7</v>
      </c>
      <c r="J720" s="21"/>
      <c r="K720" s="21"/>
      <c r="L720" s="21"/>
      <c r="M720" s="21"/>
      <c r="N720" s="21"/>
      <c r="O720" s="21"/>
      <c r="P720" s="21"/>
      <c r="Q720" s="21"/>
      <c r="R720" s="21"/>
      <c r="S720" s="21"/>
      <c r="T720" s="21"/>
      <c r="U720" s="21"/>
      <c r="V720" s="21"/>
      <c r="W720" s="21"/>
      <c r="X720" s="21"/>
      <c r="Y720" s="21"/>
      <c r="Z720" s="21"/>
    </row>
    <row r="721" spans="1:26" ht="15.75" customHeight="1" x14ac:dyDescent="0.25">
      <c r="A721" s="11"/>
      <c r="B721" s="22">
        <v>45908</v>
      </c>
      <c r="C721" s="11">
        <v>1481</v>
      </c>
      <c r="D721" s="11" t="s">
        <v>160</v>
      </c>
      <c r="E721" s="11" t="s">
        <v>3321</v>
      </c>
      <c r="F721" s="11"/>
      <c r="G721" s="190" t="s">
        <v>3342</v>
      </c>
      <c r="H721" s="11" t="s">
        <v>3341</v>
      </c>
      <c r="I721" s="25" t="s">
        <v>3341</v>
      </c>
      <c r="J721" s="21"/>
      <c r="K721" s="21"/>
      <c r="L721" s="21"/>
      <c r="M721" s="21"/>
      <c r="N721" s="21"/>
      <c r="O721" s="21"/>
      <c r="P721" s="21"/>
      <c r="Q721" s="21"/>
      <c r="R721" s="21"/>
      <c r="S721" s="21"/>
      <c r="T721" s="21"/>
      <c r="U721" s="21"/>
      <c r="V721" s="21"/>
      <c r="W721" s="21"/>
      <c r="X721" s="21"/>
      <c r="Y721" s="21"/>
      <c r="Z721" s="21"/>
    </row>
    <row r="722" spans="1:26" ht="15.75" customHeight="1" x14ac:dyDescent="0.25">
      <c r="A722" s="11"/>
      <c r="B722" s="22">
        <v>45908</v>
      </c>
      <c r="C722" s="11">
        <v>1481</v>
      </c>
      <c r="D722" s="11" t="s">
        <v>3140</v>
      </c>
      <c r="E722" s="11" t="s">
        <v>3321</v>
      </c>
      <c r="F722" s="11"/>
      <c r="G722" s="190" t="s">
        <v>3342</v>
      </c>
      <c r="H722" s="11" t="s">
        <v>3341</v>
      </c>
      <c r="I722" s="25" t="s">
        <v>3341</v>
      </c>
      <c r="J722" s="21"/>
      <c r="K722" s="21"/>
      <c r="L722" s="21"/>
      <c r="M722" s="21"/>
      <c r="N722" s="21"/>
      <c r="O722" s="21"/>
      <c r="P722" s="21"/>
      <c r="Q722" s="21"/>
      <c r="R722" s="21"/>
      <c r="S722" s="21"/>
      <c r="T722" s="21"/>
      <c r="U722" s="21"/>
      <c r="V722" s="21"/>
      <c r="W722" s="21"/>
      <c r="X722" s="21"/>
      <c r="Y722" s="21"/>
      <c r="Z722" s="21"/>
    </row>
    <row r="723" spans="1:26" ht="15.75" customHeight="1" x14ac:dyDescent="0.25">
      <c r="A723" s="11"/>
      <c r="B723" s="22">
        <v>45908</v>
      </c>
      <c r="C723" s="11">
        <v>1482</v>
      </c>
      <c r="D723" s="11" t="s">
        <v>2298</v>
      </c>
      <c r="E723" s="11" t="s">
        <v>3286</v>
      </c>
      <c r="F723" s="11"/>
      <c r="G723" s="190" t="s">
        <v>3343</v>
      </c>
      <c r="H723" s="11" t="s">
        <v>3115</v>
      </c>
      <c r="I723" s="25" t="s">
        <v>3115</v>
      </c>
      <c r="J723" s="21"/>
      <c r="K723" s="21"/>
      <c r="L723" s="21"/>
      <c r="M723" s="21"/>
      <c r="N723" s="21"/>
      <c r="O723" s="21"/>
      <c r="P723" s="21"/>
      <c r="Q723" s="21"/>
      <c r="R723" s="21"/>
      <c r="S723" s="21"/>
      <c r="T723" s="21"/>
      <c r="U723" s="21"/>
      <c r="V723" s="21"/>
      <c r="W723" s="21"/>
      <c r="X723" s="21"/>
      <c r="Y723" s="21"/>
      <c r="Z723" s="21"/>
    </row>
    <row r="724" spans="1:26" ht="15.75" customHeight="1" x14ac:dyDescent="0.25">
      <c r="A724" s="11"/>
      <c r="B724" s="22">
        <v>45909</v>
      </c>
      <c r="C724" s="11">
        <v>1483</v>
      </c>
      <c r="D724" s="11" t="s">
        <v>2298</v>
      </c>
      <c r="E724" s="11" t="s">
        <v>3286</v>
      </c>
      <c r="F724" s="11"/>
      <c r="G724" s="190" t="s">
        <v>3344</v>
      </c>
      <c r="H724" s="11" t="s">
        <v>2823</v>
      </c>
      <c r="I724" s="25" t="s">
        <v>2823</v>
      </c>
      <c r="J724" s="21"/>
      <c r="K724" s="21"/>
      <c r="L724" s="21"/>
      <c r="M724" s="21"/>
      <c r="N724" s="21"/>
      <c r="O724" s="21"/>
      <c r="P724" s="21"/>
      <c r="Q724" s="21"/>
      <c r="R724" s="21"/>
      <c r="S724" s="21"/>
      <c r="T724" s="21"/>
      <c r="U724" s="21"/>
      <c r="V724" s="21"/>
      <c r="W724" s="21"/>
      <c r="X724" s="21"/>
      <c r="Y724" s="21"/>
      <c r="Z724" s="21"/>
    </row>
    <row r="725" spans="1:26" ht="15.75" customHeight="1" x14ac:dyDescent="0.25">
      <c r="A725" s="11"/>
      <c r="B725" s="22">
        <v>45910</v>
      </c>
      <c r="C725" s="11">
        <v>1484</v>
      </c>
      <c r="D725" s="11" t="s">
        <v>2971</v>
      </c>
      <c r="E725" s="11">
        <v>25901327</v>
      </c>
      <c r="F725" s="11"/>
      <c r="G725" s="190" t="s">
        <v>3345</v>
      </c>
      <c r="H725" s="11" t="s">
        <v>2306</v>
      </c>
      <c r="I725" s="25">
        <v>7</v>
      </c>
      <c r="J725" s="21"/>
      <c r="K725" s="21"/>
      <c r="L725" s="21"/>
      <c r="M725" s="21"/>
      <c r="N725" s="21"/>
      <c r="O725" s="21"/>
      <c r="P725" s="21"/>
      <c r="Q725" s="21"/>
      <c r="R725" s="21"/>
      <c r="S725" s="21"/>
      <c r="T725" s="21"/>
      <c r="U725" s="21"/>
      <c r="V725" s="21"/>
      <c r="W725" s="21"/>
      <c r="X725" s="21"/>
      <c r="Y725" s="21"/>
      <c r="Z725" s="21"/>
    </row>
    <row r="726" spans="1:26" ht="15.75" customHeight="1" x14ac:dyDescent="0.25">
      <c r="A726" s="11"/>
      <c r="B726" s="22">
        <v>45911</v>
      </c>
      <c r="C726" s="11">
        <v>1485</v>
      </c>
      <c r="D726" s="11" t="s">
        <v>2298</v>
      </c>
      <c r="E726" s="11" t="s">
        <v>3346</v>
      </c>
      <c r="F726" s="11"/>
      <c r="G726" s="190" t="s">
        <v>3347</v>
      </c>
      <c r="H726" s="11" t="s">
        <v>2823</v>
      </c>
      <c r="I726" s="25" t="s">
        <v>2823</v>
      </c>
      <c r="J726" s="21"/>
      <c r="K726" s="21"/>
      <c r="L726" s="21"/>
      <c r="M726" s="21"/>
      <c r="N726" s="21"/>
      <c r="O726" s="21"/>
      <c r="P726" s="21"/>
      <c r="Q726" s="21"/>
      <c r="R726" s="21"/>
      <c r="S726" s="21"/>
      <c r="T726" s="21"/>
      <c r="U726" s="21"/>
      <c r="V726" s="21"/>
      <c r="W726" s="21"/>
      <c r="X726" s="21"/>
      <c r="Y726" s="21"/>
      <c r="Z726" s="21"/>
    </row>
    <row r="727" spans="1:26" ht="15.75" customHeight="1" x14ac:dyDescent="0.25">
      <c r="A727" s="11"/>
      <c r="B727" s="22">
        <v>45911</v>
      </c>
      <c r="C727" s="11">
        <v>1486</v>
      </c>
      <c r="D727" s="11" t="s">
        <v>2298</v>
      </c>
      <c r="E727" s="11" t="s">
        <v>3349</v>
      </c>
      <c r="F727" s="11"/>
      <c r="G727" s="190" t="s">
        <v>3350</v>
      </c>
      <c r="H727" s="11" t="s">
        <v>3348</v>
      </c>
      <c r="I727" s="25" t="s">
        <v>3348</v>
      </c>
      <c r="J727" s="21"/>
      <c r="K727" s="21"/>
      <c r="L727" s="21"/>
      <c r="M727" s="21"/>
      <c r="N727" s="21"/>
      <c r="O727" s="21"/>
      <c r="P727" s="21"/>
      <c r="Q727" s="21"/>
      <c r="R727" s="21"/>
      <c r="S727" s="21"/>
      <c r="T727" s="21"/>
      <c r="U727" s="21"/>
      <c r="V727" s="21"/>
      <c r="W727" s="21"/>
      <c r="X727" s="21"/>
      <c r="Y727" s="21"/>
      <c r="Z727" s="21"/>
    </row>
    <row r="728" spans="1:26" ht="15.75" customHeight="1" x14ac:dyDescent="0.25">
      <c r="A728" s="11"/>
      <c r="B728" s="22">
        <v>45911</v>
      </c>
      <c r="C728" s="11">
        <v>1487</v>
      </c>
      <c r="D728" s="11" t="s">
        <v>2298</v>
      </c>
      <c r="E728" s="11" t="s">
        <v>3346</v>
      </c>
      <c r="F728" s="11"/>
      <c r="G728" s="190" t="s">
        <v>3352</v>
      </c>
      <c r="H728" s="11" t="s">
        <v>3351</v>
      </c>
      <c r="I728" s="25" t="s">
        <v>3351</v>
      </c>
      <c r="J728" s="21"/>
      <c r="K728" s="21"/>
      <c r="L728" s="21"/>
      <c r="M728" s="21"/>
      <c r="N728" s="21"/>
      <c r="O728" s="21"/>
      <c r="P728" s="21"/>
      <c r="Q728" s="21"/>
      <c r="R728" s="21"/>
      <c r="S728" s="21"/>
      <c r="T728" s="21"/>
      <c r="U728" s="21"/>
      <c r="V728" s="21"/>
      <c r="W728" s="21"/>
      <c r="X728" s="21"/>
      <c r="Y728" s="21"/>
      <c r="Z728" s="21"/>
    </row>
    <row r="729" spans="1:26" ht="15.75" customHeight="1" x14ac:dyDescent="0.25">
      <c r="A729" s="11"/>
      <c r="B729" s="22">
        <v>45911</v>
      </c>
      <c r="C729" s="11">
        <v>1488</v>
      </c>
      <c r="D729" s="11" t="s">
        <v>66</v>
      </c>
      <c r="E729" s="11" t="s">
        <v>3353</v>
      </c>
      <c r="F729" s="11"/>
      <c r="G729" s="190" t="s">
        <v>3354</v>
      </c>
      <c r="H729" s="11" t="s">
        <v>2292</v>
      </c>
      <c r="I729" s="25">
        <v>1</v>
      </c>
      <c r="J729" s="21"/>
      <c r="K729" s="21"/>
      <c r="L729" s="21"/>
      <c r="M729" s="21"/>
      <c r="N729" s="21"/>
      <c r="O729" s="21"/>
      <c r="P729" s="21"/>
      <c r="Q729" s="21"/>
      <c r="R729" s="21"/>
      <c r="S729" s="21"/>
      <c r="T729" s="21"/>
      <c r="U729" s="21"/>
      <c r="V729" s="21"/>
      <c r="W729" s="21"/>
      <c r="X729" s="21"/>
      <c r="Y729" s="21"/>
      <c r="Z729" s="21"/>
    </row>
    <row r="730" spans="1:26" ht="15.75" customHeight="1" x14ac:dyDescent="0.25">
      <c r="A730" s="11"/>
      <c r="B730" s="22">
        <v>45911</v>
      </c>
      <c r="C730" s="11">
        <v>1489</v>
      </c>
      <c r="D730" s="11" t="s">
        <v>66</v>
      </c>
      <c r="E730" s="11" t="s">
        <v>3355</v>
      </c>
      <c r="F730" s="11"/>
      <c r="G730" s="190" t="s">
        <v>3356</v>
      </c>
      <c r="H730" s="11" t="s">
        <v>2292</v>
      </c>
      <c r="I730" s="25">
        <v>1</v>
      </c>
      <c r="J730" s="21"/>
      <c r="K730" s="21"/>
      <c r="L730" s="21"/>
      <c r="M730" s="21"/>
      <c r="N730" s="21"/>
      <c r="O730" s="21"/>
      <c r="P730" s="21"/>
      <c r="Q730" s="21"/>
      <c r="R730" s="21"/>
      <c r="S730" s="21"/>
      <c r="T730" s="21"/>
      <c r="U730" s="21"/>
      <c r="V730" s="21"/>
      <c r="W730" s="21"/>
      <c r="X730" s="21"/>
      <c r="Y730" s="21"/>
      <c r="Z730" s="21"/>
    </row>
    <row r="731" spans="1:26" ht="15.75" customHeight="1" x14ac:dyDescent="0.25">
      <c r="A731" s="11"/>
      <c r="B731" s="22">
        <v>45912</v>
      </c>
      <c r="C731" s="11">
        <v>1490</v>
      </c>
      <c r="D731" s="11" t="s">
        <v>63</v>
      </c>
      <c r="E731" s="11" t="s">
        <v>3357</v>
      </c>
      <c r="F731" s="11"/>
      <c r="G731" s="190" t="s">
        <v>3359</v>
      </c>
      <c r="H731" s="11" t="s">
        <v>2292</v>
      </c>
      <c r="I731" s="25" t="s">
        <v>3358</v>
      </c>
      <c r="J731" s="21"/>
      <c r="K731" s="21"/>
      <c r="L731" s="21"/>
      <c r="M731" s="21"/>
      <c r="N731" s="21"/>
      <c r="O731" s="21"/>
      <c r="P731" s="21"/>
      <c r="Q731" s="21"/>
      <c r="R731" s="21"/>
      <c r="S731" s="21"/>
      <c r="T731" s="21"/>
      <c r="U731" s="21"/>
      <c r="V731" s="21"/>
      <c r="W731" s="21"/>
      <c r="X731" s="21"/>
      <c r="Y731" s="21"/>
      <c r="Z731" s="21"/>
    </row>
    <row r="732" spans="1:26" ht="15.75" customHeight="1" x14ac:dyDescent="0.25">
      <c r="A732" s="11"/>
      <c r="B732" s="22">
        <v>45912</v>
      </c>
      <c r="C732" s="11">
        <v>1491</v>
      </c>
      <c r="D732" s="11" t="s">
        <v>2298</v>
      </c>
      <c r="E732" s="11" t="s">
        <v>3349</v>
      </c>
      <c r="F732" s="11"/>
      <c r="G732" s="190" t="s">
        <v>3361</v>
      </c>
      <c r="H732" s="11" t="s">
        <v>3360</v>
      </c>
      <c r="I732" s="25" t="s">
        <v>3360</v>
      </c>
      <c r="J732" s="21"/>
      <c r="K732" s="21"/>
      <c r="L732" s="21"/>
      <c r="M732" s="21"/>
      <c r="N732" s="21"/>
      <c r="O732" s="21"/>
      <c r="P732" s="21"/>
      <c r="Q732" s="21"/>
      <c r="R732" s="21"/>
      <c r="S732" s="21"/>
      <c r="T732" s="21"/>
      <c r="U732" s="21"/>
      <c r="V732" s="21"/>
      <c r="W732" s="21"/>
      <c r="X732" s="21"/>
      <c r="Y732" s="21"/>
      <c r="Z732" s="21"/>
    </row>
    <row r="733" spans="1:26" ht="15.75" customHeight="1" x14ac:dyDescent="0.25">
      <c r="A733" s="11"/>
      <c r="B733" s="22">
        <v>45912</v>
      </c>
      <c r="C733" s="11">
        <v>1492</v>
      </c>
      <c r="D733" s="11" t="s">
        <v>2971</v>
      </c>
      <c r="E733" s="11">
        <v>25901328</v>
      </c>
      <c r="F733" s="11"/>
      <c r="G733" s="190" t="s">
        <v>3362</v>
      </c>
      <c r="H733" s="11" t="s">
        <v>2618</v>
      </c>
      <c r="I733" s="25" t="s">
        <v>2618</v>
      </c>
      <c r="J733" s="21"/>
      <c r="K733" s="21"/>
      <c r="L733" s="21"/>
      <c r="M733" s="21"/>
      <c r="N733" s="21"/>
      <c r="O733" s="21"/>
      <c r="P733" s="21"/>
      <c r="Q733" s="21"/>
      <c r="R733" s="21"/>
      <c r="S733" s="21"/>
      <c r="T733" s="21"/>
      <c r="U733" s="21"/>
      <c r="V733" s="21"/>
      <c r="W733" s="21"/>
      <c r="X733" s="21"/>
      <c r="Y733" s="21"/>
      <c r="Z733" s="21"/>
    </row>
    <row r="734" spans="1:26" ht="15.75" customHeight="1" x14ac:dyDescent="0.25">
      <c r="A734" s="11"/>
      <c r="B734" s="22">
        <v>45912</v>
      </c>
      <c r="C734" s="11">
        <v>1493</v>
      </c>
      <c r="D734" s="11" t="s">
        <v>2298</v>
      </c>
      <c r="E734" s="11" t="s">
        <v>3363</v>
      </c>
      <c r="F734" s="11"/>
      <c r="G734" s="190" t="s">
        <v>3364</v>
      </c>
      <c r="H734" s="11" t="s">
        <v>2292</v>
      </c>
      <c r="I734" s="25">
        <v>1</v>
      </c>
      <c r="J734" s="21"/>
      <c r="K734" s="21"/>
      <c r="L734" s="21"/>
      <c r="M734" s="21"/>
      <c r="N734" s="21"/>
      <c r="O734" s="21"/>
      <c r="P734" s="21"/>
      <c r="Q734" s="21"/>
      <c r="R734" s="21"/>
      <c r="S734" s="21"/>
      <c r="T734" s="21"/>
      <c r="U734" s="21"/>
      <c r="V734" s="21"/>
      <c r="W734" s="21"/>
      <c r="X734" s="21"/>
      <c r="Y734" s="21"/>
      <c r="Z734" s="21"/>
    </row>
    <row r="735" spans="1:26" ht="15.75" customHeight="1" x14ac:dyDescent="0.25">
      <c r="A735" s="11"/>
      <c r="B735" s="22">
        <v>45913</v>
      </c>
      <c r="C735" s="11">
        <v>1494</v>
      </c>
      <c r="D735" s="11" t="s">
        <v>2971</v>
      </c>
      <c r="E735" s="11" t="s">
        <v>2405</v>
      </c>
      <c r="F735" s="11"/>
      <c r="G735" s="190" t="s">
        <v>3365</v>
      </c>
      <c r="H735" s="11" t="s">
        <v>3058</v>
      </c>
      <c r="I735" s="25" t="s">
        <v>3058</v>
      </c>
      <c r="J735" s="21"/>
      <c r="K735" s="21"/>
      <c r="L735" s="21"/>
      <c r="M735" s="21"/>
      <c r="N735" s="21"/>
      <c r="O735" s="21"/>
      <c r="P735" s="21"/>
      <c r="Q735" s="21"/>
      <c r="R735" s="21"/>
      <c r="S735" s="21"/>
      <c r="T735" s="21"/>
      <c r="U735" s="21"/>
      <c r="V735" s="21"/>
      <c r="W735" s="21"/>
      <c r="X735" s="21"/>
      <c r="Y735" s="21"/>
      <c r="Z735" s="21"/>
    </row>
    <row r="736" spans="1:26" ht="15.75" customHeight="1" x14ac:dyDescent="0.25">
      <c r="A736" s="11"/>
      <c r="B736" s="22">
        <v>45915</v>
      </c>
      <c r="C736" s="11">
        <v>1495</v>
      </c>
      <c r="D736" s="11" t="s">
        <v>2971</v>
      </c>
      <c r="E736" s="11">
        <v>25901337</v>
      </c>
      <c r="F736" s="11"/>
      <c r="G736" s="190" t="s">
        <v>3366</v>
      </c>
      <c r="H736" s="11" t="s">
        <v>2292</v>
      </c>
      <c r="I736" s="25">
        <v>1</v>
      </c>
      <c r="J736" s="21"/>
      <c r="K736" s="21"/>
      <c r="L736" s="21"/>
      <c r="M736" s="21"/>
      <c r="N736" s="21"/>
      <c r="O736" s="21"/>
      <c r="P736" s="21"/>
      <c r="Q736" s="21"/>
      <c r="R736" s="21"/>
      <c r="S736" s="21"/>
      <c r="T736" s="21"/>
      <c r="U736" s="21"/>
      <c r="V736" s="21"/>
      <c r="W736" s="21"/>
      <c r="X736" s="21"/>
      <c r="Y736" s="21"/>
      <c r="Z736" s="21"/>
    </row>
    <row r="737" spans="1:26" ht="15.75" customHeight="1" x14ac:dyDescent="0.25">
      <c r="A737" s="11"/>
      <c r="B737" s="22">
        <v>45915</v>
      </c>
      <c r="C737" s="11">
        <v>1496</v>
      </c>
      <c r="D737" s="11" t="s">
        <v>2298</v>
      </c>
      <c r="E737" s="11" t="s">
        <v>3349</v>
      </c>
      <c r="F737" s="11"/>
      <c r="G737" s="190" t="s">
        <v>3401</v>
      </c>
      <c r="H737" s="11" t="s">
        <v>3400</v>
      </c>
      <c r="I737" s="25" t="s">
        <v>3400</v>
      </c>
      <c r="J737" s="21"/>
      <c r="K737" s="21"/>
      <c r="L737" s="21"/>
      <c r="M737" s="21"/>
      <c r="N737" s="21"/>
      <c r="O737" s="21"/>
      <c r="P737" s="21"/>
      <c r="Q737" s="21"/>
      <c r="R737" s="21"/>
      <c r="S737" s="21"/>
      <c r="T737" s="21"/>
      <c r="U737" s="21"/>
      <c r="V737" s="21"/>
      <c r="W737" s="21"/>
      <c r="X737" s="21"/>
      <c r="Y737" s="21"/>
      <c r="Z737" s="21"/>
    </row>
    <row r="738" spans="1:26" ht="15.75" customHeight="1" x14ac:dyDescent="0.25">
      <c r="A738" s="11"/>
      <c r="B738" s="22">
        <v>45916</v>
      </c>
      <c r="C738" s="11">
        <v>1497</v>
      </c>
      <c r="D738" s="11" t="s">
        <v>2311</v>
      </c>
      <c r="E738" s="11">
        <v>4000313851</v>
      </c>
      <c r="F738" s="11"/>
      <c r="G738" s="190" t="s">
        <v>3402</v>
      </c>
      <c r="H738" s="11" t="s">
        <v>2292</v>
      </c>
      <c r="I738" s="25">
        <v>1</v>
      </c>
      <c r="J738" s="21"/>
      <c r="K738" s="21"/>
      <c r="L738" s="21"/>
      <c r="M738" s="21"/>
      <c r="N738" s="21"/>
      <c r="O738" s="21"/>
      <c r="P738" s="21"/>
      <c r="Q738" s="21"/>
      <c r="R738" s="21"/>
      <c r="S738" s="21"/>
      <c r="T738" s="21"/>
      <c r="U738" s="21"/>
      <c r="V738" s="21"/>
      <c r="W738" s="21"/>
      <c r="X738" s="21"/>
      <c r="Y738" s="21"/>
      <c r="Z738" s="21"/>
    </row>
    <row r="739" spans="1:26" ht="15.75" customHeight="1" x14ac:dyDescent="0.25">
      <c r="A739" s="11"/>
      <c r="B739" s="22">
        <v>45916</v>
      </c>
      <c r="C739" s="11">
        <v>1498</v>
      </c>
      <c r="D739" s="11" t="s">
        <v>4</v>
      </c>
      <c r="E739" s="11" t="s">
        <v>2923</v>
      </c>
      <c r="F739" s="11"/>
      <c r="G739" s="190" t="s">
        <v>3404</v>
      </c>
      <c r="H739" s="11" t="s">
        <v>3403</v>
      </c>
      <c r="I739" s="25" t="s">
        <v>3403</v>
      </c>
      <c r="J739" s="21"/>
      <c r="K739" s="21"/>
      <c r="L739" s="21"/>
      <c r="M739" s="21"/>
      <c r="N739" s="21"/>
      <c r="O739" s="21"/>
      <c r="P739" s="21"/>
      <c r="Q739" s="21"/>
      <c r="R739" s="21"/>
      <c r="S739" s="21"/>
      <c r="T739" s="21"/>
      <c r="U739" s="21"/>
      <c r="V739" s="21"/>
      <c r="W739" s="21"/>
      <c r="X739" s="21"/>
      <c r="Y739" s="21"/>
      <c r="Z739" s="21"/>
    </row>
    <row r="740" spans="1:26" ht="15.75" customHeight="1" x14ac:dyDescent="0.25">
      <c r="A740" s="11"/>
      <c r="B740" s="22">
        <v>45916</v>
      </c>
      <c r="C740" s="11">
        <v>1499</v>
      </c>
      <c r="D740" s="11" t="s">
        <v>63</v>
      </c>
      <c r="E740" s="11" t="s">
        <v>3405</v>
      </c>
      <c r="F740" s="11"/>
      <c r="G740" s="190" t="s">
        <v>3407</v>
      </c>
      <c r="H740" s="11" t="s">
        <v>3406</v>
      </c>
      <c r="I740" s="25" t="s">
        <v>3406</v>
      </c>
      <c r="J740" s="21"/>
      <c r="K740" s="21"/>
      <c r="L740" s="21"/>
      <c r="M740" s="21"/>
      <c r="N740" s="21"/>
      <c r="O740" s="21"/>
      <c r="P740" s="21"/>
      <c r="Q740" s="21"/>
      <c r="R740" s="21"/>
      <c r="S740" s="21"/>
      <c r="T740" s="21"/>
      <c r="U740" s="21"/>
      <c r="V740" s="21"/>
      <c r="W740" s="21"/>
      <c r="X740" s="21"/>
      <c r="Y740" s="21"/>
      <c r="Z740" s="21"/>
    </row>
    <row r="741" spans="1:26" ht="15.75" customHeight="1" x14ac:dyDescent="0.25">
      <c r="A741" s="11"/>
      <c r="B741" s="22">
        <v>45916</v>
      </c>
      <c r="C741" s="11">
        <v>1500</v>
      </c>
      <c r="D741" s="11" t="s">
        <v>66</v>
      </c>
      <c r="E741" s="11" t="s">
        <v>3408</v>
      </c>
      <c r="F741" s="11"/>
      <c r="G741" s="190" t="s">
        <v>3409</v>
      </c>
      <c r="H741" s="11" t="s">
        <v>2292</v>
      </c>
      <c r="I741" s="25">
        <v>1</v>
      </c>
      <c r="J741" s="21"/>
      <c r="K741" s="21"/>
      <c r="L741" s="21"/>
      <c r="M741" s="21"/>
      <c r="N741" s="21"/>
      <c r="O741" s="21"/>
      <c r="P741" s="21"/>
      <c r="Q741" s="21"/>
      <c r="R741" s="21"/>
      <c r="S741" s="21"/>
      <c r="T741" s="21"/>
      <c r="U741" s="21"/>
      <c r="V741" s="21"/>
      <c r="W741" s="21"/>
      <c r="X741" s="21"/>
      <c r="Y741" s="21"/>
      <c r="Z741" s="21"/>
    </row>
    <row r="742" spans="1:26" ht="15.75" customHeight="1" x14ac:dyDescent="0.25">
      <c r="A742" s="11"/>
      <c r="B742" s="22">
        <v>45918</v>
      </c>
      <c r="C742" s="11">
        <v>1501</v>
      </c>
      <c r="D742" s="11" t="s">
        <v>3192</v>
      </c>
      <c r="E742" s="11">
        <v>251000288</v>
      </c>
      <c r="F742" s="11"/>
      <c r="G742" s="190" t="s">
        <v>3410</v>
      </c>
      <c r="H742" s="11" t="s">
        <v>2292</v>
      </c>
      <c r="I742" s="25">
        <v>1</v>
      </c>
      <c r="J742" s="21"/>
      <c r="K742" s="21"/>
      <c r="L742" s="21"/>
      <c r="M742" s="21"/>
      <c r="N742" s="21"/>
      <c r="O742" s="21"/>
      <c r="P742" s="21"/>
      <c r="Q742" s="21"/>
      <c r="R742" s="21"/>
      <c r="S742" s="21"/>
      <c r="T742" s="21"/>
      <c r="U742" s="21"/>
      <c r="V742" s="21"/>
      <c r="W742" s="21"/>
      <c r="X742" s="21"/>
      <c r="Y742" s="21"/>
      <c r="Z742" s="21"/>
    </row>
    <row r="743" spans="1:26" ht="15.75" customHeight="1" x14ac:dyDescent="0.25">
      <c r="A743" s="11"/>
      <c r="B743" s="22">
        <v>45918</v>
      </c>
      <c r="C743" s="11">
        <v>1502</v>
      </c>
      <c r="D743" s="11" t="s">
        <v>3192</v>
      </c>
      <c r="E743" s="11">
        <v>251000288</v>
      </c>
      <c r="F743" s="11"/>
      <c r="G743" s="190" t="s">
        <v>3411</v>
      </c>
      <c r="H743" s="11" t="s">
        <v>2292</v>
      </c>
      <c r="I743" s="25">
        <v>1</v>
      </c>
      <c r="J743" s="21"/>
      <c r="K743" s="21"/>
      <c r="L743" s="21"/>
      <c r="M743" s="21"/>
      <c r="N743" s="21"/>
      <c r="O743" s="21"/>
      <c r="P743" s="21"/>
      <c r="Q743" s="21"/>
      <c r="R743" s="21"/>
      <c r="S743" s="21"/>
      <c r="T743" s="21"/>
      <c r="U743" s="21"/>
      <c r="V743" s="21"/>
      <c r="W743" s="21"/>
      <c r="X743" s="21"/>
      <c r="Y743" s="21"/>
      <c r="Z743" s="21"/>
    </row>
    <row r="744" spans="1:26" ht="15.75" customHeight="1" x14ac:dyDescent="0.25">
      <c r="A744" s="11"/>
      <c r="B744" s="22">
        <v>45918</v>
      </c>
      <c r="C744" s="11">
        <v>1502</v>
      </c>
      <c r="D744" s="11" t="s">
        <v>3192</v>
      </c>
      <c r="E744" s="11">
        <v>251000270</v>
      </c>
      <c r="F744" s="11"/>
      <c r="G744" s="190" t="s">
        <v>3411</v>
      </c>
      <c r="H744" s="11" t="s">
        <v>2292</v>
      </c>
      <c r="I744" s="25">
        <v>1</v>
      </c>
      <c r="J744" s="21"/>
      <c r="K744" s="21"/>
      <c r="L744" s="21"/>
      <c r="M744" s="21"/>
      <c r="N744" s="21"/>
      <c r="O744" s="21"/>
      <c r="P744" s="21"/>
      <c r="Q744" s="21"/>
      <c r="R744" s="21"/>
      <c r="S744" s="21"/>
      <c r="T744" s="21"/>
      <c r="U744" s="21"/>
      <c r="V744" s="21"/>
      <c r="W744" s="21"/>
      <c r="X744" s="21"/>
      <c r="Y744" s="21"/>
      <c r="Z744" s="21"/>
    </row>
    <row r="745" spans="1:26" ht="15.75" customHeight="1" x14ac:dyDescent="0.25">
      <c r="A745" s="11"/>
      <c r="B745" s="22">
        <v>45919</v>
      </c>
      <c r="C745" s="11">
        <v>1503</v>
      </c>
      <c r="D745" s="11" t="s">
        <v>2298</v>
      </c>
      <c r="E745" s="11" t="s">
        <v>3412</v>
      </c>
      <c r="F745" s="11"/>
      <c r="G745" s="190" t="s">
        <v>3414</v>
      </c>
      <c r="H745" s="11" t="s">
        <v>3413</v>
      </c>
      <c r="I745" s="25" t="s">
        <v>3413</v>
      </c>
      <c r="J745" s="21"/>
      <c r="K745" s="21"/>
      <c r="L745" s="21"/>
      <c r="M745" s="21"/>
      <c r="N745" s="21"/>
      <c r="O745" s="21"/>
      <c r="P745" s="21"/>
      <c r="Q745" s="21"/>
      <c r="R745" s="21"/>
      <c r="S745" s="21"/>
      <c r="T745" s="21"/>
      <c r="U745" s="21"/>
      <c r="V745" s="21"/>
      <c r="W745" s="21"/>
      <c r="X745" s="21"/>
      <c r="Y745" s="21"/>
      <c r="Z745" s="21"/>
    </row>
    <row r="746" spans="1:26" ht="15.75" customHeight="1" x14ac:dyDescent="0.25">
      <c r="A746" s="11"/>
      <c r="B746" s="22">
        <v>45919</v>
      </c>
      <c r="C746" s="11">
        <v>1503</v>
      </c>
      <c r="D746" s="11" t="s">
        <v>2298</v>
      </c>
      <c r="E746" s="11" t="s">
        <v>3412</v>
      </c>
      <c r="F746" s="11" t="s">
        <v>2230</v>
      </c>
      <c r="G746" s="190" t="s">
        <v>3424</v>
      </c>
      <c r="H746" s="11" t="s">
        <v>3423</v>
      </c>
      <c r="I746" s="25" t="s">
        <v>3423</v>
      </c>
      <c r="J746" s="21"/>
      <c r="K746" s="21"/>
      <c r="L746" s="21"/>
      <c r="M746" s="21"/>
      <c r="N746" s="21"/>
      <c r="O746" s="21"/>
      <c r="P746" s="21"/>
      <c r="Q746" s="21"/>
      <c r="R746" s="21"/>
      <c r="S746" s="21"/>
      <c r="T746" s="21"/>
      <c r="U746" s="21"/>
      <c r="V746" s="21"/>
      <c r="W746" s="21"/>
      <c r="X746" s="21"/>
      <c r="Y746" s="21"/>
      <c r="Z746" s="21"/>
    </row>
    <row r="747" spans="1:26" ht="15.75" customHeight="1" x14ac:dyDescent="0.25">
      <c r="A747" s="11"/>
      <c r="B747" s="22">
        <v>45919</v>
      </c>
      <c r="C747" s="11">
        <v>1504</v>
      </c>
      <c r="D747" s="11" t="s">
        <v>2298</v>
      </c>
      <c r="E747" s="11" t="s">
        <v>3416</v>
      </c>
      <c r="F747" s="11"/>
      <c r="G747" s="190" t="s">
        <v>3417</v>
      </c>
      <c r="H747" s="11" t="s">
        <v>3415</v>
      </c>
      <c r="I747" s="25" t="s">
        <v>3415</v>
      </c>
      <c r="J747" s="21"/>
      <c r="K747" s="21"/>
      <c r="L747" s="21"/>
      <c r="M747" s="21"/>
      <c r="N747" s="21"/>
      <c r="O747" s="21"/>
      <c r="P747" s="21"/>
      <c r="Q747" s="21"/>
      <c r="R747" s="21"/>
      <c r="S747" s="21"/>
      <c r="T747" s="21"/>
      <c r="U747" s="21"/>
      <c r="V747" s="21"/>
      <c r="W747" s="21"/>
      <c r="X747" s="21"/>
      <c r="Y747" s="21"/>
      <c r="Z747" s="21"/>
    </row>
    <row r="748" spans="1:26" ht="15.75" customHeight="1" x14ac:dyDescent="0.25">
      <c r="A748" s="11"/>
      <c r="B748" s="22">
        <v>45919</v>
      </c>
      <c r="C748" s="11">
        <v>1505</v>
      </c>
      <c r="D748" s="11" t="s">
        <v>2298</v>
      </c>
      <c r="E748" s="11" t="s">
        <v>3419</v>
      </c>
      <c r="F748" s="11"/>
      <c r="G748" s="190" t="s">
        <v>3420</v>
      </c>
      <c r="H748" s="11" t="s">
        <v>3418</v>
      </c>
      <c r="I748" s="25" t="s">
        <v>3418</v>
      </c>
      <c r="J748" s="21"/>
      <c r="K748" s="21"/>
      <c r="L748" s="21"/>
      <c r="M748" s="21"/>
      <c r="N748" s="21"/>
      <c r="O748" s="21"/>
      <c r="P748" s="21"/>
      <c r="Q748" s="21"/>
      <c r="R748" s="21"/>
      <c r="S748" s="21"/>
      <c r="T748" s="21"/>
      <c r="U748" s="21"/>
      <c r="V748" s="21"/>
      <c r="W748" s="21"/>
      <c r="X748" s="21"/>
      <c r="Y748" s="21"/>
      <c r="Z748" s="21"/>
    </row>
    <row r="749" spans="1:26" ht="15.75" customHeight="1" x14ac:dyDescent="0.25">
      <c r="A749" s="11"/>
      <c r="B749" s="22">
        <v>45919</v>
      </c>
      <c r="C749" s="11">
        <v>1506</v>
      </c>
      <c r="D749" s="11" t="s">
        <v>4</v>
      </c>
      <c r="E749" s="11" t="s">
        <v>2923</v>
      </c>
      <c r="F749" s="11"/>
      <c r="G749" s="190" t="s">
        <v>3421</v>
      </c>
      <c r="H749" s="11" t="s">
        <v>3115</v>
      </c>
      <c r="I749" s="25" t="s">
        <v>3115</v>
      </c>
      <c r="J749" s="21"/>
      <c r="K749" s="21"/>
      <c r="L749" s="21"/>
      <c r="M749" s="21"/>
      <c r="N749" s="21"/>
      <c r="O749" s="21"/>
      <c r="P749" s="21"/>
      <c r="Q749" s="21"/>
      <c r="R749" s="21"/>
      <c r="S749" s="21"/>
      <c r="T749" s="21"/>
      <c r="U749" s="21"/>
      <c r="V749" s="21"/>
      <c r="W749" s="21"/>
      <c r="X749" s="21"/>
      <c r="Y749" s="21"/>
      <c r="Z749" s="21"/>
    </row>
    <row r="750" spans="1:26" ht="15.75" customHeight="1" x14ac:dyDescent="0.25">
      <c r="A750" s="11"/>
      <c r="B750" s="22">
        <v>45922</v>
      </c>
      <c r="C750" s="11">
        <v>1507</v>
      </c>
      <c r="D750" s="11" t="s">
        <v>2971</v>
      </c>
      <c r="E750" s="11">
        <v>25901328</v>
      </c>
      <c r="F750" s="11"/>
      <c r="G750" s="190" t="s">
        <v>3422</v>
      </c>
      <c r="H750" s="11" t="s">
        <v>2727</v>
      </c>
      <c r="I750" s="25" t="s">
        <v>2727</v>
      </c>
      <c r="J750" s="21"/>
      <c r="K750" s="21"/>
      <c r="L750" s="21"/>
      <c r="M750" s="21"/>
      <c r="N750" s="21"/>
      <c r="O750" s="21"/>
      <c r="P750" s="21"/>
      <c r="Q750" s="21"/>
      <c r="R750" s="21"/>
      <c r="S750" s="21"/>
      <c r="T750" s="21"/>
      <c r="U750" s="21"/>
      <c r="V750" s="21"/>
      <c r="W750" s="21"/>
      <c r="X750" s="21"/>
      <c r="Y750" s="21"/>
      <c r="Z750" s="21"/>
    </row>
    <row r="751" spans="1:26" ht="15.75" customHeight="1" x14ac:dyDescent="0.25">
      <c r="A751" s="11"/>
      <c r="B751" s="22">
        <v>45922</v>
      </c>
      <c r="C751" s="11">
        <v>1508</v>
      </c>
      <c r="D751" s="11" t="s">
        <v>2298</v>
      </c>
      <c r="E751" s="11" t="s">
        <v>3425</v>
      </c>
      <c r="F751" s="11"/>
      <c r="G751" s="190" t="s">
        <v>3426</v>
      </c>
      <c r="H751" s="11" t="s">
        <v>3138</v>
      </c>
      <c r="I751" s="25" t="s">
        <v>3138</v>
      </c>
      <c r="J751" s="21"/>
      <c r="K751" s="21"/>
      <c r="L751" s="21"/>
      <c r="M751" s="21"/>
      <c r="N751" s="21"/>
      <c r="O751" s="21"/>
      <c r="P751" s="21"/>
      <c r="Q751" s="21"/>
      <c r="R751" s="21"/>
      <c r="S751" s="21"/>
      <c r="T751" s="21"/>
      <c r="U751" s="21"/>
      <c r="V751" s="21"/>
      <c r="W751" s="21"/>
      <c r="X751" s="21"/>
      <c r="Y751" s="21"/>
      <c r="Z751" s="21"/>
    </row>
    <row r="752" spans="1:26" ht="15.75" customHeight="1" x14ac:dyDescent="0.25">
      <c r="A752" s="11"/>
      <c r="B752" s="22">
        <v>45922</v>
      </c>
      <c r="C752" s="11">
        <v>1509</v>
      </c>
      <c r="D752" s="11" t="s">
        <v>228</v>
      </c>
      <c r="E752" s="11" t="s">
        <v>3427</v>
      </c>
      <c r="F752" s="11"/>
      <c r="G752" s="190" t="s">
        <v>3428</v>
      </c>
      <c r="H752" s="11" t="s">
        <v>2292</v>
      </c>
      <c r="I752" s="25">
        <v>1</v>
      </c>
      <c r="J752" s="21"/>
      <c r="K752" s="21"/>
      <c r="L752" s="21"/>
      <c r="M752" s="21"/>
      <c r="N752" s="21"/>
      <c r="O752" s="21"/>
      <c r="P752" s="21"/>
      <c r="Q752" s="21"/>
      <c r="R752" s="21"/>
      <c r="S752" s="21"/>
      <c r="T752" s="21"/>
      <c r="U752" s="21"/>
      <c r="V752" s="21"/>
      <c r="W752" s="21"/>
      <c r="X752" s="21"/>
      <c r="Y752" s="21"/>
      <c r="Z752" s="21"/>
    </row>
    <row r="753" spans="1:26" ht="15.75" customHeight="1" x14ac:dyDescent="0.25">
      <c r="A753" s="11"/>
      <c r="B753" s="22">
        <v>45922</v>
      </c>
      <c r="C753" s="11">
        <v>1510</v>
      </c>
      <c r="D753" s="11" t="s">
        <v>2298</v>
      </c>
      <c r="E753" s="11" t="s">
        <v>3430</v>
      </c>
      <c r="F753" s="11"/>
      <c r="G753" s="190" t="s">
        <v>3431</v>
      </c>
      <c r="H753" s="11" t="s">
        <v>3429</v>
      </c>
      <c r="I753" s="25" t="s">
        <v>3429</v>
      </c>
      <c r="J753" s="21"/>
      <c r="K753" s="21"/>
      <c r="L753" s="21"/>
      <c r="M753" s="21"/>
      <c r="N753" s="21"/>
      <c r="O753" s="21"/>
      <c r="P753" s="21"/>
      <c r="Q753" s="21"/>
      <c r="R753" s="21"/>
      <c r="S753" s="21"/>
      <c r="T753" s="21"/>
      <c r="U753" s="21"/>
      <c r="V753" s="21"/>
      <c r="W753" s="21"/>
      <c r="X753" s="21"/>
      <c r="Y753" s="21"/>
      <c r="Z753" s="21"/>
    </row>
    <row r="754" spans="1:26" ht="15.75" customHeight="1" x14ac:dyDescent="0.25">
      <c r="A754" s="11"/>
      <c r="B754" s="22">
        <v>45922</v>
      </c>
      <c r="C754" s="11">
        <v>1511</v>
      </c>
      <c r="D754" s="11" t="s">
        <v>2298</v>
      </c>
      <c r="E754" s="11" t="s">
        <v>3430</v>
      </c>
      <c r="F754" s="11"/>
      <c r="G754" s="190" t="s">
        <v>3433</v>
      </c>
      <c r="H754" s="11" t="s">
        <v>3432</v>
      </c>
      <c r="I754" s="25" t="s">
        <v>3432</v>
      </c>
      <c r="J754" s="21"/>
      <c r="K754" s="21"/>
      <c r="L754" s="21"/>
      <c r="M754" s="21"/>
      <c r="N754" s="21"/>
      <c r="O754" s="21"/>
      <c r="P754" s="21"/>
      <c r="Q754" s="21"/>
      <c r="R754" s="21"/>
      <c r="S754" s="21"/>
      <c r="T754" s="21"/>
      <c r="U754" s="21"/>
      <c r="V754" s="21"/>
      <c r="W754" s="21"/>
      <c r="X754" s="21"/>
      <c r="Y754" s="21"/>
      <c r="Z754" s="21"/>
    </row>
    <row r="755" spans="1:26" ht="15.75" customHeight="1" x14ac:dyDescent="0.25">
      <c r="A755" s="11"/>
      <c r="B755" s="22">
        <v>45922</v>
      </c>
      <c r="C755" s="11">
        <v>1512</v>
      </c>
      <c r="D755" s="11" t="s">
        <v>2298</v>
      </c>
      <c r="E755" s="11" t="s">
        <v>3425</v>
      </c>
      <c r="F755" s="11"/>
      <c r="G755" s="190" t="s">
        <v>3434</v>
      </c>
      <c r="H755" s="11" t="s">
        <v>3046</v>
      </c>
      <c r="I755" s="25" t="s">
        <v>3046</v>
      </c>
      <c r="J755" s="21"/>
      <c r="K755" s="21"/>
      <c r="L755" s="21"/>
      <c r="M755" s="21"/>
      <c r="N755" s="21"/>
      <c r="O755" s="21"/>
      <c r="P755" s="21"/>
      <c r="Q755" s="21"/>
      <c r="R755" s="21"/>
      <c r="S755" s="21"/>
      <c r="T755" s="21"/>
      <c r="U755" s="21"/>
      <c r="V755" s="21"/>
      <c r="W755" s="21"/>
      <c r="X755" s="21"/>
      <c r="Y755" s="21"/>
      <c r="Z755" s="21"/>
    </row>
    <row r="756" spans="1:26" ht="15.75" customHeight="1" x14ac:dyDescent="0.25">
      <c r="A756" s="11"/>
      <c r="B756" s="22">
        <v>45922</v>
      </c>
      <c r="C756" s="11">
        <v>1513</v>
      </c>
      <c r="D756" s="11" t="s">
        <v>2298</v>
      </c>
      <c r="E756" s="11" t="s">
        <v>3435</v>
      </c>
      <c r="F756" s="11"/>
      <c r="G756" s="190" t="s">
        <v>3437</v>
      </c>
      <c r="H756" s="11" t="s">
        <v>3436</v>
      </c>
      <c r="I756" s="25" t="s">
        <v>3436</v>
      </c>
      <c r="J756" s="21"/>
      <c r="K756" s="21"/>
      <c r="L756" s="21"/>
      <c r="M756" s="21"/>
      <c r="N756" s="21"/>
      <c r="O756" s="21"/>
      <c r="P756" s="21"/>
      <c r="Q756" s="21"/>
      <c r="R756" s="21"/>
      <c r="S756" s="21"/>
      <c r="T756" s="21"/>
      <c r="U756" s="21"/>
      <c r="V756" s="21"/>
      <c r="W756" s="21"/>
      <c r="X756" s="21"/>
      <c r="Y756" s="21"/>
      <c r="Z756" s="21"/>
    </row>
    <row r="757" spans="1:26" ht="15.75" customHeight="1" x14ac:dyDescent="0.25">
      <c r="A757" s="11"/>
      <c r="B757" s="22">
        <v>45923</v>
      </c>
      <c r="C757" s="11">
        <v>1514</v>
      </c>
      <c r="D757" s="11" t="s">
        <v>2298</v>
      </c>
      <c r="E757" s="11" t="s">
        <v>3430</v>
      </c>
      <c r="F757" s="11"/>
      <c r="G757" s="190" t="s">
        <v>3440</v>
      </c>
      <c r="H757" s="11" t="s">
        <v>3438</v>
      </c>
      <c r="I757" s="25" t="s">
        <v>3438</v>
      </c>
      <c r="J757" s="21"/>
      <c r="K757" s="21"/>
      <c r="L757" s="21"/>
      <c r="M757" s="21"/>
      <c r="N757" s="21"/>
      <c r="O757" s="21"/>
      <c r="P757" s="21"/>
      <c r="Q757" s="21"/>
      <c r="R757" s="21"/>
      <c r="S757" s="21"/>
      <c r="T757" s="21"/>
      <c r="U757" s="21"/>
      <c r="V757" s="21"/>
      <c r="W757" s="21"/>
      <c r="X757" s="21"/>
      <c r="Y757" s="21"/>
      <c r="Z757" s="21"/>
    </row>
    <row r="758" spans="1:26" ht="15.75" customHeight="1" x14ac:dyDescent="0.25">
      <c r="A758" s="11"/>
      <c r="B758" s="22">
        <v>45923</v>
      </c>
      <c r="C758" s="11">
        <v>1515</v>
      </c>
      <c r="D758" s="11" t="s">
        <v>2298</v>
      </c>
      <c r="E758" s="11" t="s">
        <v>3425</v>
      </c>
      <c r="F758" s="11"/>
      <c r="G758" s="190" t="s">
        <v>3439</v>
      </c>
      <c r="H758" s="11" t="s">
        <v>3432</v>
      </c>
      <c r="I758" s="25" t="s">
        <v>3432</v>
      </c>
      <c r="J758" s="21"/>
      <c r="K758" s="21"/>
      <c r="L758" s="21"/>
      <c r="M758" s="21"/>
      <c r="N758" s="21"/>
      <c r="O758" s="21"/>
      <c r="P758" s="21"/>
      <c r="Q758" s="21"/>
      <c r="R758" s="21"/>
      <c r="S758" s="21"/>
      <c r="T758" s="21"/>
      <c r="U758" s="21"/>
      <c r="V758" s="21"/>
      <c r="W758" s="21"/>
      <c r="X758" s="21"/>
      <c r="Y758" s="21"/>
      <c r="Z758" s="21"/>
    </row>
    <row r="759" spans="1:26" ht="15.75" customHeight="1" x14ac:dyDescent="0.25">
      <c r="A759" s="11"/>
      <c r="B759" s="22">
        <v>45924</v>
      </c>
      <c r="C759" s="11">
        <v>1516</v>
      </c>
      <c r="D759" s="11" t="s">
        <v>63</v>
      </c>
      <c r="E759" s="11" t="s">
        <v>3441</v>
      </c>
      <c r="F759" s="11"/>
      <c r="G759" s="190" t="s">
        <v>3442</v>
      </c>
      <c r="H759" s="11" t="s">
        <v>2292</v>
      </c>
      <c r="I759" s="25">
        <v>1</v>
      </c>
      <c r="J759" s="21"/>
      <c r="K759" s="21"/>
      <c r="L759" s="21"/>
      <c r="M759" s="21"/>
      <c r="N759" s="21"/>
      <c r="O759" s="21"/>
      <c r="P759" s="21"/>
      <c r="Q759" s="21"/>
      <c r="R759" s="21"/>
      <c r="S759" s="21"/>
      <c r="T759" s="21"/>
      <c r="U759" s="21"/>
      <c r="V759" s="21"/>
      <c r="W759" s="21"/>
      <c r="X759" s="21"/>
      <c r="Y759" s="21"/>
      <c r="Z759" s="21"/>
    </row>
    <row r="760" spans="1:26" ht="15.75" customHeight="1" x14ac:dyDescent="0.25">
      <c r="A760" s="11"/>
      <c r="B760" s="22">
        <v>45927</v>
      </c>
      <c r="C760" s="11">
        <v>1517</v>
      </c>
      <c r="D760" s="11" t="s">
        <v>3192</v>
      </c>
      <c r="E760" s="11">
        <v>251000305</v>
      </c>
      <c r="F760" s="11"/>
      <c r="G760" s="190" t="s">
        <v>3443</v>
      </c>
      <c r="H760" s="11" t="s">
        <v>2292</v>
      </c>
      <c r="I760" s="25">
        <v>1</v>
      </c>
      <c r="J760" s="21"/>
      <c r="K760" s="21"/>
      <c r="L760" s="21"/>
      <c r="M760" s="21"/>
      <c r="N760" s="21"/>
      <c r="O760" s="21"/>
      <c r="P760" s="21"/>
      <c r="Q760" s="21"/>
      <c r="R760" s="21"/>
      <c r="S760" s="21"/>
      <c r="T760" s="21"/>
      <c r="U760" s="21"/>
      <c r="V760" s="21"/>
      <c r="W760" s="21"/>
      <c r="X760" s="21"/>
      <c r="Y760" s="21"/>
      <c r="Z760" s="21"/>
    </row>
    <row r="761" spans="1:26" ht="15.75" customHeight="1" x14ac:dyDescent="0.25">
      <c r="A761" s="11"/>
      <c r="B761" s="22">
        <v>45929</v>
      </c>
      <c r="C761" s="11">
        <v>1518</v>
      </c>
      <c r="D761" s="11" t="s">
        <v>2971</v>
      </c>
      <c r="E761" s="11">
        <v>25901398</v>
      </c>
      <c r="F761" s="11"/>
      <c r="G761" s="190" t="s">
        <v>3444</v>
      </c>
      <c r="H761" s="11" t="s">
        <v>2292</v>
      </c>
      <c r="I761" s="25">
        <v>1</v>
      </c>
      <c r="J761" s="21"/>
      <c r="K761" s="21"/>
      <c r="L761" s="21"/>
      <c r="M761" s="21"/>
      <c r="N761" s="21"/>
      <c r="O761" s="21"/>
      <c r="P761" s="21"/>
      <c r="Q761" s="21"/>
      <c r="R761" s="21"/>
      <c r="S761" s="21"/>
      <c r="T761" s="21"/>
      <c r="U761" s="21"/>
      <c r="V761" s="21"/>
      <c r="W761" s="21"/>
      <c r="X761" s="21"/>
      <c r="Y761" s="21"/>
      <c r="Z761" s="21"/>
    </row>
    <row r="762" spans="1:26" ht="15.75" customHeight="1" x14ac:dyDescent="0.25">
      <c r="A762" s="11"/>
      <c r="B762" s="22">
        <v>45929</v>
      </c>
      <c r="C762" s="11">
        <v>1519</v>
      </c>
      <c r="D762" s="11" t="s">
        <v>2298</v>
      </c>
      <c r="E762" s="11" t="s">
        <v>3425</v>
      </c>
      <c r="F762" s="11"/>
      <c r="G762" s="190" t="s">
        <v>3445</v>
      </c>
      <c r="H762" s="11" t="s">
        <v>3436</v>
      </c>
      <c r="I762" s="25" t="s">
        <v>3436</v>
      </c>
      <c r="J762" s="21"/>
      <c r="K762" s="21"/>
      <c r="L762" s="21"/>
      <c r="M762" s="21"/>
      <c r="N762" s="21"/>
      <c r="O762" s="21"/>
      <c r="P762" s="21"/>
      <c r="Q762" s="21"/>
      <c r="R762" s="21"/>
      <c r="S762" s="21"/>
      <c r="T762" s="21"/>
      <c r="U762" s="21"/>
      <c r="V762" s="21"/>
      <c r="W762" s="21"/>
      <c r="X762" s="21"/>
      <c r="Y762" s="21"/>
      <c r="Z762" s="21"/>
    </row>
    <row r="763" spans="1:26" ht="15.75" customHeight="1" x14ac:dyDescent="0.25">
      <c r="A763" s="11"/>
      <c r="B763" s="22">
        <v>45929</v>
      </c>
      <c r="C763" s="11">
        <v>1520</v>
      </c>
      <c r="D763" s="11" t="s">
        <v>4</v>
      </c>
      <c r="E763" s="11" t="s">
        <v>3446</v>
      </c>
      <c r="F763" s="11"/>
      <c r="G763" s="190" t="s">
        <v>3447</v>
      </c>
      <c r="H763" s="11" t="s">
        <v>2292</v>
      </c>
      <c r="I763" s="25">
        <v>1</v>
      </c>
      <c r="J763" s="21"/>
      <c r="K763" s="21"/>
      <c r="L763" s="21"/>
      <c r="M763" s="21"/>
      <c r="N763" s="21"/>
      <c r="O763" s="21"/>
      <c r="P763" s="21"/>
      <c r="Q763" s="21"/>
      <c r="R763" s="21"/>
      <c r="S763" s="21"/>
      <c r="T763" s="21"/>
      <c r="U763" s="21"/>
      <c r="V763" s="21"/>
      <c r="W763" s="21"/>
      <c r="X763" s="21"/>
      <c r="Y763" s="21"/>
      <c r="Z763" s="21"/>
    </row>
    <row r="764" spans="1:26" ht="15.75" customHeight="1" x14ac:dyDescent="0.25">
      <c r="A764" s="11"/>
      <c r="B764" s="22">
        <v>45929</v>
      </c>
      <c r="C764" s="11">
        <v>1521</v>
      </c>
      <c r="D764" s="11" t="s">
        <v>4</v>
      </c>
      <c r="E764" s="11" t="s">
        <v>3446</v>
      </c>
      <c r="F764" s="11"/>
      <c r="G764" s="190" t="s">
        <v>3449</v>
      </c>
      <c r="H764" s="11" t="s">
        <v>3448</v>
      </c>
      <c r="I764" s="25" t="s">
        <v>3448</v>
      </c>
      <c r="J764" s="21"/>
      <c r="K764" s="21"/>
      <c r="L764" s="21"/>
      <c r="M764" s="21"/>
      <c r="N764" s="21"/>
      <c r="O764" s="21"/>
      <c r="P764" s="21"/>
      <c r="Q764" s="21"/>
      <c r="R764" s="21"/>
      <c r="S764" s="21"/>
      <c r="T764" s="21"/>
      <c r="U764" s="21"/>
      <c r="V764" s="21"/>
      <c r="W764" s="21"/>
      <c r="X764" s="21"/>
      <c r="Y764" s="21"/>
      <c r="Z764" s="21"/>
    </row>
    <row r="765" spans="1:26" ht="15.75" customHeight="1" x14ac:dyDescent="0.25">
      <c r="A765" s="11"/>
      <c r="B765" s="22">
        <v>45929</v>
      </c>
      <c r="C765" s="11">
        <v>1521</v>
      </c>
      <c r="D765" s="11" t="s">
        <v>4</v>
      </c>
      <c r="E765" s="11" t="s">
        <v>2887</v>
      </c>
      <c r="F765" s="11"/>
      <c r="G765" s="190" t="s">
        <v>3450</v>
      </c>
      <c r="H765" s="11" t="s">
        <v>3448</v>
      </c>
      <c r="I765" s="25" t="s">
        <v>3448</v>
      </c>
      <c r="J765" s="21"/>
      <c r="K765" s="21"/>
      <c r="L765" s="21"/>
      <c r="M765" s="21"/>
      <c r="N765" s="21"/>
      <c r="O765" s="21"/>
      <c r="P765" s="21"/>
      <c r="Q765" s="21"/>
      <c r="R765" s="21"/>
      <c r="S765" s="21"/>
      <c r="T765" s="21"/>
      <c r="U765" s="21"/>
      <c r="V765" s="21"/>
      <c r="W765" s="21"/>
      <c r="X765" s="21"/>
      <c r="Y765" s="21"/>
      <c r="Z765" s="21"/>
    </row>
    <row r="766" spans="1:26" ht="15.75" customHeight="1" x14ac:dyDescent="0.25">
      <c r="A766" s="11"/>
      <c r="B766" s="22">
        <v>45929</v>
      </c>
      <c r="C766" s="11">
        <v>1522</v>
      </c>
      <c r="D766" s="11" t="s">
        <v>44</v>
      </c>
      <c r="E766" s="11">
        <v>4714047349</v>
      </c>
      <c r="F766" s="11"/>
      <c r="G766" s="190" t="s">
        <v>3451</v>
      </c>
      <c r="H766" s="11" t="s">
        <v>2292</v>
      </c>
      <c r="I766" s="25">
        <v>1</v>
      </c>
      <c r="J766" s="21"/>
      <c r="K766" s="21"/>
      <c r="L766" s="21"/>
      <c r="M766" s="21"/>
      <c r="N766" s="21"/>
      <c r="O766" s="21"/>
      <c r="P766" s="21"/>
      <c r="Q766" s="21"/>
      <c r="R766" s="21"/>
      <c r="S766" s="21"/>
      <c r="T766" s="21"/>
      <c r="U766" s="21"/>
      <c r="V766" s="21"/>
      <c r="W766" s="21"/>
      <c r="X766" s="21"/>
      <c r="Y766" s="21"/>
      <c r="Z766" s="21"/>
    </row>
    <row r="767" spans="1:26" ht="15.75" customHeight="1" x14ac:dyDescent="0.25">
      <c r="A767" s="11"/>
      <c r="B767" s="22">
        <v>45929</v>
      </c>
      <c r="C767" s="11">
        <v>1523</v>
      </c>
      <c r="D767" s="11" t="s">
        <v>44</v>
      </c>
      <c r="E767" s="11">
        <v>4714047304</v>
      </c>
      <c r="F767" s="11"/>
      <c r="G767" s="190" t="s">
        <v>3452</v>
      </c>
      <c r="H767" s="11" t="s">
        <v>2292</v>
      </c>
      <c r="I767" s="25">
        <v>1</v>
      </c>
      <c r="J767" s="21"/>
      <c r="K767" s="21"/>
      <c r="L767" s="21"/>
      <c r="M767" s="21"/>
      <c r="N767" s="21"/>
      <c r="O767" s="21"/>
      <c r="P767" s="21"/>
      <c r="Q767" s="21"/>
      <c r="R767" s="21"/>
      <c r="S767" s="21"/>
      <c r="T767" s="21"/>
      <c r="U767" s="21"/>
      <c r="V767" s="21"/>
      <c r="W767" s="21"/>
      <c r="X767" s="21"/>
      <c r="Y767" s="21"/>
      <c r="Z767" s="21"/>
    </row>
    <row r="768" spans="1:26" ht="15.75" customHeight="1" x14ac:dyDescent="0.25">
      <c r="A768" s="11"/>
      <c r="B768" s="22">
        <v>45929</v>
      </c>
      <c r="C768" s="11">
        <v>1524</v>
      </c>
      <c r="D768" s="11" t="s">
        <v>44</v>
      </c>
      <c r="E768" s="11">
        <v>4714047353</v>
      </c>
      <c r="F768" s="11"/>
      <c r="G768" s="190" t="s">
        <v>3453</v>
      </c>
      <c r="H768" s="11" t="s">
        <v>2292</v>
      </c>
      <c r="I768" s="25">
        <v>1</v>
      </c>
      <c r="J768" s="21"/>
      <c r="K768" s="21"/>
      <c r="L768" s="21"/>
      <c r="M768" s="21"/>
      <c r="N768" s="21"/>
      <c r="O768" s="21"/>
      <c r="P768" s="21"/>
      <c r="Q768" s="21"/>
      <c r="R768" s="21"/>
      <c r="S768" s="21"/>
      <c r="T768" s="21"/>
      <c r="U768" s="21"/>
      <c r="V768" s="21"/>
      <c r="W768" s="21"/>
      <c r="X768" s="21"/>
      <c r="Y768" s="21"/>
      <c r="Z768" s="21"/>
    </row>
    <row r="769" spans="1:26" ht="15.75" customHeight="1" x14ac:dyDescent="0.25">
      <c r="A769" s="11"/>
      <c r="B769" s="22">
        <v>45930</v>
      </c>
      <c r="C769" s="11">
        <v>1525</v>
      </c>
      <c r="D769" s="11" t="s">
        <v>2971</v>
      </c>
      <c r="E769" s="11">
        <v>25901374</v>
      </c>
      <c r="F769" s="11"/>
      <c r="G769" s="190" t="s">
        <v>3454</v>
      </c>
      <c r="H769" s="11" t="s">
        <v>3044</v>
      </c>
      <c r="I769" s="25" t="s">
        <v>3044</v>
      </c>
      <c r="J769" s="21"/>
      <c r="K769" s="21"/>
      <c r="L769" s="21"/>
      <c r="M769" s="21"/>
      <c r="N769" s="21"/>
      <c r="O769" s="21"/>
      <c r="P769" s="21"/>
      <c r="Q769" s="21"/>
      <c r="R769" s="21"/>
      <c r="S769" s="21"/>
      <c r="T769" s="21"/>
      <c r="U769" s="21"/>
      <c r="V769" s="21"/>
      <c r="W769" s="21"/>
      <c r="X769" s="21"/>
      <c r="Y769" s="21"/>
      <c r="Z769" s="21"/>
    </row>
    <row r="770" spans="1:26" ht="15.75" customHeight="1" x14ac:dyDescent="0.25">
      <c r="A770" s="11"/>
      <c r="B770" s="22">
        <v>45930</v>
      </c>
      <c r="C770" s="11">
        <v>1526</v>
      </c>
      <c r="D770" s="11" t="s">
        <v>2971</v>
      </c>
      <c r="E770" s="11">
        <v>25901416</v>
      </c>
      <c r="F770" s="11"/>
      <c r="G770" s="190" t="s">
        <v>3456</v>
      </c>
      <c r="H770" s="11" t="s">
        <v>3455</v>
      </c>
      <c r="I770" s="25" t="s">
        <v>3455</v>
      </c>
      <c r="J770" s="21"/>
      <c r="K770" s="21"/>
      <c r="L770" s="21"/>
      <c r="M770" s="21"/>
      <c r="N770" s="21"/>
      <c r="O770" s="21"/>
      <c r="P770" s="21"/>
      <c r="Q770" s="21"/>
      <c r="R770" s="21"/>
      <c r="S770" s="21"/>
      <c r="T770" s="21"/>
      <c r="U770" s="21"/>
      <c r="V770" s="21"/>
      <c r="W770" s="21"/>
      <c r="X770" s="21"/>
      <c r="Y770" s="21"/>
      <c r="Z770" s="21"/>
    </row>
    <row r="771" spans="1:26" ht="15.75" customHeight="1" x14ac:dyDescent="0.25">
      <c r="A771" s="11"/>
      <c r="B771" s="22">
        <v>45931</v>
      </c>
      <c r="C771" s="11">
        <v>1527</v>
      </c>
      <c r="D771" s="11" t="s">
        <v>3140</v>
      </c>
      <c r="E771" s="11" t="s">
        <v>3457</v>
      </c>
      <c r="F771" s="11"/>
      <c r="G771" s="190" t="s">
        <v>3458</v>
      </c>
      <c r="H771" s="11" t="s">
        <v>2292</v>
      </c>
      <c r="I771" s="25">
        <v>1</v>
      </c>
      <c r="J771" s="21"/>
      <c r="K771" s="21"/>
      <c r="L771" s="21"/>
      <c r="M771" s="21"/>
      <c r="N771" s="21"/>
      <c r="O771" s="21"/>
      <c r="P771" s="21"/>
      <c r="Q771" s="21"/>
      <c r="R771" s="21"/>
      <c r="S771" s="21"/>
      <c r="T771" s="21"/>
      <c r="U771" s="21"/>
      <c r="V771" s="21"/>
      <c r="W771" s="21"/>
      <c r="X771" s="21"/>
      <c r="Y771" s="21"/>
      <c r="Z771" s="21"/>
    </row>
    <row r="772" spans="1:26" ht="15.75" customHeight="1" x14ac:dyDescent="0.25">
      <c r="A772" s="11"/>
      <c r="B772" s="22">
        <v>45931</v>
      </c>
      <c r="C772" s="11">
        <v>1528</v>
      </c>
      <c r="D772" s="11" t="s">
        <v>160</v>
      </c>
      <c r="E772" s="11" t="s">
        <v>3459</v>
      </c>
      <c r="F772" s="11"/>
      <c r="G772" s="190" t="s">
        <v>3460</v>
      </c>
      <c r="H772" s="11" t="s">
        <v>2306</v>
      </c>
      <c r="I772" s="25">
        <v>7</v>
      </c>
      <c r="J772" s="21"/>
      <c r="K772" s="21"/>
      <c r="L772" s="21"/>
      <c r="M772" s="21"/>
      <c r="N772" s="21"/>
      <c r="O772" s="21"/>
      <c r="P772" s="21"/>
      <c r="Q772" s="21"/>
      <c r="R772" s="21"/>
      <c r="S772" s="21"/>
      <c r="T772" s="21"/>
      <c r="U772" s="21"/>
      <c r="V772" s="21"/>
      <c r="W772" s="21"/>
      <c r="X772" s="21"/>
      <c r="Y772" s="21"/>
      <c r="Z772" s="21"/>
    </row>
    <row r="773" spans="1:26" ht="15.75" customHeight="1" x14ac:dyDescent="0.25">
      <c r="A773" s="11"/>
      <c r="B773" s="22">
        <v>45933</v>
      </c>
      <c r="C773" s="11">
        <v>1529</v>
      </c>
      <c r="D773" s="11" t="s">
        <v>2971</v>
      </c>
      <c r="E773" s="11">
        <v>25901374</v>
      </c>
      <c r="F773" s="11"/>
      <c r="G773" s="190" t="s">
        <v>3461</v>
      </c>
      <c r="H773" s="11" t="s">
        <v>3313</v>
      </c>
      <c r="I773" s="25" t="s">
        <v>3313</v>
      </c>
      <c r="J773" s="21"/>
      <c r="K773" s="21"/>
      <c r="L773" s="21"/>
      <c r="M773" s="21"/>
      <c r="N773" s="21"/>
      <c r="O773" s="21"/>
      <c r="P773" s="21"/>
      <c r="Q773" s="21"/>
      <c r="R773" s="21"/>
      <c r="S773" s="21"/>
      <c r="T773" s="21"/>
      <c r="U773" s="21"/>
      <c r="V773" s="21"/>
      <c r="W773" s="21"/>
      <c r="X773" s="21"/>
      <c r="Y773" s="21"/>
      <c r="Z773" s="21"/>
    </row>
    <row r="774" spans="1:26" ht="15.75" customHeight="1" x14ac:dyDescent="0.25">
      <c r="A774" s="11"/>
      <c r="B774" s="22">
        <v>45933</v>
      </c>
      <c r="C774" s="11">
        <v>1529</v>
      </c>
      <c r="D774" s="11" t="s">
        <v>2971</v>
      </c>
      <c r="E774" s="11">
        <v>25901374</v>
      </c>
      <c r="F774" s="11" t="s">
        <v>2230</v>
      </c>
      <c r="G774" s="190" t="s">
        <v>3463</v>
      </c>
      <c r="H774" s="11" t="s">
        <v>3462</v>
      </c>
      <c r="I774" s="25" t="s">
        <v>3462</v>
      </c>
      <c r="J774" s="21"/>
      <c r="K774" s="21"/>
      <c r="L774" s="21"/>
      <c r="M774" s="21"/>
      <c r="N774" s="21"/>
      <c r="O774" s="21"/>
      <c r="P774" s="21"/>
      <c r="Q774" s="21"/>
      <c r="R774" s="21"/>
      <c r="S774" s="21"/>
      <c r="T774" s="21"/>
      <c r="U774" s="21"/>
      <c r="V774" s="21"/>
      <c r="W774" s="21"/>
      <c r="X774" s="21"/>
      <c r="Y774" s="21"/>
      <c r="Z774" s="21"/>
    </row>
    <row r="775" spans="1:26" ht="15.75" customHeight="1" x14ac:dyDescent="0.25">
      <c r="A775" s="11"/>
      <c r="B775" s="22">
        <v>45936</v>
      </c>
      <c r="C775" s="11">
        <v>1530</v>
      </c>
      <c r="D775" s="11" t="s">
        <v>2971</v>
      </c>
      <c r="E775" s="11">
        <v>25901416</v>
      </c>
      <c r="F775" s="11"/>
      <c r="G775" s="190" t="s">
        <v>3465</v>
      </c>
      <c r="H775" s="11" t="s">
        <v>3464</v>
      </c>
      <c r="I775" s="25" t="s">
        <v>3464</v>
      </c>
      <c r="J775" s="21"/>
      <c r="K775" s="21"/>
      <c r="L775" s="21"/>
      <c r="M775" s="21"/>
      <c r="N775" s="21"/>
      <c r="O775" s="21"/>
      <c r="P775" s="21"/>
      <c r="Q775" s="21"/>
      <c r="R775" s="21"/>
      <c r="S775" s="21"/>
      <c r="T775" s="21"/>
      <c r="U775" s="21"/>
      <c r="V775" s="21"/>
      <c r="W775" s="21"/>
      <c r="X775" s="21"/>
      <c r="Y775" s="21"/>
      <c r="Z775" s="21"/>
    </row>
    <row r="776" spans="1:26" ht="15.75" customHeight="1" x14ac:dyDescent="0.25">
      <c r="A776" s="11"/>
      <c r="B776" s="22">
        <v>45936</v>
      </c>
      <c r="C776" s="11">
        <v>1531</v>
      </c>
      <c r="D776" s="11" t="s">
        <v>66</v>
      </c>
      <c r="E776" s="11" t="s">
        <v>3466</v>
      </c>
      <c r="F776" s="11"/>
      <c r="G776" s="190" t="s">
        <v>3467</v>
      </c>
      <c r="H776" s="11" t="s">
        <v>2292</v>
      </c>
      <c r="I776" s="25">
        <v>1</v>
      </c>
      <c r="J776" s="21"/>
      <c r="K776" s="21"/>
      <c r="L776" s="21"/>
      <c r="M776" s="21"/>
      <c r="N776" s="21"/>
      <c r="O776" s="21"/>
      <c r="P776" s="21"/>
      <c r="Q776" s="21"/>
      <c r="R776" s="21"/>
      <c r="S776" s="21"/>
      <c r="T776" s="21"/>
      <c r="U776" s="21"/>
      <c r="V776" s="21"/>
      <c r="W776" s="21"/>
      <c r="X776" s="21"/>
      <c r="Y776" s="21"/>
      <c r="Z776" s="21"/>
    </row>
    <row r="777" spans="1:26" ht="15.75" customHeight="1" x14ac:dyDescent="0.25">
      <c r="A777" s="11"/>
      <c r="B777" s="22">
        <v>45936</v>
      </c>
      <c r="C777" s="11">
        <v>1532</v>
      </c>
      <c r="D777" s="11" t="s">
        <v>4</v>
      </c>
      <c r="E777" s="11" t="s">
        <v>3468</v>
      </c>
      <c r="F777" s="11"/>
      <c r="G777" s="190" t="s">
        <v>3469</v>
      </c>
      <c r="H777" s="11" t="s">
        <v>2292</v>
      </c>
      <c r="I777" s="25">
        <v>1</v>
      </c>
      <c r="J777" s="21"/>
      <c r="K777" s="21"/>
      <c r="L777" s="21"/>
      <c r="M777" s="21"/>
      <c r="N777" s="21"/>
      <c r="O777" s="21"/>
      <c r="P777" s="21"/>
      <c r="Q777" s="21"/>
      <c r="R777" s="21"/>
      <c r="S777" s="21"/>
      <c r="T777" s="21"/>
      <c r="U777" s="21"/>
      <c r="V777" s="21"/>
      <c r="W777" s="21"/>
      <c r="X777" s="21"/>
      <c r="Y777" s="21"/>
      <c r="Z777" s="21"/>
    </row>
    <row r="778" spans="1:26" ht="15.75" customHeight="1" x14ac:dyDescent="0.25">
      <c r="A778" s="11"/>
      <c r="B778" s="22">
        <v>45938</v>
      </c>
      <c r="C778" s="11">
        <v>1533</v>
      </c>
      <c r="D778" s="11" t="s">
        <v>44</v>
      </c>
      <c r="E778" s="11">
        <v>4714047416</v>
      </c>
      <c r="F778" s="11"/>
      <c r="G778" s="190" t="s">
        <v>3470</v>
      </c>
      <c r="H778" s="11" t="s">
        <v>2292</v>
      </c>
      <c r="I778" s="25">
        <v>1</v>
      </c>
      <c r="J778" s="21"/>
      <c r="K778" s="21"/>
      <c r="L778" s="21"/>
      <c r="M778" s="21"/>
      <c r="N778" s="21"/>
      <c r="O778" s="21"/>
      <c r="P778" s="21"/>
      <c r="Q778" s="21"/>
      <c r="R778" s="21"/>
      <c r="S778" s="21"/>
      <c r="T778" s="21"/>
      <c r="U778" s="21"/>
      <c r="V778" s="21"/>
      <c r="W778" s="21"/>
      <c r="X778" s="21"/>
      <c r="Y778" s="21"/>
      <c r="Z778" s="21"/>
    </row>
    <row r="779" spans="1:26" ht="15.75" customHeight="1" x14ac:dyDescent="0.25">
      <c r="A779" s="11"/>
      <c r="B779" s="22">
        <v>45939</v>
      </c>
      <c r="C779" s="11">
        <v>1534</v>
      </c>
      <c r="D779" s="11" t="s">
        <v>3140</v>
      </c>
      <c r="E779" s="11" t="s">
        <v>3471</v>
      </c>
      <c r="F779" s="11"/>
      <c r="G779" s="190" t="s">
        <v>3472</v>
      </c>
      <c r="H779" s="11" t="s">
        <v>2292</v>
      </c>
      <c r="I779" s="25">
        <v>1</v>
      </c>
      <c r="J779" s="21"/>
      <c r="K779" s="21"/>
      <c r="L779" s="21"/>
      <c r="M779" s="21"/>
      <c r="N779" s="21"/>
      <c r="O779" s="21"/>
      <c r="P779" s="21"/>
      <c r="Q779" s="21"/>
      <c r="R779" s="21"/>
      <c r="S779" s="21"/>
      <c r="T779" s="21"/>
      <c r="U779" s="21"/>
      <c r="V779" s="21"/>
      <c r="W779" s="21"/>
      <c r="X779" s="21"/>
      <c r="Y779" s="21"/>
      <c r="Z779" s="21"/>
    </row>
    <row r="780" spans="1:26" ht="15.75" customHeight="1" x14ac:dyDescent="0.25">
      <c r="A780" s="11"/>
      <c r="B780" s="22">
        <v>45940</v>
      </c>
      <c r="C780" s="11">
        <v>1535</v>
      </c>
      <c r="D780" s="11" t="s">
        <v>4</v>
      </c>
      <c r="E780" s="11" t="s">
        <v>2923</v>
      </c>
      <c r="F780" s="11"/>
      <c r="G780" s="190" t="s">
        <v>3474</v>
      </c>
      <c r="H780" s="11" t="s">
        <v>3473</v>
      </c>
      <c r="I780" s="25" t="s">
        <v>3473</v>
      </c>
      <c r="J780" s="21"/>
      <c r="K780" s="21"/>
      <c r="L780" s="21"/>
      <c r="M780" s="21"/>
      <c r="N780" s="21"/>
      <c r="O780" s="21"/>
      <c r="P780" s="21"/>
      <c r="Q780" s="21"/>
      <c r="R780" s="21"/>
      <c r="S780" s="21"/>
      <c r="T780" s="21"/>
      <c r="U780" s="21"/>
      <c r="V780" s="21"/>
      <c r="W780" s="21"/>
      <c r="X780" s="21"/>
      <c r="Y780" s="21"/>
      <c r="Z780" s="21"/>
    </row>
    <row r="781" spans="1:26" ht="15.75" customHeight="1" x14ac:dyDescent="0.25">
      <c r="A781" s="11"/>
      <c r="B781" s="22">
        <v>45943</v>
      </c>
      <c r="C781" s="11">
        <v>1536</v>
      </c>
      <c r="D781" s="11" t="s">
        <v>4</v>
      </c>
      <c r="E781" s="11" t="s">
        <v>2923</v>
      </c>
      <c r="F781" s="11"/>
      <c r="G781" s="190" t="s">
        <v>3476</v>
      </c>
      <c r="H781" s="11" t="s">
        <v>3475</v>
      </c>
      <c r="I781" s="25" t="s">
        <v>3475</v>
      </c>
      <c r="J781" s="21"/>
      <c r="K781" s="21"/>
      <c r="L781" s="21"/>
      <c r="M781" s="21"/>
      <c r="N781" s="21"/>
      <c r="O781" s="21"/>
      <c r="P781" s="21"/>
      <c r="Q781" s="21"/>
      <c r="R781" s="21"/>
      <c r="S781" s="21"/>
      <c r="T781" s="21"/>
      <c r="U781" s="21"/>
      <c r="V781" s="21"/>
      <c r="W781" s="21"/>
      <c r="X781" s="21"/>
      <c r="Y781" s="21"/>
      <c r="Z781" s="21"/>
    </row>
    <row r="782" spans="1:26" ht="15.75" customHeight="1" x14ac:dyDescent="0.25">
      <c r="A782" s="11"/>
      <c r="B782" s="22">
        <v>45943</v>
      </c>
      <c r="C782" s="11">
        <v>1537</v>
      </c>
      <c r="D782" s="11" t="s">
        <v>66</v>
      </c>
      <c r="E782" s="11" t="s">
        <v>2405</v>
      </c>
      <c r="F782" s="11"/>
      <c r="G782" s="190" t="s">
        <v>3477</v>
      </c>
      <c r="H782" s="11" t="s">
        <v>129</v>
      </c>
      <c r="I782" s="25" t="s">
        <v>129</v>
      </c>
      <c r="J782" s="21"/>
      <c r="K782" s="21"/>
      <c r="L782" s="21"/>
      <c r="M782" s="21"/>
      <c r="N782" s="21"/>
      <c r="O782" s="21"/>
      <c r="P782" s="21"/>
      <c r="Q782" s="21"/>
      <c r="R782" s="21"/>
      <c r="S782" s="21"/>
      <c r="T782" s="21"/>
      <c r="U782" s="21"/>
      <c r="V782" s="21"/>
      <c r="W782" s="21"/>
      <c r="X782" s="21"/>
      <c r="Y782" s="21"/>
      <c r="Z782" s="21"/>
    </row>
    <row r="783" spans="1:26" ht="15.75" customHeight="1" x14ac:dyDescent="0.25">
      <c r="A783" s="11"/>
      <c r="B783" s="22">
        <v>45944</v>
      </c>
      <c r="C783" s="11">
        <v>1538</v>
      </c>
      <c r="D783" s="11" t="s">
        <v>2971</v>
      </c>
      <c r="E783" s="11" t="s">
        <v>3478</v>
      </c>
      <c r="F783" s="11"/>
      <c r="G783" s="190" t="s">
        <v>3480</v>
      </c>
      <c r="H783" s="11" t="s">
        <v>2292</v>
      </c>
      <c r="I783" s="25">
        <v>1</v>
      </c>
      <c r="J783" s="21"/>
      <c r="K783" s="21"/>
      <c r="L783" s="21"/>
      <c r="M783" s="21"/>
      <c r="N783" s="21"/>
      <c r="O783" s="21"/>
      <c r="P783" s="21"/>
      <c r="Q783" s="21"/>
      <c r="R783" s="21"/>
      <c r="S783" s="21"/>
      <c r="T783" s="21"/>
      <c r="U783" s="21"/>
      <c r="V783" s="21"/>
      <c r="W783" s="21"/>
      <c r="X783" s="21"/>
      <c r="Y783" s="21"/>
      <c r="Z783" s="21"/>
    </row>
    <row r="784" spans="1:26" ht="15.75" customHeight="1" x14ac:dyDescent="0.25">
      <c r="A784" s="11"/>
      <c r="B784" s="22">
        <v>45946</v>
      </c>
      <c r="C784" s="11">
        <v>1539</v>
      </c>
      <c r="D784" s="11" t="s">
        <v>2971</v>
      </c>
      <c r="E784" s="11" t="s">
        <v>3479</v>
      </c>
      <c r="F784" s="11"/>
      <c r="G784" s="190" t="s">
        <v>3481</v>
      </c>
      <c r="H784" s="11" t="s">
        <v>2292</v>
      </c>
      <c r="I784" s="25">
        <v>1</v>
      </c>
      <c r="J784" s="21"/>
      <c r="K784" s="21"/>
      <c r="L784" s="21"/>
      <c r="M784" s="21"/>
      <c r="N784" s="21"/>
      <c r="O784" s="21"/>
      <c r="P784" s="21"/>
      <c r="Q784" s="21"/>
      <c r="R784" s="21"/>
      <c r="S784" s="21"/>
      <c r="T784" s="21"/>
      <c r="U784" s="21"/>
      <c r="V784" s="21"/>
      <c r="W784" s="21"/>
      <c r="X784" s="21"/>
      <c r="Y784" s="21"/>
      <c r="Z784" s="21"/>
    </row>
    <row r="785" spans="1:26" ht="15.75" customHeight="1" x14ac:dyDescent="0.25">
      <c r="A785" s="11"/>
      <c r="B785" s="22">
        <v>45947</v>
      </c>
      <c r="C785" s="11">
        <v>1540</v>
      </c>
      <c r="D785" s="11" t="s">
        <v>2971</v>
      </c>
      <c r="E785" s="11" t="s">
        <v>3482</v>
      </c>
      <c r="F785" s="11"/>
      <c r="G785" s="190" t="s">
        <v>3483</v>
      </c>
      <c r="H785" s="11" t="s">
        <v>2306</v>
      </c>
      <c r="I785" s="25">
        <v>7</v>
      </c>
      <c r="J785" s="21"/>
      <c r="K785" s="21"/>
      <c r="L785" s="21"/>
      <c r="M785" s="21"/>
      <c r="N785" s="21"/>
      <c r="O785" s="21"/>
      <c r="P785" s="21"/>
      <c r="Q785" s="21"/>
      <c r="R785" s="21"/>
      <c r="S785" s="21"/>
      <c r="T785" s="21"/>
      <c r="U785" s="21"/>
      <c r="V785" s="21"/>
      <c r="W785" s="21"/>
      <c r="X785" s="21"/>
      <c r="Y785" s="21"/>
      <c r="Z785" s="21"/>
    </row>
    <row r="786" spans="1:26" ht="15.75" customHeight="1" x14ac:dyDescent="0.25">
      <c r="A786" s="11"/>
      <c r="B786" s="22">
        <v>45947</v>
      </c>
      <c r="C786" s="11">
        <v>1541</v>
      </c>
      <c r="D786" s="11" t="s">
        <v>66</v>
      </c>
      <c r="E786" s="11" t="s">
        <v>3484</v>
      </c>
      <c r="F786" s="11"/>
      <c r="G786" s="190" t="s">
        <v>3485</v>
      </c>
      <c r="H786" s="11" t="s">
        <v>2292</v>
      </c>
      <c r="I786" s="25">
        <v>1</v>
      </c>
      <c r="J786" s="21"/>
      <c r="K786" s="21"/>
      <c r="L786" s="21"/>
      <c r="M786" s="21"/>
      <c r="N786" s="21"/>
      <c r="O786" s="21"/>
      <c r="P786" s="21"/>
      <c r="Q786" s="21"/>
      <c r="R786" s="21"/>
      <c r="S786" s="21"/>
      <c r="T786" s="21"/>
      <c r="U786" s="21"/>
      <c r="V786" s="21"/>
      <c r="W786" s="21"/>
      <c r="X786" s="21"/>
      <c r="Y786" s="21"/>
      <c r="Z786" s="21"/>
    </row>
    <row r="787" spans="1:26" ht="15.75" customHeight="1" x14ac:dyDescent="0.25">
      <c r="A787" s="11"/>
      <c r="B787" s="22">
        <v>45951</v>
      </c>
      <c r="C787" s="11">
        <v>1542</v>
      </c>
      <c r="D787" s="11" t="s">
        <v>2298</v>
      </c>
      <c r="E787" s="11" t="s">
        <v>3486</v>
      </c>
      <c r="F787" s="11"/>
      <c r="G787" s="190" t="s">
        <v>3488</v>
      </c>
      <c r="H787" s="11" t="s">
        <v>3487</v>
      </c>
      <c r="I787" s="25" t="s">
        <v>3487</v>
      </c>
      <c r="J787" s="21"/>
      <c r="K787" s="21"/>
      <c r="L787" s="21"/>
      <c r="M787" s="21"/>
      <c r="N787" s="21"/>
      <c r="O787" s="21"/>
      <c r="P787" s="21"/>
      <c r="Q787" s="21"/>
      <c r="R787" s="21"/>
      <c r="S787" s="21"/>
      <c r="T787" s="21"/>
      <c r="U787" s="21"/>
      <c r="V787" s="21"/>
      <c r="W787" s="21"/>
      <c r="X787" s="21"/>
      <c r="Y787" s="21"/>
      <c r="Z787" s="21"/>
    </row>
    <row r="788" spans="1:26" ht="15.75" customHeight="1" x14ac:dyDescent="0.25">
      <c r="A788" s="11"/>
      <c r="B788" s="22">
        <v>45951</v>
      </c>
      <c r="C788" s="11">
        <v>1542</v>
      </c>
      <c r="D788" s="11" t="s">
        <v>2298</v>
      </c>
      <c r="E788" s="11" t="s">
        <v>3486</v>
      </c>
      <c r="F788" s="11" t="s">
        <v>2230</v>
      </c>
      <c r="G788" s="190" t="s">
        <v>3489</v>
      </c>
      <c r="H788" s="11" t="s">
        <v>2292</v>
      </c>
      <c r="I788" s="25">
        <v>1</v>
      </c>
      <c r="J788" s="21"/>
      <c r="K788" s="21"/>
      <c r="L788" s="21"/>
      <c r="M788" s="21"/>
      <c r="N788" s="21"/>
      <c r="O788" s="21"/>
      <c r="P788" s="21"/>
      <c r="Q788" s="21"/>
      <c r="R788" s="21"/>
      <c r="S788" s="21"/>
      <c r="T788" s="21"/>
      <c r="U788" s="21"/>
      <c r="V788" s="21"/>
      <c r="W788" s="21"/>
      <c r="X788" s="21"/>
      <c r="Y788" s="21"/>
      <c r="Z788" s="21"/>
    </row>
    <row r="789" spans="1:26" ht="15.75" customHeight="1" x14ac:dyDescent="0.25">
      <c r="A789" s="11"/>
      <c r="B789" s="22">
        <v>45953</v>
      </c>
      <c r="C789" s="11">
        <v>1543</v>
      </c>
      <c r="D789" s="11" t="s">
        <v>2298</v>
      </c>
      <c r="E789" s="11" t="s">
        <v>3490</v>
      </c>
      <c r="F789" s="11"/>
      <c r="G789" s="190" t="s">
        <v>3491</v>
      </c>
      <c r="H789" s="11" t="s">
        <v>2292</v>
      </c>
      <c r="I789" s="25">
        <v>1</v>
      </c>
      <c r="J789" s="21"/>
      <c r="K789" s="21"/>
      <c r="L789" s="21"/>
      <c r="M789" s="21"/>
      <c r="N789" s="21"/>
      <c r="O789" s="21"/>
      <c r="P789" s="21"/>
      <c r="Q789" s="21"/>
      <c r="R789" s="21"/>
      <c r="S789" s="21"/>
      <c r="T789" s="21"/>
      <c r="U789" s="21"/>
      <c r="V789" s="21"/>
      <c r="W789" s="21"/>
      <c r="X789" s="21"/>
      <c r="Y789" s="21"/>
      <c r="Z789" s="21"/>
    </row>
    <row r="790" spans="1:26" ht="15.75" customHeight="1" x14ac:dyDescent="0.25">
      <c r="A790" s="11"/>
      <c r="B790" s="22">
        <v>45954</v>
      </c>
      <c r="C790" s="11">
        <v>1544</v>
      </c>
      <c r="D790" s="11" t="s">
        <v>2971</v>
      </c>
      <c r="E790" s="11" t="s">
        <v>3492</v>
      </c>
      <c r="F790" s="11"/>
      <c r="G790" s="190" t="s">
        <v>3493</v>
      </c>
      <c r="H790" s="11" t="s">
        <v>2306</v>
      </c>
      <c r="I790" s="25">
        <v>7</v>
      </c>
      <c r="J790" s="21"/>
      <c r="K790" s="21"/>
      <c r="L790" s="21"/>
      <c r="M790" s="21"/>
      <c r="N790" s="21"/>
      <c r="O790" s="21"/>
      <c r="P790" s="21"/>
      <c r="Q790" s="21"/>
      <c r="R790" s="21"/>
      <c r="S790" s="21"/>
      <c r="T790" s="21"/>
      <c r="U790" s="21"/>
      <c r="V790" s="21"/>
      <c r="W790" s="21"/>
      <c r="X790" s="21"/>
      <c r="Y790" s="21"/>
      <c r="Z790" s="21"/>
    </row>
    <row r="791" spans="1:26" ht="15.75" customHeight="1" x14ac:dyDescent="0.25">
      <c r="A791" s="11"/>
      <c r="B791" s="22">
        <v>45955</v>
      </c>
      <c r="C791" s="11">
        <v>1545</v>
      </c>
      <c r="D791" s="11" t="s">
        <v>66</v>
      </c>
      <c r="E791" s="11" t="s">
        <v>2405</v>
      </c>
      <c r="F791" s="11"/>
      <c r="G791" s="190" t="s">
        <v>3494</v>
      </c>
      <c r="H791" s="11" t="s">
        <v>2292</v>
      </c>
      <c r="I791" s="25">
        <v>1</v>
      </c>
      <c r="J791" s="21"/>
      <c r="K791" s="21"/>
      <c r="L791" s="21"/>
      <c r="M791" s="21"/>
      <c r="N791" s="21"/>
      <c r="O791" s="21"/>
      <c r="P791" s="21"/>
      <c r="Q791" s="21"/>
      <c r="R791" s="21"/>
      <c r="S791" s="21"/>
      <c r="T791" s="21"/>
      <c r="U791" s="21"/>
      <c r="V791" s="21"/>
      <c r="W791" s="21"/>
      <c r="X791" s="21"/>
      <c r="Y791" s="21"/>
      <c r="Z791" s="21"/>
    </row>
    <row r="792" spans="1:26" ht="15.75" customHeight="1" x14ac:dyDescent="0.25">
      <c r="A792" s="11"/>
      <c r="B792" s="22">
        <v>45958</v>
      </c>
      <c r="C792" s="11">
        <v>1546</v>
      </c>
      <c r="D792" s="11" t="s">
        <v>63</v>
      </c>
      <c r="E792" s="11" t="s">
        <v>3495</v>
      </c>
      <c r="F792" s="11"/>
      <c r="G792" s="190" t="s">
        <v>3496</v>
      </c>
      <c r="H792" s="11" t="s">
        <v>2292</v>
      </c>
      <c r="I792" s="25">
        <v>1</v>
      </c>
      <c r="J792" s="21"/>
      <c r="K792" s="21"/>
      <c r="L792" s="21"/>
      <c r="M792" s="21"/>
      <c r="N792" s="21"/>
      <c r="O792" s="21"/>
      <c r="P792" s="21"/>
      <c r="Q792" s="21"/>
      <c r="R792" s="21"/>
      <c r="S792" s="21"/>
      <c r="T792" s="21"/>
      <c r="U792" s="21"/>
      <c r="V792" s="21"/>
      <c r="W792" s="21"/>
      <c r="X792" s="21"/>
      <c r="Y792" s="21"/>
      <c r="Z792" s="21"/>
    </row>
    <row r="793" spans="1:26" ht="15.75" customHeight="1" x14ac:dyDescent="0.25">
      <c r="A793" s="11"/>
      <c r="B793" s="22">
        <v>45960</v>
      </c>
      <c r="C793" s="11">
        <v>1547</v>
      </c>
      <c r="D793" s="11" t="s">
        <v>2971</v>
      </c>
      <c r="E793" s="11">
        <v>25901416</v>
      </c>
      <c r="F793" s="11"/>
      <c r="G793" s="190" t="s">
        <v>3498</v>
      </c>
      <c r="H793" s="11" t="s">
        <v>3497</v>
      </c>
      <c r="I793" s="25" t="s">
        <v>3497</v>
      </c>
      <c r="J793" s="21"/>
      <c r="K793" s="21"/>
      <c r="L793" s="21"/>
      <c r="M793" s="21"/>
      <c r="N793" s="21"/>
      <c r="O793" s="21"/>
      <c r="P793" s="21"/>
      <c r="Q793" s="21"/>
      <c r="R793" s="21"/>
      <c r="S793" s="21"/>
      <c r="T793" s="21"/>
      <c r="U793" s="21"/>
      <c r="V793" s="21"/>
      <c r="W793" s="21"/>
      <c r="X793" s="21"/>
      <c r="Y793" s="21"/>
      <c r="Z793" s="21"/>
    </row>
    <row r="794" spans="1:26" ht="15.75" customHeight="1" x14ac:dyDescent="0.25">
      <c r="A794" s="11"/>
      <c r="B794" s="22">
        <v>45960</v>
      </c>
      <c r="C794" s="11">
        <v>1548</v>
      </c>
      <c r="D794" s="11" t="s">
        <v>2971</v>
      </c>
      <c r="E794" s="11" t="s">
        <v>3499</v>
      </c>
      <c r="F794" s="11"/>
      <c r="G794" s="190" t="s">
        <v>3500</v>
      </c>
      <c r="H794" s="11" t="s">
        <v>2292</v>
      </c>
      <c r="I794" s="25">
        <v>1</v>
      </c>
      <c r="J794" s="21"/>
      <c r="K794" s="21"/>
      <c r="L794" s="21"/>
      <c r="M794" s="21"/>
      <c r="N794" s="21"/>
      <c r="O794" s="21"/>
      <c r="P794" s="21"/>
      <c r="Q794" s="21"/>
      <c r="R794" s="21"/>
      <c r="S794" s="21"/>
      <c r="T794" s="21"/>
      <c r="U794" s="21"/>
      <c r="V794" s="21"/>
      <c r="W794" s="21"/>
      <c r="X794" s="21"/>
      <c r="Y794" s="21"/>
      <c r="Z794" s="21"/>
    </row>
    <row r="795" spans="1:26" ht="15.75" customHeight="1" x14ac:dyDescent="0.25">
      <c r="A795" s="11"/>
      <c r="B795" s="22">
        <v>45961</v>
      </c>
      <c r="C795" s="11">
        <v>1549</v>
      </c>
      <c r="D795" s="11" t="s">
        <v>2298</v>
      </c>
      <c r="E795" s="11" t="s">
        <v>3435</v>
      </c>
      <c r="F795" s="11"/>
      <c r="G795" s="190" t="s">
        <v>3502</v>
      </c>
      <c r="H795" s="11" t="s">
        <v>3501</v>
      </c>
      <c r="I795" s="25" t="s">
        <v>3501</v>
      </c>
      <c r="J795" s="21"/>
      <c r="K795" s="21"/>
      <c r="L795" s="21"/>
      <c r="M795" s="21"/>
      <c r="N795" s="21"/>
      <c r="O795" s="21"/>
      <c r="P795" s="21"/>
      <c r="Q795" s="21"/>
      <c r="R795" s="21"/>
      <c r="S795" s="21"/>
      <c r="T795" s="21"/>
      <c r="U795" s="21"/>
      <c r="V795" s="21"/>
      <c r="W795" s="21"/>
      <c r="X795" s="21"/>
      <c r="Y795" s="21"/>
      <c r="Z795" s="21"/>
    </row>
    <row r="796" spans="1:26" ht="15.75" customHeight="1" x14ac:dyDescent="0.25">
      <c r="A796" s="11"/>
      <c r="B796" s="22">
        <v>45961</v>
      </c>
      <c r="C796" s="11">
        <v>1550</v>
      </c>
      <c r="D796" s="11" t="s">
        <v>2298</v>
      </c>
      <c r="E796" s="11" t="s">
        <v>3346</v>
      </c>
      <c r="F796" s="11"/>
      <c r="G796" s="190" t="s">
        <v>3504</v>
      </c>
      <c r="H796" s="11" t="s">
        <v>3503</v>
      </c>
      <c r="I796" s="25" t="s">
        <v>3503</v>
      </c>
      <c r="J796" s="21"/>
      <c r="K796" s="21"/>
      <c r="L796" s="21"/>
      <c r="M796" s="21"/>
      <c r="N796" s="21"/>
      <c r="O796" s="21"/>
      <c r="P796" s="21"/>
      <c r="Q796" s="21"/>
      <c r="R796" s="21"/>
      <c r="S796" s="21"/>
      <c r="T796" s="21"/>
      <c r="U796" s="21"/>
      <c r="V796" s="21"/>
      <c r="W796" s="21"/>
      <c r="X796" s="21"/>
      <c r="Y796" s="21"/>
      <c r="Z796" s="21"/>
    </row>
    <row r="797" spans="1:26" ht="15.75" customHeight="1" x14ac:dyDescent="0.25">
      <c r="A797" s="11"/>
      <c r="B797" s="22">
        <v>45961</v>
      </c>
      <c r="C797" s="11">
        <v>1551</v>
      </c>
      <c r="D797" s="11" t="s">
        <v>66</v>
      </c>
      <c r="E797" s="11" t="s">
        <v>3505</v>
      </c>
      <c r="F797" s="11"/>
      <c r="G797" s="190" t="s">
        <v>3506</v>
      </c>
      <c r="H797" s="11" t="s">
        <v>2292</v>
      </c>
      <c r="I797" s="25">
        <v>1</v>
      </c>
      <c r="J797" s="21"/>
      <c r="K797" s="21"/>
      <c r="L797" s="21"/>
      <c r="M797" s="21"/>
      <c r="N797" s="21"/>
      <c r="O797" s="21"/>
      <c r="P797" s="21"/>
      <c r="Q797" s="21"/>
      <c r="R797" s="21"/>
      <c r="S797" s="21"/>
      <c r="T797" s="21"/>
      <c r="U797" s="21"/>
      <c r="V797" s="21"/>
      <c r="W797" s="21"/>
      <c r="X797" s="21"/>
      <c r="Y797" s="21"/>
      <c r="Z797" s="21"/>
    </row>
    <row r="798" spans="1:26" ht="15.75" customHeight="1" x14ac:dyDescent="0.25">
      <c r="A798" s="11"/>
      <c r="B798" s="22">
        <v>45962</v>
      </c>
      <c r="C798" s="11">
        <v>1552</v>
      </c>
      <c r="D798" s="11" t="s">
        <v>66</v>
      </c>
      <c r="E798" s="11" t="s">
        <v>3507</v>
      </c>
      <c r="F798" s="11"/>
      <c r="G798" s="190" t="s">
        <v>3509</v>
      </c>
      <c r="H798" s="11" t="s">
        <v>3508</v>
      </c>
      <c r="I798" s="25" t="s">
        <v>3508</v>
      </c>
      <c r="J798" s="21"/>
      <c r="K798" s="21"/>
      <c r="L798" s="21"/>
      <c r="M798" s="21"/>
      <c r="N798" s="21"/>
      <c r="O798" s="21"/>
      <c r="P798" s="21"/>
      <c r="Q798" s="21"/>
      <c r="R798" s="21"/>
      <c r="S798" s="21"/>
      <c r="T798" s="21"/>
      <c r="U798" s="21"/>
      <c r="V798" s="21"/>
      <c r="W798" s="21"/>
      <c r="X798" s="21"/>
      <c r="Y798" s="21"/>
      <c r="Z798" s="21"/>
    </row>
    <row r="799" spans="1:26" ht="15.75" customHeight="1" x14ac:dyDescent="0.25">
      <c r="A799" s="11"/>
      <c r="B799" s="22">
        <v>45964</v>
      </c>
      <c r="C799" s="11">
        <v>1553</v>
      </c>
      <c r="D799" s="11" t="s">
        <v>63</v>
      </c>
      <c r="E799" s="11" t="s">
        <v>3441</v>
      </c>
      <c r="F799" s="11"/>
      <c r="G799" s="190" t="s">
        <v>3511</v>
      </c>
      <c r="H799" s="11" t="s">
        <v>3510</v>
      </c>
      <c r="I799" s="25" t="s">
        <v>3510</v>
      </c>
      <c r="J799" s="21"/>
      <c r="K799" s="21"/>
      <c r="L799" s="21"/>
      <c r="M799" s="21"/>
      <c r="N799" s="21"/>
      <c r="O799" s="21"/>
      <c r="P799" s="21"/>
      <c r="Q799" s="21"/>
      <c r="R799" s="21"/>
      <c r="S799" s="21"/>
      <c r="T799" s="21"/>
      <c r="U799" s="21"/>
      <c r="V799" s="21"/>
      <c r="W799" s="21"/>
      <c r="X799" s="21"/>
      <c r="Y799" s="21"/>
      <c r="Z799" s="21"/>
    </row>
    <row r="800" spans="1:26" ht="15.75" customHeight="1" x14ac:dyDescent="0.25">
      <c r="A800" s="11"/>
      <c r="B800" s="22">
        <v>45964</v>
      </c>
      <c r="C800" s="11">
        <v>1554</v>
      </c>
      <c r="D800" s="11" t="s">
        <v>66</v>
      </c>
      <c r="E800" s="11" t="s">
        <v>3512</v>
      </c>
      <c r="F800" s="11"/>
      <c r="G800" s="190" t="s">
        <v>3514</v>
      </c>
      <c r="H800" s="11" t="s">
        <v>2292</v>
      </c>
      <c r="I800" s="25">
        <v>1</v>
      </c>
      <c r="J800" s="21"/>
      <c r="K800" s="21"/>
      <c r="L800" s="21"/>
      <c r="M800" s="21"/>
      <c r="N800" s="21"/>
      <c r="O800" s="21"/>
      <c r="P800" s="21"/>
      <c r="Q800" s="21"/>
      <c r="R800" s="21"/>
      <c r="S800" s="21"/>
      <c r="T800" s="21"/>
      <c r="U800" s="21"/>
      <c r="V800" s="21"/>
      <c r="W800" s="21"/>
      <c r="X800" s="21"/>
      <c r="Y800" s="21"/>
      <c r="Z800" s="21"/>
    </row>
    <row r="801" spans="1:26" ht="15.75" customHeight="1" x14ac:dyDescent="0.25">
      <c r="A801" s="11"/>
      <c r="B801" s="22">
        <v>45965</v>
      </c>
      <c r="C801" s="11">
        <v>1555</v>
      </c>
      <c r="D801" s="11" t="s">
        <v>4</v>
      </c>
      <c r="E801" s="11" t="s">
        <v>3513</v>
      </c>
      <c r="F801" s="11"/>
      <c r="G801" s="190" t="s">
        <v>3515</v>
      </c>
      <c r="H801" s="11" t="s">
        <v>2306</v>
      </c>
      <c r="I801" s="25">
        <v>7</v>
      </c>
      <c r="J801" s="21"/>
      <c r="K801" s="21"/>
      <c r="L801" s="21"/>
      <c r="M801" s="21"/>
      <c r="N801" s="21"/>
      <c r="O801" s="21"/>
      <c r="P801" s="21"/>
      <c r="Q801" s="21"/>
      <c r="R801" s="21"/>
      <c r="S801" s="21"/>
      <c r="T801" s="21"/>
      <c r="U801" s="21"/>
      <c r="V801" s="21"/>
      <c r="W801" s="21"/>
      <c r="X801" s="21"/>
      <c r="Y801" s="21"/>
      <c r="Z801" s="21"/>
    </row>
    <row r="802" spans="1:26" ht="15.75" customHeight="1" x14ac:dyDescent="0.25">
      <c r="A802" s="11"/>
      <c r="B802" s="22">
        <v>45967</v>
      </c>
      <c r="C802" s="11">
        <v>1555</v>
      </c>
      <c r="D802" s="11" t="s">
        <v>4</v>
      </c>
      <c r="E802" s="11" t="s">
        <v>3513</v>
      </c>
      <c r="F802" s="11"/>
      <c r="G802" s="190" t="s">
        <v>3515</v>
      </c>
      <c r="H802" s="11" t="s">
        <v>2306</v>
      </c>
      <c r="I802" s="25">
        <v>7</v>
      </c>
      <c r="J802" s="21"/>
      <c r="K802" s="21"/>
      <c r="L802" s="21"/>
      <c r="M802" s="21"/>
      <c r="N802" s="21"/>
      <c r="O802" s="21"/>
      <c r="P802" s="21"/>
      <c r="Q802" s="21"/>
      <c r="R802" s="21"/>
      <c r="S802" s="21"/>
      <c r="T802" s="21"/>
      <c r="U802" s="21"/>
      <c r="V802" s="21"/>
      <c r="W802" s="21"/>
      <c r="X802" s="21"/>
      <c r="Y802" s="21"/>
      <c r="Z802" s="21"/>
    </row>
    <row r="803" spans="1:26" ht="15.75" customHeight="1" x14ac:dyDescent="0.25">
      <c r="A803" s="11"/>
      <c r="B803" s="22">
        <v>45965</v>
      </c>
      <c r="C803" s="11">
        <v>1556</v>
      </c>
      <c r="D803" s="11" t="s">
        <v>2298</v>
      </c>
      <c r="E803" s="11" t="s">
        <v>3517</v>
      </c>
      <c r="F803" s="11"/>
      <c r="G803" s="190" t="s">
        <v>3518</v>
      </c>
      <c r="H803" s="11" t="s">
        <v>3516</v>
      </c>
      <c r="I803" s="25" t="s">
        <v>3516</v>
      </c>
      <c r="J803" s="21"/>
      <c r="K803" s="21"/>
      <c r="L803" s="21"/>
      <c r="M803" s="21"/>
      <c r="N803" s="21"/>
      <c r="O803" s="21"/>
      <c r="P803" s="21"/>
      <c r="Q803" s="21"/>
      <c r="R803" s="21"/>
      <c r="S803" s="21"/>
      <c r="T803" s="21"/>
      <c r="U803" s="21"/>
      <c r="V803" s="21"/>
      <c r="W803" s="21"/>
      <c r="X803" s="21"/>
      <c r="Y803" s="21"/>
      <c r="Z803" s="21"/>
    </row>
    <row r="804" spans="1:26" ht="15.75" customHeight="1" x14ac:dyDescent="0.25">
      <c r="A804" s="11"/>
      <c r="B804" s="22">
        <v>45965</v>
      </c>
      <c r="C804" s="11">
        <v>1557</v>
      </c>
      <c r="D804" s="11" t="s">
        <v>66</v>
      </c>
      <c r="E804" s="11" t="s">
        <v>3519</v>
      </c>
      <c r="F804" s="11"/>
      <c r="G804" s="190" t="s">
        <v>3520</v>
      </c>
      <c r="H804" s="11" t="s">
        <v>2292</v>
      </c>
      <c r="I804" s="25">
        <v>1</v>
      </c>
      <c r="J804" s="21"/>
      <c r="K804" s="21"/>
      <c r="L804" s="21"/>
      <c r="M804" s="21"/>
      <c r="N804" s="21"/>
      <c r="O804" s="21"/>
      <c r="P804" s="21"/>
      <c r="Q804" s="21"/>
      <c r="R804" s="21"/>
      <c r="S804" s="21"/>
      <c r="T804" s="21"/>
      <c r="U804" s="21"/>
      <c r="V804" s="21"/>
      <c r="W804" s="21"/>
      <c r="X804" s="21"/>
      <c r="Y804" s="21"/>
      <c r="Z804" s="21"/>
    </row>
    <row r="805" spans="1:26" ht="15.75" customHeight="1" x14ac:dyDescent="0.25">
      <c r="A805" s="11"/>
      <c r="B805" s="22">
        <v>45965</v>
      </c>
      <c r="C805" s="11">
        <v>1558</v>
      </c>
      <c r="D805" s="11" t="s">
        <v>66</v>
      </c>
      <c r="E805" s="11" t="s">
        <v>3521</v>
      </c>
      <c r="F805" s="11"/>
      <c r="G805" s="190" t="s">
        <v>3522</v>
      </c>
      <c r="H805" s="11" t="s">
        <v>2292</v>
      </c>
      <c r="I805" s="25">
        <v>1</v>
      </c>
      <c r="J805" s="21"/>
      <c r="K805" s="21"/>
      <c r="L805" s="21"/>
      <c r="M805" s="21"/>
      <c r="N805" s="21"/>
      <c r="O805" s="21"/>
      <c r="P805" s="21"/>
      <c r="Q805" s="21"/>
      <c r="R805" s="21"/>
      <c r="S805" s="21"/>
      <c r="T805" s="21"/>
      <c r="U805" s="21"/>
      <c r="V805" s="21"/>
      <c r="W805" s="21"/>
      <c r="X805" s="21"/>
      <c r="Y805" s="21"/>
      <c r="Z805" s="21"/>
    </row>
    <row r="806" spans="1:26" ht="15.75" customHeight="1" x14ac:dyDescent="0.25">
      <c r="A806" s="11"/>
      <c r="B806" s="22">
        <v>45966</v>
      </c>
      <c r="C806" s="11">
        <v>1559</v>
      </c>
      <c r="D806" s="11" t="s">
        <v>2298</v>
      </c>
      <c r="E806" s="11" t="s">
        <v>3517</v>
      </c>
      <c r="F806" s="11"/>
      <c r="G806" s="190" t="s">
        <v>3524</v>
      </c>
      <c r="H806" s="11" t="s">
        <v>3523</v>
      </c>
      <c r="I806" s="25" t="s">
        <v>3523</v>
      </c>
      <c r="J806" s="21"/>
      <c r="K806" s="21"/>
      <c r="L806" s="21"/>
      <c r="M806" s="21"/>
      <c r="N806" s="21"/>
      <c r="O806" s="21"/>
      <c r="P806" s="21"/>
      <c r="Q806" s="21"/>
      <c r="R806" s="21"/>
      <c r="S806" s="21"/>
      <c r="T806" s="21"/>
      <c r="U806" s="21"/>
      <c r="V806" s="21"/>
      <c r="W806" s="21"/>
      <c r="X806" s="21"/>
      <c r="Y806" s="21"/>
      <c r="Z806" s="21"/>
    </row>
    <row r="807" spans="1:26" ht="15.75" customHeight="1" x14ac:dyDescent="0.25">
      <c r="A807" s="11"/>
      <c r="B807" s="22">
        <v>45966</v>
      </c>
      <c r="C807" s="11">
        <v>1560</v>
      </c>
      <c r="D807" s="11" t="s">
        <v>2298</v>
      </c>
      <c r="E807" s="11" t="s">
        <v>3525</v>
      </c>
      <c r="F807" s="11"/>
      <c r="G807" s="190" t="s">
        <v>3526</v>
      </c>
      <c r="H807" s="11" t="s">
        <v>2292</v>
      </c>
      <c r="I807" s="25">
        <v>1</v>
      </c>
      <c r="J807" s="21"/>
      <c r="K807" s="21"/>
      <c r="L807" s="21"/>
      <c r="M807" s="21"/>
      <c r="N807" s="21"/>
      <c r="O807" s="21"/>
      <c r="P807" s="21"/>
      <c r="Q807" s="21"/>
      <c r="R807" s="21"/>
      <c r="S807" s="21"/>
      <c r="T807" s="21"/>
      <c r="U807" s="21"/>
      <c r="V807" s="21"/>
      <c r="W807" s="21"/>
      <c r="X807" s="21"/>
      <c r="Y807" s="21"/>
      <c r="Z807" s="21"/>
    </row>
    <row r="808" spans="1:26" ht="15.75" customHeight="1" x14ac:dyDescent="0.25">
      <c r="A808" s="11"/>
      <c r="B808" s="22">
        <v>45966</v>
      </c>
      <c r="C808" s="11">
        <v>1561</v>
      </c>
      <c r="D808" s="11" t="s">
        <v>2298</v>
      </c>
      <c r="E808" s="11" t="s">
        <v>3527</v>
      </c>
      <c r="F808" s="11"/>
      <c r="G808" s="190" t="s">
        <v>3529</v>
      </c>
      <c r="H808" s="11" t="s">
        <v>3528</v>
      </c>
      <c r="I808" s="25" t="s">
        <v>3528</v>
      </c>
      <c r="J808" s="21"/>
      <c r="K808" s="21"/>
      <c r="L808" s="21"/>
      <c r="M808" s="21"/>
      <c r="N808" s="21"/>
      <c r="O808" s="21"/>
      <c r="P808" s="21"/>
      <c r="Q808" s="21"/>
      <c r="R808" s="21"/>
      <c r="S808" s="21"/>
      <c r="T808" s="21"/>
      <c r="U808" s="21"/>
      <c r="V808" s="21"/>
      <c r="W808" s="21"/>
      <c r="X808" s="21"/>
      <c r="Y808" s="21"/>
      <c r="Z808" s="21"/>
    </row>
    <row r="809" spans="1:26" ht="15.75" customHeight="1" x14ac:dyDescent="0.25">
      <c r="A809" s="11"/>
      <c r="B809" s="22">
        <v>45967</v>
      </c>
      <c r="C809" s="11">
        <v>1562</v>
      </c>
      <c r="D809" s="11" t="s">
        <v>2298</v>
      </c>
      <c r="E809" s="11" t="s">
        <v>3527</v>
      </c>
      <c r="F809" s="11"/>
      <c r="G809" s="190" t="s">
        <v>3531</v>
      </c>
      <c r="H809" s="11" t="s">
        <v>3530</v>
      </c>
      <c r="I809" s="25" t="s">
        <v>3530</v>
      </c>
      <c r="J809" s="21"/>
      <c r="K809" s="21"/>
      <c r="L809" s="21"/>
      <c r="M809" s="21"/>
      <c r="N809" s="21"/>
      <c r="O809" s="21"/>
      <c r="P809" s="21"/>
      <c r="Q809" s="21"/>
      <c r="R809" s="21"/>
      <c r="S809" s="21"/>
      <c r="T809" s="21"/>
      <c r="U809" s="21"/>
      <c r="V809" s="21"/>
      <c r="W809" s="21"/>
      <c r="X809" s="21"/>
      <c r="Y809" s="21"/>
      <c r="Z809" s="21"/>
    </row>
    <row r="810" spans="1:26" ht="15.75" customHeight="1" x14ac:dyDescent="0.25">
      <c r="A810" s="11"/>
      <c r="B810" s="22">
        <v>45967</v>
      </c>
      <c r="C810" s="11">
        <v>1562</v>
      </c>
      <c r="D810" s="11" t="s">
        <v>2298</v>
      </c>
      <c r="E810" s="11" t="s">
        <v>3527</v>
      </c>
      <c r="F810" s="11"/>
      <c r="G810" s="190" t="s">
        <v>3539</v>
      </c>
      <c r="H810" s="11" t="s">
        <v>3538</v>
      </c>
      <c r="I810" s="25" t="s">
        <v>3538</v>
      </c>
      <c r="J810" s="21"/>
      <c r="K810" s="21"/>
      <c r="L810" s="21"/>
      <c r="M810" s="21"/>
      <c r="N810" s="21"/>
      <c r="O810" s="21"/>
      <c r="P810" s="21"/>
      <c r="Q810" s="21"/>
      <c r="R810" s="21"/>
      <c r="S810" s="21"/>
      <c r="T810" s="21"/>
      <c r="U810" s="21"/>
      <c r="V810" s="21"/>
      <c r="W810" s="21"/>
      <c r="X810" s="21"/>
      <c r="Y810" s="21"/>
      <c r="Z810" s="21"/>
    </row>
    <row r="811" spans="1:26" ht="15.75" customHeight="1" x14ac:dyDescent="0.25">
      <c r="A811" s="11"/>
      <c r="B811" s="22">
        <v>45967</v>
      </c>
      <c r="C811" s="11">
        <v>1563</v>
      </c>
      <c r="D811" s="11" t="s">
        <v>2971</v>
      </c>
      <c r="E811" s="11" t="s">
        <v>3532</v>
      </c>
      <c r="F811" s="11"/>
      <c r="G811" s="190" t="s">
        <v>3533</v>
      </c>
      <c r="H811" s="11" t="s">
        <v>2292</v>
      </c>
      <c r="I811" s="25">
        <v>1</v>
      </c>
      <c r="J811" s="21"/>
      <c r="K811" s="21"/>
      <c r="L811" s="21"/>
      <c r="M811" s="21"/>
      <c r="N811" s="21"/>
      <c r="O811" s="21"/>
      <c r="P811" s="21"/>
      <c r="Q811" s="21"/>
      <c r="R811" s="21"/>
      <c r="S811" s="21"/>
      <c r="T811" s="21"/>
      <c r="U811" s="21"/>
      <c r="V811" s="21"/>
      <c r="W811" s="21"/>
      <c r="X811" s="21"/>
      <c r="Y811" s="21"/>
      <c r="Z811" s="21"/>
    </row>
    <row r="812" spans="1:26" ht="15.75" customHeight="1" x14ac:dyDescent="0.25">
      <c r="A812" s="11"/>
      <c r="B812" s="22">
        <v>45967</v>
      </c>
      <c r="C812" s="11">
        <v>1564</v>
      </c>
      <c r="D812" s="11" t="s">
        <v>2971</v>
      </c>
      <c r="E812" s="11" t="s">
        <v>3534</v>
      </c>
      <c r="F812" s="11"/>
      <c r="G812" s="190" t="s">
        <v>3535</v>
      </c>
      <c r="H812" s="11" t="s">
        <v>2292</v>
      </c>
      <c r="I812" s="25">
        <v>1</v>
      </c>
      <c r="J812" s="21"/>
      <c r="K812" s="21"/>
      <c r="L812" s="21"/>
      <c r="M812" s="21"/>
      <c r="N812" s="21"/>
      <c r="O812" s="21"/>
      <c r="P812" s="21"/>
      <c r="Q812" s="21"/>
      <c r="R812" s="21"/>
      <c r="S812" s="21"/>
      <c r="T812" s="21"/>
      <c r="U812" s="21"/>
      <c r="V812" s="21"/>
      <c r="W812" s="21"/>
      <c r="X812" s="21"/>
      <c r="Y812" s="21"/>
      <c r="Z812" s="21"/>
    </row>
    <row r="813" spans="1:26" ht="15.75" customHeight="1" x14ac:dyDescent="0.25">
      <c r="A813" s="11"/>
      <c r="B813" s="22">
        <v>45967</v>
      </c>
      <c r="C813" s="11">
        <v>1565</v>
      </c>
      <c r="D813" s="11" t="s">
        <v>2971</v>
      </c>
      <c r="E813" s="11" t="s">
        <v>3536</v>
      </c>
      <c r="F813" s="11"/>
      <c r="G813" s="190" t="s">
        <v>3537</v>
      </c>
      <c r="H813" s="11" t="s">
        <v>2292</v>
      </c>
      <c r="I813" s="25">
        <v>1</v>
      </c>
      <c r="J813" s="21"/>
      <c r="K813" s="21"/>
      <c r="L813" s="21"/>
      <c r="M813" s="21"/>
      <c r="N813" s="21"/>
      <c r="O813" s="21"/>
      <c r="P813" s="21"/>
      <c r="Q813" s="21"/>
      <c r="R813" s="21"/>
      <c r="S813" s="21"/>
      <c r="T813" s="21"/>
      <c r="U813" s="21"/>
      <c r="V813" s="21"/>
      <c r="W813" s="21"/>
      <c r="X813" s="21"/>
      <c r="Y813" s="21"/>
      <c r="Z813" s="21"/>
    </row>
    <row r="814" spans="1:26" ht="15.75" customHeight="1" x14ac:dyDescent="0.25">
      <c r="A814" s="11"/>
      <c r="B814" s="22">
        <v>45968</v>
      </c>
      <c r="C814" s="11">
        <v>1566</v>
      </c>
      <c r="D814" s="11" t="s">
        <v>2298</v>
      </c>
      <c r="E814" s="11" t="s">
        <v>3517</v>
      </c>
      <c r="F814" s="11"/>
      <c r="G814" s="190" t="s">
        <v>3542</v>
      </c>
      <c r="H814" s="11" t="s">
        <v>3540</v>
      </c>
      <c r="I814" s="25" t="s">
        <v>3540</v>
      </c>
      <c r="J814" s="21"/>
      <c r="K814" s="21"/>
      <c r="L814" s="21"/>
      <c r="M814" s="21"/>
      <c r="N814" s="21"/>
      <c r="O814" s="21"/>
      <c r="P814" s="21"/>
      <c r="Q814" s="21"/>
      <c r="R814" s="21"/>
      <c r="S814" s="21"/>
      <c r="T814" s="21"/>
      <c r="U814" s="21"/>
      <c r="V814" s="21"/>
      <c r="W814" s="21"/>
      <c r="X814" s="21"/>
      <c r="Y814" s="21"/>
      <c r="Z814" s="21"/>
    </row>
    <row r="815" spans="1:26" ht="15.75" customHeight="1" x14ac:dyDescent="0.25">
      <c r="A815" s="11"/>
      <c r="B815" s="22">
        <v>45968</v>
      </c>
      <c r="C815" s="11">
        <v>1567</v>
      </c>
      <c r="D815" s="11" t="s">
        <v>66</v>
      </c>
      <c r="E815" s="11" t="s">
        <v>3541</v>
      </c>
      <c r="F815" s="11"/>
      <c r="G815" s="190" t="s">
        <v>3543</v>
      </c>
      <c r="H815" s="11" t="s">
        <v>2292</v>
      </c>
      <c r="I815" s="25">
        <v>1</v>
      </c>
      <c r="J815" s="21"/>
      <c r="K815" s="21"/>
      <c r="L815" s="21"/>
      <c r="M815" s="21"/>
      <c r="N815" s="21"/>
      <c r="O815" s="21"/>
      <c r="P815" s="21"/>
      <c r="Q815" s="21"/>
      <c r="R815" s="21"/>
      <c r="S815" s="21"/>
      <c r="T815" s="21"/>
      <c r="U815" s="21"/>
      <c r="V815" s="21"/>
      <c r="W815" s="21"/>
      <c r="X815" s="21"/>
      <c r="Y815" s="21"/>
      <c r="Z815" s="21"/>
    </row>
    <row r="816" spans="1:26" ht="15.75" customHeight="1" x14ac:dyDescent="0.25">
      <c r="A816" s="11"/>
      <c r="B816" s="22">
        <v>45968</v>
      </c>
      <c r="C816" s="11">
        <v>1568</v>
      </c>
      <c r="D816" s="11" t="s">
        <v>2971</v>
      </c>
      <c r="E816" s="11" t="s">
        <v>3544</v>
      </c>
      <c r="F816" s="11"/>
      <c r="G816" s="190" t="s">
        <v>3545</v>
      </c>
      <c r="H816" s="11" t="s">
        <v>2306</v>
      </c>
      <c r="I816" s="25">
        <v>7</v>
      </c>
      <c r="J816" s="21"/>
      <c r="K816" s="21"/>
      <c r="L816" s="21"/>
      <c r="M816" s="21"/>
      <c r="N816" s="21"/>
      <c r="O816" s="21"/>
      <c r="P816" s="21"/>
      <c r="Q816" s="21"/>
      <c r="R816" s="21"/>
      <c r="S816" s="21"/>
      <c r="T816" s="21"/>
      <c r="U816" s="21"/>
      <c r="V816" s="21"/>
      <c r="W816" s="21"/>
      <c r="X816" s="21"/>
      <c r="Y816" s="21"/>
      <c r="Z816" s="21"/>
    </row>
    <row r="817" spans="1:26" ht="15.75" customHeight="1" x14ac:dyDescent="0.25">
      <c r="A817" s="11"/>
      <c r="B817" s="22">
        <v>45971</v>
      </c>
      <c r="C817" s="11">
        <v>1569</v>
      </c>
      <c r="D817" s="11" t="s">
        <v>2971</v>
      </c>
      <c r="E817" s="11" t="s">
        <v>3546</v>
      </c>
      <c r="F817" s="11"/>
      <c r="G817" s="190" t="s">
        <v>3547</v>
      </c>
      <c r="H817" s="11" t="s">
        <v>2306</v>
      </c>
      <c r="I817" s="25">
        <v>7</v>
      </c>
      <c r="J817" s="21"/>
      <c r="K817" s="21"/>
      <c r="L817" s="21"/>
      <c r="M817" s="21"/>
      <c r="N817" s="21"/>
      <c r="O817" s="21"/>
      <c r="P817" s="21"/>
      <c r="Q817" s="21"/>
      <c r="R817" s="21"/>
      <c r="S817" s="21"/>
      <c r="T817" s="21"/>
      <c r="U817" s="21"/>
      <c r="V817" s="21"/>
      <c r="W817" s="21"/>
      <c r="X817" s="21"/>
      <c r="Y817" s="21"/>
      <c r="Z817" s="21"/>
    </row>
    <row r="818" spans="1:26" ht="15.75" customHeight="1" x14ac:dyDescent="0.25">
      <c r="A818" s="11"/>
      <c r="B818" s="22">
        <v>45973</v>
      </c>
      <c r="C818" s="11">
        <v>1570</v>
      </c>
      <c r="D818" s="11" t="s">
        <v>44</v>
      </c>
      <c r="E818" s="11">
        <v>4714047724</v>
      </c>
      <c r="F818" s="11"/>
      <c r="G818" s="190" t="s">
        <v>3548</v>
      </c>
      <c r="H818" s="11" t="s">
        <v>2292</v>
      </c>
      <c r="I818" s="25">
        <v>1</v>
      </c>
      <c r="J818" s="21"/>
      <c r="K818" s="21"/>
      <c r="L818" s="21"/>
      <c r="M818" s="21"/>
      <c r="N818" s="21"/>
      <c r="O818" s="21"/>
      <c r="P818" s="21"/>
      <c r="Q818" s="21"/>
      <c r="R818" s="21"/>
      <c r="S818" s="21"/>
      <c r="T818" s="21"/>
      <c r="U818" s="21"/>
      <c r="V818" s="21"/>
      <c r="W818" s="21"/>
      <c r="X818" s="21"/>
      <c r="Y818" s="21"/>
      <c r="Z818" s="21"/>
    </row>
    <row r="819" spans="1:26" ht="15.75" customHeight="1" x14ac:dyDescent="0.25">
      <c r="A819" s="11"/>
      <c r="B819" s="22">
        <v>45978</v>
      </c>
      <c r="C819" s="11">
        <v>1571</v>
      </c>
      <c r="D819" s="11" t="s">
        <v>2298</v>
      </c>
      <c r="E819" s="11" t="s">
        <v>3549</v>
      </c>
      <c r="F819" s="11"/>
      <c r="G819" s="190" t="s">
        <v>3550</v>
      </c>
      <c r="H819" s="11" t="s">
        <v>2292</v>
      </c>
      <c r="I819" s="25">
        <v>1</v>
      </c>
      <c r="J819" s="21"/>
      <c r="K819" s="21"/>
      <c r="L819" s="21"/>
      <c r="M819" s="21"/>
      <c r="N819" s="21"/>
      <c r="O819" s="21"/>
      <c r="P819" s="21"/>
      <c r="Q819" s="21"/>
      <c r="R819" s="21"/>
      <c r="S819" s="21"/>
      <c r="T819" s="21"/>
      <c r="U819" s="21"/>
      <c r="V819" s="21"/>
      <c r="W819" s="21"/>
      <c r="X819" s="21"/>
      <c r="Y819" s="21"/>
      <c r="Z819" s="21"/>
    </row>
    <row r="820" spans="1:26" ht="15.75" customHeight="1" x14ac:dyDescent="0.25">
      <c r="A820" s="11"/>
      <c r="B820" s="22">
        <v>45979</v>
      </c>
      <c r="C820" s="11">
        <v>1572</v>
      </c>
      <c r="D820" s="11" t="s">
        <v>2971</v>
      </c>
      <c r="E820" s="11" t="s">
        <v>3551</v>
      </c>
      <c r="F820" s="11"/>
      <c r="G820" s="190" t="s">
        <v>3552</v>
      </c>
      <c r="H820" s="11" t="s">
        <v>2292</v>
      </c>
      <c r="I820" s="25">
        <v>1</v>
      </c>
      <c r="J820" s="21"/>
      <c r="K820" s="21"/>
      <c r="L820" s="21"/>
      <c r="M820" s="21"/>
      <c r="N820" s="21"/>
      <c r="O820" s="21"/>
      <c r="P820" s="21"/>
      <c r="Q820" s="21"/>
      <c r="R820" s="21"/>
      <c r="S820" s="21"/>
      <c r="T820" s="21"/>
      <c r="U820" s="21"/>
      <c r="V820" s="21"/>
      <c r="W820" s="21"/>
      <c r="X820" s="21"/>
      <c r="Y820" s="21"/>
      <c r="Z820" s="21"/>
    </row>
    <row r="821" spans="1:26" ht="15.75" customHeight="1" x14ac:dyDescent="0.25">
      <c r="A821" s="11"/>
      <c r="B821" s="22">
        <v>45979</v>
      </c>
      <c r="C821" s="11">
        <v>1573</v>
      </c>
      <c r="D821" s="11" t="s">
        <v>2971</v>
      </c>
      <c r="E821" s="11" t="s">
        <v>3553</v>
      </c>
      <c r="F821" s="11"/>
      <c r="G821" s="190" t="s">
        <v>3554</v>
      </c>
      <c r="H821" s="11" t="s">
        <v>2292</v>
      </c>
      <c r="I821" s="25">
        <v>1</v>
      </c>
      <c r="J821" s="21"/>
      <c r="K821" s="21"/>
      <c r="L821" s="21"/>
      <c r="M821" s="21"/>
      <c r="N821" s="21"/>
      <c r="O821" s="21"/>
      <c r="P821" s="21"/>
      <c r="Q821" s="21"/>
      <c r="R821" s="21"/>
      <c r="S821" s="21"/>
      <c r="T821" s="21"/>
      <c r="U821" s="21"/>
      <c r="V821" s="21"/>
      <c r="W821" s="21"/>
      <c r="X821" s="21"/>
      <c r="Y821" s="21"/>
      <c r="Z821" s="21"/>
    </row>
    <row r="822" spans="1:26" ht="15.75" customHeight="1" x14ac:dyDescent="0.25">
      <c r="A822" s="11"/>
      <c r="B822" s="22">
        <v>45979</v>
      </c>
      <c r="C822" s="11">
        <v>1574</v>
      </c>
      <c r="D822" s="11" t="s">
        <v>44</v>
      </c>
      <c r="E822" s="11">
        <v>4714047772</v>
      </c>
      <c r="F822" s="11"/>
      <c r="G822" s="190" t="s">
        <v>3555</v>
      </c>
      <c r="H822" s="11" t="s">
        <v>2306</v>
      </c>
      <c r="I822" s="25">
        <v>7</v>
      </c>
      <c r="J822" s="21"/>
      <c r="K822" s="21"/>
      <c r="L822" s="21"/>
      <c r="M822" s="21"/>
      <c r="N822" s="21"/>
      <c r="O822" s="21"/>
      <c r="P822" s="21"/>
      <c r="Q822" s="21"/>
      <c r="R822" s="21"/>
      <c r="S822" s="21"/>
      <c r="T822" s="21"/>
      <c r="U822" s="21"/>
      <c r="V822" s="21"/>
      <c r="W822" s="21"/>
      <c r="X822" s="21"/>
      <c r="Y822" s="21"/>
      <c r="Z822" s="21"/>
    </row>
    <row r="823" spans="1:26" ht="15.75" customHeight="1" x14ac:dyDescent="0.25">
      <c r="A823" s="11"/>
      <c r="B823" s="22">
        <v>45979</v>
      </c>
      <c r="C823" s="11">
        <v>1574</v>
      </c>
      <c r="D823" s="11" t="s">
        <v>44</v>
      </c>
      <c r="E823" s="11">
        <v>4714047772</v>
      </c>
      <c r="F823" s="11" t="s">
        <v>2230</v>
      </c>
      <c r="G823" s="190" t="s">
        <v>3565</v>
      </c>
      <c r="H823" s="11" t="s">
        <v>2618</v>
      </c>
      <c r="I823" s="25" t="s">
        <v>2618</v>
      </c>
      <c r="J823" s="21"/>
      <c r="K823" s="21"/>
      <c r="L823" s="21"/>
      <c r="M823" s="21"/>
      <c r="N823" s="21"/>
      <c r="O823" s="21"/>
      <c r="P823" s="21"/>
      <c r="Q823" s="21"/>
      <c r="R823" s="21"/>
      <c r="S823" s="21"/>
      <c r="T823" s="21"/>
      <c r="U823" s="21"/>
      <c r="V823" s="21"/>
      <c r="W823" s="21"/>
      <c r="X823" s="21"/>
      <c r="Y823" s="21"/>
      <c r="Z823" s="21"/>
    </row>
    <row r="824" spans="1:26" ht="15.75" customHeight="1" x14ac:dyDescent="0.25">
      <c r="A824" s="11"/>
      <c r="B824" s="22">
        <v>45975</v>
      </c>
      <c r="C824" s="11">
        <v>1575</v>
      </c>
      <c r="D824" s="11" t="s">
        <v>2298</v>
      </c>
      <c r="E824" s="11" t="s">
        <v>53</v>
      </c>
      <c r="F824" s="11"/>
      <c r="G824" s="190" t="s">
        <v>3557</v>
      </c>
      <c r="H824" s="11" t="s">
        <v>2405</v>
      </c>
      <c r="I824" s="25" t="s">
        <v>3559</v>
      </c>
      <c r="J824" s="21"/>
      <c r="K824" s="21"/>
      <c r="L824" s="21"/>
      <c r="M824" s="21"/>
      <c r="N824" s="21"/>
      <c r="O824" s="21"/>
      <c r="P824" s="21"/>
      <c r="Q824" s="21"/>
      <c r="R824" s="21"/>
      <c r="S824" s="21"/>
      <c r="T824" s="21"/>
      <c r="U824" s="21"/>
      <c r="V824" s="21"/>
      <c r="W824" s="21"/>
      <c r="X824" s="21"/>
      <c r="Y824" s="21"/>
      <c r="Z824" s="21"/>
    </row>
    <row r="825" spans="1:26" ht="15.75" customHeight="1" x14ac:dyDescent="0.25">
      <c r="A825" s="11"/>
      <c r="B825" s="22">
        <v>45975</v>
      </c>
      <c r="C825" s="11">
        <v>1575</v>
      </c>
      <c r="D825" s="11" t="s">
        <v>2298</v>
      </c>
      <c r="E825" s="11" t="s">
        <v>3560</v>
      </c>
      <c r="F825" s="11"/>
      <c r="G825" s="190" t="s">
        <v>3561</v>
      </c>
      <c r="H825" s="11" t="s">
        <v>2292</v>
      </c>
      <c r="I825" s="25">
        <v>1</v>
      </c>
      <c r="J825" s="21"/>
      <c r="K825" s="21"/>
      <c r="L825" s="21"/>
      <c r="M825" s="21"/>
      <c r="N825" s="21"/>
      <c r="O825" s="21"/>
      <c r="P825" s="21"/>
      <c r="Q825" s="21"/>
      <c r="R825" s="21"/>
      <c r="S825" s="21"/>
      <c r="T825" s="21"/>
      <c r="U825" s="21"/>
      <c r="V825" s="21"/>
      <c r="W825" s="21"/>
      <c r="X825" s="21"/>
      <c r="Y825" s="21"/>
      <c r="Z825" s="21"/>
    </row>
    <row r="826" spans="1:26" ht="15.75" customHeight="1" x14ac:dyDescent="0.25">
      <c r="A826" s="11"/>
      <c r="B826" s="22">
        <v>45975</v>
      </c>
      <c r="C826" s="11">
        <v>1575</v>
      </c>
      <c r="D826" s="11" t="s">
        <v>2298</v>
      </c>
      <c r="E826" s="11" t="s">
        <v>3560</v>
      </c>
      <c r="F826" s="11"/>
      <c r="G826" s="190" t="s">
        <v>3564</v>
      </c>
      <c r="H826" s="11" t="s">
        <v>3115</v>
      </c>
      <c r="I826" s="25" t="s">
        <v>3115</v>
      </c>
      <c r="J826" s="21"/>
      <c r="K826" s="21"/>
      <c r="L826" s="21"/>
      <c r="M826" s="21"/>
      <c r="N826" s="21"/>
      <c r="O826" s="21"/>
      <c r="P826" s="21"/>
      <c r="Q826" s="21"/>
      <c r="R826" s="21"/>
      <c r="S826" s="21"/>
      <c r="T826" s="21"/>
      <c r="U826" s="21"/>
      <c r="V826" s="21"/>
      <c r="W826" s="21"/>
      <c r="X826" s="21"/>
      <c r="Y826" s="21"/>
      <c r="Z826" s="21"/>
    </row>
    <row r="827" spans="1:26" ht="15.75" customHeight="1" x14ac:dyDescent="0.25">
      <c r="A827" s="11"/>
      <c r="B827" s="22">
        <v>45980</v>
      </c>
      <c r="C827" s="11">
        <v>1576</v>
      </c>
      <c r="D827" s="11" t="s">
        <v>2298</v>
      </c>
      <c r="E827" s="11" t="s">
        <v>53</v>
      </c>
      <c r="F827" s="11"/>
      <c r="G827" s="190" t="s">
        <v>3558</v>
      </c>
      <c r="H827" s="11" t="s">
        <v>2405</v>
      </c>
      <c r="I827" s="25" t="s">
        <v>3556</v>
      </c>
      <c r="J827" s="21"/>
      <c r="K827" s="21"/>
      <c r="L827" s="21"/>
      <c r="M827" s="21"/>
      <c r="N827" s="21"/>
      <c r="O827" s="21"/>
      <c r="P827" s="21"/>
      <c r="Q827" s="21"/>
      <c r="R827" s="21"/>
      <c r="S827" s="21"/>
      <c r="T827" s="21"/>
      <c r="U827" s="21"/>
      <c r="V827" s="21"/>
      <c r="W827" s="21"/>
      <c r="X827" s="21"/>
      <c r="Y827" s="21"/>
      <c r="Z827" s="21"/>
    </row>
    <row r="828" spans="1:26" ht="15.75" customHeight="1" x14ac:dyDescent="0.25">
      <c r="A828" s="11"/>
      <c r="B828" s="22">
        <v>45980</v>
      </c>
      <c r="C828" s="11">
        <v>1576</v>
      </c>
      <c r="D828" s="11" t="s">
        <v>2298</v>
      </c>
      <c r="E828" s="11" t="s">
        <v>3560</v>
      </c>
      <c r="F828" s="11"/>
      <c r="G828" s="190" t="s">
        <v>3562</v>
      </c>
      <c r="H828" s="11" t="s">
        <v>2292</v>
      </c>
      <c r="I828" s="25" t="s">
        <v>2823</v>
      </c>
      <c r="J828" s="21"/>
      <c r="K828" s="21"/>
      <c r="L828" s="21"/>
      <c r="M828" s="21"/>
      <c r="N828" s="21"/>
      <c r="O828" s="21"/>
      <c r="P828" s="21"/>
      <c r="Q828" s="21"/>
      <c r="R828" s="21"/>
      <c r="S828" s="21"/>
      <c r="T828" s="21"/>
      <c r="U828" s="21"/>
      <c r="V828" s="21"/>
      <c r="W828" s="21"/>
      <c r="X828" s="21"/>
      <c r="Y828" s="21"/>
      <c r="Z828" s="21"/>
    </row>
    <row r="829" spans="1:26" ht="15.75" customHeight="1" x14ac:dyDescent="0.25">
      <c r="A829" s="11"/>
      <c r="B829" s="22">
        <v>45980</v>
      </c>
      <c r="C829" s="11">
        <v>1576</v>
      </c>
      <c r="D829" s="11" t="s">
        <v>2298</v>
      </c>
      <c r="E829" s="11" t="s">
        <v>3560</v>
      </c>
      <c r="F829" s="11"/>
      <c r="G829" s="190" t="s">
        <v>3563</v>
      </c>
      <c r="H829" s="11" t="s">
        <v>2823</v>
      </c>
      <c r="I829" s="25" t="s">
        <v>2823</v>
      </c>
      <c r="J829" s="21"/>
      <c r="K829" s="21"/>
      <c r="L829" s="21"/>
      <c r="M829" s="21"/>
      <c r="N829" s="21"/>
      <c r="O829" s="21"/>
      <c r="P829" s="21"/>
      <c r="Q829" s="21"/>
      <c r="R829" s="21"/>
      <c r="S829" s="21"/>
      <c r="T829" s="21"/>
      <c r="U829" s="21"/>
      <c r="V829" s="21"/>
      <c r="W829" s="21"/>
      <c r="X829" s="21"/>
      <c r="Y829" s="21"/>
      <c r="Z829" s="21"/>
    </row>
    <row r="830" spans="1:26" ht="15.75" customHeight="1" x14ac:dyDescent="0.25">
      <c r="A830" s="11"/>
      <c r="B830" s="22">
        <v>45982</v>
      </c>
      <c r="C830" s="11">
        <v>1577</v>
      </c>
      <c r="D830" s="11" t="s">
        <v>44</v>
      </c>
      <c r="E830" s="11">
        <v>4714047772</v>
      </c>
      <c r="F830" s="11"/>
      <c r="G830" s="190" t="s">
        <v>3566</v>
      </c>
      <c r="H830" s="11" t="s">
        <v>2727</v>
      </c>
      <c r="I830" s="25" t="s">
        <v>2727</v>
      </c>
      <c r="J830" s="21"/>
      <c r="K830" s="21"/>
      <c r="L830" s="21"/>
      <c r="M830" s="21"/>
      <c r="N830" s="21"/>
      <c r="O830" s="21"/>
      <c r="P830" s="21"/>
      <c r="Q830" s="21"/>
      <c r="R830" s="21"/>
      <c r="S830" s="21"/>
      <c r="T830" s="21"/>
      <c r="U830" s="21"/>
      <c r="V830" s="21"/>
      <c r="W830" s="21"/>
      <c r="X830" s="21"/>
      <c r="Y830" s="21"/>
      <c r="Z830" s="21"/>
    </row>
    <row r="831" spans="1:26" ht="15.75" customHeight="1" x14ac:dyDescent="0.25">
      <c r="A831" s="11"/>
      <c r="B831" s="22">
        <v>45982</v>
      </c>
      <c r="C831" s="11">
        <v>1578</v>
      </c>
      <c r="D831" s="11" t="s">
        <v>2298</v>
      </c>
      <c r="E831" s="11" t="s">
        <v>53</v>
      </c>
      <c r="F831" s="11"/>
      <c r="G831" s="190" t="s">
        <v>3568</v>
      </c>
      <c r="H831" s="11" t="s">
        <v>3567</v>
      </c>
      <c r="I831" s="25" t="s">
        <v>3567</v>
      </c>
      <c r="J831" s="21"/>
      <c r="K831" s="21"/>
      <c r="L831" s="21"/>
      <c r="M831" s="21"/>
      <c r="N831" s="21"/>
      <c r="O831" s="21"/>
      <c r="P831" s="21"/>
      <c r="Q831" s="21"/>
      <c r="R831" s="21"/>
      <c r="S831" s="21"/>
      <c r="T831" s="21"/>
      <c r="U831" s="21"/>
      <c r="V831" s="21"/>
      <c r="W831" s="21"/>
      <c r="X831" s="21"/>
      <c r="Y831" s="21"/>
      <c r="Z831" s="21"/>
    </row>
    <row r="832" spans="1:26" ht="15.75" customHeight="1" x14ac:dyDescent="0.25">
      <c r="A832" s="11"/>
      <c r="B832" s="22">
        <v>45982</v>
      </c>
      <c r="C832" s="11">
        <v>1578</v>
      </c>
      <c r="D832" s="11" t="s">
        <v>2298</v>
      </c>
      <c r="E832" s="11" t="s">
        <v>53</v>
      </c>
      <c r="F832" s="11"/>
      <c r="G832" s="190" t="s">
        <v>3568</v>
      </c>
      <c r="H832" s="11" t="s">
        <v>3567</v>
      </c>
      <c r="I832" s="25" t="s">
        <v>3569</v>
      </c>
      <c r="J832" s="21"/>
      <c r="K832" s="21"/>
      <c r="L832" s="21"/>
      <c r="M832" s="21"/>
      <c r="N832" s="21"/>
      <c r="O832" s="21"/>
      <c r="P832" s="21"/>
      <c r="Q832" s="21"/>
      <c r="R832" s="21"/>
      <c r="S832" s="21"/>
      <c r="T832" s="21"/>
      <c r="U832" s="21"/>
      <c r="V832" s="21"/>
      <c r="W832" s="21"/>
      <c r="X832" s="21"/>
      <c r="Y832" s="21"/>
      <c r="Z832" s="21"/>
    </row>
    <row r="833" spans="1:26" ht="15.75" customHeight="1" x14ac:dyDescent="0.25">
      <c r="A833" s="11"/>
      <c r="B833" s="22">
        <v>45982</v>
      </c>
      <c r="C833" s="11">
        <v>1578</v>
      </c>
      <c r="D833" s="11" t="s">
        <v>2298</v>
      </c>
      <c r="E833" s="11" t="s">
        <v>3594</v>
      </c>
      <c r="F833" s="11" t="s">
        <v>2230</v>
      </c>
      <c r="G833" s="190" t="s">
        <v>3597</v>
      </c>
      <c r="H833" s="11" t="s">
        <v>3595</v>
      </c>
      <c r="I833" s="25" t="s">
        <v>3595</v>
      </c>
      <c r="J833" s="21"/>
      <c r="K833" s="21"/>
      <c r="L833" s="21"/>
      <c r="M833" s="21"/>
      <c r="N833" s="21"/>
      <c r="O833" s="21"/>
      <c r="P833" s="21"/>
      <c r="Q833" s="21"/>
      <c r="R833" s="21"/>
      <c r="S833" s="21"/>
      <c r="T833" s="21"/>
      <c r="U833" s="21"/>
      <c r="V833" s="21"/>
      <c r="W833" s="21"/>
      <c r="X833" s="21"/>
      <c r="Y833" s="21"/>
      <c r="Z833" s="21"/>
    </row>
    <row r="834" spans="1:26" ht="15.75" customHeight="1" x14ac:dyDescent="0.25">
      <c r="A834" s="11"/>
      <c r="B834" s="22">
        <v>45983</v>
      </c>
      <c r="C834" s="11">
        <v>1579</v>
      </c>
      <c r="D834" s="11" t="s">
        <v>63</v>
      </c>
      <c r="E834" s="11" t="s">
        <v>3570</v>
      </c>
      <c r="F834" s="11"/>
      <c r="G834" s="190" t="s">
        <v>3571</v>
      </c>
      <c r="H834" s="11" t="s">
        <v>2292</v>
      </c>
      <c r="I834" s="25">
        <v>1</v>
      </c>
      <c r="J834" s="21"/>
      <c r="K834" s="21"/>
      <c r="L834" s="21"/>
      <c r="M834" s="21"/>
      <c r="N834" s="21"/>
      <c r="O834" s="21"/>
      <c r="P834" s="21"/>
      <c r="Q834" s="21"/>
      <c r="R834" s="21"/>
      <c r="S834" s="21"/>
      <c r="T834" s="21"/>
      <c r="U834" s="21"/>
      <c r="V834" s="21"/>
      <c r="W834" s="21"/>
      <c r="X834" s="21"/>
      <c r="Y834" s="21"/>
      <c r="Z834" s="21"/>
    </row>
    <row r="835" spans="1:26" ht="15.75" customHeight="1" x14ac:dyDescent="0.25">
      <c r="A835" s="11"/>
      <c r="B835" s="22">
        <v>45985</v>
      </c>
      <c r="C835" s="11">
        <v>1580</v>
      </c>
      <c r="D835" s="11" t="s">
        <v>2971</v>
      </c>
      <c r="E835" s="11" t="s">
        <v>3572</v>
      </c>
      <c r="F835" s="11"/>
      <c r="G835" s="190" t="s">
        <v>3573</v>
      </c>
      <c r="H835" s="11" t="s">
        <v>2292</v>
      </c>
      <c r="I835" s="25">
        <v>1</v>
      </c>
      <c r="J835" s="21"/>
      <c r="K835" s="21"/>
      <c r="L835" s="21"/>
      <c r="M835" s="21"/>
      <c r="N835" s="21"/>
      <c r="O835" s="21"/>
      <c r="P835" s="21"/>
      <c r="Q835" s="21"/>
      <c r="R835" s="21"/>
      <c r="S835" s="21"/>
      <c r="T835" s="21"/>
      <c r="U835" s="21"/>
      <c r="V835" s="21"/>
      <c r="W835" s="21"/>
      <c r="X835" s="21"/>
      <c r="Y835" s="21"/>
      <c r="Z835" s="21"/>
    </row>
    <row r="836" spans="1:26" ht="15.75" customHeight="1" x14ac:dyDescent="0.25">
      <c r="A836" s="11"/>
      <c r="B836" s="22">
        <v>45985</v>
      </c>
      <c r="C836" s="11">
        <v>1581</v>
      </c>
      <c r="D836" s="11" t="s">
        <v>2971</v>
      </c>
      <c r="E836" s="11" t="s">
        <v>3574</v>
      </c>
      <c r="F836" s="11"/>
      <c r="G836" s="190" t="s">
        <v>3575</v>
      </c>
      <c r="H836" s="11" t="s">
        <v>2292</v>
      </c>
      <c r="I836" s="25">
        <v>1</v>
      </c>
      <c r="J836" s="21"/>
      <c r="K836" s="21"/>
      <c r="L836" s="21"/>
      <c r="M836" s="21"/>
      <c r="N836" s="21"/>
      <c r="O836" s="21"/>
      <c r="P836" s="21"/>
      <c r="Q836" s="21"/>
      <c r="R836" s="21"/>
      <c r="S836" s="21"/>
      <c r="T836" s="21"/>
      <c r="U836" s="21"/>
      <c r="V836" s="21"/>
      <c r="W836" s="21"/>
      <c r="X836" s="21"/>
      <c r="Y836" s="21"/>
      <c r="Z836" s="21"/>
    </row>
    <row r="837" spans="1:26" ht="15.75" customHeight="1" x14ac:dyDescent="0.25">
      <c r="A837" s="11"/>
      <c r="B837" s="22">
        <v>45985</v>
      </c>
      <c r="C837" s="11">
        <v>1582</v>
      </c>
      <c r="D837" s="11" t="s">
        <v>2971</v>
      </c>
      <c r="E837" s="11" t="s">
        <v>3576</v>
      </c>
      <c r="F837" s="11"/>
      <c r="G837" s="190" t="s">
        <v>3577</v>
      </c>
      <c r="H837" s="11" t="s">
        <v>2292</v>
      </c>
      <c r="I837" s="25">
        <v>1</v>
      </c>
      <c r="J837" s="21"/>
      <c r="K837" s="21"/>
      <c r="L837" s="21"/>
      <c r="M837" s="21"/>
      <c r="N837" s="21"/>
      <c r="O837" s="21"/>
      <c r="P837" s="21"/>
      <c r="Q837" s="21"/>
      <c r="R837" s="21"/>
      <c r="S837" s="21"/>
      <c r="T837" s="21"/>
      <c r="U837" s="21"/>
      <c r="V837" s="21"/>
      <c r="W837" s="21"/>
      <c r="X837" s="21"/>
      <c r="Y837" s="21"/>
      <c r="Z837" s="21"/>
    </row>
    <row r="838" spans="1:26" ht="15.75" customHeight="1" x14ac:dyDescent="0.25">
      <c r="A838" s="11"/>
      <c r="B838" s="22">
        <v>45985</v>
      </c>
      <c r="C838" s="11">
        <v>1583</v>
      </c>
      <c r="D838" s="11" t="s">
        <v>2971</v>
      </c>
      <c r="E838" s="11" t="s">
        <v>3578</v>
      </c>
      <c r="F838" s="11"/>
      <c r="G838" s="190" t="s">
        <v>3579</v>
      </c>
      <c r="H838" s="11" t="s">
        <v>3138</v>
      </c>
      <c r="I838" s="25" t="s">
        <v>3138</v>
      </c>
      <c r="J838" s="21"/>
      <c r="K838" s="21"/>
      <c r="L838" s="21"/>
      <c r="M838" s="21"/>
      <c r="N838" s="21"/>
      <c r="O838" s="21"/>
      <c r="P838" s="21"/>
      <c r="Q838" s="21"/>
      <c r="R838" s="21"/>
      <c r="S838" s="21"/>
      <c r="T838" s="21"/>
      <c r="U838" s="21"/>
      <c r="V838" s="21"/>
      <c r="W838" s="21"/>
      <c r="X838" s="21"/>
      <c r="Y838" s="21"/>
      <c r="Z838" s="21"/>
    </row>
    <row r="839" spans="1:26" ht="15.75" customHeight="1" x14ac:dyDescent="0.25">
      <c r="A839" s="11"/>
      <c r="B839" s="22">
        <v>45985</v>
      </c>
      <c r="C839" s="11">
        <v>1584</v>
      </c>
      <c r="D839" s="11" t="s">
        <v>2971</v>
      </c>
      <c r="E839" s="11" t="s">
        <v>3580</v>
      </c>
      <c r="F839" s="11"/>
      <c r="G839" s="190" t="s">
        <v>3581</v>
      </c>
      <c r="H839" s="11" t="s">
        <v>2618</v>
      </c>
      <c r="I839" s="25" t="s">
        <v>2618</v>
      </c>
      <c r="J839" s="21"/>
      <c r="K839" s="21"/>
      <c r="L839" s="21"/>
      <c r="M839" s="21"/>
      <c r="N839" s="21"/>
      <c r="O839" s="21"/>
      <c r="P839" s="21"/>
      <c r="Q839" s="21"/>
      <c r="R839" s="21"/>
      <c r="S839" s="21"/>
      <c r="T839" s="21"/>
      <c r="U839" s="21"/>
      <c r="V839" s="21"/>
      <c r="W839" s="21"/>
      <c r="X839" s="21"/>
      <c r="Y839" s="21"/>
      <c r="Z839" s="21"/>
    </row>
    <row r="840" spans="1:26" ht="15.75" customHeight="1" x14ac:dyDescent="0.25">
      <c r="A840" s="11"/>
      <c r="B840" s="22">
        <v>45985</v>
      </c>
      <c r="C840" s="11">
        <v>1586</v>
      </c>
      <c r="D840" s="11" t="s">
        <v>2971</v>
      </c>
      <c r="E840" s="11" t="s">
        <v>3582</v>
      </c>
      <c r="F840" s="11"/>
      <c r="G840" s="190" t="s">
        <v>3583</v>
      </c>
      <c r="H840" s="11" t="s">
        <v>2306</v>
      </c>
      <c r="I840" s="25">
        <v>7</v>
      </c>
      <c r="J840" s="21"/>
      <c r="K840" s="21"/>
      <c r="L840" s="21"/>
      <c r="M840" s="21"/>
      <c r="N840" s="21"/>
      <c r="O840" s="21"/>
      <c r="P840" s="21"/>
      <c r="Q840" s="21"/>
      <c r="R840" s="21"/>
      <c r="S840" s="21"/>
      <c r="T840" s="21"/>
      <c r="U840" s="21"/>
      <c r="V840" s="21"/>
      <c r="W840" s="21"/>
      <c r="X840" s="21"/>
      <c r="Y840" s="21"/>
      <c r="Z840" s="21"/>
    </row>
    <row r="841" spans="1:26" ht="15.75" customHeight="1" x14ac:dyDescent="0.25">
      <c r="A841" s="11"/>
      <c r="B841" s="22">
        <v>45985</v>
      </c>
      <c r="C841" s="11">
        <v>1587</v>
      </c>
      <c r="D841" s="11" t="s">
        <v>2311</v>
      </c>
      <c r="E841" s="11" t="s">
        <v>3584</v>
      </c>
      <c r="F841" s="11"/>
      <c r="G841" s="190" t="s">
        <v>3586</v>
      </c>
      <c r="H841" s="11" t="s">
        <v>3585</v>
      </c>
      <c r="I841" s="25" t="s">
        <v>3585</v>
      </c>
      <c r="J841" s="21"/>
      <c r="K841" s="21"/>
      <c r="L841" s="21"/>
      <c r="M841" s="21"/>
      <c r="N841" s="21"/>
      <c r="O841" s="21"/>
      <c r="P841" s="21"/>
      <c r="Q841" s="21"/>
      <c r="R841" s="21"/>
      <c r="S841" s="21"/>
      <c r="T841" s="21"/>
      <c r="U841" s="21"/>
      <c r="V841" s="21"/>
      <c r="W841" s="21"/>
      <c r="X841" s="21"/>
      <c r="Y841" s="21"/>
      <c r="Z841" s="21"/>
    </row>
    <row r="842" spans="1:26" ht="15.75" customHeight="1" x14ac:dyDescent="0.25">
      <c r="A842" s="11"/>
      <c r="B842" s="22">
        <v>45985</v>
      </c>
      <c r="C842" s="11">
        <v>1587</v>
      </c>
      <c r="D842" s="11" t="s">
        <v>2311</v>
      </c>
      <c r="E842" s="11" t="s">
        <v>53</v>
      </c>
      <c r="F842" s="11"/>
      <c r="G842" s="190" t="s">
        <v>3587</v>
      </c>
      <c r="H842" s="11" t="s">
        <v>3585</v>
      </c>
      <c r="I842" s="25" t="s">
        <v>3585</v>
      </c>
      <c r="J842" s="21"/>
      <c r="K842" s="21"/>
      <c r="L842" s="21"/>
      <c r="M842" s="21"/>
      <c r="N842" s="21"/>
      <c r="O842" s="21"/>
      <c r="P842" s="21"/>
      <c r="Q842" s="21"/>
      <c r="R842" s="21"/>
      <c r="S842" s="21"/>
      <c r="T842" s="21"/>
      <c r="U842" s="21"/>
      <c r="V842" s="21"/>
      <c r="W842" s="21"/>
      <c r="X842" s="21"/>
      <c r="Y842" s="21"/>
      <c r="Z842" s="21"/>
    </row>
    <row r="843" spans="1:26" ht="15.75" customHeight="1" x14ac:dyDescent="0.25">
      <c r="A843" s="11"/>
      <c r="B843" s="22">
        <v>45985</v>
      </c>
      <c r="C843" s="11">
        <v>1588</v>
      </c>
      <c r="D843" s="11" t="s">
        <v>2298</v>
      </c>
      <c r="E843" s="11" t="s">
        <v>53</v>
      </c>
      <c r="F843" s="11"/>
      <c r="G843" s="190" t="s">
        <v>3589</v>
      </c>
      <c r="H843" s="11" t="s">
        <v>3588</v>
      </c>
      <c r="I843" s="25" t="s">
        <v>3588</v>
      </c>
      <c r="J843" s="21"/>
      <c r="K843" s="21"/>
      <c r="L843" s="21"/>
      <c r="M843" s="21"/>
      <c r="N843" s="21"/>
      <c r="O843" s="21"/>
      <c r="P843" s="21"/>
      <c r="Q843" s="21"/>
      <c r="R843" s="21"/>
      <c r="S843" s="21"/>
      <c r="T843" s="21"/>
      <c r="U843" s="21"/>
      <c r="V843" s="21"/>
      <c r="W843" s="21"/>
      <c r="X843" s="21"/>
      <c r="Y843" s="21"/>
      <c r="Z843" s="21"/>
    </row>
    <row r="844" spans="1:26" ht="15.75" customHeight="1" x14ac:dyDescent="0.25">
      <c r="A844" s="11"/>
      <c r="B844" s="22">
        <v>45985</v>
      </c>
      <c r="C844" s="11">
        <v>1588</v>
      </c>
      <c r="D844" s="11" t="s">
        <v>2298</v>
      </c>
      <c r="E844" s="11" t="s">
        <v>53</v>
      </c>
      <c r="F844" s="11"/>
      <c r="G844" s="190" t="s">
        <v>3589</v>
      </c>
      <c r="H844" s="11" t="s">
        <v>3588</v>
      </c>
      <c r="I844" s="25" t="s">
        <v>3588</v>
      </c>
      <c r="J844" s="21"/>
      <c r="K844" s="21"/>
      <c r="L844" s="21"/>
      <c r="M844" s="21"/>
      <c r="N844" s="21"/>
      <c r="O844" s="21"/>
      <c r="P844" s="21"/>
      <c r="Q844" s="21"/>
      <c r="R844" s="21"/>
      <c r="S844" s="21"/>
      <c r="T844" s="21"/>
      <c r="U844" s="21"/>
      <c r="V844" s="21"/>
      <c r="W844" s="21"/>
      <c r="X844" s="21"/>
      <c r="Y844" s="21"/>
      <c r="Z844" s="21"/>
    </row>
    <row r="845" spans="1:26" ht="15.75" customHeight="1" x14ac:dyDescent="0.25">
      <c r="A845" s="11"/>
      <c r="B845" s="22">
        <v>45985</v>
      </c>
      <c r="C845" s="11">
        <v>1588</v>
      </c>
      <c r="D845" s="11" t="s">
        <v>2298</v>
      </c>
      <c r="E845" s="11" t="s">
        <v>3594</v>
      </c>
      <c r="F845" s="11" t="s">
        <v>2230</v>
      </c>
      <c r="G845" s="190" t="s">
        <v>3596</v>
      </c>
      <c r="H845" s="11" t="s">
        <v>3595</v>
      </c>
      <c r="I845" s="25" t="s">
        <v>3595</v>
      </c>
      <c r="J845" s="21"/>
      <c r="K845" s="21"/>
      <c r="L845" s="21"/>
      <c r="M845" s="21"/>
      <c r="N845" s="21"/>
      <c r="O845" s="21"/>
      <c r="P845" s="21"/>
      <c r="Q845" s="21"/>
      <c r="R845" s="21"/>
      <c r="S845" s="21"/>
      <c r="T845" s="21"/>
      <c r="U845" s="21"/>
      <c r="V845" s="21"/>
      <c r="W845" s="21"/>
      <c r="X845" s="21"/>
      <c r="Y845" s="21"/>
      <c r="Z845" s="21"/>
    </row>
    <row r="846" spans="1:26" ht="15.75" customHeight="1" x14ac:dyDescent="0.25">
      <c r="A846" s="11"/>
      <c r="B846" s="22">
        <v>45987</v>
      </c>
      <c r="C846" s="11">
        <v>1589</v>
      </c>
      <c r="D846" s="11" t="s">
        <v>2971</v>
      </c>
      <c r="E846" s="11" t="s">
        <v>3578</v>
      </c>
      <c r="F846" s="11"/>
      <c r="G846" s="190" t="s">
        <v>3591</v>
      </c>
      <c r="H846" s="11" t="s">
        <v>3590</v>
      </c>
      <c r="I846" s="25" t="s">
        <v>3590</v>
      </c>
      <c r="J846" s="21"/>
      <c r="K846" s="21"/>
      <c r="L846" s="21"/>
      <c r="M846" s="21"/>
      <c r="N846" s="21"/>
      <c r="O846" s="21"/>
      <c r="P846" s="21"/>
      <c r="Q846" s="21"/>
      <c r="R846" s="21"/>
      <c r="S846" s="21"/>
      <c r="T846" s="21"/>
      <c r="U846" s="21"/>
      <c r="V846" s="21"/>
      <c r="W846" s="21"/>
      <c r="X846" s="21"/>
      <c r="Y846" s="21"/>
      <c r="Z846" s="21"/>
    </row>
    <row r="847" spans="1:26" ht="15.75" customHeight="1" x14ac:dyDescent="0.25">
      <c r="A847" s="11"/>
      <c r="B847" s="22">
        <v>45990</v>
      </c>
      <c r="C847" s="11">
        <v>1590</v>
      </c>
      <c r="D847" s="11" t="s">
        <v>66</v>
      </c>
      <c r="E847" s="11" t="s">
        <v>3592</v>
      </c>
      <c r="F847" s="11"/>
      <c r="G847" s="190" t="s">
        <v>3593</v>
      </c>
      <c r="H847" s="11" t="s">
        <v>2292</v>
      </c>
      <c r="I847" s="25">
        <v>1</v>
      </c>
      <c r="J847" s="21"/>
      <c r="K847" s="21"/>
      <c r="L847" s="21"/>
      <c r="M847" s="21"/>
      <c r="N847" s="21"/>
      <c r="O847" s="21"/>
      <c r="P847" s="21"/>
      <c r="Q847" s="21"/>
      <c r="R847" s="21"/>
      <c r="S847" s="21"/>
      <c r="T847" s="21"/>
      <c r="U847" s="21"/>
      <c r="V847" s="21"/>
      <c r="W847" s="21"/>
      <c r="X847" s="21"/>
      <c r="Y847" s="21"/>
      <c r="Z847" s="21"/>
    </row>
    <row r="848" spans="1:26" ht="15.75" customHeight="1" x14ac:dyDescent="0.25">
      <c r="A848" s="11"/>
      <c r="B848" s="22">
        <v>45992</v>
      </c>
      <c r="C848" s="11">
        <v>1591</v>
      </c>
      <c r="D848" s="11" t="s">
        <v>2971</v>
      </c>
      <c r="E848" s="11" t="s">
        <v>3580</v>
      </c>
      <c r="F848" s="11"/>
      <c r="G848" s="190" t="s">
        <v>3598</v>
      </c>
      <c r="H848" s="11" t="s">
        <v>3128</v>
      </c>
      <c r="I848" s="25" t="s">
        <v>3128</v>
      </c>
      <c r="J848" s="21"/>
      <c r="K848" s="21"/>
      <c r="L848" s="21"/>
      <c r="M848" s="21"/>
      <c r="N848" s="21"/>
      <c r="O848" s="21"/>
      <c r="P848" s="21"/>
      <c r="Q848" s="21"/>
      <c r="R848" s="21"/>
      <c r="S848" s="21"/>
      <c r="T848" s="21"/>
      <c r="U848" s="21"/>
      <c r="V848" s="21"/>
      <c r="W848" s="21"/>
      <c r="X848" s="21"/>
      <c r="Y848" s="21"/>
      <c r="Z848" s="21"/>
    </row>
    <row r="849" spans="1:26" ht="15.75" customHeight="1" x14ac:dyDescent="0.25">
      <c r="A849" s="11"/>
      <c r="B849" s="22">
        <v>45992</v>
      </c>
      <c r="C849" s="11">
        <v>1592</v>
      </c>
      <c r="D849" s="11" t="s">
        <v>4</v>
      </c>
      <c r="E849" s="11" t="s">
        <v>3600</v>
      </c>
      <c r="F849" s="11"/>
      <c r="G849" s="190" t="s">
        <v>3601</v>
      </c>
      <c r="H849" s="11" t="s">
        <v>3599</v>
      </c>
      <c r="I849" s="25" t="s">
        <v>3599</v>
      </c>
      <c r="J849" s="21"/>
      <c r="K849" s="21"/>
      <c r="L849" s="21"/>
      <c r="M849" s="21"/>
      <c r="N849" s="21"/>
      <c r="O849" s="21"/>
      <c r="P849" s="21"/>
      <c r="Q849" s="21"/>
      <c r="R849" s="21"/>
      <c r="S849" s="21"/>
      <c r="T849" s="21"/>
      <c r="U849" s="21"/>
      <c r="V849" s="21"/>
      <c r="W849" s="21"/>
      <c r="X849" s="21"/>
      <c r="Y849" s="21"/>
      <c r="Z849" s="21"/>
    </row>
    <row r="850" spans="1:26" ht="15.75" customHeight="1" x14ac:dyDescent="0.25">
      <c r="A850" s="11"/>
      <c r="B850" s="22">
        <v>45992</v>
      </c>
      <c r="C850" s="11">
        <v>1593</v>
      </c>
      <c r="D850" s="11" t="s">
        <v>4</v>
      </c>
      <c r="E850" s="11" t="s">
        <v>3602</v>
      </c>
      <c r="F850" s="11"/>
      <c r="G850" s="190" t="s">
        <v>3603</v>
      </c>
      <c r="H850" s="11" t="s">
        <v>2999</v>
      </c>
      <c r="I850" s="25" t="s">
        <v>2999</v>
      </c>
      <c r="J850" s="21"/>
      <c r="K850" s="21"/>
      <c r="L850" s="21"/>
      <c r="M850" s="21"/>
      <c r="N850" s="21"/>
      <c r="O850" s="21"/>
      <c r="P850" s="21"/>
      <c r="Q850" s="21"/>
      <c r="R850" s="21"/>
      <c r="S850" s="21"/>
      <c r="T850" s="21"/>
      <c r="U850" s="21"/>
      <c r="V850" s="21"/>
      <c r="W850" s="21"/>
      <c r="X850" s="21"/>
      <c r="Y850" s="21"/>
      <c r="Z850" s="21"/>
    </row>
    <row r="851" spans="1:26" ht="15.75" customHeight="1" x14ac:dyDescent="0.25">
      <c r="A851" s="11"/>
      <c r="B851" s="22">
        <v>45992</v>
      </c>
      <c r="C851" s="11">
        <v>1594</v>
      </c>
      <c r="D851" s="11" t="s">
        <v>4</v>
      </c>
      <c r="E851" s="11" t="s">
        <v>3602</v>
      </c>
      <c r="F851" s="11"/>
      <c r="G851" s="190" t="s">
        <v>3604</v>
      </c>
      <c r="H851" s="11" t="s">
        <v>3138</v>
      </c>
      <c r="I851" s="25" t="s">
        <v>3138</v>
      </c>
      <c r="J851" s="21"/>
      <c r="K851" s="21"/>
      <c r="L851" s="21"/>
      <c r="M851" s="21"/>
      <c r="N851" s="21"/>
      <c r="O851" s="21"/>
      <c r="P851" s="21"/>
      <c r="Q851" s="21"/>
      <c r="R851" s="21"/>
      <c r="S851" s="21"/>
      <c r="T851" s="21"/>
      <c r="U851" s="21"/>
      <c r="V851" s="21"/>
      <c r="W851" s="21"/>
      <c r="X851" s="21"/>
      <c r="Y851" s="21"/>
      <c r="Z851" s="21"/>
    </row>
    <row r="852" spans="1:26" ht="15.75" customHeight="1" x14ac:dyDescent="0.25">
      <c r="A852" s="11"/>
      <c r="B852" s="22">
        <v>45992</v>
      </c>
      <c r="C852" s="11">
        <v>1595</v>
      </c>
      <c r="D852" s="11" t="s">
        <v>4</v>
      </c>
      <c r="E852" s="11" t="s">
        <v>3600</v>
      </c>
      <c r="F852" s="11"/>
      <c r="G852" s="190" t="s">
        <v>3605</v>
      </c>
      <c r="H852" s="11" t="s">
        <v>2974</v>
      </c>
      <c r="I852" s="25" t="s">
        <v>2974</v>
      </c>
      <c r="J852" s="21"/>
      <c r="K852" s="21"/>
      <c r="L852" s="21"/>
      <c r="M852" s="21"/>
      <c r="N852" s="21"/>
      <c r="O852" s="21"/>
      <c r="P852" s="21"/>
      <c r="Q852" s="21"/>
      <c r="R852" s="21"/>
      <c r="S852" s="21"/>
      <c r="T852" s="21"/>
      <c r="U852" s="21"/>
      <c r="V852" s="21"/>
      <c r="W852" s="21"/>
      <c r="X852" s="21"/>
      <c r="Y852" s="21"/>
      <c r="Z852" s="21"/>
    </row>
    <row r="853" spans="1:26" ht="15.75" customHeight="1" x14ac:dyDescent="0.25">
      <c r="A853" s="11"/>
      <c r="B853" s="22">
        <v>45993</v>
      </c>
      <c r="C853" s="11">
        <v>1596</v>
      </c>
      <c r="D853" s="11" t="s">
        <v>2971</v>
      </c>
      <c r="E853" s="11" t="s">
        <v>3580</v>
      </c>
      <c r="F853" s="11"/>
      <c r="G853" s="190" t="s">
        <v>3607</v>
      </c>
      <c r="H853" s="11" t="s">
        <v>3135</v>
      </c>
      <c r="I853" s="25" t="s">
        <v>3135</v>
      </c>
      <c r="J853" s="21"/>
      <c r="K853" s="21"/>
      <c r="L853" s="21"/>
      <c r="M853" s="21"/>
      <c r="N853" s="21"/>
      <c r="O853" s="21"/>
      <c r="P853" s="21"/>
      <c r="Q853" s="21"/>
      <c r="R853" s="21"/>
      <c r="S853" s="21"/>
      <c r="T853" s="21"/>
      <c r="U853" s="21"/>
      <c r="V853" s="21"/>
      <c r="W853" s="21"/>
      <c r="X853" s="21"/>
      <c r="Y853" s="21"/>
      <c r="Z853" s="21"/>
    </row>
    <row r="854" spans="1:26" ht="15.75" customHeight="1" x14ac:dyDescent="0.25">
      <c r="A854" s="11"/>
      <c r="B854" s="22">
        <v>45993</v>
      </c>
      <c r="C854" s="11">
        <v>1597</v>
      </c>
      <c r="D854" s="11" t="s">
        <v>2298</v>
      </c>
      <c r="E854" s="11" t="s">
        <v>3606</v>
      </c>
      <c r="F854" s="11"/>
      <c r="G854" s="190" t="s">
        <v>3608</v>
      </c>
      <c r="H854" s="11" t="s">
        <v>2702</v>
      </c>
      <c r="I854" s="25" t="s">
        <v>2702</v>
      </c>
      <c r="J854" s="21"/>
      <c r="K854" s="21"/>
      <c r="L854" s="21"/>
      <c r="M854" s="21"/>
      <c r="N854" s="21"/>
      <c r="O854" s="21"/>
      <c r="P854" s="21"/>
      <c r="Q854" s="21"/>
      <c r="R854" s="21"/>
      <c r="S854" s="21"/>
      <c r="T854" s="21"/>
      <c r="U854" s="21"/>
      <c r="V854" s="21"/>
      <c r="W854" s="21"/>
      <c r="X854" s="21"/>
      <c r="Y854" s="21"/>
      <c r="Z854" s="21"/>
    </row>
    <row r="855" spans="1:26" ht="15.75" customHeight="1" x14ac:dyDescent="0.25">
      <c r="A855" s="11"/>
      <c r="B855" s="22">
        <v>45993</v>
      </c>
      <c r="C855" s="11">
        <v>1598</v>
      </c>
      <c r="D855" s="11" t="s">
        <v>2298</v>
      </c>
      <c r="E855" s="11" t="s">
        <v>3606</v>
      </c>
      <c r="F855" s="11"/>
      <c r="G855" s="190" t="s">
        <v>3609</v>
      </c>
      <c r="H855" s="11" t="s">
        <v>2880</v>
      </c>
      <c r="I855" s="25" t="s">
        <v>2880</v>
      </c>
      <c r="J855" s="21"/>
      <c r="K855" s="21"/>
      <c r="L855" s="21"/>
      <c r="M855" s="21"/>
      <c r="N855" s="21"/>
      <c r="O855" s="21"/>
      <c r="P855" s="21"/>
      <c r="Q855" s="21"/>
      <c r="R855" s="21"/>
      <c r="S855" s="21"/>
      <c r="T855" s="21"/>
      <c r="U855" s="21"/>
      <c r="V855" s="21"/>
      <c r="W855" s="21"/>
      <c r="X855" s="21"/>
      <c r="Y855" s="21"/>
      <c r="Z855" s="21"/>
    </row>
    <row r="856" spans="1:26" ht="15.75" customHeight="1" x14ac:dyDescent="0.25">
      <c r="A856" s="11"/>
      <c r="B856" s="22">
        <v>45994</v>
      </c>
      <c r="C856" s="11">
        <v>1599</v>
      </c>
      <c r="D856" s="11" t="s">
        <v>2971</v>
      </c>
      <c r="E856" s="11" t="s">
        <v>3610</v>
      </c>
      <c r="F856" s="11"/>
      <c r="G856" s="190" t="s">
        <v>3611</v>
      </c>
      <c r="H856" s="11" t="s">
        <v>2292</v>
      </c>
      <c r="I856" s="25">
        <v>1</v>
      </c>
      <c r="J856" s="21"/>
      <c r="K856" s="21"/>
      <c r="L856" s="21"/>
      <c r="M856" s="21"/>
      <c r="N856" s="21"/>
      <c r="O856" s="21"/>
      <c r="P856" s="21"/>
      <c r="Q856" s="21"/>
      <c r="R856" s="21"/>
      <c r="S856" s="21"/>
      <c r="T856" s="21"/>
      <c r="U856" s="21"/>
      <c r="V856" s="21"/>
      <c r="W856" s="21"/>
      <c r="X856" s="21"/>
      <c r="Y856" s="21"/>
      <c r="Z856" s="21"/>
    </row>
    <row r="857" spans="1:26" ht="15.75" customHeight="1" x14ac:dyDescent="0.25">
      <c r="A857" s="11"/>
      <c r="B857" s="22">
        <v>45994</v>
      </c>
      <c r="C857" s="11">
        <v>1600</v>
      </c>
      <c r="D857" s="11" t="s">
        <v>4</v>
      </c>
      <c r="E857" s="11" t="s">
        <v>3613</v>
      </c>
      <c r="F857" s="11"/>
      <c r="G857" s="190" t="s">
        <v>3614</v>
      </c>
      <c r="H857" s="11" t="s">
        <v>3612</v>
      </c>
      <c r="I857" s="25" t="s">
        <v>3612</v>
      </c>
      <c r="J857" s="21"/>
      <c r="K857" s="21"/>
      <c r="L857" s="21"/>
      <c r="M857" s="21"/>
      <c r="N857" s="21"/>
      <c r="O857" s="21"/>
      <c r="P857" s="21"/>
      <c r="Q857" s="21"/>
      <c r="R857" s="21"/>
      <c r="S857" s="21"/>
      <c r="T857" s="21"/>
      <c r="U857" s="21"/>
      <c r="V857" s="21"/>
      <c r="W857" s="21"/>
      <c r="X857" s="21"/>
      <c r="Y857" s="21"/>
      <c r="Z857" s="21"/>
    </row>
    <row r="858" spans="1:26" ht="15.75" customHeight="1" x14ac:dyDescent="0.25">
      <c r="A858" s="11"/>
      <c r="B858" s="22">
        <v>45994</v>
      </c>
      <c r="C858" s="11">
        <v>1601</v>
      </c>
      <c r="D858" s="11" t="s">
        <v>4</v>
      </c>
      <c r="E858" s="11" t="s">
        <v>3602</v>
      </c>
      <c r="F858" s="11"/>
      <c r="G858" s="190" t="s">
        <v>3615</v>
      </c>
      <c r="H858" s="11" t="s">
        <v>3313</v>
      </c>
      <c r="I858" s="25" t="s">
        <v>3313</v>
      </c>
      <c r="J858" s="21"/>
      <c r="K858" s="21"/>
      <c r="L858" s="21"/>
      <c r="M858" s="21"/>
      <c r="N858" s="21"/>
      <c r="O858" s="21"/>
      <c r="P858" s="21"/>
      <c r="Q858" s="21"/>
      <c r="R858" s="21"/>
      <c r="S858" s="21"/>
      <c r="T858" s="21"/>
      <c r="U858" s="21"/>
      <c r="V858" s="21"/>
      <c r="W858" s="21"/>
      <c r="X858" s="21"/>
      <c r="Y858" s="21"/>
      <c r="Z858" s="21"/>
    </row>
    <row r="859" spans="1:26" ht="15.75" customHeight="1" x14ac:dyDescent="0.25">
      <c r="A859" s="11"/>
      <c r="B859" s="22">
        <v>45995</v>
      </c>
      <c r="C859" s="11">
        <v>1602</v>
      </c>
      <c r="D859" s="11" t="s">
        <v>3140</v>
      </c>
      <c r="E859" s="11" t="s">
        <v>3616</v>
      </c>
      <c r="F859" s="11"/>
      <c r="G859" s="190" t="s">
        <v>3617</v>
      </c>
      <c r="H859" s="11" t="s">
        <v>2292</v>
      </c>
      <c r="I859" s="25">
        <v>1</v>
      </c>
      <c r="J859" s="21"/>
      <c r="K859" s="21"/>
      <c r="L859" s="21"/>
      <c r="M859" s="21"/>
      <c r="N859" s="21"/>
      <c r="O859" s="21"/>
      <c r="P859" s="21"/>
      <c r="Q859" s="21"/>
      <c r="R859" s="21"/>
      <c r="S859" s="21"/>
      <c r="T859" s="21"/>
      <c r="U859" s="21"/>
      <c r="V859" s="21"/>
      <c r="W859" s="21"/>
      <c r="X859" s="21"/>
      <c r="Y859" s="21"/>
      <c r="Z859" s="21"/>
    </row>
    <row r="860" spans="1:26" ht="15.75" customHeight="1" x14ac:dyDescent="0.25">
      <c r="A860" s="11"/>
      <c r="B860" s="22">
        <v>45995</v>
      </c>
      <c r="C860" s="11">
        <v>1603</v>
      </c>
      <c r="D860" s="11" t="s">
        <v>3140</v>
      </c>
      <c r="E860" s="11" t="s">
        <v>3618</v>
      </c>
      <c r="F860" s="11"/>
      <c r="G860" s="190" t="s">
        <v>3619</v>
      </c>
      <c r="H860" s="11" t="s">
        <v>2292</v>
      </c>
      <c r="I860" s="25">
        <v>1</v>
      </c>
      <c r="J860" s="21"/>
      <c r="K860" s="21"/>
      <c r="L860" s="21"/>
      <c r="M860" s="21"/>
      <c r="N860" s="21"/>
      <c r="O860" s="21"/>
      <c r="P860" s="21"/>
      <c r="Q860" s="21"/>
      <c r="R860" s="21"/>
      <c r="S860" s="21"/>
      <c r="T860" s="21"/>
      <c r="U860" s="21"/>
      <c r="V860" s="21"/>
      <c r="W860" s="21"/>
      <c r="X860" s="21"/>
      <c r="Y860" s="21"/>
      <c r="Z860" s="21"/>
    </row>
    <row r="861" spans="1:26" ht="15.75" customHeight="1" x14ac:dyDescent="0.25">
      <c r="A861" s="11"/>
      <c r="B861" s="22">
        <v>45995</v>
      </c>
      <c r="C861" s="11">
        <v>1604</v>
      </c>
      <c r="D861" s="11" t="s">
        <v>3140</v>
      </c>
      <c r="E861" s="11" t="s">
        <v>3620</v>
      </c>
      <c r="F861" s="11"/>
      <c r="G861" s="190" t="s">
        <v>3621</v>
      </c>
      <c r="H861" s="11" t="s">
        <v>2292</v>
      </c>
      <c r="I861" s="25">
        <v>1</v>
      </c>
      <c r="J861" s="21"/>
      <c r="K861" s="21"/>
      <c r="L861" s="21"/>
      <c r="M861" s="21"/>
      <c r="N861" s="21"/>
      <c r="O861" s="21"/>
      <c r="P861" s="21"/>
      <c r="Q861" s="21"/>
      <c r="R861" s="21"/>
      <c r="S861" s="21"/>
      <c r="T861" s="21"/>
      <c r="U861" s="21"/>
      <c r="V861" s="21"/>
      <c r="W861" s="21"/>
      <c r="X861" s="21"/>
      <c r="Y861" s="21"/>
      <c r="Z861" s="21"/>
    </row>
    <row r="862" spans="1:26" ht="15.75" customHeight="1" x14ac:dyDescent="0.25">
      <c r="A862" s="11"/>
      <c r="B862" s="22">
        <v>45995</v>
      </c>
      <c r="C862" s="11">
        <v>1605</v>
      </c>
      <c r="D862" s="11" t="s">
        <v>3140</v>
      </c>
      <c r="E862" s="11" t="s">
        <v>3623</v>
      </c>
      <c r="F862" s="11"/>
      <c r="G862" s="190" t="s">
        <v>3624</v>
      </c>
      <c r="H862" s="11" t="s">
        <v>3622</v>
      </c>
      <c r="I862" s="25" t="s">
        <v>3622</v>
      </c>
      <c r="J862" s="21"/>
      <c r="K862" s="21"/>
      <c r="L862" s="21"/>
      <c r="M862" s="21"/>
      <c r="N862" s="21"/>
      <c r="O862" s="21"/>
      <c r="P862" s="21"/>
      <c r="Q862" s="21"/>
      <c r="R862" s="21"/>
      <c r="S862" s="21"/>
      <c r="T862" s="21"/>
      <c r="U862" s="21"/>
      <c r="V862" s="21"/>
      <c r="W862" s="21"/>
      <c r="X862" s="21"/>
      <c r="Y862" s="21"/>
      <c r="Z862" s="21"/>
    </row>
    <row r="863" spans="1:26" ht="15.75" customHeight="1" x14ac:dyDescent="0.25">
      <c r="A863" s="11"/>
      <c r="B863" s="22">
        <v>45999</v>
      </c>
      <c r="C863" s="11">
        <v>1606</v>
      </c>
      <c r="D863" s="11" t="s">
        <v>63</v>
      </c>
      <c r="E863" s="11" t="s">
        <v>3625</v>
      </c>
      <c r="F863" s="11"/>
      <c r="G863" s="190" t="s">
        <v>3626</v>
      </c>
      <c r="H863" s="11" t="s">
        <v>2292</v>
      </c>
      <c r="I863" s="25">
        <v>1</v>
      </c>
      <c r="J863" s="21"/>
      <c r="K863" s="21"/>
      <c r="L863" s="21"/>
      <c r="M863" s="21"/>
      <c r="N863" s="21"/>
      <c r="O863" s="21"/>
      <c r="P863" s="21"/>
      <c r="Q863" s="21"/>
      <c r="R863" s="21"/>
      <c r="S863" s="21"/>
      <c r="T863" s="21"/>
      <c r="U863" s="21"/>
      <c r="V863" s="21"/>
      <c r="W863" s="21"/>
      <c r="X863" s="21"/>
      <c r="Y863" s="21"/>
      <c r="Z863" s="21"/>
    </row>
    <row r="864" spans="1:26" ht="15.75" customHeight="1" x14ac:dyDescent="0.25">
      <c r="A864" s="11"/>
      <c r="B864" s="22">
        <v>46000</v>
      </c>
      <c r="C864" s="11">
        <v>1607</v>
      </c>
      <c r="D864" s="11" t="s">
        <v>4</v>
      </c>
      <c r="E864" s="11" t="s">
        <v>3613</v>
      </c>
      <c r="F864" s="11"/>
      <c r="G864" s="190" t="s">
        <v>3628</v>
      </c>
      <c r="H864" s="11" t="s">
        <v>3627</v>
      </c>
      <c r="I864" s="25" t="s">
        <v>3627</v>
      </c>
      <c r="J864" s="21"/>
      <c r="K864" s="21"/>
      <c r="L864" s="21"/>
      <c r="M864" s="21"/>
      <c r="N864" s="21"/>
      <c r="O864" s="21"/>
      <c r="P864" s="21"/>
      <c r="Q864" s="21"/>
      <c r="R864" s="21"/>
      <c r="S864" s="21"/>
      <c r="T864" s="21"/>
      <c r="U864" s="21"/>
      <c r="V864" s="21"/>
      <c r="W864" s="21"/>
      <c r="X864" s="21"/>
      <c r="Y864" s="21"/>
      <c r="Z864" s="21"/>
    </row>
    <row r="865" spans="1:26" ht="15.75" customHeight="1" x14ac:dyDescent="0.25">
      <c r="A865" s="11"/>
      <c r="B865" s="22">
        <v>46000</v>
      </c>
      <c r="C865" s="11">
        <v>1608</v>
      </c>
      <c r="D865" s="11" t="s">
        <v>2971</v>
      </c>
      <c r="E865" s="11" t="s">
        <v>3629</v>
      </c>
      <c r="F865" s="11"/>
      <c r="G865" s="190" t="s">
        <v>3630</v>
      </c>
      <c r="H865" s="11" t="s">
        <v>2292</v>
      </c>
      <c r="I865" s="25">
        <v>1</v>
      </c>
      <c r="J865" s="21"/>
      <c r="K865" s="21"/>
      <c r="L865" s="21"/>
      <c r="M865" s="21"/>
      <c r="N865" s="21"/>
      <c r="O865" s="21"/>
      <c r="P865" s="21"/>
      <c r="Q865" s="21"/>
      <c r="R865" s="21"/>
      <c r="S865" s="21"/>
      <c r="T865" s="21"/>
      <c r="U865" s="21"/>
      <c r="V865" s="21"/>
      <c r="W865" s="21"/>
      <c r="X865" s="21"/>
      <c r="Y865" s="21"/>
      <c r="Z865" s="21"/>
    </row>
    <row r="866" spans="1:26" ht="15.75" customHeight="1" x14ac:dyDescent="0.25">
      <c r="A866" s="11"/>
      <c r="B866" s="22">
        <v>46000</v>
      </c>
      <c r="C866" s="11">
        <v>1609</v>
      </c>
      <c r="D866" s="11" t="s">
        <v>4</v>
      </c>
      <c r="E866" s="11" t="s">
        <v>3602</v>
      </c>
      <c r="F866" s="11"/>
      <c r="G866" s="190" t="s">
        <v>3631</v>
      </c>
      <c r="H866" s="11" t="s">
        <v>3040</v>
      </c>
      <c r="I866" s="25" t="s">
        <v>3040</v>
      </c>
      <c r="J866" s="21"/>
      <c r="K866" s="21"/>
      <c r="L866" s="21"/>
      <c r="M866" s="21"/>
      <c r="N866" s="21"/>
      <c r="O866" s="21"/>
      <c r="P866" s="21"/>
      <c r="Q866" s="21"/>
      <c r="R866" s="21"/>
      <c r="S866" s="21"/>
      <c r="T866" s="21"/>
      <c r="U866" s="21"/>
      <c r="V866" s="21"/>
      <c r="W866" s="21"/>
      <c r="X866" s="21"/>
      <c r="Y866" s="21"/>
      <c r="Z866" s="21"/>
    </row>
    <row r="867" spans="1:26" ht="15.75" customHeight="1" x14ac:dyDescent="0.25">
      <c r="A867" s="11"/>
      <c r="B867" s="22">
        <v>46001</v>
      </c>
      <c r="C867" s="11">
        <v>1610</v>
      </c>
      <c r="D867" s="11" t="s">
        <v>44</v>
      </c>
      <c r="E867" s="11">
        <v>4714047937</v>
      </c>
      <c r="F867" s="11"/>
      <c r="G867" s="190" t="s">
        <v>3632</v>
      </c>
      <c r="H867" s="11" t="s">
        <v>2292</v>
      </c>
      <c r="I867" s="25">
        <v>1</v>
      </c>
      <c r="J867" s="21"/>
      <c r="K867" s="21"/>
      <c r="L867" s="21"/>
      <c r="M867" s="21"/>
      <c r="N867" s="21"/>
      <c r="O867" s="21"/>
      <c r="P867" s="21"/>
      <c r="Q867" s="21"/>
      <c r="R867" s="21"/>
      <c r="S867" s="21"/>
      <c r="T867" s="21"/>
      <c r="U867" s="21"/>
      <c r="V867" s="21"/>
      <c r="W867" s="21"/>
      <c r="X867" s="21"/>
      <c r="Y867" s="21"/>
      <c r="Z867" s="21"/>
    </row>
    <row r="868" spans="1:26" ht="15.75" customHeight="1" x14ac:dyDescent="0.25">
      <c r="A868" s="11"/>
      <c r="B868" s="22">
        <v>46001</v>
      </c>
      <c r="C868" s="11">
        <v>1611</v>
      </c>
      <c r="D868" s="11" t="s">
        <v>160</v>
      </c>
      <c r="E868" s="11" t="s">
        <v>3633</v>
      </c>
      <c r="F868" s="11"/>
      <c r="G868" s="190" t="s">
        <v>3634</v>
      </c>
      <c r="H868" s="11" t="s">
        <v>2306</v>
      </c>
      <c r="I868" s="25">
        <v>7</v>
      </c>
      <c r="J868" s="21"/>
      <c r="K868" s="21"/>
      <c r="L868" s="21"/>
      <c r="M868" s="21"/>
      <c r="N868" s="21"/>
      <c r="O868" s="21"/>
      <c r="P868" s="21"/>
      <c r="Q868" s="21"/>
      <c r="R868" s="21"/>
      <c r="S868" s="21"/>
      <c r="T868" s="21"/>
      <c r="U868" s="21"/>
      <c r="V868" s="21"/>
      <c r="W868" s="21"/>
      <c r="X868" s="21"/>
      <c r="Y868" s="21"/>
      <c r="Z868" s="21"/>
    </row>
    <row r="869" spans="1:26" ht="15.75" customHeight="1" x14ac:dyDescent="0.25">
      <c r="A869" s="11"/>
      <c r="B869" s="22">
        <v>46002</v>
      </c>
      <c r="C869" s="11">
        <v>1612</v>
      </c>
      <c r="D869" s="11" t="s">
        <v>2971</v>
      </c>
      <c r="E869" s="11" t="s">
        <v>3635</v>
      </c>
      <c r="F869" s="11"/>
      <c r="G869" s="190" t="s">
        <v>3636</v>
      </c>
      <c r="H869" s="11" t="s">
        <v>2306</v>
      </c>
      <c r="I869" s="25">
        <v>7</v>
      </c>
      <c r="J869" s="21"/>
      <c r="K869" s="21"/>
      <c r="L869" s="21"/>
      <c r="M869" s="21"/>
      <c r="N869" s="21"/>
      <c r="O869" s="21"/>
      <c r="P869" s="21"/>
      <c r="Q869" s="21"/>
      <c r="R869" s="21"/>
      <c r="S869" s="21"/>
      <c r="T869" s="21"/>
      <c r="U869" s="21"/>
      <c r="V869" s="21"/>
      <c r="W869" s="21"/>
      <c r="X869" s="21"/>
      <c r="Y869" s="21"/>
      <c r="Z869" s="21"/>
    </row>
    <row r="870" spans="1:26" ht="15.75" customHeight="1" x14ac:dyDescent="0.25">
      <c r="A870" s="11"/>
      <c r="B870" s="22">
        <v>46004</v>
      </c>
      <c r="C870" s="11">
        <v>1613</v>
      </c>
      <c r="D870" s="11" t="s">
        <v>3140</v>
      </c>
      <c r="E870" s="11" t="s">
        <v>3623</v>
      </c>
      <c r="F870" s="11"/>
      <c r="G870" s="190" t="s">
        <v>3638</v>
      </c>
      <c r="H870" s="11" t="s">
        <v>3637</v>
      </c>
      <c r="I870" s="25" t="s">
        <v>3637</v>
      </c>
      <c r="J870" s="21"/>
      <c r="K870" s="21"/>
      <c r="L870" s="21"/>
      <c r="M870" s="21"/>
      <c r="N870" s="21"/>
      <c r="O870" s="21"/>
      <c r="P870" s="21"/>
      <c r="Q870" s="21"/>
      <c r="R870" s="21"/>
      <c r="S870" s="21"/>
      <c r="T870" s="21"/>
      <c r="U870" s="21"/>
      <c r="V870" s="21"/>
      <c r="W870" s="21"/>
      <c r="X870" s="21"/>
      <c r="Y870" s="21"/>
      <c r="Z870" s="21"/>
    </row>
    <row r="871" spans="1:26" ht="15.75" customHeight="1" x14ac:dyDescent="0.25">
      <c r="A871" s="11"/>
      <c r="B871" s="22">
        <v>46004</v>
      </c>
      <c r="C871" s="11">
        <v>1614</v>
      </c>
      <c r="D871" s="11" t="s">
        <v>4</v>
      </c>
      <c r="E871" s="11" t="s">
        <v>3639</v>
      </c>
      <c r="F871" s="11"/>
      <c r="G871" s="190" t="s">
        <v>3640</v>
      </c>
      <c r="H871" s="11" t="s">
        <v>2306</v>
      </c>
      <c r="I871" s="25">
        <v>7</v>
      </c>
      <c r="J871" s="21"/>
      <c r="K871" s="21"/>
      <c r="L871" s="21"/>
      <c r="M871" s="21"/>
      <c r="N871" s="21"/>
      <c r="O871" s="21"/>
      <c r="P871" s="21"/>
      <c r="Q871" s="21"/>
      <c r="R871" s="21"/>
      <c r="S871" s="21"/>
      <c r="T871" s="21"/>
      <c r="U871" s="21"/>
      <c r="V871" s="21"/>
      <c r="W871" s="21"/>
      <c r="X871" s="21"/>
      <c r="Y871" s="21"/>
      <c r="Z871" s="21"/>
    </row>
    <row r="872" spans="1:26" ht="15.75" customHeight="1" x14ac:dyDescent="0.25">
      <c r="A872" s="11"/>
      <c r="B872" s="22">
        <v>46006</v>
      </c>
      <c r="C872" s="11">
        <v>1614</v>
      </c>
      <c r="D872" s="11" t="s">
        <v>4</v>
      </c>
      <c r="E872" s="11" t="s">
        <v>3639</v>
      </c>
      <c r="F872" s="11"/>
      <c r="G872" s="190" t="s">
        <v>3640</v>
      </c>
      <c r="H872" s="11" t="s">
        <v>2306</v>
      </c>
      <c r="I872" s="25">
        <v>7</v>
      </c>
      <c r="J872" s="21"/>
      <c r="K872" s="21"/>
      <c r="L872" s="21"/>
      <c r="M872" s="21"/>
      <c r="N872" s="21"/>
      <c r="O872" s="21"/>
      <c r="P872" s="21"/>
      <c r="Q872" s="21"/>
      <c r="R872" s="21"/>
      <c r="S872" s="21"/>
      <c r="T872" s="21"/>
      <c r="U872" s="21"/>
      <c r="V872" s="21"/>
      <c r="W872" s="21"/>
      <c r="X872" s="21"/>
      <c r="Y872" s="21"/>
      <c r="Z872" s="21"/>
    </row>
    <row r="873" spans="1:26" ht="15.75" customHeight="1" x14ac:dyDescent="0.25">
      <c r="A873" s="11"/>
      <c r="B873" s="22">
        <v>46006</v>
      </c>
      <c r="C873" s="11">
        <v>1615</v>
      </c>
      <c r="D873" s="11" t="s">
        <v>4</v>
      </c>
      <c r="E873" s="11" t="s">
        <v>3641</v>
      </c>
      <c r="F873" s="11"/>
      <c r="G873" s="190" t="s">
        <v>3642</v>
      </c>
      <c r="H873" s="11" t="s">
        <v>2306</v>
      </c>
      <c r="I873" s="25">
        <v>7</v>
      </c>
      <c r="J873" s="21"/>
      <c r="K873" s="21"/>
      <c r="L873" s="21"/>
      <c r="M873" s="21"/>
      <c r="N873" s="21"/>
      <c r="O873" s="21"/>
      <c r="P873" s="21"/>
      <c r="Q873" s="21"/>
      <c r="R873" s="21"/>
      <c r="S873" s="21"/>
      <c r="T873" s="21"/>
      <c r="U873" s="21"/>
      <c r="V873" s="21"/>
      <c r="W873" s="21"/>
      <c r="X873" s="21"/>
      <c r="Y873" s="21"/>
      <c r="Z873" s="21"/>
    </row>
    <row r="874" spans="1:26" ht="15.75" customHeight="1" x14ac:dyDescent="0.25">
      <c r="A874" s="11"/>
      <c r="B874" s="22">
        <v>46006</v>
      </c>
      <c r="C874" s="11">
        <v>1616</v>
      </c>
      <c r="D874" s="11" t="s">
        <v>63</v>
      </c>
      <c r="E874" s="11" t="s">
        <v>3643</v>
      </c>
      <c r="F874" s="11"/>
      <c r="G874" s="190" t="s">
        <v>3644</v>
      </c>
      <c r="H874" s="11" t="s">
        <v>2292</v>
      </c>
      <c r="I874" s="25">
        <v>1</v>
      </c>
      <c r="J874" s="21"/>
      <c r="K874" s="21"/>
      <c r="L874" s="21"/>
      <c r="M874" s="21"/>
      <c r="N874" s="21"/>
      <c r="O874" s="21"/>
      <c r="P874" s="21"/>
      <c r="Q874" s="21"/>
      <c r="R874" s="21"/>
      <c r="S874" s="21"/>
      <c r="T874" s="21"/>
      <c r="U874" s="21"/>
      <c r="V874" s="21"/>
      <c r="W874" s="21"/>
      <c r="X874" s="21"/>
      <c r="Y874" s="21"/>
      <c r="Z874" s="21"/>
    </row>
    <row r="875" spans="1:26" ht="15.75" customHeight="1" x14ac:dyDescent="0.25">
      <c r="A875" s="11"/>
      <c r="B875" s="22">
        <v>46006</v>
      </c>
      <c r="C875" s="11">
        <v>1617</v>
      </c>
      <c r="D875" s="11" t="s">
        <v>2311</v>
      </c>
      <c r="E875" s="11">
        <v>4000327387</v>
      </c>
      <c r="F875" s="11"/>
      <c r="G875" s="190" t="s">
        <v>3645</v>
      </c>
      <c r="H875" s="11" t="s">
        <v>2292</v>
      </c>
      <c r="I875" s="25">
        <v>1</v>
      </c>
      <c r="J875" s="21"/>
      <c r="K875" s="21"/>
      <c r="L875" s="21"/>
      <c r="M875" s="21"/>
      <c r="N875" s="21"/>
      <c r="O875" s="21"/>
      <c r="P875" s="21"/>
      <c r="Q875" s="21"/>
      <c r="R875" s="21"/>
      <c r="S875" s="21"/>
      <c r="T875" s="21"/>
      <c r="U875" s="21"/>
      <c r="V875" s="21"/>
      <c r="W875" s="21"/>
      <c r="X875" s="21"/>
      <c r="Y875" s="21"/>
      <c r="Z875" s="21"/>
    </row>
    <row r="876" spans="1:26" ht="15.75" customHeight="1" x14ac:dyDescent="0.25">
      <c r="A876" s="11"/>
      <c r="B876" s="22">
        <v>46007</v>
      </c>
      <c r="C876" s="11">
        <v>1618</v>
      </c>
      <c r="D876" s="11" t="s">
        <v>2298</v>
      </c>
      <c r="E876" s="11" t="s">
        <v>3646</v>
      </c>
      <c r="F876" s="11"/>
      <c r="G876" s="190" t="s">
        <v>3647</v>
      </c>
      <c r="H876" s="11" t="s">
        <v>2292</v>
      </c>
      <c r="I876" s="25">
        <v>1</v>
      </c>
      <c r="J876" s="21"/>
      <c r="K876" s="21"/>
      <c r="L876" s="21"/>
      <c r="M876" s="21"/>
      <c r="N876" s="21"/>
      <c r="O876" s="21"/>
      <c r="P876" s="21"/>
      <c r="Q876" s="21"/>
      <c r="R876" s="21"/>
      <c r="S876" s="21"/>
      <c r="T876" s="21"/>
      <c r="U876" s="21"/>
      <c r="V876" s="21"/>
      <c r="W876" s="21"/>
      <c r="X876" s="21"/>
      <c r="Y876" s="21"/>
      <c r="Z876" s="21"/>
    </row>
    <row r="877" spans="1:26" ht="15.75" customHeight="1" x14ac:dyDescent="0.25">
      <c r="A877" s="11"/>
      <c r="B877" s="22">
        <v>46008</v>
      </c>
      <c r="C877" s="11">
        <v>1619</v>
      </c>
      <c r="D877" s="11" t="s">
        <v>66</v>
      </c>
      <c r="E877" s="11" t="s">
        <v>3648</v>
      </c>
      <c r="F877" s="11"/>
      <c r="G877" s="190" t="s">
        <v>3650</v>
      </c>
      <c r="H877" s="11" t="s">
        <v>3649</v>
      </c>
      <c r="I877" s="25" t="s">
        <v>3649</v>
      </c>
      <c r="J877" s="21"/>
      <c r="K877" s="21"/>
      <c r="L877" s="21"/>
      <c r="M877" s="21"/>
      <c r="N877" s="21"/>
      <c r="O877" s="21"/>
      <c r="P877" s="21"/>
      <c r="Q877" s="21"/>
      <c r="R877" s="21"/>
      <c r="S877" s="21"/>
      <c r="T877" s="21"/>
      <c r="U877" s="21"/>
      <c r="V877" s="21"/>
      <c r="W877" s="21"/>
      <c r="X877" s="21"/>
      <c r="Y877" s="21"/>
      <c r="Z877" s="21"/>
    </row>
    <row r="878" spans="1:26" ht="15.75" customHeight="1" x14ac:dyDescent="0.25">
      <c r="A878" s="11"/>
      <c r="B878" s="22">
        <v>46009</v>
      </c>
      <c r="C878" s="11">
        <v>1620</v>
      </c>
      <c r="D878" s="11" t="s">
        <v>2971</v>
      </c>
      <c r="E878" s="11" t="s">
        <v>3651</v>
      </c>
      <c r="F878" s="11"/>
      <c r="G878" s="190" t="s">
        <v>3652</v>
      </c>
      <c r="H878" s="11" t="s">
        <v>3115</v>
      </c>
      <c r="I878" s="25" t="s">
        <v>3115</v>
      </c>
      <c r="J878" s="21"/>
      <c r="K878" s="21"/>
      <c r="L878" s="21"/>
      <c r="M878" s="21"/>
      <c r="N878" s="21"/>
      <c r="O878" s="21"/>
      <c r="P878" s="21"/>
      <c r="Q878" s="21"/>
      <c r="R878" s="21"/>
      <c r="S878" s="21"/>
      <c r="T878" s="21"/>
      <c r="U878" s="21"/>
      <c r="V878" s="21"/>
      <c r="W878" s="21"/>
      <c r="X878" s="21"/>
      <c r="Y878" s="21"/>
      <c r="Z878" s="21"/>
    </row>
    <row r="879" spans="1:26" ht="15.75" customHeight="1" x14ac:dyDescent="0.25">
      <c r="A879" s="11"/>
      <c r="B879" s="22">
        <v>46009</v>
      </c>
      <c r="C879" s="11">
        <v>1621</v>
      </c>
      <c r="D879" s="11" t="s">
        <v>2971</v>
      </c>
      <c r="E879" s="11" t="s">
        <v>3653</v>
      </c>
      <c r="F879" s="11"/>
      <c r="G879" s="190" t="s">
        <v>3654</v>
      </c>
      <c r="H879" s="11" t="s">
        <v>2292</v>
      </c>
      <c r="I879" s="25">
        <v>1</v>
      </c>
      <c r="J879" s="21"/>
      <c r="K879" s="21"/>
      <c r="L879" s="21"/>
      <c r="M879" s="21"/>
      <c r="N879" s="21"/>
      <c r="O879" s="21"/>
      <c r="P879" s="21"/>
      <c r="Q879" s="21"/>
      <c r="R879" s="21"/>
      <c r="S879" s="21"/>
      <c r="T879" s="21"/>
      <c r="U879" s="21"/>
      <c r="V879" s="21"/>
      <c r="W879" s="21"/>
      <c r="X879" s="21"/>
      <c r="Y879" s="21"/>
      <c r="Z879" s="21"/>
    </row>
    <row r="880" spans="1:26" ht="15.75" customHeight="1" x14ac:dyDescent="0.25">
      <c r="A880" s="11"/>
      <c r="B880" s="22">
        <v>46010</v>
      </c>
      <c r="C880" s="11">
        <v>1622</v>
      </c>
      <c r="D880" s="11" t="s">
        <v>66</v>
      </c>
      <c r="E880" s="11" t="s">
        <v>3648</v>
      </c>
      <c r="F880" s="11"/>
      <c r="G880" s="190" t="s">
        <v>3655</v>
      </c>
      <c r="H880" s="11" t="s">
        <v>2292</v>
      </c>
      <c r="I880" s="25" t="s">
        <v>3436</v>
      </c>
      <c r="J880" s="21"/>
      <c r="K880" s="21"/>
      <c r="L880" s="21"/>
      <c r="M880" s="21"/>
      <c r="N880" s="21"/>
      <c r="O880" s="21"/>
      <c r="P880" s="21"/>
      <c r="Q880" s="21"/>
      <c r="R880" s="21"/>
      <c r="S880" s="21"/>
      <c r="T880" s="21"/>
      <c r="U880" s="21"/>
      <c r="V880" s="21"/>
      <c r="W880" s="21"/>
      <c r="X880" s="21"/>
      <c r="Y880" s="21"/>
      <c r="Z880" s="21"/>
    </row>
    <row r="881" spans="1:26" ht="15.75" customHeight="1" x14ac:dyDescent="0.25">
      <c r="A881" s="11"/>
      <c r="B881" s="22">
        <v>46010</v>
      </c>
      <c r="C881" s="11">
        <v>1623</v>
      </c>
      <c r="D881" s="11" t="s">
        <v>66</v>
      </c>
      <c r="E881" s="11" t="s">
        <v>3656</v>
      </c>
      <c r="F881" s="11"/>
      <c r="G881" s="190" t="s">
        <v>3657</v>
      </c>
      <c r="H881" s="11" t="s">
        <v>2292</v>
      </c>
      <c r="I881" s="25">
        <v>1</v>
      </c>
      <c r="J881" s="21"/>
      <c r="K881" s="21"/>
      <c r="L881" s="21"/>
      <c r="M881" s="21"/>
      <c r="N881" s="21"/>
      <c r="O881" s="21"/>
      <c r="P881" s="21"/>
      <c r="Q881" s="21"/>
      <c r="R881" s="21"/>
      <c r="S881" s="21"/>
      <c r="T881" s="21"/>
      <c r="U881" s="21"/>
      <c r="V881" s="21"/>
      <c r="W881" s="21"/>
      <c r="X881" s="21"/>
      <c r="Y881" s="21"/>
      <c r="Z881" s="21"/>
    </row>
    <row r="882" spans="1:26" ht="15.75" customHeight="1" x14ac:dyDescent="0.25">
      <c r="A882" s="11"/>
      <c r="B882" s="22">
        <v>46011</v>
      </c>
      <c r="C882" s="11">
        <v>1624</v>
      </c>
      <c r="D882" s="11" t="s">
        <v>2971</v>
      </c>
      <c r="E882" s="11" t="s">
        <v>3658</v>
      </c>
      <c r="F882" s="11"/>
      <c r="G882" s="190" t="s">
        <v>3659</v>
      </c>
      <c r="H882" s="11" t="s">
        <v>2292</v>
      </c>
      <c r="I882" s="25">
        <v>1</v>
      </c>
      <c r="J882" s="21"/>
      <c r="K882" s="21"/>
      <c r="L882" s="21"/>
      <c r="M882" s="21"/>
      <c r="N882" s="21"/>
      <c r="O882" s="21"/>
      <c r="P882" s="21"/>
      <c r="Q882" s="21"/>
      <c r="R882" s="21"/>
      <c r="S882" s="21"/>
      <c r="T882" s="21"/>
      <c r="U882" s="21"/>
      <c r="V882" s="21"/>
      <c r="W882" s="21"/>
      <c r="X882" s="21"/>
      <c r="Y882" s="21"/>
      <c r="Z882" s="21"/>
    </row>
    <row r="883" spans="1:26" ht="15.75" customHeight="1" x14ac:dyDescent="0.25">
      <c r="A883" s="11"/>
      <c r="B883" s="22">
        <v>46013</v>
      </c>
      <c r="C883" s="11">
        <v>1625</v>
      </c>
      <c r="D883" s="11" t="s">
        <v>4</v>
      </c>
      <c r="E883" s="11" t="s">
        <v>3660</v>
      </c>
      <c r="F883" s="11"/>
      <c r="G883" s="190" t="s">
        <v>3662</v>
      </c>
      <c r="H883" s="11" t="s">
        <v>3661</v>
      </c>
      <c r="I883" s="25" t="s">
        <v>3661</v>
      </c>
      <c r="J883" s="21"/>
      <c r="K883" s="21"/>
      <c r="L883" s="21"/>
      <c r="M883" s="21"/>
      <c r="N883" s="21"/>
      <c r="O883" s="21"/>
      <c r="P883" s="21"/>
      <c r="Q883" s="21"/>
      <c r="R883" s="21"/>
      <c r="S883" s="21"/>
      <c r="T883" s="21"/>
      <c r="U883" s="21"/>
      <c r="V883" s="21"/>
      <c r="W883" s="21"/>
      <c r="X883" s="21"/>
      <c r="Y883" s="21"/>
      <c r="Z883" s="21"/>
    </row>
    <row r="884" spans="1:26" ht="15.75" customHeight="1" x14ac:dyDescent="0.25">
      <c r="A884" s="11"/>
      <c r="B884" s="22">
        <v>46017</v>
      </c>
      <c r="C884" s="11">
        <v>1625</v>
      </c>
      <c r="D884" s="11" t="s">
        <v>4</v>
      </c>
      <c r="E884" s="11" t="s">
        <v>3660</v>
      </c>
      <c r="F884" s="11"/>
      <c r="G884" s="190" t="s">
        <v>3662</v>
      </c>
      <c r="H884" s="11" t="s">
        <v>3661</v>
      </c>
      <c r="I884" s="25" t="s">
        <v>3661</v>
      </c>
      <c r="J884" s="21"/>
      <c r="K884" s="21"/>
      <c r="L884" s="21"/>
      <c r="M884" s="21"/>
      <c r="N884" s="21"/>
      <c r="O884" s="21"/>
      <c r="P884" s="21"/>
      <c r="Q884" s="21"/>
      <c r="R884" s="21"/>
      <c r="S884" s="21"/>
      <c r="T884" s="21"/>
      <c r="U884" s="21"/>
      <c r="V884" s="21"/>
      <c r="W884" s="21"/>
      <c r="X884" s="21"/>
      <c r="Y884" s="21"/>
      <c r="Z884" s="21"/>
    </row>
    <row r="885" spans="1:26" ht="15.75" customHeight="1" x14ac:dyDescent="0.25">
      <c r="A885" s="11"/>
      <c r="B885" s="22">
        <v>46011</v>
      </c>
      <c r="C885" s="11">
        <v>1626</v>
      </c>
      <c r="D885" s="11" t="s">
        <v>66</v>
      </c>
      <c r="E885" s="11" t="s">
        <v>3663</v>
      </c>
      <c r="F885" s="11"/>
      <c r="G885" s="190" t="s">
        <v>3664</v>
      </c>
      <c r="H885" s="11" t="s">
        <v>2292</v>
      </c>
      <c r="I885" s="25">
        <v>1</v>
      </c>
      <c r="J885" s="21"/>
      <c r="K885" s="21"/>
      <c r="L885" s="21"/>
      <c r="M885" s="21"/>
      <c r="N885" s="21"/>
      <c r="O885" s="21"/>
      <c r="P885" s="21"/>
      <c r="Q885" s="21"/>
      <c r="R885" s="21"/>
      <c r="S885" s="21"/>
      <c r="T885" s="21"/>
      <c r="U885" s="21"/>
      <c r="V885" s="21"/>
      <c r="W885" s="21"/>
      <c r="X885" s="21"/>
      <c r="Y885" s="21"/>
      <c r="Z885" s="21"/>
    </row>
    <row r="886" spans="1:26" ht="15.75" customHeight="1" x14ac:dyDescent="0.25">
      <c r="A886" s="11"/>
      <c r="B886" s="22">
        <v>46013</v>
      </c>
      <c r="C886" s="11">
        <v>1627</v>
      </c>
      <c r="D886" s="11" t="s">
        <v>2298</v>
      </c>
      <c r="E886" s="11" t="s">
        <v>53</v>
      </c>
      <c r="F886" s="11"/>
      <c r="G886" s="190" t="s">
        <v>3665</v>
      </c>
      <c r="H886" s="11" t="s">
        <v>3058</v>
      </c>
      <c r="I886" s="25" t="s">
        <v>3058</v>
      </c>
      <c r="J886" s="21"/>
      <c r="K886" s="21"/>
      <c r="L886" s="21"/>
      <c r="M886" s="21"/>
      <c r="N886" s="21"/>
      <c r="O886" s="21"/>
      <c r="P886" s="21"/>
      <c r="Q886" s="21"/>
      <c r="R886" s="21"/>
      <c r="S886" s="21"/>
      <c r="T886" s="21"/>
      <c r="U886" s="21"/>
      <c r="V886" s="21"/>
      <c r="W886" s="21"/>
      <c r="X886" s="21"/>
      <c r="Y886" s="21"/>
      <c r="Z886" s="21"/>
    </row>
    <row r="887" spans="1:26" ht="15.75" customHeight="1" x14ac:dyDescent="0.25">
      <c r="A887" s="11"/>
      <c r="B887" s="22">
        <v>46013</v>
      </c>
      <c r="C887" s="11">
        <v>1627</v>
      </c>
      <c r="D887" s="11" t="s">
        <v>2298</v>
      </c>
      <c r="E887" s="11" t="s">
        <v>3703</v>
      </c>
      <c r="F887" s="11" t="s">
        <v>2230</v>
      </c>
      <c r="G887" s="190" t="s">
        <v>3704</v>
      </c>
      <c r="H887" s="11" t="s">
        <v>2292</v>
      </c>
      <c r="I887" s="25">
        <v>1</v>
      </c>
      <c r="J887" s="21"/>
      <c r="K887" s="21"/>
      <c r="L887" s="21"/>
      <c r="M887" s="21"/>
      <c r="N887" s="21"/>
      <c r="O887" s="21"/>
      <c r="P887" s="21"/>
      <c r="Q887" s="21"/>
      <c r="R887" s="21"/>
      <c r="S887" s="21"/>
      <c r="T887" s="21"/>
      <c r="U887" s="21"/>
      <c r="V887" s="21"/>
      <c r="W887" s="21"/>
      <c r="X887" s="21"/>
      <c r="Y887" s="21"/>
      <c r="Z887" s="21"/>
    </row>
    <row r="888" spans="1:26" ht="15.75" customHeight="1" x14ac:dyDescent="0.25">
      <c r="A888" s="11"/>
      <c r="B888" s="22">
        <v>46014</v>
      </c>
      <c r="C888" s="11">
        <v>1628</v>
      </c>
      <c r="D888" s="11" t="s">
        <v>2971</v>
      </c>
      <c r="E888" s="11" t="s">
        <v>3666</v>
      </c>
      <c r="F888" s="11"/>
      <c r="G888" s="190" t="s">
        <v>3667</v>
      </c>
      <c r="H888" s="11" t="s">
        <v>2306</v>
      </c>
      <c r="I888" s="25">
        <v>7</v>
      </c>
      <c r="J888" s="21"/>
      <c r="K888" s="21"/>
      <c r="L888" s="21"/>
      <c r="M888" s="21"/>
      <c r="N888" s="21"/>
      <c r="O888" s="21"/>
      <c r="P888" s="21"/>
      <c r="Q888" s="21"/>
      <c r="R888" s="21"/>
      <c r="S888" s="21"/>
      <c r="T888" s="21"/>
      <c r="U888" s="21"/>
      <c r="V888" s="21"/>
      <c r="W888" s="21"/>
      <c r="X888" s="21"/>
      <c r="Y888" s="21"/>
      <c r="Z888" s="21"/>
    </row>
    <row r="889" spans="1:26" ht="15.75" customHeight="1" x14ac:dyDescent="0.25">
      <c r="A889" s="11"/>
      <c r="B889" s="22">
        <v>46014</v>
      </c>
      <c r="C889" s="11">
        <v>1629</v>
      </c>
      <c r="D889" s="11" t="s">
        <v>66</v>
      </c>
      <c r="E889" s="11" t="s">
        <v>3648</v>
      </c>
      <c r="F889" s="11"/>
      <c r="G889" s="190" t="s">
        <v>3668</v>
      </c>
      <c r="H889" s="11" t="s">
        <v>3432</v>
      </c>
      <c r="I889" s="25" t="s">
        <v>3432</v>
      </c>
      <c r="J889" s="21"/>
      <c r="K889" s="21"/>
      <c r="L889" s="21"/>
      <c r="M889" s="21"/>
      <c r="N889" s="21"/>
      <c r="O889" s="21"/>
      <c r="P889" s="21"/>
      <c r="Q889" s="21"/>
      <c r="R889" s="21"/>
      <c r="S889" s="21"/>
      <c r="T889" s="21"/>
      <c r="U889" s="21"/>
      <c r="V889" s="21"/>
      <c r="W889" s="21"/>
      <c r="X889" s="21"/>
      <c r="Y889" s="21"/>
      <c r="Z889" s="21"/>
    </row>
    <row r="890" spans="1:26" ht="15.75" customHeight="1" x14ac:dyDescent="0.25">
      <c r="A890" s="11"/>
      <c r="B890" s="22">
        <v>46017</v>
      </c>
      <c r="C890" s="11">
        <v>1630</v>
      </c>
      <c r="D890" s="11" t="s">
        <v>2971</v>
      </c>
      <c r="E890" s="11" t="s">
        <v>3670</v>
      </c>
      <c r="F890" s="11"/>
      <c r="G890" s="190" t="s">
        <v>3671</v>
      </c>
      <c r="H890" s="11" t="s">
        <v>3669</v>
      </c>
      <c r="I890" s="25" t="s">
        <v>3669</v>
      </c>
      <c r="J890" s="21"/>
      <c r="K890" s="21"/>
      <c r="L890" s="21"/>
      <c r="M890" s="21"/>
      <c r="N890" s="21"/>
      <c r="O890" s="21"/>
      <c r="P890" s="21"/>
      <c r="Q890" s="21"/>
      <c r="R890" s="21"/>
      <c r="S890" s="21"/>
      <c r="T890" s="21"/>
      <c r="U890" s="21"/>
      <c r="V890" s="21"/>
      <c r="W890" s="21"/>
      <c r="X890" s="21"/>
      <c r="Y890" s="21"/>
      <c r="Z890" s="21"/>
    </row>
    <row r="891" spans="1:26" ht="15.75" customHeight="1" x14ac:dyDescent="0.25">
      <c r="A891" s="11"/>
      <c r="B891" s="22">
        <v>46017</v>
      </c>
      <c r="C891" s="11">
        <v>1631</v>
      </c>
      <c r="D891" s="11" t="s">
        <v>4</v>
      </c>
      <c r="E891" s="11" t="s">
        <v>3660</v>
      </c>
      <c r="F891" s="11"/>
      <c r="G891" s="190" t="s">
        <v>3673</v>
      </c>
      <c r="H891" s="11" t="s">
        <v>3672</v>
      </c>
      <c r="I891" s="25" t="s">
        <v>3672</v>
      </c>
      <c r="J891" s="21"/>
      <c r="K891" s="21"/>
      <c r="L891" s="21"/>
      <c r="M891" s="21"/>
      <c r="N891" s="21"/>
      <c r="O891" s="21"/>
      <c r="P891" s="21"/>
      <c r="Q891" s="21"/>
      <c r="R891" s="21"/>
      <c r="S891" s="21"/>
      <c r="T891" s="21"/>
      <c r="U891" s="21"/>
      <c r="V891" s="21"/>
      <c r="W891" s="21"/>
      <c r="X891" s="21"/>
      <c r="Y891" s="21"/>
      <c r="Z891" s="21"/>
    </row>
    <row r="892" spans="1:26" ht="15.75" customHeight="1" x14ac:dyDescent="0.25">
      <c r="A892" s="11"/>
      <c r="B892" s="22">
        <v>46017</v>
      </c>
      <c r="C892" s="11">
        <v>1632</v>
      </c>
      <c r="D892" s="11" t="s">
        <v>66</v>
      </c>
      <c r="E892" s="11" t="s">
        <v>3648</v>
      </c>
      <c r="F892" s="11"/>
      <c r="G892" s="190" t="s">
        <v>3674</v>
      </c>
      <c r="H892" s="11" t="s">
        <v>2702</v>
      </c>
      <c r="I892" s="25" t="s">
        <v>2702</v>
      </c>
      <c r="J892" s="21"/>
      <c r="K892" s="21"/>
      <c r="L892" s="21"/>
      <c r="M892" s="21"/>
      <c r="N892" s="21"/>
      <c r="O892" s="21"/>
      <c r="P892" s="21"/>
      <c r="Q892" s="21"/>
      <c r="R892" s="21"/>
      <c r="S892" s="21"/>
      <c r="T892" s="21"/>
      <c r="U892" s="21"/>
      <c r="V892" s="21"/>
      <c r="W892" s="21"/>
      <c r="X892" s="21"/>
      <c r="Y892" s="21"/>
      <c r="Z892" s="21"/>
    </row>
    <row r="893" spans="1:26" ht="15.75" customHeight="1" x14ac:dyDescent="0.25">
      <c r="A893" s="11"/>
      <c r="B893" s="22">
        <v>46018</v>
      </c>
      <c r="C893" s="11">
        <v>1633</v>
      </c>
      <c r="D893" s="11" t="s">
        <v>44</v>
      </c>
      <c r="E893" s="11">
        <v>4714048132</v>
      </c>
      <c r="F893" s="11"/>
      <c r="G893" s="190" t="s">
        <v>3675</v>
      </c>
      <c r="H893" s="11" t="s">
        <v>2292</v>
      </c>
      <c r="I893" s="25">
        <v>1</v>
      </c>
      <c r="J893" s="21"/>
      <c r="K893" s="21"/>
      <c r="L893" s="21"/>
      <c r="M893" s="21"/>
      <c r="N893" s="21"/>
      <c r="O893" s="21"/>
      <c r="P893" s="21"/>
      <c r="Q893" s="21"/>
      <c r="R893" s="21"/>
      <c r="S893" s="21"/>
      <c r="T893" s="21"/>
      <c r="U893" s="21"/>
      <c r="V893" s="21"/>
      <c r="W893" s="21"/>
      <c r="X893" s="21"/>
      <c r="Y893" s="21"/>
      <c r="Z893" s="21"/>
    </row>
    <row r="894" spans="1:26" ht="15.75" customHeight="1" x14ac:dyDescent="0.25">
      <c r="A894" s="11"/>
      <c r="B894" s="22">
        <v>46018</v>
      </c>
      <c r="C894" s="11">
        <v>1634</v>
      </c>
      <c r="D894" s="11" t="s">
        <v>2971</v>
      </c>
      <c r="E894" s="11" t="s">
        <v>3670</v>
      </c>
      <c r="F894" s="11"/>
      <c r="G894" s="190" t="s">
        <v>3677</v>
      </c>
      <c r="H894" s="11" t="s">
        <v>3676</v>
      </c>
      <c r="I894" s="25" t="s">
        <v>3676</v>
      </c>
      <c r="J894" s="21"/>
      <c r="K894" s="21"/>
      <c r="L894" s="21"/>
      <c r="M894" s="21"/>
      <c r="N894" s="21"/>
      <c r="O894" s="21"/>
      <c r="P894" s="21"/>
      <c r="Q894" s="21"/>
      <c r="R894" s="21"/>
      <c r="S894" s="21"/>
      <c r="T894" s="21"/>
      <c r="U894" s="21"/>
      <c r="V894" s="21"/>
      <c r="W894" s="21"/>
      <c r="X894" s="21"/>
      <c r="Y894" s="21"/>
      <c r="Z894" s="21"/>
    </row>
    <row r="895" spans="1:26" ht="15.75" customHeight="1" x14ac:dyDescent="0.25">
      <c r="A895" s="11"/>
      <c r="B895" s="22">
        <v>46020</v>
      </c>
      <c r="C895" s="11">
        <v>1635</v>
      </c>
      <c r="D895" s="11" t="s">
        <v>2971</v>
      </c>
      <c r="E895" s="11" t="s">
        <v>3678</v>
      </c>
      <c r="F895" s="11"/>
      <c r="G895" s="190" t="s">
        <v>3679</v>
      </c>
      <c r="H895" s="11" t="s">
        <v>3599</v>
      </c>
      <c r="I895" s="25" t="s">
        <v>3599</v>
      </c>
      <c r="J895" s="21"/>
      <c r="K895" s="21"/>
      <c r="L895" s="21"/>
      <c r="M895" s="21"/>
      <c r="N895" s="21"/>
      <c r="O895" s="21"/>
      <c r="P895" s="21"/>
      <c r="Q895" s="21"/>
      <c r="R895" s="21"/>
      <c r="S895" s="21"/>
      <c r="T895" s="21"/>
      <c r="U895" s="21"/>
      <c r="V895" s="21"/>
      <c r="W895" s="21"/>
      <c r="X895" s="21"/>
      <c r="Y895" s="21"/>
      <c r="Z895" s="21"/>
    </row>
    <row r="896" spans="1:26" ht="15.75" customHeight="1" x14ac:dyDescent="0.25">
      <c r="A896" s="11"/>
      <c r="B896" s="22">
        <v>46020</v>
      </c>
      <c r="C896" s="11">
        <v>1636</v>
      </c>
      <c r="D896" s="11" t="s">
        <v>2971</v>
      </c>
      <c r="E896" s="11" t="s">
        <v>3680</v>
      </c>
      <c r="F896" s="11"/>
      <c r="G896" s="190" t="s">
        <v>3681</v>
      </c>
      <c r="H896" s="11" t="s">
        <v>3612</v>
      </c>
      <c r="I896" s="25" t="s">
        <v>3612</v>
      </c>
      <c r="J896" s="21"/>
      <c r="K896" s="21"/>
      <c r="L896" s="21"/>
      <c r="M896" s="21"/>
      <c r="N896" s="21"/>
      <c r="O896" s="21"/>
      <c r="P896" s="21"/>
      <c r="Q896" s="21"/>
      <c r="R896" s="21"/>
      <c r="S896" s="21"/>
      <c r="T896" s="21"/>
      <c r="U896" s="21"/>
      <c r="V896" s="21"/>
      <c r="W896" s="21"/>
      <c r="X896" s="21"/>
      <c r="Y896" s="21"/>
      <c r="Z896" s="21"/>
    </row>
    <row r="897" spans="1:26" ht="15.75" customHeight="1" x14ac:dyDescent="0.25">
      <c r="A897" s="11"/>
      <c r="B897" s="22">
        <v>46020</v>
      </c>
      <c r="C897" s="11">
        <v>1637</v>
      </c>
      <c r="D897" s="11" t="s">
        <v>2971</v>
      </c>
      <c r="E897" s="11" t="s">
        <v>3653</v>
      </c>
      <c r="F897" s="11"/>
      <c r="G897" s="190" t="s">
        <v>3683</v>
      </c>
      <c r="H897" s="11" t="s">
        <v>3682</v>
      </c>
      <c r="I897" s="25" t="s">
        <v>3682</v>
      </c>
      <c r="J897" s="21"/>
      <c r="K897" s="21"/>
      <c r="L897" s="21"/>
      <c r="M897" s="21"/>
      <c r="N897" s="21"/>
      <c r="O897" s="21"/>
      <c r="P897" s="21"/>
      <c r="Q897" s="21"/>
      <c r="R897" s="21"/>
      <c r="S897" s="21"/>
      <c r="T897" s="21"/>
      <c r="U897" s="21"/>
      <c r="V897" s="21"/>
      <c r="W897" s="21"/>
      <c r="X897" s="21"/>
      <c r="Y897" s="21"/>
      <c r="Z897" s="21"/>
    </row>
    <row r="898" spans="1:26" ht="15.75" customHeight="1" x14ac:dyDescent="0.25">
      <c r="A898" s="11"/>
      <c r="B898" s="22">
        <v>46020</v>
      </c>
      <c r="C898" s="11">
        <v>1638</v>
      </c>
      <c r="D898" s="11" t="s">
        <v>44</v>
      </c>
      <c r="E898" s="11">
        <v>4714048196</v>
      </c>
      <c r="F898" s="11"/>
      <c r="G898" s="190" t="s">
        <v>3684</v>
      </c>
      <c r="H898" s="11" t="s">
        <v>2292</v>
      </c>
      <c r="I898" s="25">
        <v>1</v>
      </c>
      <c r="J898" s="21"/>
      <c r="K898" s="21"/>
      <c r="L898" s="21"/>
      <c r="M898" s="21"/>
      <c r="N898" s="21"/>
      <c r="O898" s="21"/>
      <c r="P898" s="21"/>
      <c r="Q898" s="21"/>
      <c r="R898" s="21"/>
      <c r="S898" s="21"/>
      <c r="T898" s="21"/>
      <c r="U898" s="21"/>
      <c r="V898" s="21"/>
      <c r="W898" s="21"/>
      <c r="X898" s="21"/>
      <c r="Y898" s="21"/>
      <c r="Z898" s="21"/>
    </row>
    <row r="899" spans="1:26" ht="15.75" customHeight="1" x14ac:dyDescent="0.25">
      <c r="A899" s="11"/>
      <c r="B899" s="22">
        <v>46020</v>
      </c>
      <c r="C899" s="11">
        <v>1639</v>
      </c>
      <c r="D899" s="11" t="s">
        <v>2971</v>
      </c>
      <c r="E899" s="11" t="s">
        <v>3678</v>
      </c>
      <c r="F899" s="11"/>
      <c r="G899" s="190" t="s">
        <v>3685</v>
      </c>
      <c r="H899" s="11" t="s">
        <v>2727</v>
      </c>
      <c r="I899" s="25" t="s">
        <v>2727</v>
      </c>
      <c r="J899" s="21"/>
      <c r="K899" s="21"/>
      <c r="L899" s="21"/>
      <c r="M899" s="21"/>
      <c r="N899" s="21"/>
      <c r="O899" s="21"/>
      <c r="P899" s="21"/>
      <c r="Q899" s="21"/>
      <c r="R899" s="21"/>
      <c r="S899" s="21"/>
      <c r="T899" s="21"/>
      <c r="U899" s="21"/>
      <c r="V899" s="21"/>
      <c r="W899" s="21"/>
      <c r="X899" s="21"/>
      <c r="Y899" s="21"/>
      <c r="Z899" s="21"/>
    </row>
    <row r="900" spans="1:26" ht="15.75" customHeight="1" x14ac:dyDescent="0.25">
      <c r="A900" s="11"/>
      <c r="B900" s="22">
        <v>46020</v>
      </c>
      <c r="C900" s="11">
        <v>1640</v>
      </c>
      <c r="D900" s="11" t="s">
        <v>4</v>
      </c>
      <c r="E900" s="11" t="s">
        <v>3686</v>
      </c>
      <c r="F900" s="11"/>
      <c r="G900" s="190" t="s">
        <v>3687</v>
      </c>
      <c r="H900" s="11" t="s">
        <v>2292</v>
      </c>
      <c r="I900" s="25">
        <v>1</v>
      </c>
      <c r="J900" s="21"/>
      <c r="K900" s="21"/>
      <c r="L900" s="21"/>
      <c r="M900" s="21"/>
      <c r="N900" s="21"/>
      <c r="O900" s="21"/>
      <c r="P900" s="21"/>
      <c r="Q900" s="21"/>
      <c r="R900" s="21"/>
      <c r="S900" s="21"/>
      <c r="T900" s="21"/>
      <c r="U900" s="21"/>
      <c r="V900" s="21"/>
      <c r="W900" s="21"/>
      <c r="X900" s="21"/>
      <c r="Y900" s="21"/>
      <c r="Z900" s="21"/>
    </row>
    <row r="901" spans="1:26" ht="15.75" customHeight="1" x14ac:dyDescent="0.25">
      <c r="A901" s="11"/>
      <c r="B901" s="22">
        <v>46021</v>
      </c>
      <c r="C901" s="11">
        <v>1641</v>
      </c>
      <c r="D901" s="11" t="s">
        <v>2971</v>
      </c>
      <c r="E901" s="11" t="s">
        <v>3688</v>
      </c>
      <c r="F901" s="11"/>
      <c r="G901" s="190" t="s">
        <v>3689</v>
      </c>
      <c r="H901" s="11" t="s">
        <v>2292</v>
      </c>
      <c r="I901" s="25">
        <v>1</v>
      </c>
      <c r="J901" s="21"/>
      <c r="K901" s="21"/>
      <c r="L901" s="21"/>
      <c r="M901" s="21"/>
      <c r="N901" s="21"/>
      <c r="O901" s="21"/>
      <c r="P901" s="21"/>
      <c r="Q901" s="21"/>
      <c r="R901" s="21"/>
      <c r="S901" s="21"/>
      <c r="T901" s="21"/>
      <c r="U901" s="21"/>
      <c r="V901" s="21"/>
      <c r="W901" s="21"/>
      <c r="X901" s="21"/>
      <c r="Y901" s="21"/>
      <c r="Z901" s="21"/>
    </row>
    <row r="902" spans="1:26" ht="15.75" customHeight="1" x14ac:dyDescent="0.25">
      <c r="A902" s="11"/>
      <c r="B902" s="22">
        <v>46027</v>
      </c>
      <c r="C902" s="11">
        <v>1642</v>
      </c>
      <c r="D902" s="11" t="s">
        <v>2971</v>
      </c>
      <c r="E902" s="11" t="s">
        <v>3690</v>
      </c>
      <c r="F902" s="11"/>
      <c r="G902" s="190" t="s">
        <v>3691</v>
      </c>
      <c r="H902" s="11" t="s">
        <v>2292</v>
      </c>
      <c r="I902" s="25">
        <v>1</v>
      </c>
      <c r="J902" s="21"/>
      <c r="K902" s="21"/>
      <c r="L902" s="21"/>
      <c r="M902" s="21"/>
      <c r="N902" s="21"/>
      <c r="O902" s="21"/>
      <c r="P902" s="21"/>
      <c r="Q902" s="21"/>
      <c r="R902" s="21"/>
      <c r="S902" s="21"/>
      <c r="T902" s="21"/>
      <c r="U902" s="21"/>
      <c r="V902" s="21"/>
      <c r="W902" s="21"/>
      <c r="X902" s="21"/>
      <c r="Y902" s="21"/>
      <c r="Z902" s="21"/>
    </row>
    <row r="903" spans="1:26" ht="15.75" customHeight="1" x14ac:dyDescent="0.25">
      <c r="A903" s="11"/>
      <c r="B903" s="22">
        <v>46027</v>
      </c>
      <c r="C903" s="11">
        <v>1643</v>
      </c>
      <c r="D903" s="11" t="s">
        <v>63</v>
      </c>
      <c r="E903" s="11" t="s">
        <v>129</v>
      </c>
      <c r="F903" s="11"/>
      <c r="G903" s="190" t="s">
        <v>3693</v>
      </c>
      <c r="H903" s="11" t="s">
        <v>3692</v>
      </c>
      <c r="I903" s="25" t="s">
        <v>3692</v>
      </c>
      <c r="J903" s="21"/>
      <c r="K903" s="21"/>
      <c r="L903" s="21"/>
      <c r="M903" s="21"/>
      <c r="N903" s="21"/>
      <c r="O903" s="21"/>
      <c r="P903" s="21"/>
      <c r="Q903" s="21"/>
      <c r="R903" s="21"/>
      <c r="S903" s="21"/>
      <c r="T903" s="21"/>
      <c r="U903" s="21"/>
      <c r="V903" s="21"/>
      <c r="W903" s="21"/>
      <c r="X903" s="21"/>
      <c r="Y903" s="21"/>
      <c r="Z903" s="21"/>
    </row>
    <row r="904" spans="1:26" ht="15.75" customHeight="1" x14ac:dyDescent="0.25">
      <c r="B904" s="300">
        <v>46027</v>
      </c>
      <c r="C904">
        <v>1643</v>
      </c>
      <c r="D904" t="s">
        <v>63</v>
      </c>
      <c r="E904" t="s">
        <v>3828</v>
      </c>
      <c r="F904" t="s">
        <v>2230</v>
      </c>
      <c r="G904" s="301" t="s">
        <v>3830</v>
      </c>
      <c r="H904" t="s">
        <v>3829</v>
      </c>
      <c r="I904" t="s">
        <v>3829</v>
      </c>
      <c r="K904" s="21"/>
      <c r="L904" s="21"/>
      <c r="M904" s="21"/>
      <c r="N904" s="21"/>
      <c r="O904" s="21"/>
      <c r="P904" s="21"/>
      <c r="Q904" s="21"/>
      <c r="R904" s="21"/>
      <c r="S904" s="21"/>
      <c r="T904" s="21"/>
      <c r="U904" s="21"/>
      <c r="V904" s="21"/>
      <c r="W904" s="21"/>
      <c r="X904" s="21"/>
      <c r="Y904" s="21"/>
      <c r="Z904" s="21"/>
    </row>
    <row r="905" spans="1:26" ht="15.75" customHeight="1" x14ac:dyDescent="0.25">
      <c r="A905" s="11"/>
      <c r="B905" s="22">
        <v>46027</v>
      </c>
      <c r="C905" s="11">
        <v>1644</v>
      </c>
      <c r="D905" s="11" t="s">
        <v>63</v>
      </c>
      <c r="E905" s="11" t="s">
        <v>129</v>
      </c>
      <c r="F905" s="11"/>
      <c r="G905" s="190" t="s">
        <v>3694</v>
      </c>
      <c r="H905" s="11" t="s">
        <v>3692</v>
      </c>
      <c r="I905" s="25" t="s">
        <v>3692</v>
      </c>
      <c r="J905" s="21"/>
      <c r="K905" s="21"/>
      <c r="L905" s="21"/>
      <c r="M905" s="21"/>
      <c r="N905" s="21"/>
      <c r="O905" s="21"/>
      <c r="P905" s="21"/>
      <c r="Q905" s="21"/>
      <c r="R905" s="21"/>
      <c r="S905" s="21"/>
      <c r="T905" s="21"/>
      <c r="U905" s="21"/>
      <c r="V905" s="21"/>
      <c r="W905" s="21"/>
      <c r="X905" s="21"/>
      <c r="Y905" s="21"/>
      <c r="Z905" s="21"/>
    </row>
    <row r="906" spans="1:26" ht="15.75" customHeight="1" x14ac:dyDescent="0.25">
      <c r="A906" s="11"/>
      <c r="B906" s="22">
        <v>46027</v>
      </c>
      <c r="C906" s="11">
        <v>1644</v>
      </c>
      <c r="D906" s="11" t="s">
        <v>63</v>
      </c>
      <c r="E906" s="11" t="s">
        <v>3745</v>
      </c>
      <c r="F906" s="11" t="s">
        <v>2230</v>
      </c>
      <c r="G906" s="190" t="s">
        <v>3746</v>
      </c>
      <c r="H906" s="11" t="s">
        <v>3744</v>
      </c>
      <c r="I906" s="25" t="s">
        <v>3744</v>
      </c>
      <c r="J906" s="21"/>
      <c r="K906" s="21"/>
      <c r="L906" s="21"/>
      <c r="M906" s="21"/>
      <c r="N906" s="21"/>
      <c r="O906" s="21"/>
      <c r="P906" s="21"/>
      <c r="Q906" s="21"/>
      <c r="R906" s="21"/>
      <c r="S906" s="21"/>
      <c r="T906" s="21"/>
      <c r="U906" s="21"/>
      <c r="V906" s="21"/>
      <c r="W906" s="21"/>
      <c r="X906" s="21"/>
      <c r="Y906" s="21"/>
      <c r="Z906" s="21"/>
    </row>
    <row r="907" spans="1:26" ht="15.75" customHeight="1" x14ac:dyDescent="0.25">
      <c r="A907" s="11"/>
      <c r="B907" s="22">
        <v>46028</v>
      </c>
      <c r="C907" s="11">
        <v>1645</v>
      </c>
      <c r="D907" s="11" t="s">
        <v>3192</v>
      </c>
      <c r="E907" s="11">
        <v>261000009</v>
      </c>
      <c r="F907" s="11"/>
      <c r="G907" s="190" t="s">
        <v>3695</v>
      </c>
      <c r="H907" s="11" t="s">
        <v>2292</v>
      </c>
      <c r="I907" s="25">
        <v>1</v>
      </c>
      <c r="J907" s="21"/>
      <c r="K907" s="21"/>
      <c r="L907" s="21"/>
      <c r="M907" s="21"/>
      <c r="N907" s="21"/>
      <c r="O907" s="21"/>
      <c r="P907" s="21"/>
      <c r="Q907" s="21"/>
      <c r="R907" s="21"/>
      <c r="S907" s="21"/>
      <c r="T907" s="21"/>
      <c r="U907" s="21"/>
      <c r="V907" s="21"/>
      <c r="W907" s="21"/>
      <c r="X907" s="21"/>
      <c r="Y907" s="21"/>
      <c r="Z907" s="21"/>
    </row>
    <row r="908" spans="1:26" ht="15.75" customHeight="1" x14ac:dyDescent="0.25">
      <c r="A908" s="11"/>
      <c r="B908" s="22">
        <v>46028</v>
      </c>
      <c r="C908" s="11">
        <v>1646</v>
      </c>
      <c r="D908" s="11" t="s">
        <v>2298</v>
      </c>
      <c r="E908" s="11" t="s">
        <v>3696</v>
      </c>
      <c r="F908" s="11"/>
      <c r="G908" s="190" t="s">
        <v>3697</v>
      </c>
      <c r="H908" s="11" t="s">
        <v>2292</v>
      </c>
      <c r="I908" s="25">
        <v>1</v>
      </c>
      <c r="J908" s="21"/>
      <c r="K908" s="21"/>
      <c r="L908" s="21"/>
      <c r="M908" s="21"/>
      <c r="N908" s="21"/>
      <c r="O908" s="21"/>
      <c r="P908" s="21"/>
      <c r="Q908" s="21"/>
      <c r="R908" s="21"/>
      <c r="S908" s="21"/>
      <c r="T908" s="21"/>
      <c r="U908" s="21"/>
      <c r="V908" s="21"/>
      <c r="W908" s="21"/>
      <c r="X908" s="21"/>
      <c r="Y908" s="21"/>
      <c r="Z908" s="21"/>
    </row>
    <row r="909" spans="1:26" ht="15.75" customHeight="1" x14ac:dyDescent="0.25">
      <c r="A909" s="11"/>
      <c r="B909" s="22">
        <v>46029</v>
      </c>
      <c r="C909" s="11">
        <v>1647</v>
      </c>
      <c r="D909" s="11" t="s">
        <v>228</v>
      </c>
      <c r="E909" s="11" t="s">
        <v>3698</v>
      </c>
      <c r="F909" s="11"/>
      <c r="G909" s="190" t="s">
        <v>3699</v>
      </c>
      <c r="H909" s="11" t="s">
        <v>2292</v>
      </c>
      <c r="I909" s="25">
        <v>1</v>
      </c>
      <c r="J909" s="21"/>
      <c r="K909" s="21"/>
      <c r="L909" s="21"/>
      <c r="M909" s="21"/>
      <c r="N909" s="21"/>
      <c r="O909" s="21"/>
      <c r="P909" s="21"/>
      <c r="Q909" s="21"/>
      <c r="R909" s="21"/>
      <c r="S909" s="21"/>
      <c r="T909" s="21"/>
      <c r="U909" s="21"/>
      <c r="V909" s="21"/>
      <c r="W909" s="21"/>
      <c r="X909" s="21"/>
      <c r="Y909" s="21"/>
      <c r="Z909" s="21"/>
    </row>
    <row r="910" spans="1:26" ht="15.75" customHeight="1" x14ac:dyDescent="0.25">
      <c r="A910" s="11"/>
      <c r="B910" s="22">
        <v>46029</v>
      </c>
      <c r="C910" s="11">
        <v>1648</v>
      </c>
      <c r="D910" s="11" t="s">
        <v>2971</v>
      </c>
      <c r="E910" s="11" t="s">
        <v>3701</v>
      </c>
      <c r="F910" s="11"/>
      <c r="G910" s="190" t="s">
        <v>3702</v>
      </c>
      <c r="H910" s="11" t="s">
        <v>3700</v>
      </c>
      <c r="I910" s="25" t="s">
        <v>3700</v>
      </c>
      <c r="J910" s="21"/>
      <c r="K910" s="21"/>
      <c r="L910" s="21"/>
      <c r="M910" s="21"/>
      <c r="N910" s="21"/>
      <c r="O910" s="21"/>
      <c r="P910" s="21"/>
      <c r="Q910" s="21"/>
      <c r="R910" s="21"/>
      <c r="S910" s="21"/>
      <c r="T910" s="21"/>
      <c r="U910" s="21"/>
      <c r="V910" s="21"/>
      <c r="W910" s="21"/>
      <c r="X910" s="21"/>
      <c r="Y910" s="21"/>
      <c r="Z910" s="21"/>
    </row>
    <row r="911" spans="1:26" ht="15.75" customHeight="1" x14ac:dyDescent="0.25">
      <c r="A911" s="11"/>
      <c r="B911" s="22">
        <v>46030</v>
      </c>
      <c r="C911" s="11">
        <v>1649</v>
      </c>
      <c r="D911" s="11" t="s">
        <v>63</v>
      </c>
      <c r="E911" s="11" t="s">
        <v>3705</v>
      </c>
      <c r="F911" s="11"/>
      <c r="G911" s="190" t="s">
        <v>3706</v>
      </c>
      <c r="H911" s="11" t="s">
        <v>2292</v>
      </c>
      <c r="I911" s="25">
        <v>1</v>
      </c>
      <c r="J911" s="21"/>
      <c r="K911" s="21"/>
      <c r="L911" s="21"/>
      <c r="M911" s="21"/>
      <c r="N911" s="21"/>
      <c r="O911" s="21"/>
      <c r="P911" s="21"/>
      <c r="Q911" s="21"/>
      <c r="R911" s="21"/>
      <c r="S911" s="21"/>
      <c r="T911" s="21"/>
      <c r="U911" s="21"/>
      <c r="V911" s="21"/>
      <c r="W911" s="21"/>
      <c r="X911" s="21"/>
      <c r="Y911" s="21"/>
      <c r="Z911" s="21"/>
    </row>
    <row r="912" spans="1:26" ht="15.75" customHeight="1" x14ac:dyDescent="0.25">
      <c r="A912" s="11"/>
      <c r="B912" s="22">
        <v>46031</v>
      </c>
      <c r="C912" s="11">
        <v>1650</v>
      </c>
      <c r="D912" s="11" t="s">
        <v>2971</v>
      </c>
      <c r="E912" s="11" t="s">
        <v>3707</v>
      </c>
      <c r="F912" s="11"/>
      <c r="G912" s="190" t="s">
        <v>3708</v>
      </c>
      <c r="H912" s="11" t="s">
        <v>2618</v>
      </c>
      <c r="I912" s="25" t="s">
        <v>2618</v>
      </c>
      <c r="J912" s="21"/>
      <c r="K912" s="21"/>
      <c r="L912" s="21"/>
      <c r="M912" s="21"/>
      <c r="N912" s="21"/>
      <c r="O912" s="21"/>
      <c r="P912" s="21"/>
      <c r="Q912" s="21"/>
      <c r="R912" s="21"/>
      <c r="S912" s="21"/>
      <c r="T912" s="21"/>
      <c r="U912" s="21"/>
      <c r="V912" s="21"/>
      <c r="W912" s="21"/>
      <c r="X912" s="21"/>
      <c r="Y912" s="21"/>
      <c r="Z912" s="21"/>
    </row>
    <row r="913" spans="1:26" ht="15.75" customHeight="1" x14ac:dyDescent="0.25">
      <c r="A913" s="11"/>
      <c r="B913" s="22">
        <v>46031</v>
      </c>
      <c r="C913" s="11">
        <v>1650</v>
      </c>
      <c r="D913" s="11" t="s">
        <v>2971</v>
      </c>
      <c r="E913" s="11" t="s">
        <v>3707</v>
      </c>
      <c r="F913" s="11"/>
      <c r="G913" s="190" t="s">
        <v>3708</v>
      </c>
      <c r="H913" s="11" t="s">
        <v>2618</v>
      </c>
      <c r="I913" s="25" t="s">
        <v>2618</v>
      </c>
      <c r="J913" s="21"/>
      <c r="K913" s="21"/>
      <c r="L913" s="21"/>
      <c r="M913" s="21"/>
      <c r="N913" s="21"/>
      <c r="O913" s="21"/>
      <c r="P913" s="21"/>
      <c r="Q913" s="21"/>
      <c r="R913" s="21"/>
      <c r="S913" s="21"/>
      <c r="T913" s="21"/>
      <c r="U913" s="21"/>
      <c r="V913" s="21"/>
      <c r="W913" s="21"/>
      <c r="X913" s="21"/>
      <c r="Y913" s="21"/>
      <c r="Z913" s="21"/>
    </row>
    <row r="914" spans="1:26" ht="15.75" customHeight="1" x14ac:dyDescent="0.25">
      <c r="A914" s="11"/>
      <c r="B914" s="22">
        <v>46031</v>
      </c>
      <c r="C914" s="11">
        <v>1651</v>
      </c>
      <c r="D914" s="11" t="s">
        <v>2971</v>
      </c>
      <c r="E914" s="11" t="s">
        <v>3709</v>
      </c>
      <c r="F914" s="11"/>
      <c r="G914" s="190" t="s">
        <v>3710</v>
      </c>
      <c r="H914" s="11" t="s">
        <v>2292</v>
      </c>
      <c r="I914" s="25">
        <v>1</v>
      </c>
      <c r="J914" s="21"/>
      <c r="K914" s="21"/>
      <c r="L914" s="21"/>
      <c r="M914" s="21"/>
      <c r="N914" s="21"/>
      <c r="O914" s="21"/>
      <c r="P914" s="21"/>
      <c r="Q914" s="21"/>
      <c r="R914" s="21"/>
      <c r="S914" s="21"/>
      <c r="T914" s="21"/>
      <c r="U914" s="21"/>
      <c r="V914" s="21"/>
      <c r="W914" s="21"/>
      <c r="X914" s="21"/>
      <c r="Y914" s="21"/>
      <c r="Z914" s="21"/>
    </row>
    <row r="915" spans="1:26" ht="15.75" customHeight="1" x14ac:dyDescent="0.25">
      <c r="A915" s="11"/>
      <c r="B915" s="22">
        <v>46031</v>
      </c>
      <c r="C915" s="11">
        <v>1652</v>
      </c>
      <c r="D915" s="11" t="s">
        <v>66</v>
      </c>
      <c r="E915" s="11" t="s">
        <v>3711</v>
      </c>
      <c r="F915" s="11"/>
      <c r="G915" s="190" t="s">
        <v>3712</v>
      </c>
      <c r="H915" s="11" t="s">
        <v>2292</v>
      </c>
      <c r="I915" s="25">
        <v>1</v>
      </c>
      <c r="J915" s="21"/>
      <c r="K915" s="21"/>
      <c r="L915" s="21"/>
      <c r="M915" s="21"/>
      <c r="N915" s="21"/>
      <c r="O915" s="21"/>
      <c r="P915" s="21"/>
      <c r="Q915" s="21"/>
      <c r="R915" s="21"/>
      <c r="S915" s="21"/>
      <c r="T915" s="21"/>
      <c r="U915" s="21"/>
      <c r="V915" s="21"/>
      <c r="W915" s="21"/>
      <c r="X915" s="21"/>
      <c r="Y915" s="21"/>
      <c r="Z915" s="21"/>
    </row>
    <row r="916" spans="1:26" ht="15.75" customHeight="1" x14ac:dyDescent="0.25">
      <c r="A916" s="11"/>
      <c r="B916" s="22">
        <v>46032</v>
      </c>
      <c r="C916" s="11">
        <v>1653</v>
      </c>
      <c r="D916" s="11" t="s">
        <v>44</v>
      </c>
      <c r="E916" s="11">
        <v>4714048246</v>
      </c>
      <c r="F916" s="11"/>
      <c r="G916" s="190" t="s">
        <v>3713</v>
      </c>
      <c r="H916" s="11" t="s">
        <v>2306</v>
      </c>
      <c r="I916" s="25">
        <v>7</v>
      </c>
      <c r="J916" s="21"/>
      <c r="K916" s="21"/>
      <c r="L916" s="21"/>
      <c r="M916" s="21"/>
      <c r="N916" s="21"/>
      <c r="O916" s="21"/>
      <c r="P916" s="21"/>
      <c r="Q916" s="21"/>
      <c r="R916" s="21"/>
      <c r="S916" s="21"/>
      <c r="T916" s="21"/>
      <c r="U916" s="21"/>
      <c r="V916" s="21"/>
      <c r="W916" s="21"/>
      <c r="X916" s="21"/>
      <c r="Y916" s="21"/>
      <c r="Z916" s="21"/>
    </row>
    <row r="917" spans="1:26" ht="15.75" customHeight="1" x14ac:dyDescent="0.25">
      <c r="A917" s="11"/>
      <c r="B917" s="22">
        <v>46034</v>
      </c>
      <c r="C917" s="11">
        <v>1654</v>
      </c>
      <c r="D917" s="11" t="s">
        <v>2971</v>
      </c>
      <c r="E917" s="11" t="s">
        <v>3714</v>
      </c>
      <c r="F917" s="11"/>
      <c r="G917" s="190" t="s">
        <v>3715</v>
      </c>
      <c r="H917" s="11" t="s">
        <v>2292</v>
      </c>
      <c r="I917" s="25">
        <v>1</v>
      </c>
      <c r="J917" s="21"/>
      <c r="K917" s="21"/>
      <c r="L917" s="21"/>
      <c r="M917" s="21"/>
      <c r="N917" s="21"/>
      <c r="O917" s="21"/>
      <c r="P917" s="21"/>
      <c r="Q917" s="21"/>
      <c r="R917" s="21"/>
      <c r="S917" s="21"/>
      <c r="T917" s="21"/>
      <c r="U917" s="21"/>
      <c r="V917" s="21"/>
      <c r="W917" s="21"/>
      <c r="X917" s="21"/>
      <c r="Y917" s="21"/>
      <c r="Z917" s="21"/>
    </row>
    <row r="918" spans="1:26" ht="15.75" customHeight="1" x14ac:dyDescent="0.25">
      <c r="A918" s="11"/>
      <c r="B918" s="22">
        <v>46034</v>
      </c>
      <c r="C918" s="11">
        <v>1655</v>
      </c>
      <c r="D918" s="11" t="s">
        <v>2971</v>
      </c>
      <c r="E918" s="11" t="s">
        <v>3701</v>
      </c>
      <c r="F918" s="11"/>
      <c r="G918" s="190" t="s">
        <v>3716</v>
      </c>
      <c r="H918" s="11" t="s">
        <v>3128</v>
      </c>
      <c r="I918" s="25" t="s">
        <v>3128</v>
      </c>
      <c r="J918" s="21"/>
      <c r="K918" s="21"/>
      <c r="L918" s="21"/>
      <c r="M918" s="21"/>
      <c r="N918" s="21"/>
      <c r="O918" s="21"/>
      <c r="P918" s="21"/>
      <c r="Q918" s="21"/>
      <c r="R918" s="21"/>
      <c r="S918" s="21"/>
      <c r="T918" s="21"/>
      <c r="U918" s="21"/>
      <c r="V918" s="21"/>
      <c r="W918" s="21"/>
      <c r="X918" s="21"/>
      <c r="Y918" s="21"/>
      <c r="Z918" s="21"/>
    </row>
    <row r="919" spans="1:26" ht="15.75" customHeight="1" x14ac:dyDescent="0.25">
      <c r="A919" s="11"/>
      <c r="B919" s="22">
        <v>46034</v>
      </c>
      <c r="C919" s="11">
        <v>1656</v>
      </c>
      <c r="D919" s="11" t="s">
        <v>2971</v>
      </c>
      <c r="E919" s="11" t="s">
        <v>3717</v>
      </c>
      <c r="F919" s="11"/>
      <c r="G919" s="190" t="s">
        <v>3718</v>
      </c>
      <c r="H919" s="11" t="s">
        <v>2618</v>
      </c>
      <c r="I919" s="25" t="s">
        <v>2618</v>
      </c>
      <c r="J919" s="21"/>
      <c r="K919" s="21"/>
      <c r="L919" s="21"/>
      <c r="M919" s="21"/>
      <c r="N919" s="21"/>
      <c r="O919" s="21"/>
      <c r="P919" s="21"/>
      <c r="Q919" s="21"/>
      <c r="R919" s="21"/>
      <c r="S919" s="21"/>
      <c r="T919" s="21"/>
      <c r="U919" s="21"/>
      <c r="V919" s="21"/>
      <c r="W919" s="21"/>
      <c r="X919" s="21"/>
      <c r="Y919" s="21"/>
      <c r="Z919" s="21"/>
    </row>
    <row r="920" spans="1:26" ht="15.75" customHeight="1" x14ac:dyDescent="0.25">
      <c r="A920" s="11"/>
      <c r="B920" s="22">
        <v>46034</v>
      </c>
      <c r="C920" s="11">
        <v>1657</v>
      </c>
      <c r="D920" s="11" t="s">
        <v>2971</v>
      </c>
      <c r="E920" s="11" t="s">
        <v>3719</v>
      </c>
      <c r="F920" s="11"/>
      <c r="G920" s="190" t="s">
        <v>3720</v>
      </c>
      <c r="H920" s="11" t="s">
        <v>2306</v>
      </c>
      <c r="I920" s="25">
        <v>7</v>
      </c>
      <c r="J920" s="21"/>
      <c r="K920" s="21"/>
      <c r="L920" s="21"/>
      <c r="M920" s="21"/>
      <c r="N920" s="21"/>
      <c r="O920" s="21"/>
      <c r="P920" s="21"/>
      <c r="Q920" s="21"/>
      <c r="R920" s="21"/>
      <c r="S920" s="21"/>
      <c r="T920" s="21"/>
      <c r="U920" s="21"/>
      <c r="V920" s="21"/>
      <c r="W920" s="21"/>
      <c r="X920" s="21"/>
      <c r="Y920" s="21"/>
      <c r="Z920" s="21"/>
    </row>
    <row r="921" spans="1:26" ht="15.75" customHeight="1" x14ac:dyDescent="0.25">
      <c r="A921" s="11"/>
      <c r="B921" s="22">
        <v>46035</v>
      </c>
      <c r="C921" s="11">
        <v>1658</v>
      </c>
      <c r="D921" s="11" t="s">
        <v>63</v>
      </c>
      <c r="E921" s="11" t="s">
        <v>3721</v>
      </c>
      <c r="F921" s="11"/>
      <c r="G921" s="190" t="s">
        <v>3722</v>
      </c>
      <c r="H921" s="11" t="s">
        <v>2292</v>
      </c>
      <c r="I921" s="25">
        <v>1</v>
      </c>
      <c r="J921" s="21"/>
      <c r="K921" s="21"/>
      <c r="L921" s="21"/>
      <c r="M921" s="21"/>
      <c r="N921" s="21"/>
      <c r="O921" s="21"/>
      <c r="P921" s="21"/>
      <c r="Q921" s="21"/>
      <c r="R921" s="21"/>
      <c r="S921" s="21"/>
      <c r="T921" s="21"/>
      <c r="U921" s="21"/>
      <c r="V921" s="21"/>
      <c r="W921" s="21"/>
      <c r="X921" s="21"/>
      <c r="Y921" s="21"/>
      <c r="Z921" s="21"/>
    </row>
    <row r="922" spans="1:26" ht="15.75" customHeight="1" x14ac:dyDescent="0.25">
      <c r="A922" s="11"/>
      <c r="B922" s="22">
        <v>46036</v>
      </c>
      <c r="C922" s="11">
        <v>1659</v>
      </c>
      <c r="D922" s="11" t="s">
        <v>63</v>
      </c>
      <c r="E922" s="11" t="s">
        <v>3723</v>
      </c>
      <c r="F922" s="11"/>
      <c r="G922" s="190" t="s">
        <v>3724</v>
      </c>
      <c r="H922" s="11" t="s">
        <v>2292</v>
      </c>
      <c r="I922" s="25">
        <v>1</v>
      </c>
      <c r="J922" s="21"/>
      <c r="K922" s="21"/>
      <c r="L922" s="21"/>
      <c r="M922" s="21"/>
      <c r="N922" s="21"/>
      <c r="O922" s="21"/>
      <c r="P922" s="21"/>
      <c r="Q922" s="21"/>
      <c r="R922" s="21"/>
      <c r="S922" s="21"/>
      <c r="T922" s="21"/>
      <c r="U922" s="21"/>
      <c r="V922" s="21"/>
      <c r="W922" s="21"/>
      <c r="X922" s="21"/>
      <c r="Y922" s="21"/>
      <c r="Z922" s="21"/>
    </row>
    <row r="923" spans="1:26" ht="15.75" customHeight="1" x14ac:dyDescent="0.25">
      <c r="A923" s="11"/>
      <c r="B923" s="22">
        <v>46039</v>
      </c>
      <c r="C923" s="11">
        <v>1660</v>
      </c>
      <c r="D923" s="11" t="s">
        <v>66</v>
      </c>
      <c r="E923" s="11" t="s">
        <v>3725</v>
      </c>
      <c r="F923" s="11"/>
      <c r="G923" s="190" t="s">
        <v>3726</v>
      </c>
      <c r="H923" s="11" t="s">
        <v>2292</v>
      </c>
      <c r="I923" s="25">
        <v>1</v>
      </c>
      <c r="J923" s="21"/>
      <c r="K923" s="21"/>
      <c r="L923" s="21"/>
      <c r="M923" s="21"/>
      <c r="N923" s="21"/>
      <c r="O923" s="21"/>
      <c r="P923" s="21"/>
      <c r="Q923" s="21"/>
      <c r="R923" s="21"/>
      <c r="S923" s="21"/>
      <c r="T923" s="21"/>
      <c r="U923" s="21"/>
      <c r="V923" s="21"/>
      <c r="W923" s="21"/>
      <c r="X923" s="21"/>
      <c r="Y923" s="21"/>
      <c r="Z923" s="21"/>
    </row>
    <row r="924" spans="1:26" ht="15.75" customHeight="1" x14ac:dyDescent="0.25">
      <c r="A924" s="11"/>
      <c r="B924" s="22">
        <v>46039</v>
      </c>
      <c r="C924" s="11">
        <v>1661</v>
      </c>
      <c r="D924" s="11" t="s">
        <v>66</v>
      </c>
      <c r="E924" s="11" t="s">
        <v>3727</v>
      </c>
      <c r="F924" s="11"/>
      <c r="G924" s="190" t="s">
        <v>3728</v>
      </c>
      <c r="H924" s="11" t="s">
        <v>2292</v>
      </c>
      <c r="I924" s="25">
        <v>1</v>
      </c>
      <c r="J924" s="21"/>
      <c r="K924" s="21"/>
      <c r="L924" s="21"/>
      <c r="M924" s="21"/>
      <c r="N924" s="21"/>
      <c r="O924" s="21"/>
      <c r="P924" s="21"/>
      <c r="Q924" s="21"/>
      <c r="R924" s="21"/>
      <c r="S924" s="21"/>
      <c r="T924" s="21"/>
      <c r="U924" s="21"/>
      <c r="V924" s="21"/>
      <c r="W924" s="21"/>
      <c r="X924" s="21"/>
      <c r="Y924" s="21"/>
      <c r="Z924" s="21"/>
    </row>
    <row r="925" spans="1:26" ht="15.75" customHeight="1" x14ac:dyDescent="0.25">
      <c r="A925" s="11"/>
      <c r="B925" s="22">
        <v>46041</v>
      </c>
      <c r="C925" s="11">
        <v>1662</v>
      </c>
      <c r="D925" s="11" t="s">
        <v>2971</v>
      </c>
      <c r="E925" s="11" t="s">
        <v>3729</v>
      </c>
      <c r="F925" s="11"/>
      <c r="G925" s="190" t="s">
        <v>3730</v>
      </c>
      <c r="H925" s="11" t="s">
        <v>3432</v>
      </c>
      <c r="I925" s="25" t="s">
        <v>3432</v>
      </c>
      <c r="J925" s="21"/>
      <c r="K925" s="21"/>
      <c r="L925" s="21"/>
      <c r="M925" s="21"/>
      <c r="N925" s="21"/>
      <c r="O925" s="21"/>
      <c r="P925" s="21"/>
      <c r="Q925" s="21"/>
      <c r="R925" s="21"/>
      <c r="S925" s="21"/>
      <c r="T925" s="21"/>
      <c r="U925" s="21"/>
      <c r="V925" s="21"/>
      <c r="W925" s="21"/>
      <c r="X925" s="21"/>
      <c r="Y925" s="21"/>
      <c r="Z925" s="21"/>
    </row>
    <row r="926" spans="1:26" ht="15.75" customHeight="1" x14ac:dyDescent="0.25">
      <c r="A926" s="11"/>
      <c r="B926" s="22">
        <v>46041</v>
      </c>
      <c r="C926" s="11">
        <v>1663</v>
      </c>
      <c r="D926" s="11" t="s">
        <v>2971</v>
      </c>
      <c r="E926" s="11" t="s">
        <v>3731</v>
      </c>
      <c r="F926" s="11"/>
      <c r="G926" s="190" t="s">
        <v>3732</v>
      </c>
      <c r="H926" s="11" t="s">
        <v>2292</v>
      </c>
      <c r="I926" s="25">
        <v>1</v>
      </c>
      <c r="J926" s="21"/>
      <c r="K926" s="21"/>
      <c r="L926" s="21"/>
      <c r="M926" s="21"/>
      <c r="N926" s="21"/>
      <c r="O926" s="21"/>
      <c r="P926" s="21"/>
      <c r="Q926" s="21"/>
      <c r="R926" s="21"/>
      <c r="S926" s="21"/>
      <c r="T926" s="21"/>
      <c r="U926" s="21"/>
      <c r="V926" s="21"/>
      <c r="W926" s="21"/>
      <c r="X926" s="21"/>
      <c r="Y926" s="21"/>
      <c r="Z926" s="21"/>
    </row>
    <row r="927" spans="1:26" ht="15.75" customHeight="1" x14ac:dyDescent="0.25">
      <c r="A927" s="11"/>
      <c r="B927" s="22">
        <v>46041</v>
      </c>
      <c r="C927" s="11">
        <v>1664</v>
      </c>
      <c r="D927" s="11" t="s">
        <v>2971</v>
      </c>
      <c r="E927" s="11" t="s">
        <v>3678</v>
      </c>
      <c r="F927" s="11"/>
      <c r="G927" s="190" t="s">
        <v>3734</v>
      </c>
      <c r="H927" s="11" t="s">
        <v>3733</v>
      </c>
      <c r="I927" s="25" t="s">
        <v>3733</v>
      </c>
      <c r="J927" s="21"/>
      <c r="K927" s="21"/>
      <c r="L927" s="21"/>
      <c r="M927" s="21"/>
      <c r="N927" s="21"/>
      <c r="O927" s="21"/>
      <c r="P927" s="21"/>
      <c r="Q927" s="21"/>
      <c r="R927" s="21"/>
      <c r="S927" s="21"/>
      <c r="T927" s="21"/>
      <c r="U927" s="21"/>
      <c r="V927" s="21"/>
      <c r="W927" s="21"/>
      <c r="X927" s="21"/>
      <c r="Y927" s="21"/>
      <c r="Z927" s="21"/>
    </row>
    <row r="928" spans="1:26" ht="15.75" customHeight="1" x14ac:dyDescent="0.25">
      <c r="A928" s="11"/>
      <c r="B928" s="22">
        <v>46041</v>
      </c>
      <c r="C928" s="11">
        <v>1665</v>
      </c>
      <c r="D928" s="11" t="s">
        <v>2971</v>
      </c>
      <c r="E928" s="11" t="s">
        <v>3680</v>
      </c>
      <c r="F928" s="11"/>
      <c r="G928" s="190" t="s">
        <v>3736</v>
      </c>
      <c r="H928" s="11" t="s">
        <v>3735</v>
      </c>
      <c r="I928" s="25" t="s">
        <v>3735</v>
      </c>
      <c r="J928" s="21"/>
      <c r="K928" s="21"/>
      <c r="L928" s="21"/>
      <c r="M928" s="21"/>
      <c r="N928" s="21"/>
      <c r="O928" s="21"/>
      <c r="P928" s="21"/>
      <c r="Q928" s="21"/>
      <c r="R928" s="21"/>
      <c r="S928" s="21"/>
      <c r="T928" s="21"/>
      <c r="U928" s="21"/>
      <c r="V928" s="21"/>
      <c r="W928" s="21"/>
      <c r="X928" s="21"/>
      <c r="Y928" s="21"/>
      <c r="Z928" s="21"/>
    </row>
    <row r="929" spans="1:26" ht="15.75" customHeight="1" x14ac:dyDescent="0.25">
      <c r="A929" s="11"/>
      <c r="B929" s="22">
        <v>46041</v>
      </c>
      <c r="C929" s="11">
        <v>1666</v>
      </c>
      <c r="D929" s="11" t="s">
        <v>2971</v>
      </c>
      <c r="E929" s="11" t="s">
        <v>3701</v>
      </c>
      <c r="F929" s="11"/>
      <c r="G929" s="190" t="s">
        <v>3737</v>
      </c>
      <c r="H929" s="11" t="s">
        <v>2618</v>
      </c>
      <c r="I929" s="25" t="s">
        <v>2618</v>
      </c>
      <c r="J929" s="21"/>
      <c r="K929" s="21"/>
      <c r="L929" s="21"/>
      <c r="M929" s="21"/>
      <c r="N929" s="21"/>
      <c r="O929" s="21"/>
      <c r="P929" s="21"/>
      <c r="Q929" s="21"/>
      <c r="R929" s="21"/>
      <c r="S929" s="21"/>
      <c r="T929" s="21"/>
      <c r="U929" s="21"/>
      <c r="V929" s="21"/>
      <c r="W929" s="21"/>
      <c r="X929" s="21"/>
      <c r="Y929" s="21"/>
      <c r="Z929" s="21"/>
    </row>
    <row r="930" spans="1:26" ht="15.75" customHeight="1" x14ac:dyDescent="0.25">
      <c r="A930" s="11"/>
      <c r="B930" s="22">
        <v>46041</v>
      </c>
      <c r="C930" s="11">
        <v>1667</v>
      </c>
      <c r="D930" s="11" t="s">
        <v>2971</v>
      </c>
      <c r="E930" s="11" t="s">
        <v>3738</v>
      </c>
      <c r="F930" s="11"/>
      <c r="G930" s="190" t="s">
        <v>3739</v>
      </c>
      <c r="H930" s="11" t="s">
        <v>3115</v>
      </c>
      <c r="I930" s="25" t="s">
        <v>3115</v>
      </c>
      <c r="J930" s="21"/>
      <c r="K930" s="21"/>
      <c r="L930" s="21"/>
      <c r="M930" s="21"/>
      <c r="N930" s="21"/>
      <c r="O930" s="21"/>
      <c r="P930" s="21"/>
      <c r="Q930" s="21"/>
      <c r="R930" s="21"/>
      <c r="S930" s="21"/>
      <c r="T930" s="21"/>
      <c r="U930" s="21"/>
      <c r="V930" s="21"/>
      <c r="W930" s="21"/>
      <c r="X930" s="21"/>
      <c r="Y930" s="21"/>
      <c r="Z930" s="21"/>
    </row>
    <row r="931" spans="1:26" ht="15.75" customHeight="1" x14ac:dyDescent="0.25">
      <c r="A931" s="11"/>
      <c r="B931" s="22">
        <v>46041</v>
      </c>
      <c r="C931" s="11">
        <v>1668</v>
      </c>
      <c r="D931" s="11" t="s">
        <v>2971</v>
      </c>
      <c r="E931" s="11" t="s">
        <v>3738</v>
      </c>
      <c r="F931" s="11"/>
      <c r="G931" s="190" t="s">
        <v>3740</v>
      </c>
      <c r="H931" s="11" t="s">
        <v>3637</v>
      </c>
      <c r="I931" s="25" t="s">
        <v>3637</v>
      </c>
      <c r="J931" s="21"/>
      <c r="K931" s="21"/>
      <c r="L931" s="21"/>
      <c r="M931" s="21"/>
      <c r="N931" s="21"/>
      <c r="O931" s="21"/>
      <c r="P931" s="21"/>
      <c r="Q931" s="21"/>
      <c r="R931" s="21"/>
      <c r="S931" s="21"/>
      <c r="T931" s="21"/>
      <c r="U931" s="21"/>
      <c r="V931" s="21"/>
      <c r="W931" s="21"/>
      <c r="X931" s="21"/>
      <c r="Y931" s="21"/>
      <c r="Z931" s="21"/>
    </row>
    <row r="932" spans="1:26" ht="15.75" customHeight="1" x14ac:dyDescent="0.25">
      <c r="A932" s="11"/>
      <c r="B932" s="22">
        <v>46041</v>
      </c>
      <c r="C932" s="11">
        <v>1668</v>
      </c>
      <c r="D932" s="11" t="s">
        <v>2971</v>
      </c>
      <c r="E932" s="11" t="s">
        <v>3738</v>
      </c>
      <c r="F932" s="11" t="s">
        <v>2230</v>
      </c>
      <c r="G932" s="190" t="s">
        <v>3754</v>
      </c>
      <c r="H932" s="11" t="s">
        <v>3753</v>
      </c>
      <c r="I932" s="25" t="s">
        <v>3753</v>
      </c>
      <c r="J932" s="21"/>
      <c r="K932" s="21"/>
      <c r="L932" s="21"/>
      <c r="M932" s="21"/>
      <c r="N932" s="21"/>
      <c r="O932" s="21"/>
      <c r="P932" s="21"/>
      <c r="Q932" s="21"/>
      <c r="R932" s="21"/>
      <c r="S932" s="21"/>
      <c r="T932" s="21"/>
      <c r="U932" s="21"/>
      <c r="V932" s="21"/>
      <c r="W932" s="21"/>
      <c r="X932" s="21"/>
      <c r="Y932" s="21"/>
      <c r="Z932" s="21"/>
    </row>
    <row r="933" spans="1:26" ht="15.75" customHeight="1" x14ac:dyDescent="0.25">
      <c r="A933" s="11"/>
      <c r="B933" s="22">
        <v>46041</v>
      </c>
      <c r="C933" s="11">
        <v>1669</v>
      </c>
      <c r="D933" s="11" t="s">
        <v>44</v>
      </c>
      <c r="E933" s="11">
        <v>4714048346</v>
      </c>
      <c r="F933" s="11"/>
      <c r="G933" s="190" t="s">
        <v>3741</v>
      </c>
      <c r="H933" s="11" t="s">
        <v>2306</v>
      </c>
      <c r="I933" s="25">
        <v>7</v>
      </c>
      <c r="J933" s="21"/>
      <c r="K933" s="21"/>
      <c r="L933" s="21"/>
      <c r="M933" s="21"/>
      <c r="N933" s="21"/>
      <c r="O933" s="21"/>
      <c r="P933" s="21"/>
      <c r="Q933" s="21"/>
      <c r="R933" s="21"/>
      <c r="S933" s="21"/>
      <c r="T933" s="21"/>
      <c r="U933" s="21"/>
      <c r="V933" s="21"/>
      <c r="W933" s="21"/>
      <c r="X933" s="21"/>
      <c r="Y933" s="21"/>
      <c r="Z933" s="21"/>
    </row>
    <row r="934" spans="1:26" ht="15.75" customHeight="1" x14ac:dyDescent="0.25">
      <c r="A934" s="11"/>
      <c r="B934" s="22">
        <v>46041</v>
      </c>
      <c r="C934" s="11">
        <v>1670</v>
      </c>
      <c r="D934" s="11" t="s">
        <v>63</v>
      </c>
      <c r="E934" s="11" t="s">
        <v>129</v>
      </c>
      <c r="F934" s="11"/>
      <c r="G934" s="190" t="s">
        <v>3742</v>
      </c>
      <c r="H934" s="11" t="s">
        <v>129</v>
      </c>
      <c r="I934" s="25" t="s">
        <v>129</v>
      </c>
      <c r="J934" s="21"/>
      <c r="K934" s="21"/>
      <c r="L934" s="21"/>
      <c r="M934" s="21"/>
      <c r="N934" s="21"/>
      <c r="O934" s="21"/>
      <c r="P934" s="21"/>
      <c r="Q934" s="21"/>
      <c r="R934" s="21"/>
      <c r="S934" s="21"/>
      <c r="T934" s="21"/>
      <c r="U934" s="21"/>
      <c r="V934" s="21"/>
      <c r="W934" s="21"/>
      <c r="X934" s="21"/>
      <c r="Y934" s="21"/>
      <c r="Z934" s="21"/>
    </row>
    <row r="935" spans="1:26" ht="15.75" customHeight="1" x14ac:dyDescent="0.25">
      <c r="A935" s="11"/>
      <c r="B935" s="22">
        <v>46042</v>
      </c>
      <c r="C935" s="11">
        <v>1671</v>
      </c>
      <c r="D935" s="11" t="s">
        <v>2971</v>
      </c>
      <c r="E935" s="11" t="s">
        <v>3701</v>
      </c>
      <c r="F935" s="11"/>
      <c r="G935" s="190" t="s">
        <v>3743</v>
      </c>
      <c r="H935" s="11" t="s">
        <v>2620</v>
      </c>
      <c r="I935" s="25" t="s">
        <v>2620</v>
      </c>
      <c r="J935" s="21"/>
      <c r="K935" s="21"/>
      <c r="L935" s="21"/>
      <c r="M935" s="21"/>
      <c r="N935" s="21"/>
      <c r="O935" s="21"/>
      <c r="P935" s="21"/>
      <c r="Q935" s="21"/>
      <c r="R935" s="21"/>
      <c r="S935" s="21"/>
      <c r="T935" s="21"/>
      <c r="U935" s="21"/>
      <c r="V935" s="21"/>
      <c r="W935" s="21"/>
      <c r="X935" s="21"/>
      <c r="Y935" s="21"/>
      <c r="Z935" s="21"/>
    </row>
    <row r="936" spans="1:26" ht="15.75" customHeight="1" x14ac:dyDescent="0.25">
      <c r="A936" s="11"/>
      <c r="B936" s="22">
        <v>46043</v>
      </c>
      <c r="C936" s="11">
        <v>1672</v>
      </c>
      <c r="D936" s="11" t="s">
        <v>2971</v>
      </c>
      <c r="E936" s="11" t="s">
        <v>3701</v>
      </c>
      <c r="F936" s="11"/>
      <c r="G936" s="190" t="s">
        <v>3748</v>
      </c>
      <c r="H936" s="11" t="s">
        <v>3747</v>
      </c>
      <c r="I936" s="25" t="s">
        <v>3747</v>
      </c>
      <c r="J936" s="21"/>
      <c r="K936" s="21"/>
      <c r="L936" s="21"/>
      <c r="M936" s="21"/>
      <c r="N936" s="21"/>
      <c r="O936" s="21"/>
      <c r="P936" s="21"/>
      <c r="Q936" s="21"/>
      <c r="R936" s="21"/>
      <c r="S936" s="21"/>
      <c r="T936" s="21"/>
      <c r="U936" s="21"/>
      <c r="V936" s="21"/>
      <c r="W936" s="21"/>
      <c r="X936" s="21"/>
      <c r="Y936" s="21"/>
      <c r="Z936" s="21"/>
    </row>
    <row r="937" spans="1:26" ht="15.75" customHeight="1" x14ac:dyDescent="0.25">
      <c r="A937" s="11"/>
      <c r="B937" s="22">
        <v>46043</v>
      </c>
      <c r="C937" s="11">
        <v>1673</v>
      </c>
      <c r="D937" s="11" t="s">
        <v>2971</v>
      </c>
      <c r="E937" s="11" t="s">
        <v>3707</v>
      </c>
      <c r="F937" s="11"/>
      <c r="G937" s="190" t="s">
        <v>3750</v>
      </c>
      <c r="H937" s="11" t="s">
        <v>3749</v>
      </c>
      <c r="I937" s="25" t="s">
        <v>3749</v>
      </c>
      <c r="J937" s="21"/>
      <c r="K937" s="21"/>
      <c r="L937" s="21"/>
      <c r="M937" s="21"/>
      <c r="N937" s="21"/>
      <c r="O937" s="21"/>
      <c r="P937" s="21"/>
      <c r="Q937" s="21"/>
      <c r="R937" s="21"/>
      <c r="S937" s="21"/>
      <c r="T937" s="21"/>
      <c r="U937" s="21"/>
      <c r="V937" s="21"/>
      <c r="W937" s="21"/>
      <c r="X937" s="21"/>
      <c r="Y937" s="21"/>
      <c r="Z937" s="21"/>
    </row>
    <row r="938" spans="1:26" ht="15.75" customHeight="1" x14ac:dyDescent="0.25">
      <c r="A938" s="11"/>
      <c r="B938" s="22">
        <v>46043</v>
      </c>
      <c r="C938" s="11">
        <v>1674</v>
      </c>
      <c r="D938" s="11" t="s">
        <v>2971</v>
      </c>
      <c r="E938" s="11" t="s">
        <v>3717</v>
      </c>
      <c r="F938" s="11"/>
      <c r="G938" s="190" t="s">
        <v>3751</v>
      </c>
      <c r="H938" s="11" t="s">
        <v>3749</v>
      </c>
      <c r="I938" s="25" t="s">
        <v>3749</v>
      </c>
      <c r="J938" s="21"/>
      <c r="K938" s="21"/>
      <c r="L938" s="21"/>
      <c r="M938" s="21"/>
      <c r="N938" s="21"/>
      <c r="O938" s="21"/>
      <c r="P938" s="21"/>
      <c r="Q938" s="21"/>
      <c r="R938" s="21"/>
      <c r="S938" s="21"/>
      <c r="T938" s="21"/>
      <c r="U938" s="21"/>
      <c r="V938" s="21"/>
      <c r="W938" s="21"/>
      <c r="X938" s="21"/>
      <c r="Y938" s="21"/>
      <c r="Z938" s="21"/>
    </row>
    <row r="939" spans="1:26" ht="15.75" customHeight="1" x14ac:dyDescent="0.25">
      <c r="A939" s="11"/>
      <c r="B939" s="22">
        <v>46044</v>
      </c>
      <c r="C939" s="11">
        <v>1675</v>
      </c>
      <c r="D939" s="11" t="s">
        <v>2971</v>
      </c>
      <c r="E939" s="11" t="s">
        <v>3729</v>
      </c>
      <c r="F939" s="11"/>
      <c r="G939" s="190" t="s">
        <v>3752</v>
      </c>
      <c r="H939" s="11" t="s">
        <v>3021</v>
      </c>
      <c r="I939" s="25" t="s">
        <v>3021</v>
      </c>
      <c r="J939" s="21"/>
      <c r="K939" s="21"/>
      <c r="L939" s="21"/>
      <c r="M939" s="21"/>
      <c r="N939" s="21"/>
      <c r="O939" s="21"/>
      <c r="P939" s="21"/>
      <c r="Q939" s="21"/>
      <c r="R939" s="21"/>
      <c r="S939" s="21"/>
      <c r="T939" s="21"/>
      <c r="U939" s="21"/>
      <c r="V939" s="21"/>
      <c r="W939" s="21"/>
      <c r="X939" s="21"/>
      <c r="Y939" s="21"/>
      <c r="Z939" s="21"/>
    </row>
    <row r="940" spans="1:26" ht="15.75" customHeight="1" x14ac:dyDescent="0.25">
      <c r="A940" s="11"/>
      <c r="B940" s="22">
        <v>46044</v>
      </c>
      <c r="C940" s="11">
        <v>1676</v>
      </c>
      <c r="D940" s="11" t="s">
        <v>2971</v>
      </c>
      <c r="E940" s="11" t="s">
        <v>3738</v>
      </c>
      <c r="F940" s="11"/>
      <c r="G940" s="190" t="s">
        <v>3756</v>
      </c>
      <c r="H940" s="11" t="s">
        <v>3755</v>
      </c>
      <c r="I940" s="25" t="s">
        <v>3755</v>
      </c>
      <c r="J940" s="21"/>
      <c r="K940" s="21"/>
      <c r="L940" s="21"/>
      <c r="M940" s="21"/>
      <c r="N940" s="21"/>
      <c r="O940" s="21"/>
      <c r="P940" s="21"/>
      <c r="Q940" s="21"/>
      <c r="R940" s="21"/>
      <c r="S940" s="21"/>
      <c r="T940" s="21"/>
      <c r="U940" s="21"/>
      <c r="V940" s="21"/>
      <c r="W940" s="21"/>
      <c r="X940" s="21"/>
      <c r="Y940" s="21"/>
      <c r="Z940" s="21"/>
    </row>
    <row r="941" spans="1:26" ht="15.75" customHeight="1" x14ac:dyDescent="0.25">
      <c r="A941" s="11"/>
      <c r="B941" s="22">
        <v>46044</v>
      </c>
      <c r="C941" s="11">
        <v>1677</v>
      </c>
      <c r="D941" s="11" t="s">
        <v>66</v>
      </c>
      <c r="E941" s="11" t="s">
        <v>3757</v>
      </c>
      <c r="F941" s="11"/>
      <c r="G941" s="190" t="s">
        <v>3758</v>
      </c>
      <c r="H941" s="11" t="s">
        <v>2292</v>
      </c>
      <c r="I941" s="25">
        <v>1</v>
      </c>
      <c r="J941" s="21"/>
      <c r="K941" s="21"/>
      <c r="L941" s="21"/>
      <c r="M941" s="21"/>
      <c r="N941" s="21"/>
      <c r="O941" s="21"/>
      <c r="P941" s="21"/>
      <c r="Q941" s="21"/>
      <c r="R941" s="21"/>
      <c r="S941" s="21"/>
      <c r="T941" s="21"/>
      <c r="U941" s="21"/>
      <c r="V941" s="21"/>
      <c r="W941" s="21"/>
      <c r="X941" s="21"/>
      <c r="Y941" s="21"/>
      <c r="Z941" s="21"/>
    </row>
    <row r="942" spans="1:26" ht="15.75" customHeight="1" x14ac:dyDescent="0.25">
      <c r="A942" s="11"/>
      <c r="B942" s="22">
        <v>46045</v>
      </c>
      <c r="C942" s="11">
        <v>1678</v>
      </c>
      <c r="D942" s="11" t="s">
        <v>2971</v>
      </c>
      <c r="E942" s="11" t="s">
        <v>3759</v>
      </c>
      <c r="F942" s="11"/>
      <c r="G942" s="190" t="s">
        <v>3760</v>
      </c>
      <c r="H942" s="11" t="s">
        <v>2292</v>
      </c>
      <c r="I942" s="25">
        <v>1</v>
      </c>
      <c r="J942" s="21"/>
      <c r="K942" s="21"/>
      <c r="L942" s="21"/>
      <c r="M942" s="21"/>
      <c r="N942" s="21"/>
      <c r="O942" s="21"/>
      <c r="P942" s="21"/>
      <c r="Q942" s="21"/>
      <c r="R942" s="21"/>
      <c r="S942" s="21"/>
      <c r="T942" s="21"/>
      <c r="U942" s="21"/>
      <c r="V942" s="21"/>
      <c r="W942" s="21"/>
      <c r="X942" s="21"/>
      <c r="Y942" s="21"/>
      <c r="Z942" s="21"/>
    </row>
    <row r="943" spans="1:26" ht="15.75" customHeight="1" x14ac:dyDescent="0.25">
      <c r="A943" s="11"/>
      <c r="B943" s="22">
        <v>46045</v>
      </c>
      <c r="C943" s="11">
        <v>1679</v>
      </c>
      <c r="D943" s="11" t="s">
        <v>2971</v>
      </c>
      <c r="E943" s="11" t="s">
        <v>3761</v>
      </c>
      <c r="F943" s="11"/>
      <c r="G943" s="190" t="s">
        <v>3762</v>
      </c>
      <c r="H943" s="11" t="s">
        <v>2823</v>
      </c>
      <c r="I943" s="25" t="s">
        <v>2823</v>
      </c>
      <c r="J943" s="21"/>
      <c r="K943" s="21"/>
      <c r="L943" s="21"/>
      <c r="M943" s="21"/>
      <c r="N943" s="21"/>
      <c r="O943" s="21"/>
      <c r="P943" s="21"/>
      <c r="Q943" s="21"/>
      <c r="R943" s="21"/>
      <c r="S943" s="21"/>
      <c r="T943" s="21"/>
      <c r="U943" s="21"/>
      <c r="V943" s="21"/>
      <c r="W943" s="21"/>
      <c r="X943" s="21"/>
      <c r="Y943" s="21"/>
      <c r="Z943" s="21"/>
    </row>
    <row r="944" spans="1:26" ht="15.75" customHeight="1" x14ac:dyDescent="0.25">
      <c r="A944" s="11"/>
      <c r="B944" s="22">
        <v>46045</v>
      </c>
      <c r="C944" s="11">
        <v>1680</v>
      </c>
      <c r="D944" s="11" t="s">
        <v>2298</v>
      </c>
      <c r="E944" s="11" t="s">
        <v>3763</v>
      </c>
      <c r="F944" s="11"/>
      <c r="G944" s="190" t="s">
        <v>3764</v>
      </c>
      <c r="H944" s="11" t="s">
        <v>2292</v>
      </c>
      <c r="I944" s="25">
        <v>1</v>
      </c>
      <c r="J944" s="21"/>
      <c r="K944" s="21"/>
      <c r="L944" s="21"/>
      <c r="M944" s="21"/>
      <c r="N944" s="21"/>
      <c r="O944" s="21"/>
      <c r="P944" s="21"/>
      <c r="Q944" s="21"/>
      <c r="R944" s="21"/>
      <c r="S944" s="21"/>
      <c r="T944" s="21"/>
      <c r="U944" s="21"/>
      <c r="V944" s="21"/>
      <c r="W944" s="21"/>
      <c r="X944" s="21"/>
      <c r="Y944" s="21"/>
      <c r="Z944" s="21"/>
    </row>
    <row r="945" spans="1:26" ht="15.75" customHeight="1" x14ac:dyDescent="0.25">
      <c r="A945" s="11"/>
      <c r="B945" s="22">
        <v>46045</v>
      </c>
      <c r="C945" s="11">
        <v>1681</v>
      </c>
      <c r="D945" s="11" t="s">
        <v>2298</v>
      </c>
      <c r="E945" s="11" t="s">
        <v>3765</v>
      </c>
      <c r="F945" s="11"/>
      <c r="G945" s="190" t="s">
        <v>3766</v>
      </c>
      <c r="H945" s="11" t="s">
        <v>2292</v>
      </c>
      <c r="I945" s="25">
        <v>1</v>
      </c>
      <c r="J945" s="21"/>
      <c r="K945" s="21"/>
      <c r="L945" s="21"/>
      <c r="M945" s="21"/>
      <c r="N945" s="21"/>
      <c r="O945" s="21"/>
      <c r="P945" s="21"/>
      <c r="Q945" s="21"/>
      <c r="R945" s="21"/>
      <c r="S945" s="21"/>
      <c r="T945" s="21"/>
      <c r="U945" s="21"/>
      <c r="V945" s="21"/>
      <c r="W945" s="21"/>
      <c r="X945" s="21"/>
      <c r="Y945" s="21"/>
      <c r="Z945" s="21"/>
    </row>
    <row r="946" spans="1:26" ht="15.75" customHeight="1" x14ac:dyDescent="0.25">
      <c r="A946" s="11"/>
      <c r="B946" s="22">
        <v>46048</v>
      </c>
      <c r="C946" s="11">
        <v>1682</v>
      </c>
      <c r="D946" s="11" t="s">
        <v>160</v>
      </c>
      <c r="E946" s="11" t="s">
        <v>3767</v>
      </c>
      <c r="F946" s="11"/>
      <c r="G946" s="190" t="s">
        <v>3768</v>
      </c>
      <c r="H946" s="11" t="s">
        <v>2306</v>
      </c>
      <c r="I946" s="25">
        <v>7</v>
      </c>
      <c r="J946" s="21"/>
      <c r="K946" s="21"/>
      <c r="L946" s="21"/>
      <c r="M946" s="21"/>
      <c r="N946" s="21"/>
      <c r="O946" s="21"/>
      <c r="P946" s="21"/>
      <c r="Q946" s="21"/>
      <c r="R946" s="21"/>
      <c r="S946" s="21"/>
      <c r="T946" s="21"/>
      <c r="U946" s="21"/>
      <c r="V946" s="21"/>
      <c r="W946" s="21"/>
      <c r="X946" s="21"/>
      <c r="Y946" s="21"/>
      <c r="Z946" s="21"/>
    </row>
    <row r="947" spans="1:26" ht="15.75" customHeight="1" x14ac:dyDescent="0.25">
      <c r="A947" s="11"/>
      <c r="B947" s="22">
        <v>46048</v>
      </c>
      <c r="C947" s="11">
        <v>1683</v>
      </c>
      <c r="D947" s="11" t="s">
        <v>3771</v>
      </c>
      <c r="E947" s="11" t="s">
        <v>3772</v>
      </c>
      <c r="F947" s="11"/>
      <c r="G947" s="190" t="s">
        <v>3773</v>
      </c>
      <c r="H947" s="11" t="s">
        <v>2292</v>
      </c>
      <c r="I947" s="25">
        <v>1</v>
      </c>
      <c r="J947" s="21"/>
      <c r="K947" s="21"/>
      <c r="L947" s="21"/>
      <c r="M947" s="21"/>
      <c r="N947" s="21"/>
      <c r="O947" s="21"/>
      <c r="P947" s="21"/>
      <c r="Q947" s="21"/>
      <c r="R947" s="21"/>
      <c r="S947" s="21"/>
      <c r="T947" s="21"/>
      <c r="U947" s="21"/>
      <c r="V947" s="21"/>
      <c r="W947" s="21"/>
      <c r="X947" s="21"/>
      <c r="Y947" s="21"/>
      <c r="Z947" s="21"/>
    </row>
    <row r="948" spans="1:26" ht="15.75" customHeight="1" x14ac:dyDescent="0.25">
      <c r="A948" s="11"/>
      <c r="B948" s="22">
        <v>46049</v>
      </c>
      <c r="C948" s="11">
        <v>1684</v>
      </c>
      <c r="D948" s="11" t="s">
        <v>2971</v>
      </c>
      <c r="E948" s="11" t="s">
        <v>3774</v>
      </c>
      <c r="F948" s="11"/>
      <c r="G948" s="190" t="s">
        <v>3775</v>
      </c>
      <c r="H948" s="11" t="s">
        <v>3126</v>
      </c>
      <c r="I948" s="25" t="s">
        <v>3126</v>
      </c>
      <c r="J948" s="21"/>
      <c r="K948" s="21"/>
      <c r="L948" s="21"/>
      <c r="M948" s="21"/>
      <c r="N948" s="21"/>
      <c r="O948" s="21"/>
      <c r="P948" s="21"/>
      <c r="Q948" s="21"/>
      <c r="R948" s="21"/>
      <c r="S948" s="21"/>
      <c r="T948" s="21"/>
      <c r="U948" s="21"/>
      <c r="V948" s="21"/>
      <c r="W948" s="21"/>
      <c r="X948" s="21"/>
      <c r="Y948" s="21"/>
      <c r="Z948" s="21"/>
    </row>
    <row r="949" spans="1:26" ht="15.75" customHeight="1" x14ac:dyDescent="0.25">
      <c r="A949" s="11"/>
      <c r="B949" s="22">
        <v>46049</v>
      </c>
      <c r="C949" s="11">
        <v>1684</v>
      </c>
      <c r="D949" s="11" t="s">
        <v>2971</v>
      </c>
      <c r="E949" s="11" t="s">
        <v>3774</v>
      </c>
      <c r="F949" s="11"/>
      <c r="G949" s="190" t="s">
        <v>3775</v>
      </c>
      <c r="H949" s="11" t="s">
        <v>3126</v>
      </c>
      <c r="I949" s="25" t="s">
        <v>3126</v>
      </c>
      <c r="J949" s="21"/>
      <c r="K949" s="21"/>
      <c r="L949" s="21"/>
      <c r="M949" s="21"/>
      <c r="N949" s="21"/>
      <c r="O949" s="21"/>
      <c r="P949" s="21"/>
      <c r="Q949" s="21"/>
      <c r="R949" s="21"/>
      <c r="S949" s="21"/>
      <c r="T949" s="21"/>
      <c r="U949" s="21"/>
      <c r="V949" s="21"/>
      <c r="W949" s="21"/>
      <c r="X949" s="21"/>
      <c r="Y949" s="21"/>
      <c r="Z949" s="21"/>
    </row>
    <row r="950" spans="1:26" ht="15.75" customHeight="1" x14ac:dyDescent="0.25">
      <c r="A950" s="11"/>
      <c r="B950" s="22">
        <v>46049</v>
      </c>
      <c r="C950" s="11">
        <v>1685</v>
      </c>
      <c r="D950" s="11" t="s">
        <v>228</v>
      </c>
      <c r="E950" s="11" t="s">
        <v>53</v>
      </c>
      <c r="F950" s="11"/>
      <c r="G950" s="190" t="s">
        <v>3776</v>
      </c>
      <c r="H950" s="11"/>
      <c r="I950" s="25"/>
      <c r="J950" s="21"/>
      <c r="K950" s="21"/>
      <c r="L950" s="21"/>
      <c r="M950" s="21"/>
      <c r="N950" s="21"/>
      <c r="O950" s="21"/>
      <c r="P950" s="21"/>
      <c r="Q950" s="21"/>
      <c r="R950" s="21"/>
      <c r="S950" s="21"/>
      <c r="T950" s="21"/>
      <c r="U950" s="21"/>
      <c r="V950" s="21"/>
      <c r="W950" s="21"/>
      <c r="X950" s="21"/>
      <c r="Y950" s="21"/>
      <c r="Z950" s="21"/>
    </row>
    <row r="951" spans="1:26" ht="15.75" customHeight="1" x14ac:dyDescent="0.25">
      <c r="B951" s="300">
        <v>46056</v>
      </c>
      <c r="C951">
        <v>1685</v>
      </c>
      <c r="D951" t="s">
        <v>228</v>
      </c>
      <c r="E951" t="s">
        <v>3822</v>
      </c>
      <c r="F951" t="s">
        <v>2230</v>
      </c>
      <c r="G951" s="301" t="s">
        <v>3823</v>
      </c>
      <c r="H951" t="s">
        <v>2292</v>
      </c>
      <c r="I951">
        <v>1</v>
      </c>
      <c r="K951" s="21"/>
      <c r="L951" s="21"/>
      <c r="M951" s="21"/>
      <c r="N951" s="21"/>
      <c r="O951" s="21"/>
      <c r="P951" s="21"/>
      <c r="Q951" s="21"/>
      <c r="R951" s="21"/>
      <c r="S951" s="21"/>
      <c r="T951" s="21"/>
      <c r="U951" s="21"/>
      <c r="V951" s="21"/>
      <c r="W951" s="21"/>
      <c r="X951" s="21"/>
      <c r="Y951" s="21"/>
      <c r="Z951" s="21"/>
    </row>
    <row r="952" spans="1:26" ht="15.75" customHeight="1" x14ac:dyDescent="0.25">
      <c r="A952" s="11"/>
      <c r="B952" s="22">
        <v>46049</v>
      </c>
      <c r="C952" s="11">
        <v>1686</v>
      </c>
      <c r="D952" s="11" t="s">
        <v>44</v>
      </c>
      <c r="E952" s="11">
        <v>4714048403</v>
      </c>
      <c r="F952" s="11"/>
      <c r="G952" s="190" t="s">
        <v>3777</v>
      </c>
      <c r="H952" s="11" t="s">
        <v>2292</v>
      </c>
      <c r="I952" s="25">
        <v>1</v>
      </c>
      <c r="J952" s="21"/>
      <c r="K952" s="21"/>
      <c r="L952" s="21"/>
      <c r="M952" s="21"/>
      <c r="N952" s="21"/>
      <c r="O952" s="21"/>
      <c r="P952" s="21"/>
      <c r="Q952" s="21"/>
      <c r="R952" s="21"/>
      <c r="S952" s="21"/>
      <c r="T952" s="21"/>
      <c r="U952" s="21"/>
      <c r="V952" s="21"/>
      <c r="W952" s="21"/>
      <c r="X952" s="21"/>
      <c r="Y952" s="21"/>
      <c r="Z952" s="21"/>
    </row>
    <row r="953" spans="1:26" ht="15.75" customHeight="1" x14ac:dyDescent="0.25">
      <c r="A953" s="11"/>
      <c r="B953" s="22">
        <v>46050</v>
      </c>
      <c r="C953" s="11">
        <v>1687</v>
      </c>
      <c r="D953" s="11" t="s">
        <v>2311</v>
      </c>
      <c r="E953" s="11">
        <v>4000341075</v>
      </c>
      <c r="F953" s="11"/>
      <c r="G953" s="190" t="s">
        <v>3778</v>
      </c>
      <c r="H953" s="11" t="s">
        <v>3115</v>
      </c>
      <c r="I953" s="25" t="s">
        <v>3115</v>
      </c>
      <c r="J953" s="21"/>
      <c r="K953" s="21"/>
      <c r="L953" s="21"/>
      <c r="M953" s="21"/>
      <c r="N953" s="21"/>
      <c r="O953" s="21"/>
      <c r="P953" s="21"/>
      <c r="Q953" s="21"/>
      <c r="R953" s="21"/>
      <c r="S953" s="21"/>
      <c r="T953" s="21"/>
      <c r="U953" s="21"/>
      <c r="V953" s="21"/>
      <c r="W953" s="21"/>
      <c r="X953" s="21"/>
      <c r="Y953" s="21"/>
      <c r="Z953" s="21"/>
    </row>
    <row r="954" spans="1:26" ht="15.75" customHeight="1" x14ac:dyDescent="0.25">
      <c r="A954" s="11"/>
      <c r="B954" s="22">
        <v>46050</v>
      </c>
      <c r="C954" s="11">
        <v>1688</v>
      </c>
      <c r="D954" s="11" t="s">
        <v>66</v>
      </c>
      <c r="E954" s="11" t="s">
        <v>3779</v>
      </c>
      <c r="F954" s="11"/>
      <c r="G954" s="190" t="s">
        <v>3780</v>
      </c>
      <c r="H954" s="11" t="s">
        <v>2292</v>
      </c>
      <c r="I954" s="25">
        <v>1</v>
      </c>
      <c r="J954" s="21"/>
      <c r="K954" s="21"/>
      <c r="L954" s="21"/>
      <c r="M954" s="21"/>
      <c r="N954" s="21"/>
      <c r="O954" s="21"/>
      <c r="P954" s="21"/>
      <c r="Q954" s="21"/>
      <c r="R954" s="21"/>
      <c r="S954" s="21"/>
      <c r="T954" s="21"/>
      <c r="U954" s="21"/>
      <c r="V954" s="21"/>
      <c r="W954" s="21"/>
      <c r="X954" s="21"/>
      <c r="Y954" s="21"/>
      <c r="Z954" s="21"/>
    </row>
    <row r="955" spans="1:26" ht="15.75" customHeight="1" x14ac:dyDescent="0.25">
      <c r="A955" s="11"/>
      <c r="B955" s="22">
        <v>46050</v>
      </c>
      <c r="C955" s="11">
        <v>1689</v>
      </c>
      <c r="D955" s="11" t="s">
        <v>63</v>
      </c>
      <c r="E955" s="11" t="s">
        <v>3781</v>
      </c>
      <c r="F955" s="11"/>
      <c r="G955" s="190" t="s">
        <v>3782</v>
      </c>
      <c r="H955" s="11" t="s">
        <v>2292</v>
      </c>
      <c r="I955" s="25">
        <v>0</v>
      </c>
      <c r="J955" s="21"/>
      <c r="K955" s="21"/>
      <c r="L955" s="21"/>
      <c r="M955" s="21"/>
      <c r="N955" s="21"/>
      <c r="O955" s="21"/>
      <c r="P955" s="21"/>
      <c r="Q955" s="21"/>
      <c r="R955" s="21"/>
      <c r="S955" s="21"/>
      <c r="T955" s="21"/>
      <c r="U955" s="21"/>
      <c r="V955" s="21"/>
      <c r="W955" s="21"/>
      <c r="X955" s="21"/>
      <c r="Y955" s="21"/>
      <c r="Z955" s="21"/>
    </row>
    <row r="956" spans="1:26" ht="15.75" customHeight="1" x14ac:dyDescent="0.25">
      <c r="A956" s="11"/>
      <c r="B956" s="22">
        <v>46051</v>
      </c>
      <c r="C956" s="11">
        <v>1690</v>
      </c>
      <c r="D956" s="11" t="s">
        <v>160</v>
      </c>
      <c r="E956" s="11" t="s">
        <v>53</v>
      </c>
      <c r="F956" s="11"/>
      <c r="G956" s="190" t="s">
        <v>3784</v>
      </c>
      <c r="H956" s="11" t="s">
        <v>3783</v>
      </c>
      <c r="I956" s="25" t="s">
        <v>3783</v>
      </c>
      <c r="J956" s="21"/>
      <c r="K956" s="21"/>
      <c r="L956" s="21"/>
      <c r="M956" s="21"/>
      <c r="N956" s="21"/>
      <c r="O956" s="21"/>
      <c r="P956" s="21"/>
      <c r="Q956" s="21"/>
      <c r="R956" s="21"/>
      <c r="S956" s="21"/>
      <c r="T956" s="21"/>
      <c r="U956" s="21"/>
      <c r="V956" s="21"/>
      <c r="W956" s="21"/>
      <c r="X956" s="21"/>
      <c r="Y956" s="21"/>
      <c r="Z956" s="21"/>
    </row>
    <row r="957" spans="1:26" ht="15.75" customHeight="1" x14ac:dyDescent="0.25">
      <c r="A957" s="11"/>
      <c r="B957" s="22">
        <v>46055</v>
      </c>
      <c r="C957" s="11">
        <v>1691</v>
      </c>
      <c r="D957" s="11" t="s">
        <v>4</v>
      </c>
      <c r="E957" s="11" t="s">
        <v>3785</v>
      </c>
      <c r="F957" s="11"/>
      <c r="G957" s="190" t="s">
        <v>3786</v>
      </c>
      <c r="H957" s="11" t="s">
        <v>2292</v>
      </c>
      <c r="I957" s="25">
        <v>1</v>
      </c>
      <c r="J957" s="21"/>
      <c r="K957" s="21"/>
      <c r="L957" s="21"/>
      <c r="M957" s="21"/>
      <c r="N957" s="21"/>
      <c r="O957" s="21"/>
      <c r="P957" s="21"/>
      <c r="Q957" s="21"/>
      <c r="R957" s="21"/>
      <c r="S957" s="21"/>
      <c r="T957" s="21"/>
      <c r="U957" s="21"/>
      <c r="V957" s="21"/>
      <c r="W957" s="21"/>
      <c r="X957" s="21"/>
      <c r="Y957" s="21"/>
      <c r="Z957" s="21"/>
    </row>
    <row r="958" spans="1:26" ht="15.75" customHeight="1" x14ac:dyDescent="0.25">
      <c r="A958" s="11"/>
      <c r="B958" s="22">
        <v>46055</v>
      </c>
      <c r="C958" s="11">
        <v>1692</v>
      </c>
      <c r="D958" s="11" t="s">
        <v>2971</v>
      </c>
      <c r="E958" s="11" t="s">
        <v>3774</v>
      </c>
      <c r="F958" s="11"/>
      <c r="G958" s="190" t="s">
        <v>3788</v>
      </c>
      <c r="H958" s="11" t="s">
        <v>3787</v>
      </c>
      <c r="I958" s="25" t="s">
        <v>3787</v>
      </c>
      <c r="J958" s="21"/>
      <c r="K958" s="21"/>
      <c r="L958" s="21"/>
      <c r="M958" s="21"/>
      <c r="N958" s="21"/>
      <c r="O958" s="21"/>
      <c r="P958" s="21"/>
      <c r="Q958" s="21"/>
      <c r="R958" s="21"/>
      <c r="S958" s="21"/>
      <c r="T958" s="21"/>
      <c r="U958" s="21"/>
      <c r="V958" s="21"/>
      <c r="W958" s="21"/>
      <c r="X958" s="21"/>
      <c r="Y958" s="21"/>
      <c r="Z958" s="21"/>
    </row>
    <row r="959" spans="1:26" ht="15.75" customHeight="1" x14ac:dyDescent="0.25">
      <c r="A959" s="11"/>
      <c r="B959" s="22">
        <v>46055</v>
      </c>
      <c r="C959" s="11">
        <v>1693</v>
      </c>
      <c r="D959" s="11" t="s">
        <v>2298</v>
      </c>
      <c r="E959" s="11" t="s">
        <v>129</v>
      </c>
      <c r="F959" s="11"/>
      <c r="G959" s="190" t="s">
        <v>3789</v>
      </c>
      <c r="H959" s="11" t="s">
        <v>3058</v>
      </c>
      <c r="I959" s="25" t="s">
        <v>3058</v>
      </c>
      <c r="J959" s="21"/>
      <c r="K959" s="21"/>
      <c r="L959" s="21"/>
      <c r="M959" s="21"/>
      <c r="N959" s="21"/>
      <c r="O959" s="21"/>
      <c r="P959" s="21"/>
      <c r="Q959" s="21"/>
      <c r="R959" s="21"/>
      <c r="S959" s="21"/>
      <c r="T959" s="21"/>
      <c r="U959" s="21"/>
      <c r="V959" s="21"/>
      <c r="W959" s="21"/>
      <c r="X959" s="21"/>
      <c r="Y959" s="21"/>
      <c r="Z959" s="21"/>
    </row>
    <row r="960" spans="1:26" ht="15.75" customHeight="1" x14ac:dyDescent="0.25">
      <c r="B960" s="300">
        <v>46055</v>
      </c>
      <c r="C960">
        <v>1693</v>
      </c>
      <c r="D960" t="s">
        <v>2298</v>
      </c>
      <c r="E960" t="s">
        <v>3826</v>
      </c>
      <c r="G960" s="301" t="s">
        <v>3827</v>
      </c>
      <c r="H960" t="s">
        <v>2292</v>
      </c>
      <c r="I960">
        <v>1</v>
      </c>
      <c r="K960" s="21"/>
      <c r="L960" s="21"/>
      <c r="M960" s="21"/>
      <c r="N960" s="21"/>
      <c r="O960" s="21"/>
      <c r="P960" s="21"/>
      <c r="Q960" s="21"/>
      <c r="R960" s="21"/>
      <c r="S960" s="21"/>
      <c r="T960" s="21"/>
      <c r="U960" s="21"/>
      <c r="V960" s="21"/>
      <c r="W960" s="21"/>
      <c r="X960" s="21"/>
      <c r="Y960" s="21"/>
      <c r="Z960" s="21"/>
    </row>
    <row r="961" spans="1:26" ht="15.75" customHeight="1" x14ac:dyDescent="0.25">
      <c r="A961" s="11"/>
      <c r="B961" s="22">
        <v>46057</v>
      </c>
      <c r="C961" s="11">
        <v>1694</v>
      </c>
      <c r="D961" s="11" t="s">
        <v>160</v>
      </c>
      <c r="E961" s="11" t="s">
        <v>3790</v>
      </c>
      <c r="F961" s="11"/>
      <c r="G961" s="190" t="s">
        <v>3791</v>
      </c>
      <c r="H961" s="11" t="s">
        <v>2306</v>
      </c>
      <c r="I961" s="25">
        <v>7</v>
      </c>
      <c r="J961" s="21"/>
      <c r="K961" s="21"/>
      <c r="L961" s="21"/>
      <c r="M961" s="21"/>
      <c r="N961" s="21"/>
      <c r="O961" s="21"/>
      <c r="P961" s="21"/>
      <c r="Q961" s="21"/>
      <c r="R961" s="21"/>
      <c r="S961" s="21"/>
      <c r="T961" s="21"/>
      <c r="U961" s="21"/>
      <c r="V961" s="21"/>
      <c r="W961" s="21"/>
      <c r="X961" s="21"/>
      <c r="Y961" s="21"/>
      <c r="Z961" s="21"/>
    </row>
    <row r="962" spans="1:26" ht="15.75" customHeight="1" x14ac:dyDescent="0.25">
      <c r="B962" s="300">
        <v>46057</v>
      </c>
      <c r="C962">
        <v>1694</v>
      </c>
      <c r="D962" t="s">
        <v>2971</v>
      </c>
      <c r="E962" t="s">
        <v>3790</v>
      </c>
      <c r="F962" t="s">
        <v>2230</v>
      </c>
      <c r="G962" s="301" t="s">
        <v>3810</v>
      </c>
      <c r="H962" t="s">
        <v>2306</v>
      </c>
      <c r="I962">
        <v>7</v>
      </c>
      <c r="K962" s="21"/>
      <c r="L962" s="21"/>
      <c r="M962" s="21"/>
      <c r="N962" s="21"/>
      <c r="O962" s="21"/>
      <c r="P962" s="21"/>
      <c r="Q962" s="21"/>
      <c r="R962" s="21"/>
      <c r="S962" s="21"/>
      <c r="T962" s="21"/>
      <c r="U962" s="21"/>
      <c r="V962" s="21"/>
      <c r="W962" s="21"/>
      <c r="X962" s="21"/>
      <c r="Y962" s="21"/>
      <c r="Z962" s="21"/>
    </row>
    <row r="963" spans="1:26" ht="15.75" customHeight="1" x14ac:dyDescent="0.25">
      <c r="B963" s="300">
        <v>46057</v>
      </c>
      <c r="C963">
        <v>1694</v>
      </c>
      <c r="D963" t="s">
        <v>160</v>
      </c>
      <c r="E963" t="s">
        <v>3790</v>
      </c>
      <c r="F963" t="s">
        <v>2230</v>
      </c>
      <c r="G963" s="301" t="s">
        <v>3811</v>
      </c>
      <c r="H963" t="s">
        <v>2306</v>
      </c>
      <c r="I963">
        <v>7</v>
      </c>
      <c r="K963" s="21"/>
      <c r="L963" s="21"/>
      <c r="M963" s="21"/>
      <c r="N963" s="21"/>
      <c r="O963" s="21"/>
      <c r="P963" s="21"/>
      <c r="Q963" s="21"/>
      <c r="R963" s="21"/>
      <c r="S963" s="21"/>
      <c r="T963" s="21"/>
      <c r="U963" s="21"/>
      <c r="V963" s="21"/>
      <c r="W963" s="21"/>
      <c r="X963" s="21"/>
      <c r="Y963" s="21"/>
      <c r="Z963" s="21"/>
    </row>
    <row r="964" spans="1:26" ht="15.75" customHeight="1" x14ac:dyDescent="0.25">
      <c r="A964" s="11"/>
      <c r="B964" s="22">
        <v>46057</v>
      </c>
      <c r="C964" s="11">
        <v>1695</v>
      </c>
      <c r="D964" s="11" t="s">
        <v>2971</v>
      </c>
      <c r="E964" s="11" t="s">
        <v>3793</v>
      </c>
      <c r="F964" s="11"/>
      <c r="G964" s="190" t="s">
        <v>3794</v>
      </c>
      <c r="H964" s="11" t="s">
        <v>3792</v>
      </c>
      <c r="I964" s="25" t="s">
        <v>3792</v>
      </c>
      <c r="J964" s="21"/>
      <c r="K964" s="21"/>
      <c r="L964" s="21"/>
      <c r="M964" s="21"/>
      <c r="N964" s="21"/>
      <c r="O964" s="21"/>
      <c r="P964" s="21"/>
      <c r="Q964" s="21"/>
      <c r="R964" s="21"/>
      <c r="S964" s="21"/>
      <c r="T964" s="21"/>
      <c r="U964" s="21"/>
      <c r="V964" s="21"/>
      <c r="W964" s="21"/>
      <c r="X964" s="21"/>
      <c r="Y964" s="21"/>
      <c r="Z964" s="21"/>
    </row>
    <row r="965" spans="1:26" ht="15.75" customHeight="1" x14ac:dyDescent="0.25">
      <c r="A965" s="11"/>
      <c r="B965" s="22">
        <v>46057</v>
      </c>
      <c r="C965" s="11">
        <v>1696</v>
      </c>
      <c r="D965" s="11" t="s">
        <v>2971</v>
      </c>
      <c r="E965" s="11" t="s">
        <v>3795</v>
      </c>
      <c r="F965" s="11"/>
      <c r="G965" s="190" t="s">
        <v>3796</v>
      </c>
      <c r="H965" s="11" t="s">
        <v>2292</v>
      </c>
      <c r="I965" s="25">
        <v>1</v>
      </c>
      <c r="J965" s="21"/>
      <c r="K965" s="21"/>
      <c r="L965" s="21"/>
      <c r="M965" s="21"/>
      <c r="N965" s="21"/>
      <c r="O965" s="21"/>
      <c r="P965" s="21"/>
      <c r="Q965" s="21"/>
      <c r="R965" s="21"/>
      <c r="S965" s="21"/>
      <c r="T965" s="21"/>
      <c r="U965" s="21"/>
      <c r="V965" s="21"/>
      <c r="W965" s="21"/>
      <c r="X965" s="21"/>
      <c r="Y965" s="21"/>
      <c r="Z965" s="21"/>
    </row>
    <row r="966" spans="1:26" ht="15.75" customHeight="1" x14ac:dyDescent="0.25">
      <c r="A966" s="11"/>
      <c r="B966" s="22">
        <v>46057</v>
      </c>
      <c r="C966" s="11">
        <v>1697</v>
      </c>
      <c r="D966" s="11" t="s">
        <v>2971</v>
      </c>
      <c r="E966" s="11" t="s">
        <v>3797</v>
      </c>
      <c r="F966" s="11"/>
      <c r="G966" s="190" t="s">
        <v>3798</v>
      </c>
      <c r="H966" s="11" t="s">
        <v>2292</v>
      </c>
      <c r="I966" s="25">
        <v>1</v>
      </c>
      <c r="J966" s="21"/>
      <c r="K966" s="21"/>
      <c r="L966" s="21"/>
      <c r="M966" s="21"/>
      <c r="N966" s="21"/>
      <c r="O966" s="21"/>
      <c r="P966" s="21"/>
      <c r="Q966" s="21"/>
      <c r="R966" s="21"/>
      <c r="S966" s="21"/>
      <c r="T966" s="21"/>
      <c r="U966" s="21"/>
      <c r="V966" s="21"/>
      <c r="W966" s="21"/>
      <c r="X966" s="21"/>
      <c r="Y966" s="21"/>
      <c r="Z966" s="21"/>
    </row>
    <row r="967" spans="1:26" ht="15" customHeight="1" x14ac:dyDescent="0.25">
      <c r="A967" s="11"/>
      <c r="B967" s="22">
        <v>46057</v>
      </c>
      <c r="C967" s="11">
        <v>1697</v>
      </c>
      <c r="D967" s="11" t="s">
        <v>2971</v>
      </c>
      <c r="E967" s="11" t="s">
        <v>3797</v>
      </c>
      <c r="F967" s="11" t="s">
        <v>2230</v>
      </c>
      <c r="G967" s="190" t="s">
        <v>3804</v>
      </c>
      <c r="H967" s="11" t="s">
        <v>3138</v>
      </c>
      <c r="I967" s="25" t="s">
        <v>3138</v>
      </c>
      <c r="J967" s="21"/>
    </row>
    <row r="968" spans="1:26" ht="15" customHeight="1" x14ac:dyDescent="0.25">
      <c r="A968" s="11"/>
      <c r="B968" s="22">
        <v>46057</v>
      </c>
      <c r="C968" s="11">
        <v>1698</v>
      </c>
      <c r="D968" s="11" t="s">
        <v>2971</v>
      </c>
      <c r="E968" s="11" t="s">
        <v>3799</v>
      </c>
      <c r="F968" s="11"/>
      <c r="G968" s="190" t="s">
        <v>3800</v>
      </c>
      <c r="H968" s="11" t="s">
        <v>2292</v>
      </c>
      <c r="I968" s="25">
        <v>1</v>
      </c>
      <c r="J968" s="21"/>
    </row>
    <row r="969" spans="1:26" ht="15" customHeight="1" x14ac:dyDescent="0.25">
      <c r="A969" s="11"/>
      <c r="B969" s="22">
        <v>46057</v>
      </c>
      <c r="C969" s="11">
        <v>1699</v>
      </c>
      <c r="D969" s="11" t="s">
        <v>2971</v>
      </c>
      <c r="E969" s="11" t="s">
        <v>3801</v>
      </c>
      <c r="F969" s="11"/>
      <c r="G969" s="190" t="s">
        <v>3802</v>
      </c>
      <c r="H969" s="11" t="s">
        <v>2292</v>
      </c>
      <c r="I969" s="25">
        <v>1</v>
      </c>
      <c r="J969" s="21"/>
    </row>
    <row r="970" spans="1:26" ht="15" customHeight="1" x14ac:dyDescent="0.25">
      <c r="A970" s="11"/>
      <c r="B970" s="22">
        <v>46057</v>
      </c>
      <c r="C970" s="11">
        <v>1700</v>
      </c>
      <c r="D970" s="11" t="s">
        <v>44</v>
      </c>
      <c r="E970" s="11">
        <v>4714048421</v>
      </c>
      <c r="F970" s="11"/>
      <c r="G970" s="190" t="s">
        <v>3803</v>
      </c>
      <c r="H970" s="11" t="s">
        <v>2292</v>
      </c>
      <c r="I970" s="25">
        <v>1</v>
      </c>
      <c r="J970" s="21"/>
    </row>
    <row r="971" spans="1:26" ht="15" customHeight="1" x14ac:dyDescent="0.25">
      <c r="A971" s="11"/>
      <c r="B971" s="22">
        <v>46058</v>
      </c>
      <c r="C971" s="11">
        <v>1701</v>
      </c>
      <c r="D971" s="11" t="s">
        <v>2971</v>
      </c>
      <c r="E971" s="11" t="s">
        <v>3797</v>
      </c>
      <c r="F971" s="11"/>
      <c r="G971" s="190" t="s">
        <v>3805</v>
      </c>
      <c r="H971" s="11" t="s">
        <v>3046</v>
      </c>
      <c r="I971" s="25" t="s">
        <v>3046</v>
      </c>
      <c r="J971" s="21"/>
    </row>
    <row r="972" spans="1:26" ht="15" customHeight="1" x14ac:dyDescent="0.25">
      <c r="B972" s="300">
        <v>46058</v>
      </c>
      <c r="C972">
        <v>1702</v>
      </c>
      <c r="D972" t="s">
        <v>2971</v>
      </c>
      <c r="E972" t="s">
        <v>3806</v>
      </c>
      <c r="G972" s="301" t="s">
        <v>3807</v>
      </c>
      <c r="H972" t="s">
        <v>2292</v>
      </c>
      <c r="I972">
        <v>1</v>
      </c>
    </row>
    <row r="973" spans="1:26" ht="15" customHeight="1" x14ac:dyDescent="0.25">
      <c r="B973" s="300">
        <v>46059</v>
      </c>
      <c r="C973">
        <v>1703</v>
      </c>
      <c r="D973" t="s">
        <v>2971</v>
      </c>
      <c r="E973" t="s">
        <v>3761</v>
      </c>
      <c r="G973" s="301" t="s">
        <v>3809</v>
      </c>
      <c r="H973" t="s">
        <v>3808</v>
      </c>
      <c r="I973" t="s">
        <v>3808</v>
      </c>
    </row>
    <row r="974" spans="1:26" ht="15" customHeight="1" x14ac:dyDescent="0.25">
      <c r="B974" s="300">
        <v>46060</v>
      </c>
      <c r="C974">
        <v>1704</v>
      </c>
      <c r="D974" t="s">
        <v>3771</v>
      </c>
      <c r="E974" t="s">
        <v>3812</v>
      </c>
      <c r="G974" s="301" t="s">
        <v>3813</v>
      </c>
      <c r="H974" t="s">
        <v>2292</v>
      </c>
      <c r="I974">
        <v>1</v>
      </c>
    </row>
    <row r="975" spans="1:26" ht="15" customHeight="1" x14ac:dyDescent="0.25">
      <c r="B975" s="300">
        <v>46060</v>
      </c>
      <c r="C975">
        <v>1705</v>
      </c>
      <c r="D975" t="s">
        <v>3771</v>
      </c>
      <c r="E975" t="s">
        <v>3814</v>
      </c>
      <c r="G975" s="301" t="s">
        <v>3815</v>
      </c>
      <c r="H975" t="s">
        <v>2292</v>
      </c>
      <c r="I975">
        <v>1</v>
      </c>
    </row>
    <row r="976" spans="1:26" ht="15" customHeight="1" x14ac:dyDescent="0.25">
      <c r="B976" s="300">
        <v>46062</v>
      </c>
      <c r="C976">
        <v>1706</v>
      </c>
      <c r="D976" t="s">
        <v>2311</v>
      </c>
      <c r="E976">
        <v>4000341075</v>
      </c>
      <c r="G976" s="301" t="s">
        <v>3819</v>
      </c>
      <c r="H976" t="s">
        <v>3637</v>
      </c>
      <c r="I976" t="s">
        <v>3637</v>
      </c>
    </row>
    <row r="977" spans="2:9" ht="15" customHeight="1" x14ac:dyDescent="0.25">
      <c r="B977" s="300">
        <v>46062</v>
      </c>
      <c r="C977">
        <v>1707</v>
      </c>
      <c r="D977" t="s">
        <v>66</v>
      </c>
      <c r="E977" t="s">
        <v>3820</v>
      </c>
      <c r="G977" s="301" t="s">
        <v>3821</v>
      </c>
      <c r="H977" t="s">
        <v>2292</v>
      </c>
      <c r="I977">
        <v>1</v>
      </c>
    </row>
    <row r="978" spans="2:9" ht="15" customHeight="1" x14ac:dyDescent="0.25">
      <c r="B978" s="300">
        <v>46063</v>
      </c>
      <c r="C978">
        <v>1708</v>
      </c>
      <c r="D978" t="s">
        <v>3818</v>
      </c>
      <c r="E978">
        <v>4100136061</v>
      </c>
      <c r="G978" s="301" t="s">
        <v>3824</v>
      </c>
      <c r="H978" t="s">
        <v>2292</v>
      </c>
      <c r="I978">
        <v>1</v>
      </c>
    </row>
    <row r="979" spans="2:9" ht="15" customHeight="1" x14ac:dyDescent="0.25">
      <c r="B979" s="300">
        <v>46063</v>
      </c>
      <c r="C979">
        <v>1709</v>
      </c>
      <c r="D979" t="s">
        <v>44</v>
      </c>
      <c r="E979">
        <v>4714048449</v>
      </c>
      <c r="G979" s="301" t="s">
        <v>3825</v>
      </c>
      <c r="H979" t="s">
        <v>2306</v>
      </c>
      <c r="I979">
        <v>7</v>
      </c>
    </row>
    <row r="980" spans="2:9" ht="15" customHeight="1" x14ac:dyDescent="0.25">
      <c r="B980" s="300">
        <v>46064</v>
      </c>
      <c r="C980">
        <v>1710</v>
      </c>
      <c r="D980" t="s">
        <v>160</v>
      </c>
      <c r="E980" t="s">
        <v>3831</v>
      </c>
      <c r="G980" s="301" t="s">
        <v>3832</v>
      </c>
      <c r="H980" t="s">
        <v>2306</v>
      </c>
      <c r="I980">
        <v>7</v>
      </c>
    </row>
    <row r="981" spans="2:9" ht="15" customHeight="1" x14ac:dyDescent="0.25">
      <c r="B981" s="300">
        <v>46064</v>
      </c>
      <c r="C981">
        <v>1711</v>
      </c>
      <c r="D981" t="s">
        <v>2971</v>
      </c>
      <c r="E981" t="s">
        <v>3793</v>
      </c>
      <c r="G981" s="301" t="s">
        <v>3833</v>
      </c>
      <c r="H981" t="s">
        <v>2292</v>
      </c>
      <c r="I981">
        <v>1</v>
      </c>
    </row>
    <row r="982" spans="2:9" ht="15" customHeight="1" x14ac:dyDescent="0.25">
      <c r="B982" s="300">
        <v>46066</v>
      </c>
      <c r="C982">
        <v>1712</v>
      </c>
      <c r="D982" t="s">
        <v>2971</v>
      </c>
      <c r="E982" t="s">
        <v>3761</v>
      </c>
      <c r="G982" s="301" t="s">
        <v>3838</v>
      </c>
      <c r="H982" t="s">
        <v>3837</v>
      </c>
      <c r="I982" t="s">
        <v>3837</v>
      </c>
    </row>
    <row r="983" spans="2:9" ht="15" customHeight="1" x14ac:dyDescent="0.25">
      <c r="B983" s="300">
        <v>46066</v>
      </c>
      <c r="C983">
        <v>1713</v>
      </c>
      <c r="D983" t="s">
        <v>2298</v>
      </c>
      <c r="E983" t="s">
        <v>3839</v>
      </c>
      <c r="G983" s="301" t="s">
        <v>3840</v>
      </c>
      <c r="H983" t="s">
        <v>2292</v>
      </c>
      <c r="I983">
        <v>1</v>
      </c>
    </row>
    <row r="984" spans="2:9" ht="15" customHeight="1" x14ac:dyDescent="0.25">
      <c r="B984" s="300">
        <v>46066</v>
      </c>
      <c r="C984">
        <v>1714</v>
      </c>
      <c r="D984" t="s">
        <v>3140</v>
      </c>
      <c r="E984" t="s">
        <v>3841</v>
      </c>
      <c r="G984" s="301" t="s">
        <v>3842</v>
      </c>
      <c r="H984" t="s">
        <v>2292</v>
      </c>
      <c r="I984">
        <v>1</v>
      </c>
    </row>
    <row r="985" spans="2:9" ht="15" customHeight="1" x14ac:dyDescent="0.25">
      <c r="B985" s="300">
        <v>46066</v>
      </c>
      <c r="C985">
        <v>1715</v>
      </c>
      <c r="D985" t="s">
        <v>3140</v>
      </c>
      <c r="E985" t="s">
        <v>3843</v>
      </c>
      <c r="G985" s="301" t="s">
        <v>3844</v>
      </c>
      <c r="H985" t="s">
        <v>2292</v>
      </c>
      <c r="I985">
        <v>1</v>
      </c>
    </row>
    <row r="986" spans="2:9" ht="15" customHeight="1" x14ac:dyDescent="0.25">
      <c r="B986" s="300">
        <v>46066</v>
      </c>
      <c r="C986">
        <v>1716</v>
      </c>
      <c r="D986" t="s">
        <v>3140</v>
      </c>
      <c r="E986" t="s">
        <v>3845</v>
      </c>
      <c r="G986" s="301" t="s">
        <v>3846</v>
      </c>
      <c r="H986" t="s">
        <v>2292</v>
      </c>
      <c r="I986">
        <v>1</v>
      </c>
    </row>
    <row r="987" spans="2:9" ht="15" customHeight="1" x14ac:dyDescent="0.25">
      <c r="B987" s="300">
        <v>46066</v>
      </c>
      <c r="C987">
        <v>1717</v>
      </c>
      <c r="D987" t="s">
        <v>63</v>
      </c>
      <c r="E987" t="s">
        <v>3847</v>
      </c>
      <c r="G987" s="301" t="s">
        <v>3848</v>
      </c>
      <c r="H987" t="s">
        <v>2292</v>
      </c>
      <c r="I987">
        <v>1</v>
      </c>
    </row>
    <row r="988" spans="2:9" ht="15" customHeight="1" x14ac:dyDescent="0.25">
      <c r="B988" s="300">
        <v>46066</v>
      </c>
      <c r="C988">
        <v>1717</v>
      </c>
      <c r="D988" t="s">
        <v>63</v>
      </c>
      <c r="E988" t="s">
        <v>129</v>
      </c>
      <c r="G988" s="301" t="s">
        <v>3848</v>
      </c>
      <c r="H988" t="s">
        <v>2292</v>
      </c>
      <c r="I988">
        <v>1</v>
      </c>
    </row>
    <row r="989" spans="2:9" ht="15" customHeight="1" x14ac:dyDescent="0.25">
      <c r="B989" s="300">
        <v>46066</v>
      </c>
      <c r="C989">
        <v>1717</v>
      </c>
      <c r="D989" t="s">
        <v>63</v>
      </c>
      <c r="E989" t="s">
        <v>3919</v>
      </c>
      <c r="G989" s="301" t="s">
        <v>3920</v>
      </c>
      <c r="H989" t="s">
        <v>2292</v>
      </c>
      <c r="I989">
        <v>1</v>
      </c>
    </row>
    <row r="990" spans="2:9" ht="15" customHeight="1" x14ac:dyDescent="0.25">
      <c r="B990" s="300">
        <v>46067</v>
      </c>
      <c r="C990">
        <v>1718</v>
      </c>
      <c r="D990" t="s">
        <v>3140</v>
      </c>
      <c r="E990" t="s">
        <v>3849</v>
      </c>
      <c r="G990" s="301" t="s">
        <v>3850</v>
      </c>
      <c r="H990" t="s">
        <v>3115</v>
      </c>
      <c r="I990" t="s">
        <v>3115</v>
      </c>
    </row>
    <row r="991" spans="2:9" ht="15" customHeight="1" x14ac:dyDescent="0.25">
      <c r="B991" s="300">
        <v>46067</v>
      </c>
      <c r="C991">
        <v>1719</v>
      </c>
      <c r="D991" t="s">
        <v>3140</v>
      </c>
      <c r="E991" t="s">
        <v>3851</v>
      </c>
      <c r="G991" s="301" t="s">
        <v>3852</v>
      </c>
      <c r="H991" t="s">
        <v>2292</v>
      </c>
      <c r="I991">
        <v>1</v>
      </c>
    </row>
    <row r="992" spans="2:9" ht="15" customHeight="1" x14ac:dyDescent="0.25">
      <c r="B992" s="300">
        <v>46067</v>
      </c>
      <c r="C992">
        <v>1720</v>
      </c>
      <c r="D992" t="s">
        <v>3140</v>
      </c>
      <c r="E992" t="s">
        <v>3853</v>
      </c>
      <c r="G992" s="301" t="s">
        <v>3854</v>
      </c>
      <c r="H992" t="s">
        <v>2292</v>
      </c>
      <c r="I992">
        <v>1</v>
      </c>
    </row>
    <row r="993" spans="2:9" ht="15" customHeight="1" x14ac:dyDescent="0.25">
      <c r="B993" s="300">
        <v>46067</v>
      </c>
      <c r="C993">
        <v>1721</v>
      </c>
      <c r="D993" t="s">
        <v>3140</v>
      </c>
      <c r="E993" t="s">
        <v>3856</v>
      </c>
      <c r="G993" s="301" t="s">
        <v>3857</v>
      </c>
      <c r="H993" t="s">
        <v>3855</v>
      </c>
      <c r="I993" t="s">
        <v>3855</v>
      </c>
    </row>
    <row r="994" spans="2:9" ht="15" customHeight="1" x14ac:dyDescent="0.25">
      <c r="B994" s="300">
        <v>46067</v>
      </c>
      <c r="C994">
        <v>1722</v>
      </c>
      <c r="D994" t="s">
        <v>3140</v>
      </c>
      <c r="E994" t="s">
        <v>3858</v>
      </c>
      <c r="G994" s="301" t="s">
        <v>3860</v>
      </c>
      <c r="H994" t="s">
        <v>3859</v>
      </c>
      <c r="I994" s="303" t="s">
        <v>3859</v>
      </c>
    </row>
    <row r="995" spans="2:9" ht="15" customHeight="1" x14ac:dyDescent="0.25">
      <c r="B995" s="300">
        <v>46076</v>
      </c>
      <c r="C995">
        <v>1725</v>
      </c>
      <c r="D995" t="s">
        <v>2298</v>
      </c>
      <c r="E995" t="s">
        <v>3863</v>
      </c>
      <c r="G995" s="301" t="s">
        <v>3864</v>
      </c>
      <c r="H995" t="s">
        <v>2292</v>
      </c>
      <c r="I995">
        <v>1</v>
      </c>
    </row>
    <row r="996" spans="2:9" ht="15" customHeight="1" x14ac:dyDescent="0.25">
      <c r="B996" s="300">
        <v>46077</v>
      </c>
      <c r="C996">
        <v>1726</v>
      </c>
      <c r="D996" t="s">
        <v>2971</v>
      </c>
      <c r="E996" t="s">
        <v>3861</v>
      </c>
      <c r="G996" s="301" t="s">
        <v>3862</v>
      </c>
      <c r="H996" t="s">
        <v>2292</v>
      </c>
      <c r="I996">
        <v>1</v>
      </c>
    </row>
    <row r="997" spans="2:9" ht="15" customHeight="1" x14ac:dyDescent="0.25">
      <c r="B997" s="300">
        <v>46077</v>
      </c>
      <c r="C997">
        <v>1727</v>
      </c>
      <c r="D997" t="s">
        <v>3140</v>
      </c>
      <c r="E997" t="s">
        <v>3858</v>
      </c>
      <c r="G997" s="301" t="s">
        <v>3866</v>
      </c>
      <c r="H997" t="s">
        <v>3865</v>
      </c>
      <c r="I997" t="s">
        <v>3865</v>
      </c>
    </row>
    <row r="998" spans="2:9" ht="15" customHeight="1" x14ac:dyDescent="0.25">
      <c r="B998" s="300">
        <v>46077</v>
      </c>
      <c r="C998">
        <v>1728</v>
      </c>
      <c r="D998" t="s">
        <v>3140</v>
      </c>
      <c r="E998" t="s">
        <v>3856</v>
      </c>
      <c r="G998" s="301" t="s">
        <v>3868</v>
      </c>
      <c r="H998" t="s">
        <v>3867</v>
      </c>
      <c r="I998" t="s">
        <v>3867</v>
      </c>
    </row>
    <row r="999" spans="2:9" ht="15" customHeight="1" x14ac:dyDescent="0.25">
      <c r="B999" s="300">
        <v>46077</v>
      </c>
      <c r="C999">
        <v>1729</v>
      </c>
      <c r="D999" t="s">
        <v>3140</v>
      </c>
      <c r="E999" t="s">
        <v>3849</v>
      </c>
      <c r="G999" s="301" t="s">
        <v>3870</v>
      </c>
      <c r="H999" t="s">
        <v>3869</v>
      </c>
      <c r="I999" t="s">
        <v>3869</v>
      </c>
    </row>
    <row r="1000" spans="2:9" ht="15" customHeight="1" x14ac:dyDescent="0.25">
      <c r="B1000" s="300">
        <v>46078</v>
      </c>
      <c r="C1000">
        <v>1730</v>
      </c>
      <c r="D1000" t="s">
        <v>44</v>
      </c>
      <c r="E1000">
        <v>4714048671</v>
      </c>
      <c r="G1000" s="301" t="s">
        <v>3872</v>
      </c>
      <c r="H1000" t="s">
        <v>3871</v>
      </c>
      <c r="I1000" t="s">
        <v>3871</v>
      </c>
    </row>
    <row r="1001" spans="2:9" ht="15" customHeight="1" x14ac:dyDescent="0.25">
      <c r="B1001" s="300">
        <v>46078</v>
      </c>
      <c r="C1001">
        <v>1731</v>
      </c>
      <c r="D1001" t="s">
        <v>2971</v>
      </c>
      <c r="E1001" t="s">
        <v>3873</v>
      </c>
      <c r="G1001" s="301" t="s">
        <v>3874</v>
      </c>
      <c r="H1001" t="s">
        <v>2292</v>
      </c>
      <c r="I1001">
        <v>1</v>
      </c>
    </row>
    <row r="1002" spans="2:9" ht="15" customHeight="1" x14ac:dyDescent="0.25">
      <c r="B1002" s="300">
        <v>46078</v>
      </c>
      <c r="C1002">
        <v>1731</v>
      </c>
      <c r="D1002" t="s">
        <v>2971</v>
      </c>
      <c r="E1002" t="s">
        <v>3873</v>
      </c>
      <c r="G1002" s="301" t="s">
        <v>3878</v>
      </c>
      <c r="H1002" t="s">
        <v>2306</v>
      </c>
      <c r="I1002">
        <v>7</v>
      </c>
    </row>
    <row r="1003" spans="2:9" ht="15" customHeight="1" x14ac:dyDescent="0.25">
      <c r="B1003" s="300">
        <v>46078</v>
      </c>
      <c r="C1003">
        <v>1732</v>
      </c>
      <c r="D1003" t="s">
        <v>2971</v>
      </c>
      <c r="E1003" t="s">
        <v>3876</v>
      </c>
      <c r="G1003" s="301" t="s">
        <v>3877</v>
      </c>
      <c r="H1003" t="s">
        <v>3875</v>
      </c>
      <c r="I1003" t="s">
        <v>3875</v>
      </c>
    </row>
    <row r="1004" spans="2:9" ht="15" customHeight="1" x14ac:dyDescent="0.25">
      <c r="B1004" s="300">
        <v>46078</v>
      </c>
      <c r="C1004">
        <v>1733</v>
      </c>
      <c r="D1004" t="s">
        <v>2971</v>
      </c>
      <c r="E1004" t="s">
        <v>3879</v>
      </c>
      <c r="G1004" s="301" t="s">
        <v>3880</v>
      </c>
      <c r="H1004" t="s">
        <v>2306</v>
      </c>
      <c r="I1004">
        <v>7</v>
      </c>
    </row>
    <row r="1005" spans="2:9" ht="15" customHeight="1" x14ac:dyDescent="0.25">
      <c r="B1005" s="300">
        <v>46079</v>
      </c>
      <c r="C1005">
        <v>1734</v>
      </c>
      <c r="D1005" t="s">
        <v>2298</v>
      </c>
      <c r="E1005" t="s">
        <v>3881</v>
      </c>
      <c r="G1005" s="301" t="s">
        <v>3882</v>
      </c>
      <c r="H1005" t="s">
        <v>129</v>
      </c>
      <c r="I1005" t="s">
        <v>129</v>
      </c>
    </row>
    <row r="1006" spans="2:9" ht="15" customHeight="1" x14ac:dyDescent="0.25">
      <c r="B1006" s="300">
        <v>46080</v>
      </c>
      <c r="C1006">
        <v>1735</v>
      </c>
      <c r="D1006" t="s">
        <v>3771</v>
      </c>
      <c r="E1006" t="s">
        <v>3881</v>
      </c>
      <c r="G1006" s="301" t="s">
        <v>3883</v>
      </c>
      <c r="H1006" t="s">
        <v>129</v>
      </c>
      <c r="I1006" t="s">
        <v>129</v>
      </c>
    </row>
    <row r="1007" spans="2:9" ht="15" customHeight="1" x14ac:dyDescent="0.25">
      <c r="B1007" s="300">
        <v>46080</v>
      </c>
      <c r="C1007">
        <v>1736</v>
      </c>
      <c r="D1007" t="s">
        <v>44</v>
      </c>
      <c r="E1007">
        <v>4714048671</v>
      </c>
      <c r="G1007" s="301" t="s">
        <v>3885</v>
      </c>
      <c r="H1007" t="s">
        <v>3884</v>
      </c>
      <c r="I1007" t="s">
        <v>3884</v>
      </c>
    </row>
    <row r="1008" spans="2:9" ht="15" customHeight="1" x14ac:dyDescent="0.25">
      <c r="B1008" s="300">
        <v>46080</v>
      </c>
      <c r="C1008">
        <v>1737</v>
      </c>
      <c r="D1008" t="s">
        <v>3140</v>
      </c>
      <c r="E1008" t="s">
        <v>3849</v>
      </c>
      <c r="G1008" s="301" t="s">
        <v>3887</v>
      </c>
      <c r="H1008" t="s">
        <v>3886</v>
      </c>
      <c r="I1008" t="s">
        <v>3886</v>
      </c>
    </row>
    <row r="1009" spans="2:9" ht="15" customHeight="1" x14ac:dyDescent="0.25">
      <c r="B1009" s="300">
        <v>46083</v>
      </c>
      <c r="C1009">
        <v>1738</v>
      </c>
      <c r="D1009" t="s">
        <v>4</v>
      </c>
      <c r="E1009" t="s">
        <v>3888</v>
      </c>
      <c r="G1009" s="301" t="s">
        <v>3889</v>
      </c>
      <c r="H1009" t="s">
        <v>2292</v>
      </c>
      <c r="I1009">
        <v>1</v>
      </c>
    </row>
    <row r="1010" spans="2:9" ht="15" customHeight="1" x14ac:dyDescent="0.25">
      <c r="B1010" s="300">
        <v>46081</v>
      </c>
      <c r="C1010">
        <v>1739</v>
      </c>
      <c r="D1010" t="s">
        <v>2298</v>
      </c>
      <c r="E1010" t="s">
        <v>3890</v>
      </c>
      <c r="G1010" s="301" t="s">
        <v>3891</v>
      </c>
      <c r="H1010" t="s">
        <v>2292</v>
      </c>
      <c r="I1010">
        <v>1</v>
      </c>
    </row>
    <row r="1011" spans="2:9" ht="15" customHeight="1" x14ac:dyDescent="0.25">
      <c r="B1011" s="300">
        <v>46083</v>
      </c>
      <c r="C1011">
        <v>1740</v>
      </c>
      <c r="D1011" t="s">
        <v>2971</v>
      </c>
      <c r="E1011" t="s">
        <v>3861</v>
      </c>
      <c r="G1011" s="301" t="s">
        <v>3892</v>
      </c>
      <c r="H1011" t="s">
        <v>2292</v>
      </c>
      <c r="I1011">
        <v>1</v>
      </c>
    </row>
    <row r="1012" spans="2:9" ht="15" customHeight="1" x14ac:dyDescent="0.25">
      <c r="B1012" s="300">
        <v>46083</v>
      </c>
      <c r="C1012">
        <v>1741</v>
      </c>
      <c r="D1012" t="s">
        <v>44</v>
      </c>
      <c r="E1012" t="s">
        <v>2400</v>
      </c>
      <c r="G1012" s="301" t="s">
        <v>3893</v>
      </c>
      <c r="H1012" t="s">
        <v>2400</v>
      </c>
      <c r="I1012" t="s">
        <v>2400</v>
      </c>
    </row>
    <row r="1013" spans="2:9" ht="15" customHeight="1" x14ac:dyDescent="0.25">
      <c r="B1013" s="300">
        <v>46084</v>
      </c>
      <c r="C1013">
        <v>1742</v>
      </c>
      <c r="D1013" t="s">
        <v>66</v>
      </c>
      <c r="E1013" t="s">
        <v>3894</v>
      </c>
      <c r="G1013" s="301" t="s">
        <v>3895</v>
      </c>
      <c r="H1013" t="s">
        <v>2292</v>
      </c>
      <c r="I1013">
        <v>1</v>
      </c>
    </row>
    <row r="1014" spans="2:9" ht="15" customHeight="1" x14ac:dyDescent="0.25">
      <c r="B1014" s="300">
        <v>46084</v>
      </c>
      <c r="C1014">
        <v>1743</v>
      </c>
      <c r="D1014" t="s">
        <v>66</v>
      </c>
      <c r="E1014" t="s">
        <v>3896</v>
      </c>
      <c r="G1014" s="301" t="s">
        <v>3897</v>
      </c>
      <c r="H1014" t="s">
        <v>3138</v>
      </c>
      <c r="I1014" t="s">
        <v>3138</v>
      </c>
    </row>
    <row r="1015" spans="2:9" ht="15" customHeight="1" x14ac:dyDescent="0.25">
      <c r="B1015" s="300">
        <v>46084</v>
      </c>
      <c r="C1015">
        <v>1744</v>
      </c>
      <c r="D1015" t="s">
        <v>63</v>
      </c>
      <c r="E1015" t="s">
        <v>3898</v>
      </c>
      <c r="G1015" s="301" t="s">
        <v>3900</v>
      </c>
      <c r="H1015" t="s">
        <v>3899</v>
      </c>
      <c r="I1015" t="s">
        <v>3899</v>
      </c>
    </row>
    <row r="1016" spans="2:9" ht="15" customHeight="1" x14ac:dyDescent="0.25">
      <c r="B1016" s="300">
        <v>46084</v>
      </c>
      <c r="C1016">
        <v>1745</v>
      </c>
      <c r="D1016" t="s">
        <v>63</v>
      </c>
      <c r="E1016" t="s">
        <v>3901</v>
      </c>
      <c r="G1016" s="301" t="s">
        <v>3902</v>
      </c>
      <c r="H1016" t="s">
        <v>3046</v>
      </c>
      <c r="I1016" t="s">
        <v>3046</v>
      </c>
    </row>
    <row r="1017" spans="2:9" ht="15" customHeight="1" x14ac:dyDescent="0.25">
      <c r="B1017" s="300">
        <v>46084</v>
      </c>
      <c r="C1017">
        <v>1746</v>
      </c>
      <c r="D1017" t="s">
        <v>2298</v>
      </c>
      <c r="E1017" t="s">
        <v>3903</v>
      </c>
      <c r="G1017" s="301" t="s">
        <v>3904</v>
      </c>
      <c r="H1017" t="s">
        <v>2292</v>
      </c>
      <c r="I1017">
        <v>1</v>
      </c>
    </row>
    <row r="1018" spans="2:9" ht="15" customHeight="1" x14ac:dyDescent="0.25">
      <c r="B1018" s="300">
        <v>46085</v>
      </c>
      <c r="C1018">
        <v>1747</v>
      </c>
      <c r="D1018" t="s">
        <v>3771</v>
      </c>
      <c r="E1018" t="s">
        <v>3905</v>
      </c>
      <c r="G1018" s="301" t="s">
        <v>3906</v>
      </c>
      <c r="H1018" t="s">
        <v>2702</v>
      </c>
      <c r="I1018" t="s">
        <v>2702</v>
      </c>
    </row>
    <row r="1019" spans="2:9" ht="15" customHeight="1" x14ac:dyDescent="0.25">
      <c r="B1019" s="300">
        <v>46085</v>
      </c>
      <c r="C1019">
        <v>1747</v>
      </c>
      <c r="D1019" t="s">
        <v>3771</v>
      </c>
      <c r="E1019" t="s">
        <v>3905</v>
      </c>
      <c r="F1019" t="s">
        <v>2230</v>
      </c>
      <c r="G1019" s="301" t="s">
        <v>3910</v>
      </c>
      <c r="H1019" t="s">
        <v>2702</v>
      </c>
      <c r="I1019" t="s">
        <v>2702</v>
      </c>
    </row>
    <row r="1020" spans="2:9" ht="15" customHeight="1" x14ac:dyDescent="0.25">
      <c r="B1020" s="300">
        <v>46085</v>
      </c>
      <c r="C1020">
        <v>1748</v>
      </c>
      <c r="D1020" t="s">
        <v>3771</v>
      </c>
      <c r="E1020" t="s">
        <v>3905</v>
      </c>
      <c r="G1020" s="301" t="s">
        <v>3907</v>
      </c>
      <c r="H1020" t="s">
        <v>2292</v>
      </c>
      <c r="I1020">
        <v>1</v>
      </c>
    </row>
    <row r="1021" spans="2:9" ht="15" customHeight="1" x14ac:dyDescent="0.25">
      <c r="B1021" s="300">
        <v>46085</v>
      </c>
      <c r="C1021">
        <v>1748</v>
      </c>
      <c r="D1021" t="s">
        <v>3771</v>
      </c>
      <c r="E1021" t="s">
        <v>3905</v>
      </c>
      <c r="F1021" t="s">
        <v>2230</v>
      </c>
      <c r="G1021" s="301" t="s">
        <v>3911</v>
      </c>
      <c r="H1021" t="s">
        <v>2292</v>
      </c>
      <c r="I1021">
        <v>1</v>
      </c>
    </row>
    <row r="1022" spans="2:9" ht="15" customHeight="1" x14ac:dyDescent="0.25">
      <c r="B1022" s="300">
        <v>46085</v>
      </c>
      <c r="C1022">
        <v>1748</v>
      </c>
      <c r="D1022" t="s">
        <v>3771</v>
      </c>
      <c r="E1022" t="s">
        <v>3917</v>
      </c>
      <c r="F1022" t="s">
        <v>2230</v>
      </c>
      <c r="G1022" s="301" t="s">
        <v>3918</v>
      </c>
      <c r="H1022" t="s">
        <v>2292</v>
      </c>
      <c r="I1022">
        <v>1</v>
      </c>
    </row>
    <row r="1023" spans="2:9" ht="15" customHeight="1" x14ac:dyDescent="0.25">
      <c r="B1023" s="300">
        <v>46085</v>
      </c>
      <c r="C1023">
        <v>1749</v>
      </c>
      <c r="D1023" t="s">
        <v>3771</v>
      </c>
      <c r="E1023" t="s">
        <v>3908</v>
      </c>
      <c r="G1023" s="301" t="s">
        <v>3909</v>
      </c>
      <c r="H1023" t="s">
        <v>2292</v>
      </c>
      <c r="I1023">
        <v>1</v>
      </c>
    </row>
    <row r="1024" spans="2:9" ht="15" customHeight="1" x14ac:dyDescent="0.25">
      <c r="B1024" s="300">
        <v>46086</v>
      </c>
      <c r="C1024">
        <v>1750</v>
      </c>
      <c r="D1024" t="s">
        <v>2971</v>
      </c>
      <c r="E1024" t="s">
        <v>3912</v>
      </c>
      <c r="G1024" s="301" t="s">
        <v>3913</v>
      </c>
      <c r="H1024" t="s">
        <v>2292</v>
      </c>
      <c r="I1024">
        <v>1</v>
      </c>
    </row>
    <row r="1025" spans="2:9" ht="15" customHeight="1" x14ac:dyDescent="0.25">
      <c r="B1025" s="300">
        <v>46086</v>
      </c>
      <c r="C1025">
        <v>1750</v>
      </c>
      <c r="D1025" t="s">
        <v>2971</v>
      </c>
      <c r="E1025" t="s">
        <v>3912</v>
      </c>
      <c r="G1025" s="301" t="s">
        <v>3916</v>
      </c>
      <c r="H1025" t="s">
        <v>2306</v>
      </c>
      <c r="I1025">
        <v>7</v>
      </c>
    </row>
    <row r="1026" spans="2:9" ht="15" customHeight="1" x14ac:dyDescent="0.25">
      <c r="B1026" s="300">
        <v>46086</v>
      </c>
      <c r="C1026">
        <v>1751</v>
      </c>
      <c r="D1026" t="s">
        <v>2971</v>
      </c>
      <c r="E1026" t="s">
        <v>3914</v>
      </c>
      <c r="G1026" s="301" t="s">
        <v>3915</v>
      </c>
      <c r="H1026" t="s">
        <v>2306</v>
      </c>
      <c r="I1026">
        <v>7</v>
      </c>
    </row>
    <row r="1027" spans="2:9" ht="15" customHeight="1" x14ac:dyDescent="0.25">
      <c r="B1027" s="300">
        <v>46088</v>
      </c>
      <c r="C1027">
        <v>1752</v>
      </c>
      <c r="D1027" t="s">
        <v>2298</v>
      </c>
      <c r="E1027" t="s">
        <v>3921</v>
      </c>
      <c r="G1027" s="301" t="s">
        <v>3922</v>
      </c>
      <c r="H1027" t="s">
        <v>2292</v>
      </c>
      <c r="I1027">
        <v>1</v>
      </c>
    </row>
    <row r="1028" spans="2:9" ht="15" customHeight="1" x14ac:dyDescent="0.25">
      <c r="B1028" s="300">
        <v>46088</v>
      </c>
      <c r="C1028">
        <v>1753</v>
      </c>
      <c r="D1028" t="s">
        <v>3771</v>
      </c>
      <c r="E1028" t="s">
        <v>3905</v>
      </c>
      <c r="G1028" s="301" t="s">
        <v>3924</v>
      </c>
      <c r="H1028" t="s">
        <v>3923</v>
      </c>
      <c r="I1028" t="s">
        <v>3923</v>
      </c>
    </row>
    <row r="1029" spans="2:9" ht="15" customHeight="1" x14ac:dyDescent="0.25">
      <c r="B1029" s="300">
        <v>46088</v>
      </c>
      <c r="C1029">
        <v>1754</v>
      </c>
      <c r="D1029" t="s">
        <v>2298</v>
      </c>
      <c r="E1029" t="s">
        <v>3925</v>
      </c>
      <c r="G1029" s="301" t="s">
        <v>3926</v>
      </c>
      <c r="H1029" t="s">
        <v>2292</v>
      </c>
      <c r="I1029">
        <v>1</v>
      </c>
    </row>
    <row r="1030" spans="2:9" ht="15" customHeight="1" x14ac:dyDescent="0.25">
      <c r="B1030" s="300">
        <v>46090</v>
      </c>
      <c r="C1030">
        <v>1755</v>
      </c>
      <c r="D1030" t="s">
        <v>2298</v>
      </c>
      <c r="E1030" t="s">
        <v>3925</v>
      </c>
      <c r="G1030" s="301" t="s">
        <v>3927</v>
      </c>
      <c r="H1030" t="s">
        <v>3115</v>
      </c>
      <c r="I1030" t="s">
        <v>3115</v>
      </c>
    </row>
    <row r="1031" spans="2:9" ht="15" customHeight="1" x14ac:dyDescent="0.25">
      <c r="B1031" s="300">
        <v>46090</v>
      </c>
      <c r="C1031">
        <v>1756</v>
      </c>
      <c r="D1031" t="s">
        <v>3140</v>
      </c>
      <c r="E1031" t="s">
        <v>3928</v>
      </c>
      <c r="G1031" s="301" t="s">
        <v>3929</v>
      </c>
      <c r="H1031" t="s">
        <v>2292</v>
      </c>
      <c r="I1031">
        <v>1</v>
      </c>
    </row>
    <row r="1032" spans="2:9" ht="15" customHeight="1" x14ac:dyDescent="0.25">
      <c r="B1032" s="300">
        <v>46090</v>
      </c>
      <c r="C1032">
        <v>1757</v>
      </c>
      <c r="D1032" t="s">
        <v>4</v>
      </c>
      <c r="E1032" t="s">
        <v>3930</v>
      </c>
      <c r="G1032" s="301" t="s">
        <v>3931</v>
      </c>
      <c r="H1032" t="s">
        <v>2292</v>
      </c>
      <c r="I1032">
        <v>1</v>
      </c>
    </row>
    <row r="1033" spans="2:9" ht="15" customHeight="1" x14ac:dyDescent="0.25">
      <c r="B1033" s="300">
        <v>46090</v>
      </c>
      <c r="C1033">
        <v>1757</v>
      </c>
      <c r="D1033" t="s">
        <v>4</v>
      </c>
      <c r="E1033" t="s">
        <v>3930</v>
      </c>
      <c r="F1033" t="s">
        <v>2230</v>
      </c>
      <c r="G1033" s="301" t="s">
        <v>3944</v>
      </c>
      <c r="H1033" t="s">
        <v>2727</v>
      </c>
      <c r="I1033" t="s">
        <v>2727</v>
      </c>
    </row>
    <row r="1034" spans="2:9" ht="15" customHeight="1" x14ac:dyDescent="0.25">
      <c r="B1034" s="300">
        <v>46092</v>
      </c>
      <c r="C1034">
        <v>1757</v>
      </c>
      <c r="D1034" t="s">
        <v>4</v>
      </c>
      <c r="E1034" t="s">
        <v>3930</v>
      </c>
      <c r="F1034" t="s">
        <v>2230</v>
      </c>
      <c r="G1034" s="301" t="s">
        <v>3944</v>
      </c>
      <c r="H1034" t="s">
        <v>2727</v>
      </c>
      <c r="I1034" t="s">
        <v>2727</v>
      </c>
    </row>
    <row r="1035" spans="2:9" ht="15" customHeight="1" x14ac:dyDescent="0.25">
      <c r="B1035" s="300">
        <v>46090</v>
      </c>
      <c r="C1035">
        <v>1758</v>
      </c>
      <c r="D1035" t="s">
        <v>160</v>
      </c>
      <c r="E1035" t="s">
        <v>3932</v>
      </c>
      <c r="G1035" s="301" t="s">
        <v>3933</v>
      </c>
    </row>
    <row r="1036" spans="2:9" ht="15" customHeight="1" x14ac:dyDescent="0.25">
      <c r="B1036" s="300">
        <v>46090</v>
      </c>
      <c r="C1036">
        <v>1759</v>
      </c>
      <c r="D1036" t="s">
        <v>2298</v>
      </c>
      <c r="E1036" t="s">
        <v>3934</v>
      </c>
      <c r="G1036" s="301" t="s">
        <v>3935</v>
      </c>
      <c r="H1036" t="s">
        <v>3046</v>
      </c>
      <c r="I1036" t="s">
        <v>3046</v>
      </c>
    </row>
    <row r="1037" spans="2:9" ht="15" customHeight="1" x14ac:dyDescent="0.25">
      <c r="B1037" s="300">
        <v>46091</v>
      </c>
      <c r="C1037">
        <v>1760</v>
      </c>
      <c r="D1037" t="s">
        <v>3140</v>
      </c>
      <c r="E1037" t="s">
        <v>3936</v>
      </c>
      <c r="G1037" s="301" t="s">
        <v>3937</v>
      </c>
      <c r="H1037" t="s">
        <v>2292</v>
      </c>
      <c r="I1037">
        <v>1</v>
      </c>
    </row>
    <row r="1038" spans="2:9" ht="15" customHeight="1" x14ac:dyDescent="0.25">
      <c r="B1038" s="300">
        <v>46091</v>
      </c>
      <c r="C1038">
        <v>1761</v>
      </c>
      <c r="D1038" t="s">
        <v>3140</v>
      </c>
      <c r="E1038" t="s">
        <v>3938</v>
      </c>
      <c r="G1038" s="301" t="s">
        <v>3939</v>
      </c>
      <c r="H1038" t="s">
        <v>2292</v>
      </c>
      <c r="I1038">
        <v>1</v>
      </c>
    </row>
    <row r="1039" spans="2:9" ht="15" customHeight="1" x14ac:dyDescent="0.25">
      <c r="B1039" s="300">
        <v>46091</v>
      </c>
      <c r="C1039">
        <v>1762</v>
      </c>
      <c r="D1039" t="s">
        <v>3140</v>
      </c>
      <c r="E1039" t="s">
        <v>3940</v>
      </c>
      <c r="G1039" s="301" t="s">
        <v>3941</v>
      </c>
      <c r="H1039" t="s">
        <v>2292</v>
      </c>
      <c r="I1039">
        <v>1</v>
      </c>
    </row>
    <row r="1040" spans="2:9" ht="15" customHeight="1" x14ac:dyDescent="0.25">
      <c r="B1040" s="300">
        <v>46092</v>
      </c>
      <c r="C1040">
        <v>1763</v>
      </c>
      <c r="D1040" t="s">
        <v>4</v>
      </c>
      <c r="E1040" t="s">
        <v>3942</v>
      </c>
      <c r="G1040" s="301" t="s">
        <v>3943</v>
      </c>
      <c r="H1040" t="s">
        <v>2292</v>
      </c>
      <c r="I1040">
        <v>1</v>
      </c>
    </row>
    <row r="1041" spans="2:9" ht="15" customHeight="1" x14ac:dyDescent="0.25">
      <c r="B1041" s="300">
        <v>46092</v>
      </c>
      <c r="C1041">
        <v>1764</v>
      </c>
      <c r="D1041" t="s">
        <v>2987</v>
      </c>
      <c r="E1041" t="s">
        <v>3945</v>
      </c>
      <c r="G1041" s="301" t="s">
        <v>3946</v>
      </c>
      <c r="H1041" t="s">
        <v>2292</v>
      </c>
      <c r="I1041">
        <v>1</v>
      </c>
    </row>
    <row r="1042" spans="2:9" ht="15" customHeight="1" x14ac:dyDescent="0.25">
      <c r="B1042" s="300">
        <v>46092</v>
      </c>
      <c r="C1042">
        <v>1765</v>
      </c>
      <c r="D1042" t="s">
        <v>63</v>
      </c>
      <c r="E1042" t="s">
        <v>3901</v>
      </c>
      <c r="G1042" s="301" t="s">
        <v>3948</v>
      </c>
      <c r="H1042" t="s">
        <v>3947</v>
      </c>
      <c r="I1042" t="s">
        <v>3947</v>
      </c>
    </row>
    <row r="1043" spans="2:9" ht="15" customHeight="1" x14ac:dyDescent="0.25">
      <c r="B1043" s="300">
        <v>46092</v>
      </c>
      <c r="C1043">
        <v>1766</v>
      </c>
      <c r="D1043" t="s">
        <v>63</v>
      </c>
      <c r="E1043" t="s">
        <v>3898</v>
      </c>
      <c r="G1043" s="301" t="s">
        <v>3950</v>
      </c>
      <c r="H1043" t="s">
        <v>3949</v>
      </c>
      <c r="I1043" t="s">
        <v>3949</v>
      </c>
    </row>
    <row r="1044" spans="2:9" ht="15" customHeight="1" x14ac:dyDescent="0.25">
      <c r="B1044" s="300">
        <v>46092</v>
      </c>
      <c r="C1044">
        <v>1767</v>
      </c>
      <c r="D1044" t="s">
        <v>63</v>
      </c>
      <c r="E1044" t="s">
        <v>3951</v>
      </c>
      <c r="G1044" s="301" t="s">
        <v>3952</v>
      </c>
      <c r="H1044" t="s">
        <v>2823</v>
      </c>
      <c r="I1044" t="s">
        <v>2823</v>
      </c>
    </row>
    <row r="1045" spans="2:9" ht="15" customHeight="1" x14ac:dyDescent="0.25">
      <c r="B1045" s="300">
        <v>46093</v>
      </c>
      <c r="C1045">
        <v>1768</v>
      </c>
      <c r="D1045" t="s">
        <v>2298</v>
      </c>
      <c r="E1045" t="s">
        <v>3953</v>
      </c>
      <c r="G1045" s="301" t="s">
        <v>3955</v>
      </c>
      <c r="H1045" t="s">
        <v>3954</v>
      </c>
      <c r="I1045" t="s">
        <v>3954</v>
      </c>
    </row>
    <row r="1046" spans="2:9" ht="15" customHeight="1" x14ac:dyDescent="0.25">
      <c r="B1046" s="300">
        <v>46093</v>
      </c>
      <c r="C1046">
        <v>1768</v>
      </c>
      <c r="D1046" t="s">
        <v>2298</v>
      </c>
      <c r="E1046" t="s">
        <v>3953</v>
      </c>
      <c r="F1046" t="s">
        <v>2230</v>
      </c>
      <c r="G1046" s="301" t="s">
        <v>3982</v>
      </c>
      <c r="H1046" t="s">
        <v>3622</v>
      </c>
      <c r="I1046" t="s">
        <v>3622</v>
      </c>
    </row>
    <row r="1047" spans="2:9" ht="15" customHeight="1" x14ac:dyDescent="0.25">
      <c r="B1047" s="300">
        <v>46098</v>
      </c>
      <c r="C1047">
        <v>1769</v>
      </c>
      <c r="D1047" t="s">
        <v>44</v>
      </c>
      <c r="E1047">
        <v>4714048836</v>
      </c>
      <c r="G1047" s="301" t="s">
        <v>3983</v>
      </c>
      <c r="H1047" t="s">
        <v>2292</v>
      </c>
      <c r="I1047">
        <v>1</v>
      </c>
    </row>
    <row r="1048" spans="2:9" ht="15" customHeight="1" x14ac:dyDescent="0.25">
      <c r="B1048" s="300">
        <v>46093</v>
      </c>
      <c r="C1048">
        <v>1770</v>
      </c>
      <c r="D1048" t="s">
        <v>3140</v>
      </c>
      <c r="E1048" t="s">
        <v>3938</v>
      </c>
      <c r="G1048" s="301" t="s">
        <v>3956</v>
      </c>
      <c r="H1048" t="s">
        <v>2292</v>
      </c>
      <c r="I1048">
        <v>1</v>
      </c>
    </row>
    <row r="1049" spans="2:9" ht="15" customHeight="1" x14ac:dyDescent="0.25">
      <c r="B1049" s="300">
        <v>46093</v>
      </c>
      <c r="C1049">
        <v>1771</v>
      </c>
      <c r="D1049" t="s">
        <v>3140</v>
      </c>
      <c r="E1049" t="s">
        <v>3936</v>
      </c>
      <c r="G1049" s="301" t="s">
        <v>3957</v>
      </c>
      <c r="H1049" t="s">
        <v>2292</v>
      </c>
      <c r="I1049">
        <v>1</v>
      </c>
    </row>
    <row r="1050" spans="2:9" ht="15" customHeight="1" x14ac:dyDescent="0.25">
      <c r="B1050" s="300">
        <v>46093</v>
      </c>
      <c r="C1050">
        <v>1772</v>
      </c>
      <c r="D1050" t="s">
        <v>3140</v>
      </c>
      <c r="E1050" t="s">
        <v>3940</v>
      </c>
      <c r="G1050" s="301" t="s">
        <v>3958</v>
      </c>
      <c r="H1050" t="s">
        <v>2292</v>
      </c>
      <c r="I1050">
        <v>1</v>
      </c>
    </row>
    <row r="1051" spans="2:9" ht="15" customHeight="1" x14ac:dyDescent="0.25">
      <c r="B1051" s="300">
        <v>46093</v>
      </c>
      <c r="C1051">
        <v>1773</v>
      </c>
      <c r="D1051" t="s">
        <v>4</v>
      </c>
      <c r="E1051" t="s">
        <v>3930</v>
      </c>
      <c r="G1051" s="301" t="s">
        <v>3959</v>
      </c>
      <c r="H1051" t="s">
        <v>2618</v>
      </c>
      <c r="I1051" t="s">
        <v>2618</v>
      </c>
    </row>
    <row r="1052" spans="2:9" ht="15" customHeight="1" x14ac:dyDescent="0.25">
      <c r="B1052" s="300">
        <v>46093</v>
      </c>
      <c r="C1052">
        <v>1774</v>
      </c>
      <c r="D1052" t="s">
        <v>63</v>
      </c>
      <c r="E1052" t="s">
        <v>129</v>
      </c>
      <c r="G1052" s="301" t="s">
        <v>3960</v>
      </c>
      <c r="H1052" t="s">
        <v>129</v>
      </c>
      <c r="I1052" t="s">
        <v>129</v>
      </c>
    </row>
    <row r="1053" spans="2:9" ht="15" customHeight="1" x14ac:dyDescent="0.25">
      <c r="B1053" s="300">
        <v>46094</v>
      </c>
      <c r="C1053">
        <v>1775</v>
      </c>
      <c r="D1053" t="s">
        <v>3192</v>
      </c>
      <c r="E1053">
        <v>261000188</v>
      </c>
      <c r="G1053" s="301" t="s">
        <v>3961</v>
      </c>
      <c r="H1053" t="s">
        <v>2292</v>
      </c>
      <c r="I1053">
        <v>1</v>
      </c>
    </row>
    <row r="1054" spans="2:9" ht="15" customHeight="1" x14ac:dyDescent="0.25">
      <c r="B1054" s="300">
        <v>46094</v>
      </c>
      <c r="C1054">
        <v>1776</v>
      </c>
      <c r="D1054" t="s">
        <v>3192</v>
      </c>
      <c r="E1054">
        <v>161000187</v>
      </c>
      <c r="G1054" s="301" t="s">
        <v>3962</v>
      </c>
      <c r="H1054" t="s">
        <v>2292</v>
      </c>
      <c r="I1054">
        <v>1</v>
      </c>
    </row>
    <row r="1055" spans="2:9" ht="15" customHeight="1" x14ac:dyDescent="0.25">
      <c r="B1055" s="300">
        <v>46094</v>
      </c>
      <c r="C1055">
        <v>1777</v>
      </c>
      <c r="D1055" t="s">
        <v>66</v>
      </c>
      <c r="E1055" t="s">
        <v>3963</v>
      </c>
      <c r="G1055" s="301" t="s">
        <v>3964</v>
      </c>
      <c r="H1055" t="s">
        <v>2292</v>
      </c>
      <c r="I1055">
        <v>1</v>
      </c>
    </row>
    <row r="1056" spans="2:9" ht="15" customHeight="1" x14ac:dyDescent="0.25">
      <c r="B1056" s="300">
        <v>46094</v>
      </c>
      <c r="C1056">
        <v>1778</v>
      </c>
      <c r="D1056" t="s">
        <v>2298</v>
      </c>
      <c r="E1056" t="s">
        <v>3925</v>
      </c>
      <c r="G1056" s="301" t="s">
        <v>3966</v>
      </c>
      <c r="H1056" t="s">
        <v>3965</v>
      </c>
      <c r="I1056" t="s">
        <v>3965</v>
      </c>
    </row>
    <row r="1057" spans="2:9" ht="15" customHeight="1" x14ac:dyDescent="0.25">
      <c r="B1057" s="300">
        <v>46094</v>
      </c>
      <c r="C1057">
        <v>1779</v>
      </c>
      <c r="D1057" t="s">
        <v>2298</v>
      </c>
      <c r="E1057" t="s">
        <v>3934</v>
      </c>
      <c r="G1057" s="301" t="s">
        <v>3968</v>
      </c>
      <c r="H1057" t="s">
        <v>3967</v>
      </c>
      <c r="I1057" t="s">
        <v>3967</v>
      </c>
    </row>
    <row r="1058" spans="2:9" ht="15" customHeight="1" x14ac:dyDescent="0.25">
      <c r="B1058" s="300">
        <v>46095</v>
      </c>
      <c r="C1058">
        <v>1780</v>
      </c>
      <c r="D1058" t="s">
        <v>63</v>
      </c>
      <c r="E1058" t="s">
        <v>129</v>
      </c>
      <c r="G1058" s="301" t="s">
        <v>3969</v>
      </c>
      <c r="H1058" t="s">
        <v>129</v>
      </c>
      <c r="I1058" t="s">
        <v>129</v>
      </c>
    </row>
    <row r="1059" spans="2:9" ht="15" customHeight="1" x14ac:dyDescent="0.25">
      <c r="B1059" s="300">
        <v>46097</v>
      </c>
      <c r="C1059">
        <v>1781</v>
      </c>
      <c r="D1059" t="s">
        <v>63</v>
      </c>
      <c r="E1059" t="s">
        <v>3970</v>
      </c>
      <c r="G1059" s="301" t="s">
        <v>3971</v>
      </c>
      <c r="H1059" t="s">
        <v>2306</v>
      </c>
      <c r="I1059">
        <v>7</v>
      </c>
    </row>
    <row r="1060" spans="2:9" ht="15" customHeight="1" x14ac:dyDescent="0.25">
      <c r="B1060" s="300">
        <v>46097</v>
      </c>
      <c r="C1060">
        <v>1781</v>
      </c>
      <c r="D1060" t="s">
        <v>2971</v>
      </c>
      <c r="E1060" t="s">
        <v>3970</v>
      </c>
      <c r="G1060" s="301" t="s">
        <v>3972</v>
      </c>
      <c r="H1060" t="s">
        <v>2306</v>
      </c>
      <c r="I1060">
        <v>7</v>
      </c>
    </row>
    <row r="1061" spans="2:9" ht="15" customHeight="1" x14ac:dyDescent="0.25">
      <c r="B1061" s="300">
        <v>46097</v>
      </c>
      <c r="C1061">
        <v>1782</v>
      </c>
      <c r="D1061" t="s">
        <v>4</v>
      </c>
      <c r="E1061" t="s">
        <v>3974</v>
      </c>
      <c r="G1061" s="301" t="s">
        <v>3975</v>
      </c>
      <c r="H1061" t="s">
        <v>3973</v>
      </c>
      <c r="I1061" t="s">
        <v>3973</v>
      </c>
    </row>
    <row r="1062" spans="2:9" ht="15" customHeight="1" x14ac:dyDescent="0.25">
      <c r="B1062" s="300">
        <v>46097</v>
      </c>
      <c r="C1062">
        <v>1783</v>
      </c>
      <c r="D1062" t="s">
        <v>3771</v>
      </c>
      <c r="E1062" t="s">
        <v>3976</v>
      </c>
      <c r="G1062" s="301" t="s">
        <v>3977</v>
      </c>
      <c r="H1062" t="s">
        <v>2823</v>
      </c>
      <c r="I1062" t="s">
        <v>2823</v>
      </c>
    </row>
    <row r="1063" spans="2:9" ht="15" customHeight="1" x14ac:dyDescent="0.25">
      <c r="B1063" s="300">
        <v>46097</v>
      </c>
      <c r="C1063">
        <v>1783</v>
      </c>
      <c r="D1063" t="s">
        <v>3771</v>
      </c>
      <c r="E1063" t="s">
        <v>3976</v>
      </c>
      <c r="F1063" t="s">
        <v>2230</v>
      </c>
      <c r="G1063" s="301" t="s">
        <v>3980</v>
      </c>
      <c r="H1063" t="s">
        <v>2823</v>
      </c>
      <c r="I1063" t="s">
        <v>2823</v>
      </c>
    </row>
    <row r="1064" spans="2:9" ht="15" customHeight="1" x14ac:dyDescent="0.25">
      <c r="B1064" s="300">
        <v>46097</v>
      </c>
      <c r="C1064">
        <v>1784</v>
      </c>
      <c r="D1064" t="s">
        <v>2971</v>
      </c>
      <c r="E1064" t="s">
        <v>3978</v>
      </c>
      <c r="G1064" s="301" t="s">
        <v>3979</v>
      </c>
      <c r="H1064" t="s">
        <v>2823</v>
      </c>
      <c r="I1064" t="s">
        <v>2823</v>
      </c>
    </row>
    <row r="1065" spans="2:9" ht="15" customHeight="1" x14ac:dyDescent="0.25">
      <c r="B1065" s="300">
        <v>46097</v>
      </c>
      <c r="C1065">
        <v>1785</v>
      </c>
      <c r="D1065" t="s">
        <v>2298</v>
      </c>
      <c r="E1065" t="s">
        <v>3953</v>
      </c>
      <c r="G1065" s="301" t="s">
        <v>3981</v>
      </c>
      <c r="H1065" t="s">
        <v>3637</v>
      </c>
      <c r="I1065" t="s">
        <v>3637</v>
      </c>
    </row>
    <row r="1066" spans="2:9" ht="15" customHeight="1" x14ac:dyDescent="0.25">
      <c r="B1066" s="300">
        <v>46097</v>
      </c>
      <c r="C1066">
        <v>1785</v>
      </c>
      <c r="D1066" t="s">
        <v>2298</v>
      </c>
      <c r="E1066" t="s">
        <v>3953</v>
      </c>
      <c r="G1066" s="301" t="s">
        <v>3981</v>
      </c>
      <c r="H1066" t="s">
        <v>3637</v>
      </c>
      <c r="I1066" t="s">
        <v>3637</v>
      </c>
    </row>
    <row r="1067" spans="2:9" ht="15" customHeight="1" x14ac:dyDescent="0.25">
      <c r="B1067" s="300">
        <v>46098</v>
      </c>
      <c r="C1067">
        <v>1786</v>
      </c>
      <c r="D1067" t="s">
        <v>44</v>
      </c>
      <c r="E1067">
        <v>4714048836</v>
      </c>
      <c r="G1067" s="301" t="s">
        <v>3984</v>
      </c>
      <c r="H1067" t="s">
        <v>2306</v>
      </c>
      <c r="I1067">
        <v>7</v>
      </c>
    </row>
    <row r="1068" spans="2:9" ht="15" customHeight="1" x14ac:dyDescent="0.25">
      <c r="B1068" s="300">
        <v>46098</v>
      </c>
      <c r="C1068">
        <v>1787</v>
      </c>
      <c r="D1068" t="s">
        <v>44</v>
      </c>
      <c r="E1068">
        <v>4714048831</v>
      </c>
      <c r="G1068" s="301" t="s">
        <v>3985</v>
      </c>
      <c r="H1068" t="s">
        <v>2823</v>
      </c>
      <c r="I1068" t="s">
        <v>2823</v>
      </c>
    </row>
    <row r="1069" spans="2:9" ht="15" customHeight="1" x14ac:dyDescent="0.25">
      <c r="B1069" s="300">
        <v>46098</v>
      </c>
      <c r="C1069">
        <v>1788</v>
      </c>
      <c r="D1069" t="s">
        <v>2971</v>
      </c>
      <c r="E1069" t="s">
        <v>3978</v>
      </c>
      <c r="G1069" s="301" t="s">
        <v>3986</v>
      </c>
      <c r="H1069" t="s">
        <v>3735</v>
      </c>
      <c r="I1069" t="s">
        <v>3735</v>
      </c>
    </row>
    <row r="1070" spans="2:9" ht="15" customHeight="1" x14ac:dyDescent="0.25">
      <c r="B1070" s="300">
        <v>46098</v>
      </c>
      <c r="C1070">
        <v>1789</v>
      </c>
      <c r="D1070" t="s">
        <v>2971</v>
      </c>
      <c r="E1070" t="s">
        <v>3987</v>
      </c>
      <c r="G1070" s="301" t="s">
        <v>3989</v>
      </c>
      <c r="H1070" t="s">
        <v>3988</v>
      </c>
      <c r="I1070" t="s">
        <v>3988</v>
      </c>
    </row>
    <row r="1071" spans="2:9" ht="15" customHeight="1" x14ac:dyDescent="0.25">
      <c r="B1071" s="300">
        <v>46098</v>
      </c>
      <c r="C1071">
        <v>1790</v>
      </c>
      <c r="D1071" t="s">
        <v>160</v>
      </c>
      <c r="E1071" t="s">
        <v>3990</v>
      </c>
      <c r="G1071" s="301" t="s">
        <v>3991</v>
      </c>
      <c r="H1071" t="s">
        <v>2306</v>
      </c>
      <c r="I1071">
        <v>7</v>
      </c>
    </row>
    <row r="1072" spans="2:9" ht="15" customHeight="1" x14ac:dyDescent="0.25">
      <c r="B1072" s="300">
        <v>46099</v>
      </c>
      <c r="C1072">
        <v>1791</v>
      </c>
      <c r="D1072" t="s">
        <v>2971</v>
      </c>
      <c r="E1072" t="s">
        <v>3987</v>
      </c>
      <c r="G1072" s="301" t="s">
        <v>3993</v>
      </c>
      <c r="H1072" t="s">
        <v>3992</v>
      </c>
      <c r="I1072" t="s">
        <v>3992</v>
      </c>
    </row>
    <row r="1073" spans="2:9" ht="15" customHeight="1" x14ac:dyDescent="0.25">
      <c r="B1073" s="300">
        <v>46099</v>
      </c>
      <c r="C1073">
        <v>1792</v>
      </c>
      <c r="D1073" t="s">
        <v>2971</v>
      </c>
      <c r="E1073" t="s">
        <v>3987</v>
      </c>
      <c r="G1073" s="301" t="s">
        <v>3995</v>
      </c>
      <c r="H1073" t="s">
        <v>3994</v>
      </c>
      <c r="I1073" t="s">
        <v>3994</v>
      </c>
    </row>
    <row r="1074" spans="2:9" ht="15" customHeight="1" x14ac:dyDescent="0.25">
      <c r="B1074" s="300">
        <v>46099</v>
      </c>
      <c r="C1074">
        <v>1793</v>
      </c>
      <c r="D1074" t="s">
        <v>2971</v>
      </c>
      <c r="E1074" t="s">
        <v>3996</v>
      </c>
      <c r="G1074" s="301" t="s">
        <v>3997</v>
      </c>
      <c r="H1074" t="s">
        <v>2306</v>
      </c>
      <c r="I1074">
        <v>7</v>
      </c>
    </row>
    <row r="1075" spans="2:9" ht="15" customHeight="1" x14ac:dyDescent="0.25">
      <c r="B1075" s="300">
        <v>46091</v>
      </c>
      <c r="C1075">
        <v>1761</v>
      </c>
      <c r="D1075" t="s">
        <v>66</v>
      </c>
      <c r="E1075" t="s">
        <v>3896</v>
      </c>
      <c r="G1075" s="301" t="s">
        <v>3998</v>
      </c>
      <c r="H1075" t="s">
        <v>3046</v>
      </c>
      <c r="I1075" t="s">
        <v>3046</v>
      </c>
    </row>
    <row r="1076" spans="2:9" ht="15" customHeight="1" x14ac:dyDescent="0.25">
      <c r="B1076" s="300">
        <v>46102</v>
      </c>
      <c r="C1076">
        <v>1794</v>
      </c>
      <c r="D1076" t="s">
        <v>3999</v>
      </c>
      <c r="E1076" t="s">
        <v>53</v>
      </c>
      <c r="G1076" s="301" t="s">
        <v>4002</v>
      </c>
    </row>
    <row r="1077" spans="2:9" ht="15" customHeight="1" x14ac:dyDescent="0.25">
      <c r="B1077" s="300">
        <v>46107</v>
      </c>
      <c r="C1077">
        <v>1795</v>
      </c>
      <c r="D1077" t="s">
        <v>63</v>
      </c>
      <c r="E1077" t="s">
        <v>3901</v>
      </c>
      <c r="G1077" s="301" t="s">
        <v>4005</v>
      </c>
      <c r="H1077" t="s">
        <v>4004</v>
      </c>
      <c r="I1077" t="s">
        <v>4004</v>
      </c>
    </row>
    <row r="1078" spans="2:9" ht="15" customHeight="1" x14ac:dyDescent="0.25">
      <c r="B1078" s="300">
        <v>46107</v>
      </c>
      <c r="C1078">
        <v>1796</v>
      </c>
      <c r="D1078" t="s">
        <v>63</v>
      </c>
      <c r="E1078" t="s">
        <v>3951</v>
      </c>
      <c r="G1078" s="301" t="s">
        <v>4007</v>
      </c>
      <c r="H1078" t="s">
        <v>3923</v>
      </c>
      <c r="I1078" t="s">
        <v>3923</v>
      </c>
    </row>
  </sheetData>
  <conditionalFormatting sqref="D4">
    <cfRule type="duplicateValues" dxfId="36" priority="2"/>
  </conditionalFormatting>
  <conditionalFormatting sqref="A2:J1078">
    <cfRule type="duplicateValues" dxfId="35" priority="55"/>
  </conditionalFormatting>
  <hyperlinks>
    <hyperlink ref="G2" r:id="rId1" xr:uid="{00000000-0004-0000-0100-000000000000}"/>
    <hyperlink ref="G3" r:id="rId2" xr:uid="{00000000-0004-0000-0100-000001000000}"/>
    <hyperlink ref="G4" r:id="rId3" xr:uid="{00000000-0004-0000-0100-000002000000}"/>
    <hyperlink ref="G5" r:id="rId4" xr:uid="{00000000-0004-0000-0100-000003000000}"/>
    <hyperlink ref="G6" r:id="rId5" xr:uid="{00000000-0004-0000-0100-000004000000}"/>
    <hyperlink ref="G7" r:id="rId6" xr:uid="{00000000-0004-0000-0100-000005000000}"/>
    <hyperlink ref="G8" r:id="rId7" xr:uid="{00000000-0004-0000-0100-000006000000}"/>
    <hyperlink ref="G9" r:id="rId8" xr:uid="{00000000-0004-0000-0100-000007000000}"/>
    <hyperlink ref="G10" r:id="rId9" xr:uid="{00000000-0004-0000-0100-000008000000}"/>
    <hyperlink ref="G11" r:id="rId10" xr:uid="{00000000-0004-0000-0100-000009000000}"/>
    <hyperlink ref="G12" r:id="rId11" xr:uid="{00000000-0004-0000-0100-00000A000000}"/>
    <hyperlink ref="G13" r:id="rId12" xr:uid="{00000000-0004-0000-0100-00000B000000}"/>
    <hyperlink ref="G14" r:id="rId13" xr:uid="{00000000-0004-0000-0100-00000C000000}"/>
    <hyperlink ref="G15" r:id="rId14" xr:uid="{00000000-0004-0000-0100-00000D000000}"/>
    <hyperlink ref="G16" r:id="rId15" xr:uid="{00000000-0004-0000-0100-00000E000000}"/>
    <hyperlink ref="G17" r:id="rId16" xr:uid="{00000000-0004-0000-0100-00000F000000}"/>
    <hyperlink ref="G18" r:id="rId17" xr:uid="{00000000-0004-0000-0100-000010000000}"/>
    <hyperlink ref="G19" r:id="rId18" xr:uid="{00000000-0004-0000-0100-000011000000}"/>
    <hyperlink ref="G20" r:id="rId19" xr:uid="{00000000-0004-0000-0100-000012000000}"/>
    <hyperlink ref="G21" r:id="rId20" xr:uid="{00000000-0004-0000-0100-000013000000}"/>
    <hyperlink ref="G22" r:id="rId21" xr:uid="{00000000-0004-0000-0100-000014000000}"/>
    <hyperlink ref="G23" r:id="rId22" xr:uid="{00000000-0004-0000-0100-000015000000}"/>
    <hyperlink ref="G24" r:id="rId23" xr:uid="{00000000-0004-0000-0100-000016000000}"/>
    <hyperlink ref="G25" r:id="rId24" xr:uid="{00000000-0004-0000-0100-000017000000}"/>
    <hyperlink ref="G26" r:id="rId25" xr:uid="{00000000-0004-0000-0100-000018000000}"/>
    <hyperlink ref="G27" r:id="rId26" xr:uid="{00000000-0004-0000-0100-000019000000}"/>
    <hyperlink ref="G28" r:id="rId27" xr:uid="{00000000-0004-0000-0100-00001A000000}"/>
    <hyperlink ref="G29" r:id="rId28" xr:uid="{00000000-0004-0000-0100-00001B000000}"/>
    <hyperlink ref="G30" r:id="rId29" xr:uid="{00000000-0004-0000-0100-00001C000000}"/>
    <hyperlink ref="G31" r:id="rId30" xr:uid="{00000000-0004-0000-0100-00001D000000}"/>
    <hyperlink ref="G32" r:id="rId31" xr:uid="{00000000-0004-0000-0100-00001E000000}"/>
    <hyperlink ref="G33" r:id="rId32" xr:uid="{00000000-0004-0000-0100-00001F000000}"/>
    <hyperlink ref="G34" r:id="rId33" xr:uid="{00000000-0004-0000-0100-000020000000}"/>
    <hyperlink ref="G35" r:id="rId34" xr:uid="{00000000-0004-0000-0100-000021000000}"/>
    <hyperlink ref="G36" r:id="rId35" xr:uid="{00000000-0004-0000-0100-000022000000}"/>
    <hyperlink ref="G37" r:id="rId36" xr:uid="{00000000-0004-0000-0100-000023000000}"/>
    <hyperlink ref="G38" r:id="rId37" xr:uid="{00000000-0004-0000-0100-000024000000}"/>
    <hyperlink ref="G39" r:id="rId38" xr:uid="{00000000-0004-0000-0100-000025000000}"/>
    <hyperlink ref="G40" r:id="rId39" xr:uid="{00000000-0004-0000-0100-000026000000}"/>
    <hyperlink ref="G41" r:id="rId40" xr:uid="{00000000-0004-0000-0100-000027000000}"/>
    <hyperlink ref="G42" r:id="rId41" xr:uid="{00000000-0004-0000-0100-000028000000}"/>
    <hyperlink ref="G43" r:id="rId42" xr:uid="{00000000-0004-0000-0100-000029000000}"/>
    <hyperlink ref="G44" r:id="rId43" xr:uid="{00000000-0004-0000-0100-00002A000000}"/>
    <hyperlink ref="G45" r:id="rId44" xr:uid="{00000000-0004-0000-0100-00002B000000}"/>
    <hyperlink ref="G46" r:id="rId45" xr:uid="{00000000-0004-0000-0100-00002C000000}"/>
    <hyperlink ref="G47" r:id="rId46" xr:uid="{00000000-0004-0000-0100-00002D000000}"/>
    <hyperlink ref="G48" r:id="rId47" xr:uid="{00000000-0004-0000-0100-00002E000000}"/>
    <hyperlink ref="G49" r:id="rId48" xr:uid="{00000000-0004-0000-0100-00002F000000}"/>
    <hyperlink ref="G50" r:id="rId49" xr:uid="{00000000-0004-0000-0100-000030000000}"/>
    <hyperlink ref="G51" r:id="rId50" xr:uid="{00000000-0004-0000-0100-000031000000}"/>
    <hyperlink ref="G52" r:id="rId51" xr:uid="{00000000-0004-0000-0100-000032000000}"/>
    <hyperlink ref="G53" r:id="rId52" xr:uid="{00000000-0004-0000-0100-000033000000}"/>
    <hyperlink ref="G54" r:id="rId53" xr:uid="{00000000-0004-0000-0100-000034000000}"/>
    <hyperlink ref="G55" r:id="rId54" xr:uid="{00000000-0004-0000-0100-000035000000}"/>
    <hyperlink ref="G56" r:id="rId55" xr:uid="{00000000-0004-0000-0100-000036000000}"/>
    <hyperlink ref="G57" r:id="rId56" xr:uid="{00000000-0004-0000-0100-000037000000}"/>
    <hyperlink ref="G58" r:id="rId57" xr:uid="{00000000-0004-0000-0100-000038000000}"/>
    <hyperlink ref="G59" r:id="rId58" xr:uid="{00000000-0004-0000-0100-000039000000}"/>
    <hyperlink ref="G60" r:id="rId59" xr:uid="{00000000-0004-0000-0100-00003A000000}"/>
    <hyperlink ref="G61" r:id="rId60" xr:uid="{00000000-0004-0000-0100-00003B000000}"/>
    <hyperlink ref="G62" r:id="rId61" xr:uid="{00000000-0004-0000-0100-00003C000000}"/>
    <hyperlink ref="G63" r:id="rId62" xr:uid="{00000000-0004-0000-0100-00003D000000}"/>
    <hyperlink ref="G64" r:id="rId63" xr:uid="{00000000-0004-0000-0100-00003E000000}"/>
    <hyperlink ref="G65" r:id="rId64" xr:uid="{00000000-0004-0000-0100-00003F000000}"/>
    <hyperlink ref="G66" r:id="rId65" xr:uid="{00000000-0004-0000-0100-000040000000}"/>
    <hyperlink ref="G67" r:id="rId66" xr:uid="{00000000-0004-0000-0100-000041000000}"/>
    <hyperlink ref="G68" r:id="rId67" xr:uid="{00000000-0004-0000-0100-000042000000}"/>
    <hyperlink ref="G69" r:id="rId68" xr:uid="{00000000-0004-0000-0100-000043000000}"/>
    <hyperlink ref="G70" r:id="rId69" xr:uid="{00000000-0004-0000-0100-000044000000}"/>
    <hyperlink ref="G71" r:id="rId70" xr:uid="{00000000-0004-0000-0100-000045000000}"/>
    <hyperlink ref="G72" r:id="rId71" xr:uid="{00000000-0004-0000-0100-000046000000}"/>
    <hyperlink ref="G73" r:id="rId72" xr:uid="{00000000-0004-0000-0100-000047000000}"/>
    <hyperlink ref="G74" r:id="rId73" xr:uid="{00000000-0004-0000-0100-000048000000}"/>
    <hyperlink ref="G75" r:id="rId74" xr:uid="{00000000-0004-0000-0100-000049000000}"/>
    <hyperlink ref="G76" r:id="rId75" xr:uid="{00000000-0004-0000-0100-00004A000000}"/>
    <hyperlink ref="G77" r:id="rId76" xr:uid="{00000000-0004-0000-0100-00004B000000}"/>
    <hyperlink ref="G78" r:id="rId77" xr:uid="{00000000-0004-0000-0100-00004C000000}"/>
    <hyperlink ref="G103" r:id="rId78" xr:uid="{0A7B1CC9-E035-45C5-98B0-6E8061C155BE}"/>
    <hyperlink ref="G104" r:id="rId79" xr:uid="{E308A8E4-A3F2-4B00-BE87-C0392029D996}"/>
    <hyperlink ref="G105" r:id="rId80" display="../PT. Pacific Palmindo Industri/DO INV/PT. PPI DO 898 (PO  4714042954) .xlsm" xr:uid="{329D6882-E3F0-4658-9932-B0D6250EB485}"/>
    <hyperlink ref="G106" r:id="rId81" display="../PT. Able Commodities Indonesia/DO INV/PT. ABLE DO 899 (PO  24900689) .xlsm" xr:uid="{D41A78DC-479D-4744-8C63-D1FA33D116E9}"/>
    <hyperlink ref="G107" r:id="rId82" display="../PT. KIP/DO INV/PT. KIP DO 900 (PO  24 00514) .xlsm" xr:uid="{1A1E5608-B260-4379-ACCC-D297DE3EF210}"/>
    <hyperlink ref="G102" r:id="rId83" xr:uid="{EC9CC1AB-99B9-42AA-A654-4435CAB83FEE}"/>
    <hyperlink ref="G108" r:id="rId84" display="../PT. Agro Murni/DO INV/PT. AGRO M DO 901 (PO  24 00546) REV 1 .xlsm" xr:uid="{0E502346-7E65-41A2-87EC-1C942C9EDFBF}"/>
    <hyperlink ref="G110" r:id="rId85" display="../PT. Agro Murni/DO INV/PT. AGRO M DO 903 (PO  24 00614) .xlsm" xr:uid="{B47465AE-D3D9-40A9-8426-93EBAC655082}"/>
    <hyperlink ref="G109" r:id="rId86" display="../PT. Agro Murni/DO INV/PT. AGRO M DO 902 (PO  24 00683) .xlsm" xr:uid="{00E6305E-61D6-4B6A-9B42-8A1387E6CBA5}"/>
    <hyperlink ref="G111" r:id="rId87" display="../PT. Agro Murni/DO INV/PT. AGRO M DO 904 (PO  24 00577) .xlsm" xr:uid="{E8FAE4EF-CB87-437E-A8DF-A2A9AA44FD6D}"/>
    <hyperlink ref="G112" r:id="rId88" display="../PT. KIP/DO INV/PT. KIP DO 905 (PO  0) .xlsm" xr:uid="{1425C3DF-9EAF-4239-A049-26B29C6954B5}"/>
    <hyperlink ref="G113" r:id="rId89" display="../PT. KIP/DO INV/ DO 906 (PO  ) .xlsm" xr:uid="{68043247-AB3A-4701-9A20-E0AFD5B02F3B}"/>
    <hyperlink ref="G114" r:id="rId90" display="../PT. Agro Murni/DO INV/PT. AGRO M DO 907 (PO  24 00614) .xlsm" xr:uid="{2F5338C3-6090-4B7A-8A03-DD0986042BC2}"/>
    <hyperlink ref="G115" r:id="rId91" display="../PT. Agro Murni/DO INV/PT. AGRO M DO 908 (PO  24 00546) .xlsm" xr:uid="{DB395C9B-A209-4CED-8627-38CA9C3B59D8}"/>
    <hyperlink ref="G116" r:id="rId92" display="../PT. KIP/DO INV/PT. KIP DO 909 (PO  24 00496) .xlsm" xr:uid="{31144102-7AED-4DC7-A8FF-85C62A419AC1}"/>
    <hyperlink ref="G117" r:id="rId93" display="../PT. KIP/DO INV/PT. KIP DO 910 (PO  24 00522) .xlsm" xr:uid="{BCB05CE0-6E5C-4E3E-BDD1-E9CAE653D804}"/>
    <hyperlink ref="G118" r:id="rId94" display="../PT. Simpang Kanan Lestarindo/DO INV/PT. SKL DO 911 (PO  24 00563) .xlsm" xr:uid="{371A221F-141B-4AC7-8062-E774C373F84B}"/>
    <hyperlink ref="G119" r:id="rId95" display="../PT. Able Commodities Indonesia/DO INV/PT. ABLE DO 912 (PO  24900303) .xlsm" xr:uid="{0C4AFA07-C4E9-48C8-BFB4-F44AA1E9DE0B}"/>
    <hyperlink ref="G120" r:id="rId96" display="../PT. Simpang Kanan Lestarindo/DO INV/PT. SKL DO 913 (PO  24 00606) .xlsm" xr:uid="{2A56457E-C985-499B-BBB4-EE5D27C17424}"/>
    <hyperlink ref="G121" r:id="rId97" display="../PT. Simpang Kanan Lestarindo/DO INV/PT. SKL DO 914 (PO  24 00595) .xlsm" xr:uid="{BF770EA8-6106-4A2C-BEBF-E6CB14E3A89D}"/>
    <hyperlink ref="G122" r:id="rId98" display="../PT. Agro Murni/DO INV/PT. AGRO M DO 915 (PO  24 00690) .xlsm" xr:uid="{19203639-355F-435F-B7D3-0148D5871D61}"/>
    <hyperlink ref="G123" r:id="rId99" display="../PT. Agro Murni/DO INV/PT. AGRO M DO 916 (PO  24 00572) .xlsm" xr:uid="{BAAAC65F-5C7C-4F0E-8D04-958A9FDCC0DD}"/>
    <hyperlink ref="G124" r:id="rId100" display="../PT. Agro Murni/DO INV/PT. AGRO M DO 917 (PO  24 00572) .xlsm" xr:uid="{8A101DB5-B9FB-400B-9402-EB459A6342B8}"/>
    <hyperlink ref="G125" r:id="rId101" display="../PT. Able Commodities Indonesia/DO INV/PT. ABLE DO 918 (PO  24900693) .xlsm" xr:uid="{86E77AE2-81DD-446A-853D-B380F09E8C35}"/>
    <hyperlink ref="G126" r:id="rId102" display="../PT. Able Commodities Indonesia/DO INV/PT. ABLE DO 919 (PO  24900697) .xlsm" xr:uid="{1F56A3D1-EE06-447E-AE7F-67A17C5A3978}"/>
    <hyperlink ref="G127" r:id="rId103" display="../PT. Able Commodities Indonesia/DO INV/PT. ABLE DO 920 (PO  24900690) .xlsm" xr:uid="{CB958A10-A855-4539-8B64-4A0A95191E1A}"/>
    <hyperlink ref="G128" r:id="rId104" display="../PT. Able Commodities Indonesia/DO INV/PT. ABLE DO 921 (PO  24900690) n1 01.xlsm" xr:uid="{A17AD298-A376-44F4-BEB5-71372FAD6F02}"/>
    <hyperlink ref="G129" r:id="rId105" display="../PT. Simpang Kanan Lestarindo/DO INV/PT. SKL DO 922 (PO  24 00625) .xlsm" xr:uid="{0404F5C6-C8C6-4957-8D4C-0DA2BD976F3C}"/>
    <hyperlink ref="G130" r:id="rId106" display="../PT. Simpang Kanan Lestarindo/DO INV/PT. SKL DO 923 (PO  24 00528) .xlsm" xr:uid="{04CFB4F8-3E98-4E46-8390-C902842A1850}"/>
    <hyperlink ref="G131" r:id="rId107" display="../PT. Simpang Kanan Lestarindo/DO INV/PT. SKL DO 924 (PO  24 00643) .xlsm" xr:uid="{A358C382-0985-48AC-B3B0-B246D4E81B15}"/>
    <hyperlink ref="G132" r:id="rId108" display="../PT. Simpang Kanan Lestarindo/DO INV/ DO 925 (PO  ) .xlsm" xr:uid="{F8FC1CC0-AF20-4ED3-855C-494F2BB16BBF}"/>
    <hyperlink ref="G133" r:id="rId109" display="../PT. Simpang Kanan Lestarindo/DO INV/PT. SKL DO 926 (PO  24 00644) .xlsm" xr:uid="{40A9715D-E41B-4F6A-9195-380E80CACD62}"/>
    <hyperlink ref="G134" r:id="rId110" display="../PT. Pacific Palmindo Industri/DO INV/PT. PPI DO 927 (PO  4714043184) .xlsm" xr:uid="{A4734157-CC85-4D83-AFAC-820D20DD2A96}"/>
    <hyperlink ref="G135" r:id="rId111" display="../PT. Able Commodities Indonesia/DO INV/PT. ABLE DO 928 (PO  24900727) .xlsm" xr:uid="{FC18ADB3-06BB-4D2C-9B44-2DC7396CCB82}"/>
    <hyperlink ref="G136" r:id="rId112" display="../PT. Pacific Palmindo Industri/DO INV/PT. PPI DO 929 (PO  4714043236) 01.xlsm" xr:uid="{82C42EFB-D3F0-4364-B743-B46064E81880}"/>
    <hyperlink ref="G137" r:id="rId113" display="../PT. Pacific Palmindo Industri/DO INV/PT. PPI DO 930 (PO  4714043221) 01.xlsm" xr:uid="{82B4D7C3-802B-4903-9298-778F8186F8EC}"/>
    <hyperlink ref="G138" r:id="rId114" display="../PT. Pacific Palmindo Industri/DO INV/PT. PPI DO 931 (PO  4714043221) 01.xlsm" xr:uid="{0AC28E22-1B1A-49C4-9247-0E037B7C7122}"/>
    <hyperlink ref="G139" r:id="rId115" display="../PT. SJIO DUMAI/DO INV/PT. SJIO DO 933 (PO  256) 01.xlsm" xr:uid="{B37C0FD1-F3BB-4CD0-9158-01D8B2934279}"/>
    <hyperlink ref="G140" r:id="rId116" display="../PT. KJA/DO INV/PT. KJA DO 934 (PO  24000403) 07.xlsm" xr:uid="{FBB63EE9-5584-4E11-AA69-BE050572A27B}"/>
    <hyperlink ref="G141" r:id="rId117" display="../PT. Pacific Palmindo Industri/DO INV/PT. PPI DO 935 (PO  4714043225) 01.xlsm" xr:uid="{F61290B6-65CF-48A9-BBC4-8E7B3F7C78F2}"/>
    <hyperlink ref="G142" r:id="rId118" display="../PT. Pacific Palmindo Industri/DO INV/PT. PPI DO 936 (PO  4714043340) 07.xlsm" xr:uid="{D821861E-65F6-4D60-8775-B99D7D051D30}"/>
    <hyperlink ref="G143" r:id="rId119" display="../PT. SWP/DO INV/PT. SWP DO 937 (PO  4000237275) 07.xlsm" xr:uid="{9E97A25B-2AC0-429D-B2E6-270186081387}"/>
    <hyperlink ref="G144" r:id="rId120" display="../PT. Pacific Palmindo Industri/DO INV/PT. PPI DO 938 (PO  4714043225) 01.xlsm" xr:uid="{336D3AE2-1EBC-4C5D-A125-01CCEA79C456}"/>
    <hyperlink ref="G145" r:id="rId121" display="../PT. Pacific Palmindo Industri/DO INV/ DO 939 (PO  ) 01.xlsm" xr:uid="{E75C5989-A9C1-48C5-9626-C7B2B316C064}"/>
    <hyperlink ref="G146" r:id="rId122" display="../PT. Pacific Palmindo Industri/DO INV/PT. PPI DO 940 (PO  4714043369) 07.xlsm" xr:uid="{96817580-058D-4F21-B613-F4A2700480E7}"/>
    <hyperlink ref="G147" r:id="rId123" display="../PT. Pacific Palmindo Industri/DO INV/PT. PPI DO 941 (PO  4714043340) 07.xlsm" xr:uid="{BA38A9B0-17A8-45A5-9D6E-311DA0316575}"/>
    <hyperlink ref="G148" r:id="rId124" display="../PT. Agro Murni/DO INV/PT. AGRO M DO 942 (PO  24 00639) .xlsm" xr:uid="{3191D6EE-F2B4-45E4-882B-971C871D6C98}"/>
    <hyperlink ref="G149" r:id="rId125" display="../PT. SWP/DO INV/PT. SWP DO 943 (PO  4000235459) .xlsm" xr:uid="{C53E1A51-C61B-43F6-9209-56FAC70A4978}"/>
    <hyperlink ref="G150" r:id="rId126" display="../PT. Pacific Palmindo Industri/DO INV/PT. PPI DO 944 (PO  4714043436) 01.xlsm" xr:uid="{805351AB-601F-4388-8C7D-28A1F99DCD70}"/>
    <hyperlink ref="G151" r:id="rId127" display="../PT. Pacific Palmindo Industri/DO INV/PT. PPI DO 945 (PO  4714043520) 07.xlsm" xr:uid="{1FF58B60-DF3D-43F7-905C-41E1C3AFC7A0}"/>
    <hyperlink ref="G152" r:id="rId128" xr:uid="{F4A44DFE-4C72-460E-AE94-E236B7C52DDC}"/>
    <hyperlink ref="G154" r:id="rId129" display="../PT. Pacific Palmindo Industri/DO INV/PT. PPI DO 948 (PO  4714043501) 01.xlsm" xr:uid="{1016C798-532B-43AF-B11D-8F175FFAADF5}"/>
    <hyperlink ref="G155" r:id="rId130" display="../PT. Pacific Palmindo Industri/DO INV/PT. PPI DO 949 (PO  4714043584) 01.xlsm" xr:uid="{EEF95BD4-8B41-4C9B-8181-196E6B478FEF}"/>
    <hyperlink ref="G156" r:id="rId131" display="../PT. Pacific Palmindo Industri/DO INV/PT. PPI DO 950 (PO  4714043586) 01.xlsm" xr:uid="{6FA58286-FEED-4FDD-8AB9-D284B6790083}"/>
    <hyperlink ref="G157" r:id="rId132" display="../PT. Pacific Palmindo Industri/DO INV/PT. PPI DO 951 (PO  4714043586) 01.xlsm" xr:uid="{0E2C96CA-58E5-4F7B-8321-8EEFB00A3A55}"/>
    <hyperlink ref="G160" r:id="rId133" display="../PT. Pacific Palmindo Industri/DO INV/PT. PPI DO 953 (PO  4714043612) 01.xlsm" xr:uid="{B821B2DD-E6E1-47EE-97F2-572C448BB105}"/>
    <hyperlink ref="G158" r:id="rId134" display="../PT. Pacific Palmindo Industri/DO INV/PT. PPI DO 952 (PO  4714043657) 01.xlsm" xr:uid="{950C759A-F524-46F3-B162-496ADCFD90E0}"/>
    <hyperlink ref="G161" r:id="rId135" display="../PT. Pacific Palmindo Industri/DO INV/PT. PPI DO 954 (PO  4714043636) 07.xlsm" xr:uid="{9CB5FD9D-455C-42DD-8740-DB4FCB7B2EDE}"/>
    <hyperlink ref="G162" r:id="rId136" display="../PT. SJIO DUMAI/DO INV/PT. SJIO DO 955 (PO  269) 07.xlsm" xr:uid="{E8B8CC54-0BB7-4226-8A99-8EDE393FB85E}"/>
    <hyperlink ref="G163" r:id="rId137" display="../PT. RAILINK CABANG MEDAN/DO INV/PT. RAILINK CABANG MEDAN DO 956 (PO   ) .xlsm" xr:uid="{F6FD8EEC-41DD-4B80-8E1E-98D8F29A955F}"/>
    <hyperlink ref="G164" r:id="rId138" display="../PT. SWP/DO INV/PT. SWP DO 957 (PO  4000242869) 07.xlsm" xr:uid="{6E71C140-6985-4337-A300-50233523DE0F}"/>
    <hyperlink ref="G165" r:id="rId139" display="../PT. Pacific Palmindo Industri/DO INV/PT. PPI DO 958 (PO  4714043691) 07.xlsm" xr:uid="{5601CB3C-EE9A-4E79-9838-FE0EA3174ADF}"/>
    <hyperlink ref="G166" r:id="rId140" display="../PT. Pacific Palmindo Industri/DO INV/PT. PPI DO 959 (PO  4714043733) 01.xlsm" xr:uid="{B0667315-1883-49B3-A112-604E0D0B23F0}"/>
    <hyperlink ref="G159" r:id="rId141" display="../PT. Pacific Palmindo Industri/DO INV/PT. PPI DO 952 (PO  4714043657) REV 1 01.xlsm" xr:uid="{1A32DC7A-60C6-4450-A2AA-E68049A49BEE}"/>
    <hyperlink ref="G167" r:id="rId142" display="../PT. Pacific Palmindo Industri/DO INV/PT. PPI DO 960 (PO  4714043798) 01.xlsm" xr:uid="{36504617-B402-4B4D-83E0-3575A7793FD2}"/>
    <hyperlink ref="G168" r:id="rId143" display="../PT. SWP/DO INV/PT. SWP DO 961 (PO  4000241631) 07.xlsm" xr:uid="{8F0A4F06-9DB1-461A-BF7D-25F0EDCEDB83}"/>
    <hyperlink ref="G169" r:id="rId144" display="../PT. Pacific Palmindo Industri/DO INV/PT. PPI DO 962 (PO  4714043838) 01.xlsm" xr:uid="{DB9D0CCB-334D-4F63-B5F2-C636A2CFF71D}"/>
    <hyperlink ref="G170" r:id="rId145" display="../PT. RAILINK CABANG MEDAN/DO INV/PT. RAILINK CABANG MEDAN DO 963 (PO   ) .xlsm" xr:uid="{DCE16DB8-B5DC-48BB-A729-EFC124D97A9B}"/>
    <hyperlink ref="G171" r:id="rId146" display="../PT. Agro Murni/DO INV/PT. AGRO M DO 964 (PO  24 00503) .xlsm" xr:uid="{F628850A-21D3-433E-A648-0F10F79E2639}"/>
    <hyperlink ref="G172" r:id="rId147" display="../PT. SWP/DO INV/PT. SWP DO 965 (PO  4000244354) 01.xlsm" xr:uid="{C804D10B-129F-48CB-891D-E421EE37F6F1}"/>
    <hyperlink ref="G173" r:id="rId148" display="../PT. Pacific Palmindo Industri/DO INV/PT. PPI DO 966 (PO  4714043908) 01.xlsm" xr:uid="{FF856BD5-1386-4F6D-859F-47B2C9FD8A6D}"/>
    <hyperlink ref="G174" r:id="rId149" display="../PT. SJIO DUMAI/DO INV/PT. SJIO DO 967 (PO  316) 01.xlsm" xr:uid="{A3146339-BF12-40C3-A300-1AB5E8DCA6A0}"/>
    <hyperlink ref="G175" r:id="rId150" display="../PT. SJIO DUMAI/DO INV/PT. SJIO DO 968 (PO  056) 01.xlsm" xr:uid="{6D09B35C-D9A5-4863-8F6E-B3012A7D3D47}"/>
    <hyperlink ref="G178" r:id="rId151" display="../PT. RAILINK CABANG MEDAN/DO INV/PT. RAILINK CABANG MEDAN DO 971 (PO  0) 40 IX 2024 - LANTAI LIFTING JACK DAN PENGECETAN SPOOR KOLONG.xlsm" xr:uid="{172136F5-1F3B-4848-A00E-8824390F96F3}"/>
    <hyperlink ref="G179" r:id="rId152" display="../PT. RAILINK CABANG MEDAN/DO INV/PT. RAILINK CABANG MEDAN DO 972 (PO  0) 44 IX 2024 - PEKERJAAN PEMINDAHAN PINTU GERBANG DAN PEMBUATAN JALAN.xlsm" xr:uid="{83111C62-98AE-401A-AAE2-4B1D01C2C4C6}"/>
    <hyperlink ref="G180" r:id="rId153" display="../PT. SJIO DUMAI/DO INV/PT. SJIO DO 973 (PO   ) .xlsm" xr:uid="{989CA62B-75DF-4C72-9778-7FA8C75F2947}"/>
    <hyperlink ref="G181" r:id="rId154" display="../PT. SJIO DUMAI/DO INV/PT. SJIO DO 974 (PO  068) .xlsm" xr:uid="{CAF466C0-CEA0-4A7C-92AD-9E78762738E0}"/>
    <hyperlink ref="G182" r:id="rId155" display="../PT. SJIO DUMAI/DO INV/PT. SJIO DO 974 (PO  068) .xlsm" xr:uid="{EB7F44B8-D1A6-4467-BF67-CDD9688BF7A1}"/>
    <hyperlink ref="G183" r:id="rId156" display="../PT. SJIO DUMAI/DO INV/PT. SJIO DO 975 (PO  068) .xlsm" xr:uid="{7C618BFF-A9EB-4D51-886C-C75A6B2447A2}"/>
    <hyperlink ref="G176" r:id="rId157" display="../PT. SJIO DUMAI/DO INV/PT. SJIO DO 969 (PO  332) .xlsm" xr:uid="{FA601D98-411C-4DD8-AA9D-8CD6148A69F4}"/>
    <hyperlink ref="G184" r:id="rId158" display="../PT. SJIO DUMAI/DO INV/PT. SJIO DO 976 (PO  033) .xlsm" xr:uid="{176CDFF4-7E82-43DC-B788-221B8B925057}"/>
    <hyperlink ref="G185" r:id="rId159" display="../PT. SJIO DUMAI/DO INV/PT. SJIO DO 977 (PO  033) N1,4,5.xlsm" xr:uid="{3922BA02-6EBA-4E49-87C7-E047AA551AD6}"/>
    <hyperlink ref="G186" r:id="rId160" display="../PT. RAILINK CABANG MEDAN/DO INV/PT. RAILINK CABANG MEDAN DO 978 (PO   ) .xlsm" xr:uid="{516676F2-3B73-4678-AF57-E670E76E01DE}"/>
    <hyperlink ref="G187" r:id="rId161" display="../PT. Pacific Palmindo Industri/DO INV/PT. PPI DO 979 (PO  4714044156) 01.xlsm" xr:uid="{B660E7E7-8C30-4412-A36C-F60F1DD14E8B}"/>
    <hyperlink ref="G188" r:id="rId162" display="../PT. SJIO DUMAI/DO INV/PT. SJIO DO 980 (PO  033) 01.xlsm" xr:uid="{C3B0C231-CEEA-4933-9BB0-3256F8DD69B9}"/>
    <hyperlink ref="G189" r:id="rId163" display="../PT. SJIO DUMAI/DO INV/PT. SJIO DO 981 (PO  068) 01.xlsm" xr:uid="{2DEE227E-76F4-4ACE-A604-348A607A4EE9}"/>
    <hyperlink ref="G190" r:id="rId164" display="../PT. SJIO DUMAI/DO INV/ DO 982 (PO  ) 07.xlsm" xr:uid="{97D45C32-2BD9-44D0-A088-765175A4FE95}"/>
    <hyperlink ref="G191" r:id="rId165" display="../PT. Pacific Palmindo Industri/DO INV/PT. PPI DO 983 (PO  4714044137) 01.xlsm" xr:uid="{71DC2424-7A30-4C79-9B33-CC6BD7864DB5}"/>
    <hyperlink ref="G192" r:id="rId166" display="../PT. SJIO DUMAI/DO INV/PT. SJIO DO 984 (PO  074) 01.xlsm" xr:uid="{789D44AE-96E6-4A4D-A27A-1529C3E3D6E5}"/>
    <hyperlink ref="G193" r:id="rId167" display="../PT. SJIO DUMAI/DO INV/PT. SJIO DO 985 (PO  074) 01.xlsm" xr:uid="{42E9B812-A9FC-45A1-8FF9-22A78D21A8B6}"/>
    <hyperlink ref="G194" r:id="rId168" xr:uid="{F8BAD08A-BEB4-4E4D-AA8A-3EB69FBF87ED}"/>
    <hyperlink ref="G195" r:id="rId169" display="../PT. SJIO DUMAI/DO INV/PT. SJIO DO 987 (PO  033) .xlsm" xr:uid="{83470EF9-25D9-4424-839D-A72D603AE98C}"/>
    <hyperlink ref="G196" r:id="rId170" display="../PT. SJIO DUMAI/DO INV/PT. SJIO DO 988 (PO  033) SEMENTARA.xlsm" xr:uid="{396E3901-02D7-4355-B226-47AE3D944594}"/>
    <hyperlink ref="G197" r:id="rId171" display="../PT. SJIO DUMAI/DO INV/PT. SJIO DO 989 (PO  074) .xlsm" xr:uid="{DC72FB0F-FB55-4C7E-961A-B9844AB04C89}"/>
    <hyperlink ref="G198" r:id="rId172" display="../PT. SJIO DUMAI/DO INV/PT. SJIO DO 989 (PO  074) REV 1 .xlsm" xr:uid="{01D77B25-8460-4EFD-B6E7-71EF7E328F5C}"/>
    <hyperlink ref="G199" r:id="rId173" display="../PT. SJIO DUMAI/DO INV/PT. SJIO DO 990 (PO  074) REV 1 N6 01.xlsm" xr:uid="{2A979C20-29FA-4754-A4C2-E721C1C3CEBE}"/>
    <hyperlink ref="G200" r:id="rId174" display="../PT. Pacific Palmindo Industri/DO INV/PT. PPI DO 991 (PO  4714044234) 01.xlsm" xr:uid="{D20F9CF4-9616-4E51-BFAE-3B218F30B498}"/>
    <hyperlink ref="G201" r:id="rId175" display="../PT. SJIO DUMAI/DO INV/PT. SJIO DO 992 (PO  074) 01.xlsm" xr:uid="{78F128A8-0306-45C4-A5A8-9DCCBB25F19C}"/>
    <hyperlink ref="G202" r:id="rId176" display="../PT. Pacific Palmindo Industri/DO INV/PT. PPI DO 993 (PO  4714044309) 01.xlsm" xr:uid="{407D1719-F8D8-4847-8FB9-28139BB638FF}"/>
    <hyperlink ref="G203" r:id="rId177" display="../PT. Pacific Palmindo Industri/DO INV/ DO 994 (PO  ) 01.xlsm" xr:uid="{BE102465-0C24-4A03-95A9-E3C787404AA6}"/>
    <hyperlink ref="G204" r:id="rId178" display="../PT. SJIO DUMAI/DO INV/PT. SJIO DO 995 (PO  074) 01.xlsm" xr:uid="{B674DE3B-6704-44C7-8B1C-E96C709C1805}"/>
    <hyperlink ref="G205" r:id="rId179" display="../PT. SJIO DUMAI/DO INV/PT. SJIO DO 1000 (PO  043) 01.xlsm" xr:uid="{7B5E70A5-7877-4E7E-85BB-F77DEBAD7920}"/>
    <hyperlink ref="G206" r:id="rId180" display="../PT. Agro Murni/DO INV/PT. AGRO M DO 1001 (PO  24 00635) 01.xlsm" xr:uid="{018F9648-041B-46D5-8FBB-B776859A95F4}"/>
    <hyperlink ref="G207" r:id="rId181" display="../PT. Pacific Palmindo Industri/DO INV/PT. PPI DO 1002 (PO  4714044356) 01.xlsm" xr:uid="{EE3F3BC0-18BD-427A-9725-D1D2E622FFEB}"/>
    <hyperlink ref="G208" r:id="rId182" display="../PT. Pacific Palmindo Industri/DO INV/PT. PPI DO 1003 (PO  4714044342) 01.xlsm" xr:uid="{C0D34C04-56F7-4DDA-948F-29AE2A7AB50C}"/>
    <hyperlink ref="G210" r:id="rId183" display="../PT. SATU/DO INV/PT. SATU DO 1004 (PO 24 001) 01.xlsm" xr:uid="{0344BF6E-2548-465F-B43C-4E68539BE6F9}"/>
    <hyperlink ref="G211" r:id="rId184" display="../PT. SJIO DUMAI/DO INV/PT. SJIO DO 1005 (PO  082) 01.xlsm" xr:uid="{4BDE6F85-E65D-4E8C-99A0-A682152D4C4A}"/>
    <hyperlink ref="G212" r:id="rId185" display="../PT. Simpang Kanan Lestarindo/DO INV/PT. SKL DO 1006 (PO  24 00991) 01.xlsm" xr:uid="{0257CADA-6040-4D6D-9565-DF0D0D932DCC}"/>
    <hyperlink ref="G213" r:id="rId186" display="../PT. SJIO DUMAI/DO INV/PT. SJIO DO 1007 (PO  082) 01.xlsm" xr:uid="{9BAB279A-10C0-4991-96FA-C499D47AEF80}"/>
    <hyperlink ref="G214" r:id="rId187" display="../PT. SJIO DUMAI/DO INV/PT. SJIO DO 1008 (PO  043) 01.xlsm" xr:uid="{621D1466-79ED-4321-ADF0-51FCDB719F69}"/>
    <hyperlink ref="G215" r:id="rId188" display="../PT. SJIO DUMAI/DO INV/PT. SJIO DO 1009 (PO  053) 01.xlsm" xr:uid="{2951A815-DC14-43CC-B9CE-6A5C93A520FD}"/>
    <hyperlink ref="G216" r:id="rId189" display="../PT. SJIO DUMAI/DO INV/PT. SJIO DO 1010 (PO  050) 01.xlsm" xr:uid="{D4AA7E00-2206-4023-89B2-9DA7B8AAA290}"/>
    <hyperlink ref="G217" r:id="rId190" display="../PT. Simpang Kanan Lestarindo/DO INV/PT. SKL DO 1011 (PO  24 01017) 01.xlsm" xr:uid="{3F678290-1598-46D3-9A61-703FD54C8984}"/>
    <hyperlink ref="G218" r:id="rId191" display="../PT. SJIO DUMAI/DO INV/PT. SJIO DO 1012 (PO   ) sementara.xlsm" xr:uid="{24B7962C-AD77-4227-8EDC-724058206164}"/>
    <hyperlink ref="G219" r:id="rId192" display="../PT. SJIO DUMAI/DO INV/PT. SJIO DO 1012 (PO   ) REV 1 sementara.xlsm" xr:uid="{D2EDE8B6-FBEE-4094-9899-741068230B4A}"/>
    <hyperlink ref="G209" r:id="rId193" xr:uid="{389BA1B7-24EF-45C6-B38C-CCFDE100247D}"/>
    <hyperlink ref="G220" r:id="rId194" display="../PT. SJIO DUMAI/DO INV/PT. SJIO DO 1013 (PO  053) N1,4.xlsm" xr:uid="{1198A961-D2E9-4702-ABA5-4315E98AD46A}"/>
    <hyperlink ref="G221" r:id="rId195" display="../PT. Pacific Palmindo Industri/DO INV/PT. PPI DO 1014 (PO  4714044501) N1-4,7,8.xlsm" xr:uid="{935A7579-7983-4C6D-942A-3261C60A4248}"/>
    <hyperlink ref="G222" r:id="rId196" xr:uid="{49BE2A0C-B027-48B4-A9C8-3DA96D33F245}"/>
    <hyperlink ref="G223" r:id="rId197" display="../PT. Pacific Palmindo Industri/DO INV/PT. PPI DO 1015 (PO  4714044501) 01.xlsm" xr:uid="{AAC74951-2C00-4BD1-9655-E7D4CB0245BB}"/>
    <hyperlink ref="G224" r:id="rId198" display="../PT. Pacific Palmindo Industri/DO INV/PT. PPI DO 1015 (PO  4714044501) 01.xlsm" xr:uid="{734B3BD8-7DB6-45D8-81F7-142269812ECA}"/>
    <hyperlink ref="G225" r:id="rId199" display="../PT. SJIO DUMAI/DO INV/PT. SJIO DO 1016 (PO  087) 01 N2.xlsm" xr:uid="{3FE0D968-F407-44F7-B653-5DA25A36B36F}"/>
    <hyperlink ref="G226" r:id="rId200" display="../PT. SJIO DUMAI/DO INV/PT. SJIO DO 1017 (PO  368) 01 N1.xlsm" xr:uid="{F10E9685-D73A-4587-8279-020C5CDE48F9}"/>
    <hyperlink ref="G227" r:id="rId201" display="../PT. SJIO DUMAI/DO INV/PT. SJIO DO 1018 (PO  368) 01 N1.xlsm" xr:uid="{32861E1F-2CF9-4EDD-881A-FFB29DC21197}"/>
    <hyperlink ref="G228" r:id="rId202" display="../PT. SJIO DUMAI/DO INV/PT. SJIO DO 1018 (PO  368) 01 N2.xlsm" xr:uid="{73016FD2-3DBD-4592-9438-D71A366B102C}"/>
    <hyperlink ref="G229" r:id="rId203" display="../PT. Pacific Palmindo Industri/DO INV/PT. PPI DO 1019 (PO  4714044571) 01.xlsm" xr:uid="{3F11583E-CB36-4103-BB78-3527AA6B75FF}"/>
    <hyperlink ref="G230" r:id="rId204" display="../PT. Simpang Kanan Lestarindo/DO INV/PT. SKL DO 1020 (PO  24 01033) 01.xlsm" xr:uid="{2C522BE2-52A4-4827-BB5D-740739DFE610}"/>
    <hyperlink ref="G231" r:id="rId205" display="../PT. Pacific Palmindo Industri/DO INV/PT. PPI DO 1021 (PO  4714044531) 01 N1-3.xlsm" xr:uid="{1DD57654-0FC9-4B62-942C-B7955010455D}"/>
    <hyperlink ref="G232" r:id="rId206" display="../PT. Pacific Palmindo Industri/DO INV/PT. PPI DO 1022 (PO  4714044531) 01 N4.xlsm" xr:uid="{7EF42C8F-70F0-4BE1-994A-94CDDAA71128}"/>
    <hyperlink ref="G233" r:id="rId207" display="../PT. Agro Murni/DO INV/PT. AGRO M DO 1023 (PO  24 00635) 07.xlsm" xr:uid="{0D94532A-CDA4-4D32-993B-335E3FE46C5C}"/>
    <hyperlink ref="G234" r:id="rId208" display="../PT. Simpang Kanan Lestarindo/DO INV/PT. SKL DO 1024 (PO  24 01036) 01.xlsm" xr:uid="{446A1774-E20D-4272-92B6-9F1D89069C15}"/>
    <hyperlink ref="G235" r:id="rId209" display="../PT. Simpang Kanan Lestarindo/DO INV/PT. SKL DO 1025 (PO  24 01050) 01.xlsm" xr:uid="{7283D5FF-D57C-4520-BD6D-592473443B06}"/>
    <hyperlink ref="G236" r:id="rId210" display="../PT. Simpang Kanan Lestarindo/DO INV/PT. SKL DO 1026 (PO  24 01048) 01.xlsm" xr:uid="{138751D5-CF3E-410E-88CE-806156464F95}"/>
    <hyperlink ref="G237" r:id="rId211" display="../PT. Simpang Kanan Lestarindo/DO INV/PT. SKL DO 1027 (PO  24 01044) 01.xlsm" xr:uid="{34565B80-7E38-4D3C-BDDD-6A25F968D4F4}"/>
    <hyperlink ref="G238" r:id="rId212" display="../PT. SJIO DUMAI/DO INV/PT. SJIO DO 1028 (PO  372) 01.xlsm" xr:uid="{E1F4D212-AB9D-4C40-BAF8-358E651A6191}"/>
    <hyperlink ref="G239" r:id="rId213" display="../PT. Pacific Palmindo Industri/DO INV/PT. PPI DO 1029 (PO  4714044631) 01.xlsm" xr:uid="{6B549C95-7540-4F84-A0A9-6E2F2B2041C9}"/>
    <hyperlink ref="G240" r:id="rId214" display="../PT. Simpang Kanan Lestarindo/DO INV/PT. SKL DO 1030 (PO  24 01031) 01.xlsm" xr:uid="{40132499-CA61-40BE-A126-EB8DB9536F85}"/>
    <hyperlink ref="G241" r:id="rId215" xr:uid="{EB2FA697-B73B-4B99-9E77-2344A697C700}"/>
    <hyperlink ref="G242" r:id="rId216" xr:uid="{6E4A1262-96C6-4A21-ABF5-C3AEF42552E9}"/>
    <hyperlink ref="G243" r:id="rId217" xr:uid="{5DAADACE-B46F-4C5D-9EE1-CD5F74CA59D9}"/>
    <hyperlink ref="G244" r:id="rId218" display="../PT. Pacific Palmindo Industri/DO INV/PT. PPI DO 1034 (PO  4714044565) 01.xlsm" xr:uid="{FEB8FB15-9157-43FD-A630-CD8D0AFD016E}"/>
    <hyperlink ref="G245" r:id="rId219" display="../PT. Pacific Palmindo Industri/DO INV/PT. PPI DO 1035 (PO  4714044652) 01.xlsm" xr:uid="{B6001607-2902-4CB7-8FCA-B6695F37E9C9}"/>
    <hyperlink ref="G246" r:id="rId220" display="../PT. Pacific Palmindo Industri/DO INV/PT. PPI DO 1035 (PO  4714044652) 01.xlsm" xr:uid="{C4EF6E7E-3D6C-4C42-A71D-0C18830D66FF}"/>
    <hyperlink ref="G247" r:id="rId221" display="../PT. Pacific Palmindo Industri/DO INV/PT. PPI DO 1036 (PO  4714044646) 01.xlsm" xr:uid="{3CC5E7C9-050B-4741-ADAF-340F71DEFC9E}"/>
    <hyperlink ref="G248" r:id="rId222" display="../PT. Simpang Kanan Lestarindo/DO INV/PT. SKL DO 1037 (PO  24 01058) 01.xlsm" xr:uid="{DAC5D541-C143-464D-A801-E531BD8A0AC6}"/>
    <hyperlink ref="G249" r:id="rId223" xr:uid="{A11AC9B6-7001-4CA9-8830-FB2450570E81}"/>
    <hyperlink ref="G250" r:id="rId224" display="../PT. Pacific Palmindo Industri/DO INV/PT. PPI DO 1039 (PO  4714044614) 01.xlsm" xr:uid="{ABD9CB10-F02F-4333-8D82-3C6D8C9FA61A}"/>
    <hyperlink ref="G251" r:id="rId225" display="../PT. Pacific Palmindo Industri/DO INV/PT. PPI DO 1040 (PO  4714044625) 01.xlsm" xr:uid="{551BA8FC-22F2-4B9E-AD90-78489A23DE95}"/>
    <hyperlink ref="G252" r:id="rId226" display="..\PT. Pacific Palmindo Industri\DO INV\PT. PPI DO 1040 (PO  4714044625) 01 N2.xlsm" xr:uid="{363EF868-BAEA-4FE9-8A69-A83332FEA59E}"/>
    <hyperlink ref="G253" r:id="rId227" display="../PT. Pacific Palmindo Industri/DO INV/PT. PPI DO 1041 (PO  4714044612) 01 N4,6.xlsm" xr:uid="{36358811-581E-42A3-81EC-E7C7562F71E5}"/>
    <hyperlink ref="G254" r:id="rId228" display="../PT. Pacific Palmindo Industri/DO INV/ DO 1042 (PO  ) 01.xlsm" xr:uid="{8ED52562-C279-4338-AA0F-F81321198F13}"/>
    <hyperlink ref="G255" r:id="rId229" display="../PT. Agro Murni/DO INV/PT. AGRO M DO 1043 (PO  24 00510) 07 N1.xlsm" xr:uid="{EA53BA5E-64B7-4662-8AF2-425FA1BC93DF}"/>
    <hyperlink ref="G256" r:id="rId230" display="../PT. Simpang Kanan Lestarindo/DO INV/PT. SKL DO 1044 (PO  24 01074) 01.xlsm" xr:uid="{FA674E61-D8E4-4E02-A0CC-5E9D51C7C71D}"/>
    <hyperlink ref="G257" r:id="rId231" display="../PT. SJIO DUMAI/DO INV/PT. SJIO DO 1045 (PO  385) 01.xlsm" xr:uid="{3ADA69D4-63AE-48A5-A216-1EB52E77D1A9}"/>
    <hyperlink ref="G258" r:id="rId232" display="../PT. Pacific Palmindo Industri/DO INV/PT. PPI DO 1046 (PO  4714044695) 07.xlsm" xr:uid="{B7FF8946-178E-425A-8587-0CD277AA9FC1}"/>
    <hyperlink ref="G259" r:id="rId233" display="../PT. Pacific Palmindo Industri/DO INV/PT. PPI DO 1047 (PO  4714044625) 07.xlsm" xr:uid="{F911A4B4-ADA9-48D6-92F8-D25B3DE51CF2}"/>
    <hyperlink ref="G260" r:id="rId234" display="../PT. Pacific Palmindo Industri/DO INV/PT. PPI DO 1048 (PO  4714044692) 01 N1,3,4.xlsm" xr:uid="{54D7BECB-3612-4C88-AB94-D488F61EFBD4}"/>
    <hyperlink ref="G261" r:id="rId235" display="../PT. Pacific Palmindo Industri/DO INV/PT. PPI DO 1049 (PO  4714044612) 01 N1-3.xlsm" xr:uid="{E5EFCF10-5C1E-4C1B-A2BF-82DD0FC16D76}"/>
    <hyperlink ref="G262" r:id="rId236" display="../PT. Agro Murni/DO INV/PT. AGRO M DO 1050 (PO  24 00661) 07 N2,3.xlsm" xr:uid="{30840C88-033B-46D8-8436-D3E42F3A7553}"/>
    <hyperlink ref="G263" r:id="rId237" display="../PT. Agro Murni/DO INV/PT. AGRO M DO 1051 (PO  24 00510) 07.xlsm" xr:uid="{21E62AD8-65EF-4C44-8182-A05F05593872}"/>
    <hyperlink ref="G264" r:id="rId238" display="../PT. Pacific Palmindo Industri/DO INV/PT. PPI DO 1052 (PO  4714044692) 01 N2.xlsm" xr:uid="{11416D14-B71F-4E7B-91D4-9FE831FBFD53}"/>
    <hyperlink ref="G265" r:id="rId239" display="../PT. SJIO DUMAI/DO INV/PT. SJIO DO 1053 (PO  394) 01.xlsm" xr:uid="{85F4608C-2C39-4FCD-93DF-D7C8E488A57B}"/>
    <hyperlink ref="G266" r:id="rId240" display="../PT. SJIO DUMAI/DO INV/PT. SJIO DO 1054 (PO  382) 01.xlsm" xr:uid="{2E707161-43A6-402B-A705-3D0FA2D3948C}"/>
    <hyperlink ref="G267" r:id="rId241" display="../PT. SJIO DUMAI/DO INV/PT. SJIO DO 1055 (PO  064) 01.xlsm" xr:uid="{2E779223-136D-4D55-969B-E2F3DF7EE185}"/>
    <hyperlink ref="G268" r:id="rId242" display="../PT. SJIO DUMAI/DO INV/PT. SJIO DO 1056 (PO  090) 01.xlsm" xr:uid="{84853DC3-2006-4224-9236-4ACC50DFC4AE}"/>
    <hyperlink ref="G269" r:id="rId243" display="../PT. Pacific Palmindo Industri/DO INV/PT. PPI DO 1057 (PO  4714044767) 07.xlsm" xr:uid="{F08EE89E-13EE-4936-9347-36B0485545CB}"/>
    <hyperlink ref="G270" r:id="rId244" display="../PT. Able Commodities Indonesia/DO INV/PT. ABLE DO 1058 (PO  25900020) 07.xlsm" xr:uid="{31DA3F57-FE67-4B61-87C2-D991128FABF3}"/>
    <hyperlink ref="G271" r:id="rId245" display="../PT. Agro Murni/DO INV/PT. AGRO M DO 1059 (PO  24 01359) 07 N1-3.xlsm" xr:uid="{5C859821-34AA-42F1-822B-A094F2C9487E}"/>
    <hyperlink ref="G272" r:id="rId246" display="../PT. Agro Murni/DO INV/PT. AGRO M DO 1060 (PO  24 01380) 01.xlsm" xr:uid="{CEE764D9-095C-4559-86DF-315FD6BC20EE}"/>
    <hyperlink ref="G273" r:id="rId247" display="../PT. Agro Murni/DO INV/PT. AGRO M DO 1061 (PO  24 01378) 07 N1,3,5,7,9.xlsm" xr:uid="{90419725-18C4-4CD0-98EE-14E30A83C26F}"/>
    <hyperlink ref="G275" r:id="rId248" display="../PT. Able Commodities Indonesia/DO INV/PT. ABLE DO 1062 (PO  25900026) 07.xlsm" xr:uid="{78890AFE-6685-42D6-9E60-1294EF886AC3}"/>
    <hyperlink ref="G276" r:id="rId249" display="../PT. SJIO DUMAI/DO INV/PT. SJIO DO 1063 (PO  009) 01.xlsm" xr:uid="{40277DCC-1FCA-47E4-AE6C-CCF54241D913}"/>
    <hyperlink ref="G277" r:id="rId250" display="../PT. SJIO DUMAI/DO INV/PT. SJIO DO 1064 (PO  002) 01.xlsm" xr:uid="{E0DB7002-0E18-4B7C-9162-928D6B26128F}"/>
    <hyperlink ref="G278" r:id="rId251" display="../PT. Agro Murni/DO INV/PT. AGRO M DO 1065 (PO  24 01378) 07 N2,4,6,8,10,11.xlsm" xr:uid="{0037A621-97F2-4890-90E3-E7675744F0B8}"/>
    <hyperlink ref="G279" r:id="rId252" display="../PT. SJIO DUMAI/DO INV/ DO 1066 (PO  ) 07.xlsm" xr:uid="{BBA325AF-58E4-44E3-BBF7-3B16521EA338}"/>
    <hyperlink ref="G280" r:id="rId253" display="../PT. Agro Murni/DO INV/PT. AGRO M DO 1067 (PO  24 01359) 07 N4,5.xlsm" xr:uid="{1001174F-8D82-43ED-9DB9-A791BDA9F469}"/>
    <hyperlink ref="G281" r:id="rId254" display="../PT. ENERGI UNGGUL PERSADA/DO INV/PT.ENERGI UNGGUL PERSADA DO 1068 (PO  1002027560) 07 N4,5.xlsm" xr:uid="{39747F6F-BC94-44DA-8153-80AF5C7283B2}"/>
    <hyperlink ref="G282" r:id="rId255" display="../PT. ENERGI UNGGUL PERSADA/DO INV/PT.ENERGI UNGGUL PERSADA DO 1068 (PO  1002027560) 07.xlsm" xr:uid="{ED310A18-17C9-4A5D-8283-91265C650B7B}"/>
    <hyperlink ref="G283" r:id="rId256" display="../PT. ENERGI UNGGUL PERSADA/DO INV/ DO 1069 (PO  ) SEMENTARA.xlsm" xr:uid="{A57308D6-5AEE-40BF-9220-A3A0C6F4A250}"/>
    <hyperlink ref="G284" r:id="rId257" display="../PT. ENERGI UNGGUL PERSADA/DO INV/ DO 1070 (PO  ) SEMENTARA - BOX PENAMPUNG OLI.xlsm" xr:uid="{2E04430C-936B-49A0-9C51-2E7003C99112}"/>
    <hyperlink ref="G285" r:id="rId258" display="../PT. Agro Murni/DO INV/PT. AGRO M DO 1071 (PO  25 00036) 01 - URGENT.xlsm" xr:uid="{0CC4A479-04C3-492A-9BDE-485750D6D9C5}"/>
    <hyperlink ref="G286" r:id="rId259" display="../PT. Pacific Palmindo Industri/DO INV/PT. PPI DO 1072 (PO  4714044840) 01.xlsm" xr:uid="{BC399138-580F-4920-A5C4-B9C4D57D47C8}"/>
    <hyperlink ref="G287" r:id="rId260" display="../PT. Pacific Palmindo Industri/DO INV/PT. PPI DO 1073 (PO  4714044855) 01 N1-3.xlsm" xr:uid="{67CA22FA-66B3-4F2E-816D-B3DE4520A9A5}"/>
    <hyperlink ref="G288" r:id="rId261" display="../PT. Able Commodities Indonesia/DO INV/PT. ABLE DO 1074 (PO  25900028) 07 -  ITEM N1-3 + INCLUDE PEMASANGAN + COMMISSIONING.xlsm" xr:uid="{67030615-6786-4C35-859C-AC9F187E980B}"/>
    <hyperlink ref="G289" r:id="rId262" display="../PT. Able Commodities Indonesia/DO INV/PT. ABLE DO 1075 (PO  25900080) 07 -  ITEM N3.xlsm" xr:uid="{CDEAAC3A-3B9C-4142-A0D7-601BD9D1DD3E}"/>
    <hyperlink ref="G290" r:id="rId263" display="../PT. Able Commodities Indonesia/DO INV/PT. ABLE DO 1076 (PO  25900080) 01 -  ITEM N1.xlsm" xr:uid="{B7600E44-EBC8-43F8-B692-414DAC77C8E8}"/>
    <hyperlink ref="G274" r:id="rId264" display="../PT. Agro Murni/DO INV/PT. AGRO M DO 1061 (PO  24 01378) REV 1 07 N1,3,5,7,9.xlsm" xr:uid="{9A8CEBA4-2D2C-448F-BF30-BF4818EBAF16}"/>
    <hyperlink ref="G291" r:id="rId265" display="../PT. Simpang Kanan Lestarindo/DO INV/PT. SKL DO 1077 (PO  25 00028) 01.xlsm" xr:uid="{6FD0410A-0953-4ADB-803B-7580C9A238C5}"/>
    <hyperlink ref="G292" r:id="rId266" display="../PT. Able Commodities Indonesia/DO INV/PT. ABLE DO 1078 (PO  25900056) 01.xlsm" xr:uid="{FC964181-31B2-413E-AF0C-B415A4C12501}"/>
    <hyperlink ref="G293" r:id="rId267" display="../PT. Able Commodities Indonesia/DO INV/PT. ABLE DO 1079 (PO  25900075) 01.xlsm" xr:uid="{6DFBCD30-84D2-4348-8768-F4498D5FFE36}"/>
    <hyperlink ref="G294" r:id="rId268" display="../PT. Pacific Palmindo Industri/DO INV/PT. PPI DO 1080 (PO  4714044855) 01.xlsm" xr:uid="{9165FB57-CB7A-4C3A-B32A-12A47B715EFA}"/>
    <hyperlink ref="G303" r:id="rId269" display="../PT. Able Commodities Indonesia/DO INV/PT. ABLE DO 1093 (PO  25900045) 07.xlsm" xr:uid="{93BD2A7F-FCED-4751-9DA2-96265B92D51E}"/>
    <hyperlink ref="G304" r:id="rId270" display="../PT. Agro Murni/DO INV/PT. AGRO M DO 1094 (PO  25 00047) 01.xlsm" xr:uid="{947157C1-1E82-4CB9-8CC5-B3E20D30D234}"/>
    <hyperlink ref="G305" r:id="rId271" display="../PT. Agro Murni/DO INV/PT. AGRO M DO 1095 (PO  24 01378) REPLACE REFER TO DO 1061.xlsm" xr:uid="{D80E9C56-D1A6-420C-9585-9039FEB3BB42}"/>
    <hyperlink ref="G306" r:id="rId272" display="../PT. Pacific Palmindo Industri/DO INV/PT. PPI DO 1096 (PO  4714044961) 01.xlsm" xr:uid="{70783103-5572-421D-AD9F-DFA4DF613B7B}"/>
    <hyperlink ref="G307" r:id="rId273" display="../PT. Able Commodities Indonesia/DO INV/PT. ABLE DO 1097 (PO  259900104) 01 N1.xlsm" xr:uid="{0FC05273-7224-4434-A488-8DE04B466448}"/>
    <hyperlink ref="G308" r:id="rId274" display="../PT. Able Commodities Indonesia/DO INV/PT. ABLE DO 1098 (PO  25900113) 01 N6.xlsm" xr:uid="{2085DA27-040F-41FC-95CB-E956E22EAE94}"/>
    <hyperlink ref="G296" r:id="rId275" xr:uid="{46A9084F-2A32-4D90-86B5-6300DF65AC59}"/>
    <hyperlink ref="G295" r:id="rId276" xr:uid="{F864ED23-14EA-43FF-908A-0D4143A26752}"/>
    <hyperlink ref="G309" r:id="rId277" display="../PT. Able Commodities Indonesia/DO INV/PT. ABLE DO 1099 (PO  25900104) 07 N2-3.xlsm" xr:uid="{7FAD6A7E-672D-4F98-98E3-8BCCD14E454D}"/>
    <hyperlink ref="G310" r:id="rId278" display="../PT. Able Commodities Indonesia/DO INV/PT. ABLE DO 1100 (PO  25900102) 07.xlsm" xr:uid="{CC4E080D-911A-4CFA-9371-8B0C8B240DF8}"/>
    <hyperlink ref="G311" r:id="rId279" display="../PT. Able Commodities Indonesia/DO INV/PT. ABLE DO 1101 (PO  25900113) 07 N2-4.xlsm" xr:uid="{BB215B38-A823-4027-ACE8-BD19C1831DBA}"/>
    <hyperlink ref="G297" r:id="rId280" display="../PT. Simpang Kanan Lestarindo/DO INV/PT. SKL DO 1084 (PO  25 00062) 01.xlsm" xr:uid="{848E280A-156F-499F-A81A-6DA9BB07F8AE}"/>
    <hyperlink ref="G298" r:id="rId281" display="../PT. SWP/DO INV/PT. SWP DO 1085 (PO  4000271013) 07.xlsm" xr:uid="{CEC195B1-3BE2-47B0-BA5C-76CB5CC1769C}"/>
    <hyperlink ref="G299" r:id="rId282" display="../PT. KIP/DO INV/PT. KIP DO 1086 (PO  25 00028) 01.xlsm" xr:uid="{D35441CA-C47F-470B-BADC-5B59C6F8F4E3}"/>
    <hyperlink ref="G300" r:id="rId283" display="../PT. Pacific Palmindo Industri/DO INV/PT. PPI DO 1087 (PO  4714044996) 01.xlsm" xr:uid="{4B9B4C54-4B75-4F5F-8250-DCA4E8819B1F}"/>
    <hyperlink ref="G301" r:id="rId284" display="../PT. SJIO DUMAI/DO INV/PT. SJIO DO 1088 (PO  095) 01.xlsm" xr:uid="{E952B9E3-121C-48AB-A288-EBEFD1406868}"/>
    <hyperlink ref="G302" r:id="rId285" display="../PT. SJIO DUMAI/DO INV/PT. SJIO DO 1089 (PO  085) 01.xlsm" xr:uid="{A7E16A28-D868-4FF6-B8CD-8E6FDF00B4AE}"/>
    <hyperlink ref="G312" r:id="rId286" display="../PT. Agro Murni/DO INV/PT. AGRO M DO 1102 (PO  25 00104) 01.xlsm" xr:uid="{8EA50330-4F39-495C-8604-26F3166E1E36}"/>
    <hyperlink ref="G313" r:id="rId287" display="../PT. Able Commodities Indonesia/DO INV/PT. ABLE DO 1103 (PO  25900120) 07.xlsm" xr:uid="{F8BAC08D-7BDE-4FEC-B638-666D49D65933}"/>
    <hyperlink ref="G314" r:id="rId288" display="../PT. Able Commodities Indonesia/DO INV/PT. ABLE DO 1104 (PO  25900113) 07 N1,N5.xlsm" xr:uid="{58FAEC7F-C73B-425B-A022-418CC455231A}"/>
    <hyperlink ref="G315" r:id="rId289" display="../PT. Able Commodities Indonesia/DO INV/PT. ABLE DO 1105 (PO  25900113) 07 N1,N5.xlsm" xr:uid="{BF55E12E-8023-4DEC-AE53-782D5791FBED}"/>
    <hyperlink ref="G316" r:id="rId290" display="../PT. SJIO DUMAI/DO INV/PT. SJIO DO 1106 (PO  085) 01 - REPLACE BIASA MENJADI FULLDRAT.xlsm" xr:uid="{EFABCF3F-73D0-4640-A597-616200EEB8EC}"/>
    <hyperlink ref="G317" r:id="rId291" display="../PT. Simpang Kanan Lestarindo/DO INV/PT. SKL DO 1107 (PO  25 00065) 01.xlsm" xr:uid="{2B737FEF-E901-4FDD-84A7-38D60BD05199}"/>
    <hyperlink ref="G318" r:id="rId292" display="../PT. KIP/DO INV/PT. KIP DO 1108 (PO  25 00051) 01.xlsm" xr:uid="{324F240F-3B7A-46C2-B869-BF9C1955493C}"/>
    <hyperlink ref="G319" r:id="rId293" display="../PT. KIP/DO INV/PT. KIP DO 1109 (PO  25 00055) 01.xlsm" xr:uid="{6288A9F3-FB55-4328-B87A-B8A28ECE4307}"/>
    <hyperlink ref="G320" r:id="rId294" display="../PT. Agro Murni/DO INV/PT. AGRO M DO 1110 (PO  25 00125) 07.xlsm" xr:uid="{7AC0EF41-A970-4E96-BB7E-CDFA32F955DC}"/>
    <hyperlink ref="G321" r:id="rId295" display="../PT. SJIO DUMAI/DO INV/PT. SJIO DO 1111 (PO  078) 01.xlsm" xr:uid="{A22C8DB6-64E8-43D4-90AC-2571FD4C2104}"/>
    <hyperlink ref="G322" r:id="rId296" display="../PT. Agro Murni/DO INV/PT. AGRO M DO 1112 (PO  25 00125) 07.xlsm" xr:uid="{0E0CD6A0-D829-442D-92A0-B6DBADB19605}"/>
    <hyperlink ref="G323" r:id="rId297" display="../PT. Pacific Palmindo Industri/DO INV/PT. PPI DO 1114 (PO  4714045050) 01.xlsm" xr:uid="{04C2BE5D-D2BC-458E-B161-378198FC4037}"/>
    <hyperlink ref="G324" r:id="rId298" display="../PT. KIP/DO INV/PT. KIP DO 1115 (PO  25 00028) 01.xlsm" xr:uid="{E54885E7-D35F-41AB-A385-141F232E5FBF}"/>
    <hyperlink ref="G325" r:id="rId299" display="../PT. Pacific Palmindo Industri/DO INV/PT. PPI DO 1116 (PO  4714044991) 01.xlsm" xr:uid="{7C2F8E0E-C6CD-4A7B-849E-322921820367}"/>
    <hyperlink ref="G326" r:id="rId300" display="../PT. Pacific Palmindo Industri/DO INV/PT. PPI DO 1117 (PO  4714045030) 01.xlsm" xr:uid="{7B72CC87-5AD4-448C-BA86-E7702FCE68D0}"/>
    <hyperlink ref="G328" r:id="rId301" display="../PT. Pacific Palmindo Industri/DO INV/PT. PPI DO 1118 (PO  4714045030) 01.xlsm" xr:uid="{2289F5D3-893D-4789-BF62-5C09F54E0CF8}"/>
    <hyperlink ref="G327" r:id="rId302" display="../PT. Pacific Palmindo Industri/DO INV/PT. PPI DO 1117 (PO  4714045050) 01.xlsm" xr:uid="{0C91B00A-C723-4AE9-B9A8-B07047157449}"/>
    <hyperlink ref="G329" r:id="rId303" display="../PT. Able Commodities Indonesia/DO INV/PT. ABLE DO 1119 (PO  25900185) 07.xlsm" xr:uid="{6B735852-11D5-4632-BD93-0AFF4E84306E}"/>
    <hyperlink ref="G330" r:id="rId304" display="../PT. Able Commodities Indonesia/DO INV/PT. ABLE DO 1120 (PO  25900185) 07.xlsm" xr:uid="{7783B612-9EDE-4AAF-8275-846CA67C5D75}"/>
    <hyperlink ref="G331" r:id="rId305" display="../PT. Agro Murni/DO INV/PT. AGRO M DO 1121 (PO  25 00078) 01.xlsm" xr:uid="{EDA94460-4347-41D6-8880-B69140761AFC}"/>
    <hyperlink ref="G332" r:id="rId306" display="../PT. Able Commodities Indonesia/DO INV/PT. ABLE DO 1122 (PO  25900135) 07.xlsm" xr:uid="{441A4507-7EBD-4379-BA09-C703B449EAF5}"/>
    <hyperlink ref="G333" r:id="rId307" display="../PT. Able Commodities Indonesia/DO INV/PT. ABLE DO 1123 (PO  25900213) 07.xlsm" xr:uid="{B31A17D0-24CA-41DD-848D-D118440F66FF}"/>
    <hyperlink ref="G334" r:id="rId308" xr:uid="{8E0C61B1-FD65-4F61-8660-E3625C55D1FA}"/>
    <hyperlink ref="G335" r:id="rId309" xr:uid="{15EF8C8E-9F38-426E-927D-7FB618CDF959}"/>
    <hyperlink ref="G336" r:id="rId310" display="../PT. Pacific Palmindo Industri/DO INV/PT. PPI DO 1125 (PO  4714045030) 01 N6.xlsm" xr:uid="{BA0BD7DA-9275-442D-BD53-A1DA507A676E}"/>
    <hyperlink ref="G337" r:id="rId311" display="../PT. Able Commodities Indonesia/DO INV/PT. ABLE DO 1126 (PO  25900186) 01 N1-4.xlsm" xr:uid="{F0C90CEC-3B5A-45A0-8485-E65A3FDAF235}"/>
    <hyperlink ref="G338" r:id="rId312" display="../PT. Able Commodities Indonesia/DO INV/PT. ABLE DO 1127 (PO  25900219) 07.xlsm" xr:uid="{1DFB9510-850C-4F4B-B64D-20DE7CA02E98}"/>
    <hyperlink ref="G339" r:id="rId313" display="../PT. Able Commodities Indonesia/DO INV/PT. ABLE DO 1128 (PO  25900186) 07 N5.xlsm" xr:uid="{3AB8A3BC-A0BD-4C34-97E5-A07A2930B909}"/>
    <hyperlink ref="G340" r:id="rId314" display="../PT. Agro Murni/DO INV/PT. AGRO M DO 1130 (PO  25 00090) 01.xlsm" xr:uid="{1F6231A3-54FD-4FAA-8D58-442A838AF299}"/>
    <hyperlink ref="G341" r:id="rId315" display="../PT. SJIO DUMAI/DO INV/PT. SJIO DO 1131 (PO  113) 01.xlsm" xr:uid="{FC00D75F-B36A-4A3A-B0B9-6F92A0D11EAF}"/>
    <hyperlink ref="G342" r:id="rId316" display="../PT. Pacific Palmindo Industri/DO INV/PT. PPI DO 1132 (PO  4714045086) 01.xlsm" xr:uid="{BCC8B67E-92ED-4896-BAE3-8E9A62B17220}"/>
    <hyperlink ref="G343" r:id="rId317" display="../PT. SJIO DUMAI/DO INV/PT. SJIO DO 1133 (PO  085) 01 - PENARIKAN BARANG.xlsm" xr:uid="{A141E92A-D42C-4E85-BBBA-315068BC636A}"/>
    <hyperlink ref="G344" r:id="rId318" display="../PT. Able Commodities Indonesia/DO INV/PT. ABLE DO 1134 (PO  25900278) 07.xlsm" xr:uid="{B436FA3D-D7F1-4D46-9EB7-E057AD1EA268}"/>
    <hyperlink ref="G345" r:id="rId319" display="../PT. SJIO DUMAI/DO INV/PT. SJIO DO 1135 (PO  072) 01 N2,3.xlsm" xr:uid="{A94577F2-0C21-4A66-907E-B9FA48C1620A}"/>
    <hyperlink ref="G346" r:id="rId320" display="../PT. Able Commodities Indonesia/DO INV/PT. ABLE DO 1136 (PO  25900263) 07.xlsm" xr:uid="{1BE2035B-B182-4AC0-859F-87B76DB09F81}"/>
    <hyperlink ref="G347" r:id="rId321" display="../PT. Able Commodities Indonesia/DO INV/PT. ABLE DO 1137 (PO  25900261) 07.xlsm" xr:uid="{DA684452-81FF-49C0-B0E7-162D8795154E}"/>
    <hyperlink ref="G348" r:id="rId322" display="../PT. Able Commodities Indonesia/DO INV/PT. ABLE DO 1138 (PO  25900240) 07.xlsm" xr:uid="{5E6D98F9-BCD4-4C9E-A218-5CC846853F19}"/>
    <hyperlink ref="G349" r:id="rId323" display="../PT. Able Commodities Indonesia/DO INV/PT. ABLE DO 1139 (PO  25900239) 07.xlsm" xr:uid="{A31A1344-DDEF-4A5C-BF01-D18E4419F22F}"/>
    <hyperlink ref="G350" r:id="rId324" display="../PT. Able Commodities Indonesia/DO INV/PT. ABLE DO 1140 (PO  25900238) 07.xlsm" xr:uid="{7F276B01-336F-4248-A781-A23F6ACD1300}"/>
    <hyperlink ref="G351" r:id="rId325" display="../PT. Able Commodities Indonesia/DO INV/PT. ABLE DO 1141 (PO  25900237) 07.xlsm" xr:uid="{72DCD935-C557-40AB-827D-7717471721B4}"/>
    <hyperlink ref="G352" r:id="rId326" display="../PT. Able Commodities Indonesia/DO INV/PT. ABLE DO 1142 (PO  25900236) 07.xlsm" xr:uid="{53AF58DE-68B6-45EC-9AB5-6181C98A7254}"/>
    <hyperlink ref="G353" r:id="rId327" display="../PT. Able Commodities Indonesia/DO INV/PT. ABLE DO 1143 (PO  25900235) 07.xlsm" xr:uid="{9373D698-9F3A-4D44-B6CD-C04BF4C4601F}"/>
    <hyperlink ref="G354" r:id="rId328" display="../PT. Able Commodities Indonesia/DO INV/PT. ABLE DO 1144 (PO   ) URGENT.xlsm" xr:uid="{5E329808-2435-4601-B7A6-F067D3515FC8}"/>
    <hyperlink ref="G355" r:id="rId329" display="../PT. Able Commodities Indonesia/DO INV/PT. ABLE DO 1145 (PO  25900279) 07.xlsm" xr:uid="{100ECFC3-92EC-4E2C-876E-1F4A1D7B44A8}"/>
    <hyperlink ref="G356" r:id="rId330" xr:uid="{06DEB778-0537-4536-BD2A-A55DA47B43F0}"/>
    <hyperlink ref="G357" r:id="rId331" xr:uid="{579D2793-3EFF-4F74-A3F5-EEA749547167}"/>
    <hyperlink ref="G358" r:id="rId332" xr:uid="{9C412FE8-0767-45E8-A538-DD6EE469A804}"/>
    <hyperlink ref="G359" r:id="rId333" display="../PT. Able Commodities Indonesia/DO INV/PT. ABLE DO 1149 (PO  25900231) 07.xlsm" xr:uid="{686D08C9-C6A9-4C4B-A778-9CF068089B7B}"/>
    <hyperlink ref="G360" r:id="rId334" display="../PT. Able Commodities Indonesia/DO INV/PT. ABLE DO 1150 (PO  25900260) 07 N4,5,6.xlsm" xr:uid="{43A03BC6-1B77-4588-90A2-AF2119F7A0FA}"/>
    <hyperlink ref="G361" r:id="rId335" display="../PT. Able Commodities Indonesia/DO INV/PT. ABLE DO 1151 (PO  25900258) 07 N2.xlsm" xr:uid="{A223B8D7-3C39-4852-95A2-30F2EB5BA44B}"/>
    <hyperlink ref="G362" r:id="rId336" display="../PT. Able Commodities Indonesia/DO INV/PT. ABLE DO 1152 (PO  25900262) 07 N1,3,4,5,6,7.xlsm" xr:uid="{21947FF9-BFEB-4E69-9792-03A507E1ABF8}"/>
    <hyperlink ref="G363" r:id="rId337" display="../PT. Able Commodities Indonesia/DO INV/PT. ABLE DO 1153 (PO  25900258) 07 N2.xlsm" xr:uid="{CCB13C45-C2EA-44AC-B821-C4BAB0BC159A}"/>
    <hyperlink ref="G364" r:id="rId338" display="../PT. Agro Murni/DO INV/PT. AGRO M DO 1154 (PO  25 00090) 01.xlsm" xr:uid="{7BFEA730-D79E-4199-AE76-379C6FAFDB25}"/>
    <hyperlink ref="G365" r:id="rId339" display="../PT. Pacific Palmindo Industri/DO INV/PT. PPI DO 1155 (PO  4714044991) 01.xlsm" xr:uid="{1A73C927-9FFC-49FD-A697-28695A506C6B}"/>
    <hyperlink ref="G366" r:id="rId340" display="../PT. KIP/DO INV/PT. KIP DO 1156 (PO  25 00102) 01.xlsm" xr:uid="{CF78F012-2E28-4820-ACFB-53215994558D}"/>
    <hyperlink ref="G367" r:id="rId341" display="../PT. KIP/DO INV/PT. KIP DO 1157 (PO  25 00118) 01.xlsm" xr:uid="{9C1B359E-BEFD-4864-8F21-71EEDF70F663}"/>
    <hyperlink ref="G369" r:id="rId342" display="../PT. Simpang Kanan Lestarindo/DO INV/PT. SKL DO 1159 (PO  25 00134) 01.xlsm" xr:uid="{4914B6F5-1C25-4F23-B1AB-557913DA1BD2}"/>
    <hyperlink ref="G370" r:id="rId343" display="../PT. Simpang Kanan Lestarindo/DO INV/PT. SKL DO 1160 (PO  25 00125) 01.xlsm" xr:uid="{CCE40A59-FB80-45F6-9C52-06D96F8A6DA6}"/>
    <hyperlink ref="G368" r:id="rId344" display="../PT. Simpang Kanan Lestarindo/DO INV/PT. SKL DO 1158 (PO  25 00131) 01.xlsm" xr:uid="{647EAC12-2E22-49BF-B10D-28B3E2F0A302}"/>
    <hyperlink ref="G371" r:id="rId345" display="../PT. Able Commodities Indonesia/DO INV/PT. ABLE DO 1161 (PO  25900314) 01.xlsm" xr:uid="{A1424870-F0D7-43DC-9131-76BA21D463EC}"/>
    <hyperlink ref="G374" r:id="rId346" display="../PT. KIP/DO INV/PT. KIP DO 1162 (PO  25 00096) 01.xlsm" xr:uid="{4815596B-90CD-4A2A-AA72-491DEE17874A}"/>
    <hyperlink ref="G375" r:id="rId347" display="../PT. SJIO DUMAI/DO INV/PT. SJIO DO 1163 (PO  140) 01.xlsm" xr:uid="{1CB35FEF-AADC-468C-B038-31665D4053E1}"/>
    <hyperlink ref="G376" r:id="rId348" display="../PT. Able Commodities Indonesia/DO INV/PT. ABLE DO 1164 (PO  25900180) 07.xlsm" xr:uid="{D14FA467-C6E0-4D6A-98C0-157D4D158D14}"/>
    <hyperlink ref="G372" r:id="rId349" display="../PT. Able Commodities Indonesia/DO INV/PT. ABLE DO 1161 (PO  25900314) 07.xlsm" xr:uid="{51EA7E10-E9A9-455F-9984-A7805A6131DC}"/>
    <hyperlink ref="G373" r:id="rId350" display="../PT. Able Commodities Indonesia/DO INV/PT. ABLE DO 1161 (PO  25900314) 07.xlsm" xr:uid="{B8B2CA4C-B1C3-4AF3-94B1-C2A275A334A3}"/>
    <hyperlink ref="G377" r:id="rId351" display="../PT. Able Commodities Indonesia/DO INV/PT. ABLE DO 1165 (PO  25900363) 07.xlsm" xr:uid="{F7AFEEC9-C042-4E2F-940F-B5B21A9934B1}"/>
    <hyperlink ref="G378" r:id="rId352" display="../PT. Able Commodities Indonesia/DO INV/PT. ABLE DO 1166 (PO  25900362) 07.xlsm" xr:uid="{415271FD-AF79-4208-8A54-DEE816D542A0}"/>
    <hyperlink ref="G379" r:id="rId353" display="../PT. Able Commodities Indonesia/DO INV/PT. ABLE DO 1167 (PO  25900258) 07 N1.xlsm" xr:uid="{346855C9-A981-4020-ABD1-C81CE4E2C057}"/>
    <hyperlink ref="G380" r:id="rId354" display="../PT. Able Commodities Indonesia/DO INV/PT. ABLE DO 1168 (PO  25900291) 07.xlsm" xr:uid="{164A19F5-AAFF-41DC-8B85-7F4C446BC03B}"/>
    <hyperlink ref="G381" r:id="rId355" display="../PT. Able Commodities Indonesia/DO INV/PT. ABLE DO 1169 (PO  25900262) 07 N2,9,10,11(-1PCS).xlsm" xr:uid="{1B0AD334-6495-44B7-842D-136263AD4830}"/>
    <hyperlink ref="G382" r:id="rId356" display="../PT. Pacific Palmindo Industri/DO INV/PT. PPI DO 1170 (PO  4714045191) 01 N1,2,4,5,6.xlsm" xr:uid="{350002F6-3A24-48C5-8656-2EBFF47EC00C}"/>
    <hyperlink ref="G383" r:id="rId357" display="../PT. Pacific Palmindo Industri/DO INV/ DO 1171 (PO  ) 01.xlsm" xr:uid="{8BAA4D0D-BDA2-46AD-A791-27BDCE46C220}"/>
    <hyperlink ref="G384" r:id="rId358" display="../PT. Agro Murni/DO INV/PT. AGRO M DO 1172 (PO  25 00121) .xlsm" xr:uid="{9CDA1172-82B0-4370-A658-C62847AB42FD}"/>
    <hyperlink ref="G385" r:id="rId359" display="../PT. Able Commodities Indonesia/DO INV/PT. ABLE DO 1173 (PO  25900259) .xlsm" xr:uid="{B6F0EDB6-890D-4345-B5B8-EF483048DB30}"/>
    <hyperlink ref="G386" r:id="rId360" display="../PT. SJIO DUMAI/DO INV/PT. SJIO DO 1174 (PO  072) 01.xlsm" xr:uid="{95692305-E46E-4884-A361-B3989E5EC8D3}"/>
    <hyperlink ref="G387" r:id="rId361" display="../PT. Pacific Palmindo Industri/DO INV/PT. PPI DO 1175 (PO  4714045191) 01 N3.xlsm" xr:uid="{B21796D2-3382-4237-875E-1AB20206FFF1}"/>
    <hyperlink ref="G388" r:id="rId362" display="../PT. Simpang Kanan Lestarindo/DO INV/PT. SKL DO 1176 (PO  25 00055) 01.xlsm" xr:uid="{8C64E402-6760-4B37-884E-943F46C34BCB}"/>
    <hyperlink ref="G389" r:id="rId363" display="../PT. Able Commodities Indonesia/DO INV/PT. ABLE DO 1177 (PO  25900262) 07 N11 1PCS.xlsm" xr:uid="{F6880DC0-C6CE-4FCF-8751-C16A73C49A8D}"/>
    <hyperlink ref="G390" r:id="rId364" display="../PT. Able Commodities Indonesia/DO INV/PT. ABLE DO 1178 (PO  25900180) 07 N5 5PCS.xlsm" xr:uid="{A424BDD5-79E9-421E-B780-E00FA94DCD24}"/>
    <hyperlink ref="G391" r:id="rId365" display="../PT. Able Commodities Indonesia/DO INV/PT. ABLE DO 1178 (PO  25900180) 07 N5 5PCS.xlsm" xr:uid="{26734DAA-72A9-4F0F-83F4-AD82708007FA}"/>
    <hyperlink ref="G392" r:id="rId366" display="../PT. Able Commodities Indonesia/DO INV/PT. ABLE DO 1179 (PO  25900405) 07.xlsm" xr:uid="{4B8F137E-41CA-4CC0-B2BB-90C09BC011CB}"/>
    <hyperlink ref="G393" r:id="rId367" display="../PT. Able Commodities Indonesia/DO INV/PT. ABLE DO 1180 (PO  25900406) 07.xlsm" xr:uid="{4D09876A-47D9-4887-83DD-669151A025D3}"/>
    <hyperlink ref="G394" r:id="rId368" display="../PT. Able Commodities Indonesia/DO INV/PT. ABLE DO 1181 (PO  25900409) 07.xlsm" xr:uid="{808944BD-4D4F-4D42-B676-F59AB555FAB8}"/>
    <hyperlink ref="G395" r:id="rId369" display="../PT. Able Commodities Indonesia/DO INV/PT. ABLE DO 1182 (PO  25900389) 07 N1.xlsm" xr:uid="{1AE7ED8F-88A0-4A05-A043-496E0CB745A9}"/>
    <hyperlink ref="G396" r:id="rId370" display="../PT. Able Commodities Indonesia/DO INV/PT. ABLE DO 1183 (PO   ) URGENT DO SEMENTARA.xlsm" xr:uid="{811576DB-C254-4EC9-AAAE-88BFA2BA471C}"/>
    <hyperlink ref="G397" r:id="rId371" display="../PT. Able Commodities Indonesia/DO INV/PT. ABLE DO 1184 (PO  25900383) 07.xlsm" xr:uid="{BA841D19-6801-462F-9ACA-BF6C0825DF4D}"/>
    <hyperlink ref="G398" r:id="rId372" display="../PT. Able Commodities Indonesia/DO INV/PT. ABLE DO 1185 (PO  25900382) N2.xlsm" xr:uid="{CC0DC17B-361B-4197-9054-33FC544537E1}"/>
    <hyperlink ref="G399" r:id="rId373" display="../PT. Able Commodities Indonesia/DO INV/PT. ABLE DO 1186 (PO  25900410) 07.xlsm" xr:uid="{B26DAE11-6580-4FAF-A389-E556AC3B1D1B}"/>
    <hyperlink ref="G400" r:id="rId374" display="../PT. Simpang Kanan Lestarindo/DO INV/PT. SKL DO 1187 (PO  25 00173) 01.xlsm" xr:uid="{4A8001E7-DA67-4E5E-AAF9-879BAE4C53D1}"/>
    <hyperlink ref="G401" r:id="rId375" display="../PT. Pacific Palmindo Industri/DO INV/PT. PPI DO 1188 (PO  4714045317) 07.xlsm" xr:uid="{BF71CB2C-FABA-4339-8054-92DC7C9172E7}"/>
    <hyperlink ref="G402" r:id="rId376" display="../PT. Able Commodities Indonesia/DO INV/PT. ABLE DO 1189 (PO  25900402) 07.xlsm" xr:uid="{FC769A01-14E0-4B76-AC3C-F95CB156B259}"/>
    <hyperlink ref="G403" r:id="rId377" display="../PT. Able Commodities Indonesia/DO INV/PT. ABLE DO 1190 (PO  25900403) 07.xlsm" xr:uid="{6590D639-C921-4355-88FD-8CD97C82C9D3}"/>
    <hyperlink ref="G404" r:id="rId378" display="../PT. Able Commodities Indonesia/DO INV/PT. ABLE DO 1191 (PO  25900404) 07.xlsm" xr:uid="{14237300-F04C-489E-9607-0C336E94CBB9}"/>
    <hyperlink ref="G405" r:id="rId379" display="../PT. Able Commodities Indonesia/DO INV/PT. ABLE DO 1192 (PO  25900407) 07.xlsm" xr:uid="{ACB1F8B0-2D15-4EBB-AAFE-586A36CCC5FC}"/>
    <hyperlink ref="G406" r:id="rId380" display="../PT. Able Commodities Indonesia/DO INV/PT. ABLE DO 1193 (PO  25900408) 07.xlsm" xr:uid="{B05B7869-D16B-4402-9AA5-EC63E3E0AAEB}"/>
    <hyperlink ref="G407" r:id="rId381" display="../PT. Able Commodities Indonesia/DO INV/PT. ABLE DO 1194 (PO  25900481) 07.xlsm" xr:uid="{A6907AB2-8AB8-4627-88C8-D34CDBEC2415}"/>
    <hyperlink ref="G408" r:id="rId382" display="../PT. Able Commodities Indonesia/DO INV/PT. ABLE DO 1195 (PO  25900477) 07.xlsm" xr:uid="{4ADDC540-2BAE-4411-9FC7-9D2D9A451832}"/>
    <hyperlink ref="G409" r:id="rId383" display="../PT. Pacific Palmindo Industri/DO INV/PT. PPI DO 1196 (PO  4714045317) 07.xlsm" xr:uid="{56018751-0052-461E-83B6-E07D22AA7974}"/>
    <hyperlink ref="G410" r:id="rId384" display="../PT. Pacific Palmindo Industri/DO INV/PT. PPI DO 1196 (PO  4714045317) 01.xlsm" xr:uid="{86CBD16B-7AFB-43B9-B2F3-CABCAA24A688}"/>
    <hyperlink ref="G411" r:id="rId385" display="../PT. Simpang Kanan Lestarindo/DO INV/PT. SKL DO 1197 (PO  25 00180) 01.xlsm" xr:uid="{6119DE53-370F-4717-BD8E-88F4EA0835F1}"/>
    <hyperlink ref="G412" r:id="rId386" display="../PT. Simpang Kanan Lestarindo/DO INV/PT. SKL DO 1198 (PO  25 00143) 01.xlsm" xr:uid="{7B8902AE-7E1A-43F7-B1D7-6E5BFB0B859B}"/>
    <hyperlink ref="G413" r:id="rId387" display="../PT. Able Commodities Indonesia/DO INV/PT. ABLE DO 1199 (PO  25900389) N2.xlsm" xr:uid="{09473EFE-B47C-4D8C-8725-90B7EE10110B}"/>
    <hyperlink ref="G414" r:id="rId388" display="../PT. Able Commodities Indonesia/DO INV/PT. ABLE DO 1200 (PO  25900260) N1,2,3.xlsm" xr:uid="{1ABBAA9A-1778-4629-BDE4-3EDE4485946F}"/>
    <hyperlink ref="G415" r:id="rId389" display="../PT. Able Commodities Indonesia/DO INV/PT. ABLE DO 1201 (PO  25900382) N1.xlsm" xr:uid="{6C2FFEE1-553C-477D-9188-59480BD416B9}"/>
    <hyperlink ref="G416" r:id="rId390" display="../PT. Able Commodities Indonesia/DO INV/PT. ABLE DO 1202 (PO  25900262) N8.xlsm" xr:uid="{04C98A74-E5F8-4FE1-944E-36BDB5DC6A65}"/>
    <hyperlink ref="G417" r:id="rId391" display="../PT. Able Commodities Indonesia/DO INV/PT. ABLE DO 1203 (PO  25900495) N1.xlsm" xr:uid="{127F128A-8DF6-4C7A-9197-C2B75FD21863}"/>
    <hyperlink ref="G418" r:id="rId392" display="../PT. Able Commodities Indonesia/DO INV/PT. ABLE DO 1204 (PO  25900478) 01 N1.xlsm" xr:uid="{045DDCD0-6F75-4B32-BC5C-142D40A42084}"/>
    <hyperlink ref="G419" r:id="rId393" display="../PT. Agro Murni/DO INV/PT. AGRO M DO 1205 (PO  25 00309) 07.xlsm" xr:uid="{F38B0CA0-7C34-4822-8CA7-84C32D4C241D}"/>
    <hyperlink ref="G422" r:id="rId394" display="../PT. Able Commodities Indonesia/DO INV/PT. ABLE DO 1206 (PO  25900407) 07 N2.xlsm" xr:uid="{B5754822-E8B6-431B-8768-EE2334D63B40}"/>
    <hyperlink ref="G423" r:id="rId395" display="../PT. Able Commodities Indonesia/DO INV/PT. ABLE DO 1207 (PO  25900495) 07  N2,3,4.xlsm" xr:uid="{6FB284A5-90BB-4280-BACD-AC2A4246956D}"/>
    <hyperlink ref="G424" r:id="rId396" display="../PT. Able Commodities Indonesia/DO INV/PT. ABLE DO 1208 (PO  25900486) 07.xlsm" xr:uid="{EDDCFD17-EE5B-4E8C-B628-089DE197884C}"/>
    <hyperlink ref="G420" r:id="rId397" display="../PT. Agro Murni/DO INV/PT. AGRO M DO 1205 (PO  25 00309) REV 1 07.xlsm" xr:uid="{392B0562-7046-4347-B73E-EEBCCCCDF336}"/>
    <hyperlink ref="G425" r:id="rId398" xr:uid="{57332CC1-3E1C-4C6D-AA76-5BA2BDE02788}"/>
    <hyperlink ref="G421" r:id="rId399" display="../PT. Agro Murni/DO INV/PT. AGRO M DO 1205 (PO  25 00309) REV 2 07.xlsm" xr:uid="{A0E23C9A-D2C7-486D-905B-1156E615B547}"/>
    <hyperlink ref="G426" r:id="rId400" display="../PT. Agro Murni/DO INV/PT. AGRO M DO 1210 (PO  25 00313) 01.xlsm" xr:uid="{057E17F3-8973-4EBC-A944-A9AE037B7C70}"/>
    <hyperlink ref="G427" r:id="rId401" display="../PT. Agro Murni/DO INV/PT. AGRO M DO 1211 (PO  25 00331) 01.xlsm" xr:uid="{15C98DCB-6628-49B7-ACD9-A85FCB3AD91F}"/>
    <hyperlink ref="G428" r:id="rId402" display="../PT. Agro Murni/DO INV/PT. AGRO M DO 1211 (PO  25 00331) 01.xlsm" xr:uid="{5E31335A-AECC-4F4B-85D0-F3BCE8FBE577}"/>
    <hyperlink ref="G429" r:id="rId403" display="../PT. Simpang Kanan Lestarindo/DO INV/PT. SKL DO 1212 (PO  25 00192) 01.xlsm" xr:uid="{992BC624-4470-426F-922F-B3FEDBCA4799}"/>
    <hyperlink ref="G430" r:id="rId404" display="../PT. Simpang Kanan Lestarindo/DO INV/PT. SKL DO 1213 (PO  25 00206) 01.xlsm" xr:uid="{DCACEC48-8BDA-42E0-8D92-130C4DE3D6C6}"/>
    <hyperlink ref="G431" r:id="rId405" display="../PT. Agro Murni/DO INV/PT. AGRO M DO 1214 (PO  25 00331) 01.xlsm" xr:uid="{DDEF199E-0131-4E8F-9F2C-3513138133BB}"/>
    <hyperlink ref="G432" r:id="rId406" display="../PT. Agro Murni/DO INV/PT. AGRO M DO 1214 (PO  25 00331) 07 N2.xlsm" xr:uid="{E240B64A-FA0D-4153-87AD-E851B3918244}"/>
    <hyperlink ref="G434" r:id="rId407" display="../PT. Agro Murni/DO INV/PT. AGRO M DO 1215 (PO  25 00337) 07.xlsm" xr:uid="{2255974C-C460-423F-A6A1-1F8B9BB007FF}"/>
    <hyperlink ref="G433" r:id="rId408" display="../PT. Agro Murni/DO INV/PT. AGRO M DO 1214 (PO  25 00331) REV 1 07 N2.xlsm" xr:uid="{DA695512-6666-421F-9881-7A32ED1F3A8A}"/>
    <hyperlink ref="G435" r:id="rId409" display="../PT. Agro Murni/DO INV/PT. AGRO M DO 1215 (PO  25 00337) REV 1 07.xlsm" xr:uid="{BC6B7920-51DA-45CF-BFE1-A1727B2BB03B}"/>
    <hyperlink ref="G436" r:id="rId410" display="../PT. Simpang Kanan Lestarindo/DO INV/PT. SKL DO 1216 (PO  25 00213) 01.xlsm" xr:uid="{3F172F49-B1B4-47BD-83B5-911FE59D1280}"/>
    <hyperlink ref="G437" r:id="rId411" display="../PT. KIP/DO INV/PT. KIP DO 1217 (PO  25 00156) 01.xlsm" xr:uid="{49F8AB03-4583-4509-A494-91A30FFFC51C}"/>
    <hyperlink ref="G438" r:id="rId412" display="../PT. Simpang Kanan Lestarindo/DO INV/PT. SKL DO 1218 (PO  25 00198) 01.xlsm" xr:uid="{034B4924-C931-4F87-9AC6-7A8AA51CCE73}"/>
    <hyperlink ref="G439" r:id="rId413" display="../PT. Able Commodities Indonesia/DO INV/PT. ABLE DO 1219 (PO  25900523) 07.xlsm" xr:uid="{B96BFA22-7BCD-4856-B1A8-BDA47A985E12}"/>
    <hyperlink ref="G440" r:id="rId414" display="../PT. Able Commodities Indonesia/DO INV/PT. ABLE DO 1220 (PO  25900551) 07.xlsm" xr:uid="{815E2BEE-C37F-471C-8C37-551AE1B882E6}"/>
    <hyperlink ref="G441" r:id="rId415" display="../PT. SJIO DUMAI/DO INV/PT. SJIO DO 1221 (PO  242) .xlsm" xr:uid="{6BC622E9-101E-4B6E-81DA-7BC1683B5EEA}"/>
    <hyperlink ref="G442" r:id="rId416" display="../PT. KIP/DO INV/PT. KIP DO 1222 (PO  25 00158) .xlsm" xr:uid="{6F7186DB-90A6-4C20-A376-3B119FB4142E}"/>
    <hyperlink ref="G443" r:id="rId417" display="../PT. Simpang Kanan Lestarindo/DO INV/PT. SKL DO 1223 (PO  25 00219) .xlsm" xr:uid="{3CB2DCD3-77BA-491E-A0FF-125AADFB0A72}"/>
    <hyperlink ref="G444" r:id="rId418" display="../GROUP Apical Group/PT. Sari Dumai Sejati/DO INV/PT. SARI DUMAI SEJATI DO 1224 (PO  4500409407) .xlsm" xr:uid="{CCABF4E6-ABF8-4942-9C26-571FA933CBB0}"/>
    <hyperlink ref="G445" r:id="rId419" display="../GROUP Apical Group/PT. Sari Dumai Sejati/DO INV/PT. SDS DO 1224 (PO  4500409407) .xlsm" xr:uid="{81405EED-5F3A-4E32-97C0-3E4275DCF486}"/>
    <hyperlink ref="G446" r:id="rId420" display="../PT. SWP/DO INV/PT. SWP DO 1225 (PO  4000281068) .xlsm" xr:uid="{C43DDD28-0E9F-4C8A-9D69-CB6E8A2E7F18}"/>
    <hyperlink ref="G447" r:id="rId421" display="D:\PT. AGRI PRIMA INDOTAMA\PT. Able Commodities Indonesia\DO INV\PT. ABLE DO 1226 (PO  25900478) .xlsm" xr:uid="{B872288F-9887-4AAA-8695-4CD4B9C7CFFA}"/>
    <hyperlink ref="G448" r:id="rId422" display="D:\PT. AGRI PRIMA INDOTAMA\PT. Able Commodities Indonesia\DO INV\PT. ABLE DO 1227 (PO  25900559) 07 PARTIAL N2.xlsm" xr:uid="{CE20A863-2547-49F2-985C-1646D1C0109D}"/>
    <hyperlink ref="G450" r:id="rId423" display="../PT. Simpang Kanan Lestarindo/DO INV/PT. SKL DO 1228 (PO  25 00231) 01.xlsm" xr:uid="{8D24BF0F-55F1-4E76-B080-D0478C7D9436}"/>
    <hyperlink ref="G451" r:id="rId424" display="D:\PT. AGRI PRIMA INDOTAMA\PT. Agro Murni\DO INV\PT. AGRO M DO 1229 (PO  25 00331) 01 PARTIAL COMPLETE N1.xlsm" xr:uid="{687DE72E-4279-4CFE-B838-B4E572500022}"/>
    <hyperlink ref="G452" r:id="rId425" display="D:\PT. AGRI PRIMA INDOTAMA\GROUP Apical Group\PT. Sari Dumai Sejati\DO INV\PT. SDS DO 1230 (PO  4500409407) 07  PARTIAL COMPLETE N2,3,4.xlsm" xr:uid="{7095C86F-0B0F-4520-A06C-A48CAD17C557}"/>
    <hyperlink ref="G453" r:id="rId426" display="../PT. Able Commodities Indonesia/DO INV/PT. ABLE DO 1231 (PO  25900226) 01.xlsm" xr:uid="{55A9CCBE-9245-4792-843C-F49ED456FE06}"/>
    <hyperlink ref="G454" r:id="rId427" display="../PT. Agro Murni/DO INV/PT. AGRO M DO 1232 (PO  25 00345) 07 PARTIAL N3,4,5,9,12,13,17,18,20,21,22,26,32.xlsm" xr:uid="{0BCDB811-86EA-41A9-9BE2-30DE46358CE1}"/>
    <hyperlink ref="G455" r:id="rId428" display="../PT. Agro Murni/DO INV/PT. AGRO M DO 1233 (PO  25 00345) 07 PARTIAL N1,14.xlsm" xr:uid="{30EE276F-B5C5-4218-8133-E7C5B029E9E7}"/>
    <hyperlink ref="G456" r:id="rId429" display="../PT. KIP/DO INV/PT. KIP DO 1234 (PO  25 00174) 01.xlsm" xr:uid="{C82E794B-1F25-4D97-8B9B-BE531C98A625}"/>
    <hyperlink ref="G457" r:id="rId430" display="../PT. Agro Murni/DO INV/PT. AGRO M DO 1235 (PO  25 00345) 07 PARTIAL N2,6,7,8,11,15,19,23,25,28,30,31.xlsm" xr:uid="{AF5A7ED5-3C96-4346-AF54-7CAA755E53DA}"/>
    <hyperlink ref="G459" r:id="rId431" display="../PT. Agro Murni/DO INV/PT. AGRO M DO 1236 (PO  25 00362) 07 PARTIAL N18,20,22,24.xlsm" xr:uid="{284E163F-6B50-41E0-93E7-BC2A6A7FEEBD}"/>
    <hyperlink ref="G461" r:id="rId432" display="../PT. Able Commodities Indonesia/DO INV/PT. ABLE DO 1237 (PO  25900080) 01 PARTIAL COMPLETE  - N2.xlsm" xr:uid="{A57AD296-3253-47F1-B50F-C9FCB969904E}"/>
    <hyperlink ref="G462" r:id="rId433" display="../PT. Able Commodities Indonesia/DO INV/PT. ABLE DO 1237 (PO  25900080) 01 PARTIAL COMPLETE  - N2.xlsm" xr:uid="{B7D60BE7-EC44-4532-81B4-69788B44418F}"/>
    <hyperlink ref="G463" r:id="rId434" display="../PT. Able Commodities Indonesia/DO INV/PT. ABLE DO 1238 (PO  25900610) 07.xlsm" xr:uid="{A1F35FAA-2870-471A-BBD0-D4B8C75CF9BD}"/>
    <hyperlink ref="G464" r:id="rId435" display="../PT. Agro Murni/DO INV/PT. AGRO M DO 1239 (PO  25 00345) 07 - PARTIAL - N16,24,27.xlsm" xr:uid="{EA2634CB-37CD-4EC3-99E9-13A2F1F52F1B}"/>
    <hyperlink ref="G458" r:id="rId436" display="../PT. Agro Murni/DO INV/PT. AGRO M DO 1235 (PO  25 00345) 07 PARTIAL N2,6,7,8,11,15,19,23,25,28,30,31.xlsm" xr:uid="{DB7A7AD1-6530-47FB-9078-9F8615C57AD3}"/>
    <hyperlink ref="G465" r:id="rId437" display="../PT. SWP/DO INV/PT. SWP DO 1240 (PO  4000281328) 01.xlsm" xr:uid="{DBD8B111-9F0A-4C74-BD08-638C1C1B353D}"/>
    <hyperlink ref="G460" r:id="rId438" display="../PT. Agro Murni/DO INV/PT. AGRO M DO 1236 (PO  25 00362) 01 PARTIAL N18,20,22,24.xlsm" xr:uid="{B0A8EC95-80AC-461C-9C7F-53128D2A5834}"/>
    <hyperlink ref="G466" r:id="rId439" display="../PT. SJIO DUMAI/DO INV/PT. SJIO DO 1241 (PO  256) 01.xlsm" xr:uid="{9A9F9534-3F50-40DA-BA9B-9DD73AD63363}"/>
    <hyperlink ref="G467" r:id="rId440" display="../PT. Simpang Kanan Lestarindo/DO INV/PT. SKL DO 1242 (PO  25 00244) 01.xlsm" xr:uid="{797D784B-3929-4DD6-83A4-16D1FFE27909}"/>
    <hyperlink ref="G468" r:id="rId441" xr:uid="{FD0C11D6-C4A0-45D1-AB9B-D532B0CA4ADF}"/>
    <hyperlink ref="G469" r:id="rId442" display="../PT. Pacific Palmindo Industri/DO INV/PT. PPI DO 1244 (PO  4714045551) 07.xlsm" xr:uid="{AE852449-9E69-4849-940E-4B72BC090746}"/>
    <hyperlink ref="G470" r:id="rId443" display="../PT. Simpang Kanan Lestarindo/DO INV/PT. SKL DO 1245 (PO  25 00263) 01.xlsm" xr:uid="{6CA7FDA7-6A42-4A56-89F3-DB83B126D912}"/>
    <hyperlink ref="G471" r:id="rId444" display="../PT. Simpang Kanan Lestarindo/DO INV/PT. SKL DO 1246 (PO  25 00253) 01.xlsm" xr:uid="{A748F63B-3F6C-4355-A4C2-E51B9F40744D}"/>
    <hyperlink ref="G472" r:id="rId445" display="../PT. Agro Murni/DO INV/PT. AGRO M DO 1247 (PO  25 00391) 01.xlsm" xr:uid="{EB7DEEC4-C089-403D-8E79-0D12AB0F064F}"/>
    <hyperlink ref="G473" r:id="rId446" display="../PT. Agro Murni/DO INV/PT. AGRO M DO 1248 (PO  25 00405) 07.xlsm" xr:uid="{6B21AF5F-E3C8-47F1-807F-EC9797497FD6}"/>
    <hyperlink ref="G474" r:id="rId447" display="../PT. KIP/DO INV/PT. KIP DO 1249 (PO  25 00222) 01.xlsm" xr:uid="{6764F00C-94B4-466B-B5D3-690145CB7C6E}"/>
    <hyperlink ref="G475" r:id="rId448" display="../PT. KIP/DO INV/PT. KIP DO 1250 (PO  25 00215) 01.xlsm" xr:uid="{6320B563-ACC0-421E-B128-7ACD48BC7BB5}"/>
    <hyperlink ref="G476" r:id="rId449" display="../PT. KIP/DO INV/PT. KIP DO 1251 (PO  25 00219) 01.xlsm" xr:uid="{32DF84BA-D460-4B8A-BD10-2B2CE597D99C}"/>
    <hyperlink ref="G477" r:id="rId450" display="../PT. KIP/DO INV/PT. KIP DO 1252 (PO   ) SEMENTARA.xlsm" xr:uid="{5DB562E9-5F5C-44F2-B1CC-21C256DFD5A3}"/>
    <hyperlink ref="G479" r:id="rId451" display="../PT. Pacific Palmindo Industri/DO INV/PT. PPI DO 1253 (PO  4714045692) 01.xlsm" xr:uid="{0F86C783-FF08-420B-876C-165FCC06DFE1}"/>
    <hyperlink ref="G480" r:id="rId452" display="../PT. KIP/DO INV/PT. KIP DO 1254 (PO  25 00207) 01.xlsm" xr:uid="{A66434CC-DC0B-4934-8F3B-BD0FD775DBB1}"/>
    <hyperlink ref="G481" r:id="rId453" display="../PT. Agro Murni/DO INV/PT. AGRO M DO 1255 (PO  25 00400) 01.xlsm" xr:uid="{7A65EF3F-72CF-4DFA-A43C-DB5BA1D0693B}"/>
    <hyperlink ref="G482" r:id="rId454" display="../GROUP Apical Group/PT. Apical Kao Chemicals/DO INV/PT. AKC DO 1256 (PO  4500412767) 07.xlsm" xr:uid="{208077E2-329C-4D26-A87C-A29B12ADA609}"/>
    <hyperlink ref="G483" r:id="rId455" display="../PT. Agro Murni/DO INV/PT. AGRO M DO 1257 (PO  25 00379) 01.xlsm" xr:uid="{C29FCA36-4C1E-4C2D-BAC5-F7CD0ACA7E0B}"/>
    <hyperlink ref="G478" r:id="rId456" display="../PT. KIP/DO INV/PT. KIP DO 1252 (PO  25 00232) 01.xlsm" xr:uid="{C0CDB033-F106-4233-8E05-BEF98CE8F692}"/>
    <hyperlink ref="G484" r:id="rId457" display="../PT. Simpang Kanan Lestarindo/DO INV/PT. SKL DO 1258 (PO  25 00304) 01.xlsm" xr:uid="{747618EA-1D20-40B1-A976-1EB5070E2942}"/>
    <hyperlink ref="G485" r:id="rId458" xr:uid="{12D875D9-2E7C-4CCC-8AF6-B0B3DAE2CF8D}"/>
    <hyperlink ref="G486" r:id="rId459" xr:uid="{D59D963D-20A0-4A5F-9D3A-A7365B8C78DD}"/>
    <hyperlink ref="G487" r:id="rId460" xr:uid="{E3C4C512-6EC4-490B-BB07-96A5A90307AC}"/>
    <hyperlink ref="G488" r:id="rId461" xr:uid="{AE44C297-A5AC-417A-A8D3-87C444A8E679}"/>
    <hyperlink ref="G489" r:id="rId462" display="../PT. KIP/DO INV/PT. KIP DO 1262 (PO  25 00246) 01.xlsm" xr:uid="{6A450DE2-89DE-4F4C-A059-FCC50D8913E7}"/>
    <hyperlink ref="G490" r:id="rId463" display="../PT. KIP/DO INV/PT. KIP DO 1263 (PO  25 00251) 01.xlsm" xr:uid="{917C3E8D-81CD-49D8-A14F-D9C6BD741C3E}"/>
    <hyperlink ref="G491" r:id="rId464" display="../PT. Agro Murni/DO INV/PT. AGRO M DO 1264 (PO  25 00362) 01 - PARTIAL - 1.2,3,4,6,8.xlsm" xr:uid="{3FE937C3-4038-414B-B02F-0EC70BDBAF4F}"/>
    <hyperlink ref="G492" r:id="rId465" display="../PT. Agro Murni/DO INV/ DO 1265 (PO  ) 01.xlsm" xr:uid="{FA8253C3-500A-4771-B15E-FAB184AA030F}"/>
    <hyperlink ref="G449" r:id="rId466" xr:uid="{2FCEB4E3-E3FE-4DE2-9812-ACA56AADD2AC}"/>
    <hyperlink ref="G493" r:id="rId467" display="../PT. SJIO DUMAI/DO INV/PT. SJIO DO 1266 (PO  389) 01.xlsm" xr:uid="{DF229314-2D76-49CF-9BA3-06C66624F62B}"/>
    <hyperlink ref="G494" r:id="rId468" display="../PT. Simpang Kanan Lestarindo/DO INV/PT. SKL DO 1267 (PO  25 00325) 01.xlsm" xr:uid="{359D6E6E-C5F6-4771-9913-CC785E877801}"/>
    <hyperlink ref="G495" r:id="rId469" display="../PT. Able Commodities Indonesia/DO INV/PT. ABLE DO 1268 (PO  25900616) 07.xlsm" xr:uid="{5BDFE612-6294-4340-904F-A4C047815AF7}"/>
    <hyperlink ref="G497" r:id="rId470" display="../PT. Able Commodities Indonesia/DO INV/PT. ABLE DO 1269 (PO  25900630) 07.xlsm" xr:uid="{43C1785B-4A52-4D00-8C91-2A99D23C0190}"/>
    <hyperlink ref="G499" r:id="rId471" display="../PT. Able Commodities Indonesia/DO INV/ DO 1270 (PO  ) 07 - PARTIAL - N1,2.xlsm" xr:uid="{12F91CEA-9865-4584-B9A8-A5F7370C97FC}"/>
    <hyperlink ref="G496" r:id="rId472" display="../PT. Able Commodities Indonesia/DO INV/ DO 1268 (PO  ) 07.xlsm" xr:uid="{AD48A709-B107-4D0E-9868-7B15122B05C1}"/>
    <hyperlink ref="G498" r:id="rId473" display="../PT. Able Commodities Indonesia/DO INV/ DO 1269 (PO  ) 07.xlsm" xr:uid="{4A65F13E-90AC-4CC8-B1ED-1797B7110DA0}"/>
    <hyperlink ref="G500" r:id="rId474" xr:uid="{9D3A173F-FC59-4398-98B7-D3CD8D348CC8}"/>
    <hyperlink ref="G501" r:id="rId475" display="../PT. Pacific Palmindo Industri/DO INV/PT. PPI DO 1272 (PO  4714045796) 01 - PARTIAL - N1,2,3,4.xlsm" xr:uid="{72A1BC3C-D8FC-4146-A01A-30A7AC1D1F40}"/>
    <hyperlink ref="G503" r:id="rId476" display="../GROUP Apical Group/PT. Apical Kao Chemicals/DO INV/PT. AKC DO 1273 (PO  4500413575) 07.xlsm" xr:uid="{F54561C6-207D-4F96-9510-029FFEE9525C}"/>
    <hyperlink ref="G504" r:id="rId477" display="../PT. Agro Murni/DO INV/PT. AGRO M DO 1274 (PO  25 00362) 07 - PARTIAL - N15,16.xlsm" xr:uid="{DB0CA64A-C261-49AC-BE7F-F84A66909546}"/>
    <hyperlink ref="G505" r:id="rId478" display="../PT. Agro Murni/DO INV/PT. AGRO M DO 1274 (PO  25 00362) 01 - PARTIAL - N15,16.xlsm" xr:uid="{88F11B42-0B95-440E-8246-21135F033D08}"/>
    <hyperlink ref="G506" r:id="rId479" display="../PT. Agro Murni/DO INV/PT. AGRO M DO 1275 (PO  25 00426) 01.xlsm" xr:uid="{2F43985A-E54E-475A-8EE3-463970249629}"/>
    <hyperlink ref="G507" r:id="rId480" xr:uid="{28B1447F-E582-442B-8F0C-1FA08F01AEEC}"/>
    <hyperlink ref="G508" r:id="rId481" display="../PT. Simpang Kanan Lestarindo/DO INV/PT. SKL DO 1277 (PO  25 00331) 01.xlsm" xr:uid="{328C8620-D3BB-4BC1-8C7D-3DB550C115D6}"/>
    <hyperlink ref="G509" r:id="rId482" display="../PT. SJIO DUMAI/DO INV/PT. SJIO DO 1278 (PO  361) 01.xlsm" xr:uid="{747339F9-2F01-4497-9F0F-D6C4ED6AEB4C}"/>
    <hyperlink ref="G510" r:id="rId483" display="../PT. SJIO DUMAI/DO INV/PT. SJIO DO 1279 (PO  435) 01 - PARTIAL - N1,2,3.xlsm" xr:uid="{C89DD27C-B593-49F6-8AC0-BE100B35AAAD}"/>
    <hyperlink ref="G511" r:id="rId484" display="../PT. Simpang Kanan Lestarindo/DO INV/PT. SKL DO 1280 (PO  25 00310) 01.xlsm" xr:uid="{5B0FF0F4-BCEB-41C2-BE24-311E003D6254}"/>
    <hyperlink ref="G512" r:id="rId485" display="../GROUP Apical Group/PT. Sari Dumai Sejati/DO INV/PT. SDS DO 1281 (PO  4500414687) 07.xlsm" xr:uid="{63006174-E5A1-421E-9E2D-F6EBB56396A3}"/>
    <hyperlink ref="G513" r:id="rId486" display="../PT. Pacific Palmindo Industri/DO INV/PT. PPI DO 1282 (PO  4714046037) 07.xlsm" xr:uid="{B3394D53-3FF0-4E7F-9C3B-6C5F0BA77441}"/>
    <hyperlink ref="G514" r:id="rId487" display="../PT. Simpang Kanan Lestarindo/DO INV/PT. SKL DO 1283 (PO  25 00336) 01.xlsm" xr:uid="{6D1D7987-48DF-49E6-B95A-66B3720516B7}"/>
    <hyperlink ref="G515" r:id="rId488" display="../PT. Agro Murni/DO INV/PT. AGRO M DO 1284 (PO  25 00345) 07 - PARTIAL - N10,29.xlsm" xr:uid="{DB372C6B-D02A-499B-9168-A3D702A3127E}"/>
    <hyperlink ref="G516" r:id="rId489" display="../PT. Agro Murni/DO INV/PT. AGRO M DO 1285 (PO  25 00431) 07 - PARTIAL - N1.xlsm" xr:uid="{7B9E97AD-6EF5-4EA6-8F8D-8E7B63A8847A}"/>
    <hyperlink ref="G517" r:id="rId490" display="../PT. Agro Murni/DO INV/PT. AGRO M DO 1286 (PO  25 00362) 01 - PARTIAL - N12,13.xlsm" xr:uid="{B06EB2A6-4022-4B48-A973-886FA1D53326}"/>
    <hyperlink ref="G518" r:id="rId491" display="../GROUP Apical Group/PT. Sari Dumai Sejati/DO INV/PT. SDS DO 1287 (PO  4500414492) 07.xlsm" xr:uid="{23A12B60-0744-4DB2-8D14-3478815C77B2}"/>
    <hyperlink ref="G519" r:id="rId492" display="../PT. KIP/DO INV/PT. KIP DO 1288 (PO  25 00282) 01.xlsm" xr:uid="{F0738681-0C36-4A36-97D8-6DA34A052D8B}"/>
    <hyperlink ref="G520" r:id="rId493" display="../GROUP Apical Group/PT. Sari Dumai Sejati/DO INV/PT. SDS DO 1289 (PO  4500414687) 07.xlsm" xr:uid="{A7789883-3067-4C20-80FD-850986BE1F14}"/>
    <hyperlink ref="G521" r:id="rId494" display="../PT. SJIO DUMAI/DO INV/PT. SJIO DO 1290 (PO  435) 01  - PARTIAL COMPLETE - N4.xlsm" xr:uid="{7B3595B0-B092-4B44-857C-AD5486F9429A}"/>
    <hyperlink ref="G522" r:id="rId495" display="../PT. Pacific Palmindo Industri/DO INV/PT. PPI DO 1291 (PO  4714046073) 07.xlsm" xr:uid="{39D53214-874A-41AD-A5FD-CED58ACF65F8}"/>
    <hyperlink ref="G502" r:id="rId496" display="../PT. Pacific Palmindo Industri/DO INV/PT. PPI DO 1272 (PO  4714045796) REV 1 01 - PARTIAL - N3,4.xlsm" xr:uid="{FDD98E22-35D3-45C8-8465-2400D3AB3171}"/>
    <hyperlink ref="G523" r:id="rId497" display="../PT. Pacific Palmindo Industri/DO INV/PT. PPI DO 1292 (PO  4714045796) REV 1 01 - PARTIAL - N1,2.xlsm" xr:uid="{916CF416-396C-44B9-B327-680E17B3FA4E}"/>
    <hyperlink ref="G524" r:id="rId498" display="../PT. KIP/DO INV/PT. KIP DO 1293 (PO  25 00280) 01.xlsm" xr:uid="{D628164B-15DC-477F-B91B-9F35FF593929}"/>
    <hyperlink ref="G525" r:id="rId499" display="../PT. KIP/DO INV/PT. KIP DO 1294 (PO  25 00281) 01.xlsm" xr:uid="{37B46043-287A-4CCF-BCBD-EF021FDADA4D}"/>
    <hyperlink ref="G526" r:id="rId500" display="../PT. SWP/DO INV/PT. SWP DO 1295 (PO  4000293614) 07.xlsm" xr:uid="{93FDFCE5-DED1-440F-9466-3DE3A730BBD5}"/>
    <hyperlink ref="G527" r:id="rId501" display="../PT. Agro Murni/DO INV/PT. AGRO M DO 1296 (PO  25 00362) 01 - PARTIAL - N25.xlsm" xr:uid="{D411F0E9-8A7B-40DB-B7AC-454536AD3D77}"/>
    <hyperlink ref="G528" r:id="rId502" xr:uid="{E7DDB63C-0018-49DE-A142-59B74A3B2139}"/>
    <hyperlink ref="G529" r:id="rId503" display="../PT. KIP/DO INV/PT. KIP DO 1323 (PO  25 00307) 01.xlsm" xr:uid="{1E637EF0-EB6F-4C15-AC43-5DC1FBE7064C}"/>
    <hyperlink ref="G530" r:id="rId504" display="../PT. SJIO DUMAI/DO INV/PT. SJIO DO 1324 (PO   ) '01 - DO SEMENTARA.xlsm" xr:uid="{B70931E7-E7E2-4318-90F9-5E5ABBFF08F7}"/>
    <hyperlink ref="G531" r:id="rId505" display="../PT. SJIO DUMAI/DO INV/ DO 1325 (PO  ) 07.xlsm" xr:uid="{3A239030-C0D6-4AFA-8302-920896B526F7}"/>
    <hyperlink ref="G533" r:id="rId506" xr:uid="{134F6FC6-B413-4237-B16D-69ED0E3B155A}"/>
    <hyperlink ref="G534" r:id="rId507" display="../PT. Simpang Kanan Lestarindo/DO INV/PT. SKL DO 1326 (PO   VI 2025) 07.xlsm" xr:uid="{96EE6808-D316-4A1C-9C7E-1739EF7ADCEB}"/>
    <hyperlink ref="G535" r:id="rId508" display="../PT. Simpang Kanan Lestarindo/DO INV/ DO 1326 (PO  ) 07.xlsm" xr:uid="{407D62D9-1D11-41C6-8F30-32B25F8A15C4}"/>
    <hyperlink ref="G536" r:id="rId509" display="../PT. Simpang Kanan Lestarindo/DO INV/PT. SKL DO 1327 (PO  25 00370) 01.xlsm" xr:uid="{8FA03197-25E0-461C-9A3D-AF7BB1747707}"/>
    <hyperlink ref="G537" r:id="rId510" display="../GROUP Apical Group/PT. Sari Dumai Sejati/DO INV/PT. SDS DO 1328 (PO  4500414687) 07 - PERGANTIAN.xlsm" xr:uid="{3AFE140C-C65C-4407-8327-FB14909B5FE4}"/>
    <hyperlink ref="G538" r:id="rId511" xr:uid="{646B3248-0FA7-43DD-B488-8E3BDEC7E192}"/>
    <hyperlink ref="G532" r:id="rId512" xr:uid="{8AA642D3-163E-4071-AD19-432E9D629FA9}"/>
    <hyperlink ref="G539" r:id="rId513" xr:uid="{AC3E8AEB-2C86-4601-BCD5-D87715A5DD98}"/>
    <hyperlink ref="G540" r:id="rId514" xr:uid="{23B4B8C9-0EC1-4882-A88C-B0870FCC3E9F}"/>
    <hyperlink ref="G541" r:id="rId515" xr:uid="{5D27FEB7-7442-4FFE-B471-AE6A27E26341}"/>
    <hyperlink ref="G542" r:id="rId516" xr:uid="{571A21E7-8226-4F01-ACA5-4675C23A6AE0}"/>
    <hyperlink ref="G544" r:id="rId517" xr:uid="{1E15EE27-A99B-47B3-BD99-0A10D52CCE9A}"/>
    <hyperlink ref="G545" r:id="rId518" display="../PT. YORGO ANUGRERAH NUSANTARA/DO INV/PT. YORGO DO 1336 (PO  251002444) 01.xlsm" xr:uid="{638C9A44-1053-4FB9-B3EA-7B34CA7D82D9}"/>
    <hyperlink ref="G546" r:id="rId519" display="../PT. Simpang Kanan Lestarindo/DO INV/PT. SKL DO 1337 (PO  25 00390) 01.xlsm" xr:uid="{25F1E5BC-615D-4669-887B-34BAD1A65C6D}"/>
    <hyperlink ref="G547" r:id="rId520" display="../PT. Pacific Palmindo Industri/DO INV/PT. PPI DO 1338 (PO  4714046130) 01.xlsm" xr:uid="{A0F8B307-4D59-4544-9999-675A218D4EC6}"/>
    <hyperlink ref="G548" r:id="rId521" display="../PT. Pacific Palmindo Industri/DO INV/PT. PPI DO 1339 (PO  4714046127) 01.xlsm" xr:uid="{37E29A46-B1FD-46E0-AFB7-5CD4B0371294}"/>
    <hyperlink ref="G549" r:id="rId522" display="../PT. Pacific Palmindo Industri/DO INV/PT. PPI DO 1340 (PO  4714046298) 01.xlsm" xr:uid="{5B76311C-8E43-4478-BE99-D515E2961F24}"/>
    <hyperlink ref="G550" r:id="rId523" display="../PT. Simpang Kanan Lestarindo/DO INV/PT. SKL DO 1341 (PO  25 00416) 01.xlsm" xr:uid="{92BA5B7A-4CC0-4985-B503-318C14276DD6}"/>
    <hyperlink ref="G551" r:id="rId524" display="../PT. Agro Raya Mas/DO INV/PT. ARM DO 1342 (PO  25900792) 07.xlsm" xr:uid="{48E7EA60-7C25-41D1-8A9D-15F261B87BA3}"/>
    <hyperlink ref="G552" r:id="rId525" display="../PT. Agro Raya Mas/DO INV/PT. ARM DO 1343 (PO  25900839) 07.xlsm" xr:uid="{3BB515E1-FB07-42F2-884E-D3B85F1EF70D}"/>
    <hyperlink ref="G553" r:id="rId526" display="../PT. Agro Raya Mas/DO INV/PT. ARM DO 1344 (PO  25900824) 01 - PARTIAL COMPLETE - N1.xlsm" xr:uid="{B5867D98-4939-4B5A-941F-5037BB3BCEF5}"/>
    <hyperlink ref="G554" r:id="rId527" display="../PT. Agro Murni/DO INV/PT. AGRO M DO 1345 (PO  25 00493) 07.xlsm" xr:uid="{8B3FCC34-36B4-436E-96B9-24426A7DFAAB}"/>
    <hyperlink ref="G555" r:id="rId528" display="../PT. Agro Murni/DO INV/PT. AGRO M DO 1345 (PO  25 00493) 07.xlsm" xr:uid="{01D20055-7727-4015-AD5E-5C680131E588}"/>
    <hyperlink ref="G556" r:id="rId529" display="../PT. Agro Murni/DO INV/PT. AGRO M DO 1345 (PO  25 00493) 07.xlsm" xr:uid="{BC63513E-8945-4C16-B154-F9B0907A899D}"/>
    <hyperlink ref="G557" r:id="rId530" display="../GROUP Apical Group/PT. Sari Dumai Sejati/DO INV/PT. SDS DO 1346 (PO  4500417082) 07.xlsm" xr:uid="{A0A72BEA-E588-4627-A75F-64520D42445C}"/>
    <hyperlink ref="G558" r:id="rId531" display="../PT. Pacific Palmindo Industri/DO INV/PT. PPI DO 1347 (PO  4714046127) 01 - PARTIAL COMPLETE - N4.xlsm" xr:uid="{B41CFBBD-F711-4EDE-9807-3D62BC051034}"/>
    <hyperlink ref="G559" r:id="rId532" display="../PT. Agro Raya Mas/DO INV/PT. ARM DO 1348 (PO  25900742) 07 - PARTIAL COMPLETE - N1,2,3,4,5.xlsm" xr:uid="{C412A4F3-A5AB-4E77-A6A1-D93D6177262E}"/>
    <hyperlink ref="G560" r:id="rId533" display="../PT. Agro Raya Mas/DO INV/PT. ARM DO 1349 (PO  25900924) 07.xlsm" xr:uid="{C33DE178-15C9-418D-89BE-A7DD6F78586A}"/>
    <hyperlink ref="G561" r:id="rId534" display="../PT. Agro Raya Mas/DO INV/PT. ARM DO 1350 (PO  25900908) 07 - PARTIAL - N2,3,5.xlsm" xr:uid="{E187ADCC-257B-496D-977D-E095C00ED6FD}"/>
    <hyperlink ref="G562" r:id="rId535" display="../PT. Agro Raya Mas/DO INV/PT. ARM DO 1351 (PO  25900909) 01.xlsm" xr:uid="{5E091173-B32E-49AB-A9DB-EA59DE9DEC1A}"/>
    <hyperlink ref="G563" r:id="rId536" display="../PT. SWP/DO INV/PT. SWP DO 1352 (PO  4000289619) 07.xlsm" xr:uid="{329F9C02-7375-459D-8ED3-07878A278D2B}"/>
    <hyperlink ref="G564" r:id="rId537" display="../PT. Agro Raya Mas/DO INV/PT. ARM DO 1353 (PO  25900926) 07.xlsm" xr:uid="{9D026982-6AD9-4EB7-AF6D-F41BD9D0F316}"/>
    <hyperlink ref="G565" r:id="rId538" display="../PT. Agro Raya Mas/DO INV/PT. ARM DO 1353 (PO  25900926) 07.xlsm" xr:uid="{5F54E2DD-531B-46ED-AD44-AE926812433A}"/>
    <hyperlink ref="G566" r:id="rId539" display="../GROUP Apical Group/PT. Sari Dumai Sejati/DO INV/PT. SDS DO 1354 (PO  4500417910) 07.xlsm" xr:uid="{FE71CC38-77EE-4BE8-A42D-0577E12ADD15}"/>
    <hyperlink ref="G567" r:id="rId540" display="../GROUP Apical Group/PT. Sari Dumai Sejati/DO INV/PT. SDS DO 1354 (PO  4500417910) 07.xlsm" xr:uid="{84CB9C78-63C6-4809-A4D3-9F51E6BF81C0}"/>
    <hyperlink ref="G568" r:id="rId541" display="../PT. Agro Raya Mas/DO INV/PT. ARM DO 1355 (PO  25900908) 07 - PARTIAL - N1.xlsm" xr:uid="{C32FFD99-4545-4F56-87D6-FD4B73A29635}"/>
    <hyperlink ref="G569" r:id="rId542" display="../PT. SJIO DUMAI/DO INV/PT. SJIO DO 1356 (PO  640) 01.xlsm" xr:uid="{F7B9866A-0834-4D9F-AEB6-89094A6C5449}"/>
    <hyperlink ref="G570" r:id="rId543" display="../PT. Agro Raya Mas/DO INV/PT. ARM DO 1357 (PO  25900907) 07 - PARTIAL - N1.xlsm" xr:uid="{B39A3D17-3105-44B3-8CBA-37A2B3FF2AF2}"/>
    <hyperlink ref="G572" r:id="rId544" display="../PT. Agro Raya Mas/DO INV/PT. ARM DO 1358 (PO  25900948) 07.xlsm" xr:uid="{B3D23637-4208-4808-B24B-A2B14837B1E6}"/>
    <hyperlink ref="G573" r:id="rId545" display="../PT. SJIO DUMAI/DO INV/PT. SJIO DO 1359 (PO  454) 01.xlsm" xr:uid="{5F87B73A-7B32-45F4-8B20-BC1F0551BC54}"/>
    <hyperlink ref="G571" r:id="rId546" display="../PT. Agro Raya Mas/DO INV/PT. ARM DO 1357 (PO  25900907) REV 1 07 - PARTIAL - N1.xlsm" xr:uid="{386C9AD3-F3F0-4F55-9C4D-1A3842A1396C}"/>
    <hyperlink ref="G574" r:id="rId547" display="../PT. Pacific Palmindo Industri/DO INV/PT. PPI DO 1360 (PO  4714046439) 07 - PARTIAL - N1,2,3.xlsm" xr:uid="{EB2E4313-9888-401C-AFE8-EFCF6A1A0919}"/>
    <hyperlink ref="G575" r:id="rId548" display="../PT. Pacific Palmindo Industri/DO INV/PT. PPI DO 1361 (PO  4714046355) 01 - PARTIAL - N1.xlsm" xr:uid="{B5E995FF-130D-4E69-BE10-FF39B9914007}"/>
    <hyperlink ref="G576" r:id="rId549" display="../PT. Simpang Kanan Lestarindo/DO INV/PT. SKL DO 1362 (PO  25 00421) 01.xlsm" xr:uid="{1A6DF587-3CCD-404C-B569-1FBA3B27D976}"/>
    <hyperlink ref="G577" r:id="rId550" display="../PT. SJIO DUMAI/DO INV/PT. SJIO DO 1363 (PO  667) 01.xlsm" xr:uid="{80EF392E-6963-4929-BCA0-DFA71A6F431B}"/>
    <hyperlink ref="G578" r:id="rId551" display="../PT. Agro Murni/DO INV/PT. AGRO M DO 1364 (PO  25 00405) 07 - BARANG PERGANTIAN.xlsm" xr:uid="{495E6877-F663-4BFA-AB4A-0945953E4DC3}"/>
    <hyperlink ref="G579" r:id="rId552" display="../PT. Agro Raya Mas/DO INV/PT. ARM DO 1365 (PO  25900955) 07.xlsm" xr:uid="{BDCA309B-9F46-4A5D-B63C-EF788A0A67BA}"/>
    <hyperlink ref="G580" r:id="rId553" display="../PT. Agro Raya Mas/DO INV/PT. ARM DO 1366 (PO  25900956) 07.xlsm" xr:uid="{5E30C3BF-AB9C-474B-9459-93B94FDAB5F3}"/>
    <hyperlink ref="G581" r:id="rId554" display="../PT. Agro Raya Mas/DO INV/PT. ARM DO 1367 (PO  25900907) 07 - PARTIAL - N1.xlsm" xr:uid="{8CD10CB3-4A9F-4F45-AF49-DE73DFCA1E22}"/>
    <hyperlink ref="G583" r:id="rId555" display="../PT. Agro Raya Mas/DO INV/PT. ARM DO 1368 (PO  25900908) 07 - PARTIAL - N4.xlsm" xr:uid="{1450568E-3A8E-47FD-A541-09385FFAA1A9}"/>
    <hyperlink ref="G582" r:id="rId556" display="../PT. Agro Raya Mas/DO INV/PT. ARM DO 1367 (PO  25900907) REV 1 07 - PARTIAL - N2,3.xlsm" xr:uid="{4C20BBAE-4BD7-4D45-9C95-68DA5AF4A91A}"/>
    <hyperlink ref="G584" r:id="rId557" display="../PT. KIP/DO INV/PT. KIP DO 1369 (PO  25 00321) 01.xlsm" xr:uid="{6364EAE8-6860-4000-BBBF-F9E9C7AA4457}"/>
    <hyperlink ref="G585" r:id="rId558" display="../PT. KIP/DO INV/PT. KIP DO 1369 (PO  25 00321) 01.xlsm" xr:uid="{3EFD8D4C-466F-4509-B7FE-8B3619633B07}"/>
    <hyperlink ref="G586" r:id="rId559" display="../PT. Simpang Kanan Lestarindo/DO INV/PT. SKL DO 1370 (PO   ) 01 - SEMENTARA - URGENT.xlsm" xr:uid="{7BE2FB10-3A0C-4EBC-A33C-41D10F529D83}"/>
    <hyperlink ref="G587" r:id="rId560" display="../PT. Simpang Kanan Lestarindo/DO INV/PT. SKL DO 1370 (PO   ) 01 - SEMENTARA - URGENT.xlsm" xr:uid="{344219A3-F3F3-4F7C-AABC-AF136DA74A22}"/>
    <hyperlink ref="G589" r:id="rId561" display="../PT. Pacific Palmindo Industri/DO INV/PT. PPI DO 1371 (PO  4714046439) 07 - PARTIAL COMPLETE - N4.xlsm" xr:uid="{E9795C51-AE1B-416F-81AA-2D70C75CDBEF}"/>
    <hyperlink ref="G590" r:id="rId562" display="../PT. Pacific Palmindo Industri/DO INV/PT. PPI DO 1372 (PO  4714046355) 01.xlsm" xr:uid="{CBD1F080-6084-4367-B2A8-34732B58AC80}"/>
    <hyperlink ref="G591" r:id="rId563" display="../PT. Pacific Palmindo Industri/DO INV/PT. PPI DO 1373 (PO  4714046496) 01 - PARTIAL - N3.xlsm" xr:uid="{B2A44F1B-5B9A-4609-855D-42E42036EB83}"/>
    <hyperlink ref="G592" r:id="rId564" xr:uid="{16BCEB7A-77C1-420B-BDFA-7DC25E72F7FB}"/>
    <hyperlink ref="G593" r:id="rId565" xr:uid="{FC7887F1-E01C-436E-BAFE-862B33D92CC4}"/>
    <hyperlink ref="G594" r:id="rId566" display="../PT. SWP/DO INV/PT. SWP DO 1376 (PO  4000298388) 07.xlsm" xr:uid="{3D5722A7-99FD-48D0-9C57-0C4EDF8B396E}"/>
    <hyperlink ref="G595" r:id="rId567" display="../PT. Agro Raya Mas/DO INV/PT. ARM DO 1377 (PO  25900981) 07.xlsm" xr:uid="{02F4766C-60F1-4B5A-A47D-BDAE236A736F}"/>
    <hyperlink ref="G596" r:id="rId568" display="../PT. Agro Raya Mas/DO INV/PT. ARM DO 1378 (PO  25900995) 07 - PARTIAL - N3,N4(-2PCS).xlsm" xr:uid="{C45E44DF-7CA2-4E38-9561-C949E31C1F33}"/>
    <hyperlink ref="G597" r:id="rId569" display="../PT. Agro Raya Mas/DO INV/PT. ARM DO 1379 (PO  25900995) 07 - PARTIAL - N3,N4(-2PCS).xlsm" xr:uid="{F4813DDD-D0CA-468C-8C02-9A58C4C5B3CF}"/>
    <hyperlink ref="G598" r:id="rId570" display="../PT. Simpang Kanan Lestarindo/DO INV/PT. SKL DO 1380 (PO  25 00402) 01.xlsm" xr:uid="{496C2C2A-3C6C-4759-95E8-97B426D019CD}"/>
    <hyperlink ref="G599" r:id="rId571" display="../PT. Agro Raya Mas/DO INV/PT. ARM DO 1381 (PO  25900942) 07 - PARTIAL - 1,2,3,4,5,6(-10PCS),7,8,9,10,11,12,14,15,16,17,18,19,22,23,24,25,26,27,28,29,30,31,32,33,34,35.xlsm" xr:uid="{71002F68-C116-4718-9FB4-B3B8B56746D0}"/>
    <hyperlink ref="G600" r:id="rId572" display="../PT. Pacific Palmindo Industri/DO INV/PT. PPI DO 1382 (PO  4714046496) 01 - PARTIAL - N1(-1PCS), N2.xlsm" xr:uid="{11C2FC65-226A-4299-A750-94160B697A3D}"/>
    <hyperlink ref="G601" r:id="rId573" display="../PT. Agro Raya Mas/DO INV/PT. ARM DO 1383 (PO  25900995) 07 - PARTIAL - N1.xlsm" xr:uid="{5E9FD145-1733-41A3-8954-5FC298516E69}"/>
    <hyperlink ref="G602" r:id="rId574" display="../PT. Agro Raya Mas/DO INV/PT. ARM DO 1384 (PO  25900925) 07.xlsm" xr:uid="{6133CAF3-5A88-4DC1-9522-D4C38F835E83}"/>
    <hyperlink ref="G603" r:id="rId575" display="../PT. Agro Raya Mas/DO INV/PT. ARM DO 1385 (PO  25900791) 07.xlsm" xr:uid="{83303A97-F624-45E9-BD7C-5338C03AAA5D}"/>
    <hyperlink ref="G604" r:id="rId576" display="../PT. Agro Raya Mas/DO INV/PT. ARM DO 1386 (PO  25901049) 07.xlsm" xr:uid="{32188F0F-17A5-4A51-954F-B1E19421DF95}"/>
    <hyperlink ref="G605" r:id="rId577" display="../PT. SWP/DO INV/PT. SWP DO 1387 (PO  None) hanya sebagai bukti terima RING ROTARY.xlsm" xr:uid="{D7078295-9035-40E7-95D9-52ECC1C073AB}"/>
    <hyperlink ref="G607" r:id="rId578" display="../PT. Agro Raya Mas/DO INV/PT. ARM DO 1388 (PO  25901065) 07.xlsm" xr:uid="{B2BA8253-AB06-4E2B-83C1-991324F11EFD}"/>
    <hyperlink ref="G609" r:id="rId579" display="../PT. Agro Raya Mas/DO INV/PT. ARM DO 1389 (PO  25901058) 01.xlsm" xr:uid="{851C9283-702E-4876-B909-7B6767B5B6B2}"/>
    <hyperlink ref="G610" r:id="rId580" display="../PT. Agro Raya Mas/DO INV/PT. ARM DO 1390 (PO  25901027) 01.xlsm" xr:uid="{C2D3C911-32FF-43A5-A995-64119B8947F7}"/>
    <hyperlink ref="G611" r:id="rId581" display="../PT. Agro Raya Mas/DO INV/ DO 1391 (PO  ) 01 - PENGGANTI ITEM SALAH.xlsm" xr:uid="{6AFDA906-43E8-43D5-B146-42C2A0BB84C1}"/>
    <hyperlink ref="G612" r:id="rId582" display="../PT. KIP/DO INV/PT. KIP DO 1392 (PO   ) DO SEMENTARA - PO BLM ADA.xlsm" xr:uid="{613B3111-4D5D-4487-81B6-484F537B0773}"/>
    <hyperlink ref="G613" r:id="rId583" display="../PT. Agro Murni/DO INV/PT. AGRO M DO 1393 (PO  25 00594) 01 - PARTIAL - N2.xlsm" xr:uid="{DE502135-BA11-4800-834D-ADD94B4B25E9}"/>
    <hyperlink ref="G614" r:id="rId584" display="../PT. Agro Raya Mas/DO INV/PT. ARM DO 1394 (PO  25900995) 07 - PARTIAL COMPLETE - N2.xlsm" xr:uid="{82661A99-D1A2-4FE8-B6C7-8B6D8124CB7F}"/>
    <hyperlink ref="G616" r:id="rId585" display="../PT. Pacific Palmindo Industri/DO INV/PT. PPI DO 1395 (PO  4714046355) 07 - PARTIAL COMPLETE - N2.xlsm" xr:uid="{44CD639A-F29A-4DFD-B44E-D8616CD86FC2}"/>
    <hyperlink ref="G617" r:id="rId586" display="../PT. Pacific Palmindo Industri/DO INV/ DO 1396 (PO  ) 01.xlsm" xr:uid="{8DD3C212-789F-4DF0-8AF0-6D4FC7D615FF}"/>
    <hyperlink ref="G618" r:id="rId587" display="../PT. Simpang Kanan Lestarindo/DO INV/PT. SKL DO 1397 (PO  25 00460) 01.xlsm" xr:uid="{9F820F14-74B9-4808-A732-F2BA7A6DCA19}"/>
    <hyperlink ref="G619" r:id="rId588" display="../PT. Agro Murni/DO INV/PT. AGRO M DO 1398 (PO  25 00594) 01 - PARTIAL COMPLETE - N1.xlsm" xr:uid="{8CA7BE64-6617-4D33-AA0A-BEE9DB1073CF}"/>
    <hyperlink ref="G606" r:id="rId589" display="../PT. SWP/DO INV/PT. SWP DO 1387 (PO  4000302971) 07.xlsm" xr:uid="{15234F6E-F742-438A-B37C-34A73A4C487A}"/>
    <hyperlink ref="G608" r:id="rId590" display="../PT. Agro Raya Mas/DO INV/PT. ARM DO 1388 (PO  25901065) REV 1 07.xlsm" xr:uid="{C2F32DBB-CA01-45DF-B694-C6A78ADE3B23}"/>
    <hyperlink ref="G615" r:id="rId591" display="../PT. Agro Raya Mas/DO INV/PT. ARM DO 1394 (PO  25900995) REV 1 07 - PARTIAL COMPLETE - N2.xlsm" xr:uid="{05492203-CEBC-43C4-A516-496AB0466315}"/>
    <hyperlink ref="G620" r:id="rId592" display="../PT. Agro Raya Mas/DO INV/PT. ARM DO 1399 (PO  25900787) 07 - PARTIAL COMPLETE - N2.xlsm" xr:uid="{58000C03-E3E0-4792-B4CC-922503C9889C}"/>
    <hyperlink ref="G621" r:id="rId593" display="../PT. Agro Raya Mas/DO INV/PT. ARM DO 1400 (PO  25901035) 07.xlsm" xr:uid="{170D945C-1917-4B05-AD72-100D9694DC67}"/>
    <hyperlink ref="G622" r:id="rId594" display="../PT. Agro Raya Mas/DO INV/PT. ARM DO 1401 (PO  25901019) 07.xlsm" xr:uid="{8B9A2D3B-A756-40C7-882A-01ABCB5AF7BD}"/>
    <hyperlink ref="G623" r:id="rId595" display="../PT. Agro Raya Mas/DO INV/PT. ARM DO 1402 (PO  25900995) 07 - PARTIAL COMPLETE - N4(2PCS).xlsm" xr:uid="{D6ECD8AB-7291-4DB7-AA32-99615BDE9923}"/>
    <hyperlink ref="G624" r:id="rId596" display="../PT. Agro Raya Mas/DO INV/PT. ARM DO 1402 (PO  25900995) 07 - PARTIAL COMPLETE - N4(2PCS).xlsm" xr:uid="{F09F24A2-D8A7-4958-8A18-4088F703CA67}"/>
    <hyperlink ref="G625" r:id="rId597" display="../PT. Agro Raya Mas/DO INV/PT. ARM DO 1402 (PO  25900995) REV 1 07 - PARTIAL COMPLETE - N2,4(2PCS).xlsm" xr:uid="{EA94FA5D-1756-4017-928E-AD41EA6728E4}"/>
    <hyperlink ref="G626" r:id="rId598" display="../PT. Agro Raya Mas/DO INV/ DO 1403 (PO  )  .xlsm" xr:uid="{13205237-7255-4B9A-ADF5-E931DB7FEB98}"/>
    <hyperlink ref="G627" r:id="rId599" display="../PT. KIP/DO INV/PT. KIP DO 1404 (PO  25 00337) 01.xlsm" xr:uid="{090A277C-99FB-40A1-BAAA-E7490AEEC478}"/>
    <hyperlink ref="G628" r:id="rId600" xr:uid="{9B9731DF-9C15-4FC2-BD47-7EB3D5B3B2F5}"/>
    <hyperlink ref="G629" r:id="rId601" display="../PT. SWP/DO INV/PT. SWP DO 1406 (PO  4000293835) 07.xlsm" xr:uid="{C729AB0A-7E85-41DA-BC51-2EDEDC679DB2}"/>
    <hyperlink ref="G630" r:id="rId602" display="../PT. SWP/DO INV/PT. SWP DO 1407 (PO  4000290758) 07.xlsm" xr:uid="{300D2C4D-7967-4A72-835B-5DFD31EA2A27}"/>
    <hyperlink ref="G631" r:id="rId603" display="../PT. KIP/DO INV/PT. KIP DO 1408 (PO  25 00330) 01.xlsm" xr:uid="{D71EF1B4-39FC-401E-87EA-4BB37518FF58}"/>
    <hyperlink ref="G632" r:id="rId604" display="../PT. Simpang Kanan Lestarindo/DO INV/PT. SKL DO 1409 (PO  25 00460) 01 - PARTIAL COMPLETE - N1,6.xlsm" xr:uid="{5235C7D2-CEEE-4BA8-B962-056B099412AF}"/>
    <hyperlink ref="G633" r:id="rId605" display="../PT. Simpang Kanan Lestarindo/DO INV/PT. SKL DO 1410 (PO  25 00446) 01.xlsm" xr:uid="{A70AACB7-C03A-4DE4-91D7-8F7E469C2881}"/>
    <hyperlink ref="G634" r:id="rId606" display="../PT. Agro Raya Mas/DO INV/PT. ARM DO 1412 (PO   ) 01.xlsm" xr:uid="{37D9EDA0-42AC-40E2-9889-72D0EDAB24E0}"/>
    <hyperlink ref="G636" r:id="rId607" display="../PT. KIP/DO INV/PT. KIP DO 1413 (PO  25 00332) 01.xlsm" xr:uid="{48AF62A5-301E-4491-8EEE-D5035E66D782}"/>
    <hyperlink ref="G637" r:id="rId608" display="../PT. KIP/DO INV/PT. KIP DO 1413 (PO  25 00332) 01.xlsm" xr:uid="{B28F04F6-60A8-4964-8411-910587503825}"/>
    <hyperlink ref="G638" r:id="rId609" display="../PT. KIP/DO INV/PT. KIP DO 1414 (PO  25 00303) 01.xlsm" xr:uid="{A54F1F13-D00D-4819-A292-CC7C35347E0E}"/>
    <hyperlink ref="G639" r:id="rId610" display="../PT. Simpang Kanan Lestarindo/DO INV/PT. SKL DO 1415 (PO  25 00465) 01.xlsm" xr:uid="{64E58000-12A4-4336-A6CF-0E16C762C71E}"/>
    <hyperlink ref="G640" r:id="rId611" xr:uid="{0F3E1A04-31FF-4068-8A89-DAAEB20DEA0B}"/>
    <hyperlink ref="G641" r:id="rId612" xr:uid="{B5EBE1E6-EF00-4069-8BEA-6F13422AA180}"/>
    <hyperlink ref="G642" r:id="rId613" display="../PT. Pacific Palmindo Industri/DO INV/PT. PPI DO 1418 (PO  4714046496) 01.xlsm" xr:uid="{ED82260D-3F72-4A94-838A-87A22FC6E895}"/>
    <hyperlink ref="G643" r:id="rId614" display="../PT. Agro Raya Mas/DO INV/PT. ARM DO 1419 (PO  25900952) 07.xlsm" xr:uid="{F5839304-466C-44AC-BA44-E90FB72D7C3A}"/>
    <hyperlink ref="G645" r:id="rId615" display="../PT. Agro Raya Mas/DO INV/PT. ARM DO 1420 (PO  25900942) 07 - PARTIAL COMPLETE - N6(10PCS),13,20,21.xlsm" xr:uid="{6E55C7A6-0ADE-4EC1-80DF-2AA8877F0BCF}"/>
    <hyperlink ref="G647" r:id="rId616" display="../PT. Agro Raya Mas/DO INV/PT. ARM DO 1421 (PO   ) DO SEMENTARA.xlsm" xr:uid="{857431A2-C876-412C-9102-E0DC85BD11B5}"/>
    <hyperlink ref="G649" r:id="rId617" display="../PT. Agro Raya Mas/DO INV/PT. ARM DO 1422 (PO   ) DO SEMENTARA.xlsm" xr:uid="{6F064CA9-54D0-47C8-9646-EA8A49604B1F}"/>
    <hyperlink ref="G651" r:id="rId618" display="../PT. Agro Raya Mas/DO INV/PT. ARM DO 1423 (PO   ) DO SEMENTARA.xlsm" xr:uid="{CDD5A9F5-F3A9-4C07-AB78-ABF5049191A5}"/>
    <hyperlink ref="G653" r:id="rId619" display="../PT. Agro Raya Mas/DO INV/PT. ARM DO 1424 (PO   ) DO SEMENTARA.xlsm" xr:uid="{ECB5258C-1DE7-4841-8A78-D20E03433FB3}"/>
    <hyperlink ref="G654" r:id="rId620" display="../PT. Agro Raya Mas/DO INV/PT. ARM DO 1424 (PO   ) DO SEMENTARA.xlsm" xr:uid="{77E874E8-A583-49A4-8C6C-7C731B467189}"/>
    <hyperlink ref="G635" r:id="rId621" display="../PT. Agro Raya Mas/DO INV/PT. ARM DO 1412 (PO  25901106) 01.xlsm" xr:uid="{64EDBEEC-0B00-4974-926E-945983E17582}"/>
    <hyperlink ref="G648" r:id="rId622" display="../PT. Agro Raya Mas/DO INV/PT. ARM DO 1421 (PO  25901117) 07.xlsm" xr:uid="{9FC92578-9588-43A1-BD8A-33DD9CC79BD3}"/>
    <hyperlink ref="G650" r:id="rId623" display="../PT. Agro Raya Mas/DO INV/PT. ARM DO 1422 (PO  25901116) 07.xlsm" xr:uid="{8FC30B5D-247B-4F66-BA52-431F6B781D83}"/>
    <hyperlink ref="G655" r:id="rId624" display="../PT. Agro Raya Mas/DO INV/PT. ARM DO 1424 (PO  25901096) 07 - N1 (-7PCS, TOTAL 10PCS), N2,N4.xlsm" xr:uid="{50BCC98D-B218-4982-B317-99B8DA9CA9D9}"/>
    <hyperlink ref="G656" r:id="rId625" display="../PT. Agro Raya Mas/DO INV/PT. ARM DO 1424 (PO  25901096) 07 - N1 (-7PCS, TOTAL 10PCS), N2,N4.xlsm" xr:uid="{588F85A0-7A9C-429A-8E58-35100E69B96E}"/>
    <hyperlink ref="G657" r:id="rId626" display="../PT. Simpang Kanan Lestarindo/DO INV/PT. SKL DO 1425 (PO  25 00489) 01.xlsm" xr:uid="{8BED3829-AF2E-43D3-9218-5A6EB232C6D3}"/>
    <hyperlink ref="G658" r:id="rId627" display="../PT. Simpang Kanan Lestarindo/DO INV/PT. SKL DO 1426 (PO  25 00495) 01.xlsm" xr:uid="{131F76D1-D7EC-4DA8-B6C9-2365A5ED4930}"/>
    <hyperlink ref="G652" r:id="rId628" display="../PT. Agro Raya Mas/DO INV/PT. ARM DO 1423 (PO  25901127) 07.xlsm" xr:uid="{AB4FEE95-F458-48A7-B767-83CA872FF80D}"/>
    <hyperlink ref="G659" r:id="rId629" display="../PT. Simpang Kanan Lestarindo/DO INV/PT. SKL DO 1427 (PO  25 00503) 01.xlsm" xr:uid="{6D5F8DB5-F1BF-40E7-921E-47CA38BD5B8C}"/>
    <hyperlink ref="G660" r:id="rId630" display="../PT. Simpang Kanan Lestarindo/DO INV/PT. SKL DO 1428 (PO   ) DO SEMENTARA.xlsm" xr:uid="{79783B46-372C-4D03-9ED8-A529FFD23A5D}"/>
    <hyperlink ref="G662" r:id="rId631" display="../PT. Agro Raya Mas/DO INV/PT. ARM DO 1429 (PO  25901096) 07 - PARTIAL COMPLETE - N3.xlsm" xr:uid="{AAC38A35-2F13-4A6A-8DA7-9684DC41B991}"/>
    <hyperlink ref="G663" r:id="rId632" display="../PT. Agro Raya Mas/DO INV/PT. ARM DO 1430 (PO  25901103) 07.xlsm" xr:uid="{1CD92042-16AC-4436-A2B3-0E0C8FDD0735}"/>
    <hyperlink ref="G664" r:id="rId633" display="../PT. Agro Raya Mas/DO INV/ DO 1431 (PO  ) 07 - PARTIAL COMPLETE -  +1PCS.xlsm" xr:uid="{BC65B716-D04C-4EEE-B9CF-7220DF6BA5B2}"/>
    <hyperlink ref="G543" r:id="rId634" xr:uid="{3C71D576-7397-48B0-B52A-7C81153CC50D}"/>
    <hyperlink ref="G665" r:id="rId635" xr:uid="{3BC6C760-0F00-4004-81FF-9857BB0D5799}"/>
    <hyperlink ref="G666" r:id="rId636" xr:uid="{91DA1B5C-155E-44FC-982A-836CA0D92B4D}"/>
    <hyperlink ref="G644" r:id="rId637" display="../PT. Agro Raya Mas/DO INV/PT. ARM DO 1419 (PO  25900952) 07.xlsm" xr:uid="{294AEF90-5F5B-48FF-B031-47D645E923C9}"/>
    <hyperlink ref="G646" r:id="rId638" display="../PT. Agro Raya Mas/DO INV/PT. ARM DO 1420 (PO  25900942) 07 - PARTIAL COMPLETE - N6(10PCS),13,20,21.xlsm" xr:uid="{EAD1501E-B9AE-40D1-908C-22933F1EF9A9}"/>
    <hyperlink ref="G667" r:id="rId639" display="../PT. Agro Raya Mas/DO INV/PT. ARM DO 1434 (PO  25901096) 07 - PATIAL COMPLETE - N1 (+7SET).xlsm" xr:uid="{55859FE2-7E92-40D2-AF93-A637FC40F926}"/>
    <hyperlink ref="G668" r:id="rId640" display="../PT. Pacific Palmindo Industri/DO INV/PT. PPI DO 1435 (PO  4714046813) 01.xlsm" xr:uid="{00F19EE9-EBAB-449A-A348-E7398E867109}"/>
    <hyperlink ref="G669" r:id="rId641" display="../PT. Pacific Palmindo Industri/DO INV/PT. PPI DO 1436 (PO  4714046794) 01.xlsm" xr:uid="{37A0EFD6-3FE4-409A-8DB1-E869D42FBF71}"/>
    <hyperlink ref="G661" r:id="rId642" display="../PT. Simpang Kanan Lestarindo/DO INV/PT. SKL DO 1428 (PO  25 00522) 01.xlsm" xr:uid="{106D4F06-58F6-4225-BAF2-38A64D36A3D1}"/>
    <hyperlink ref="G588" r:id="rId643" display="../PT. Simpang Kanan Lestarindo/DO INV/PT. SKL DO 1370 (PO  25 00517) 01.xlsm" xr:uid="{B3AADAE0-FC60-478F-AB11-AC27EC63BC0B}"/>
    <hyperlink ref="G670" r:id="rId644" display="../PT. Agro Raya Mas/DO INV/PT. ARM DO 1437 (PO   ) SEMENTARA - URGENT.xlsm" xr:uid="{990E9A23-63C5-4E09-8DAF-EEDA4F5EF547}"/>
    <hyperlink ref="G672" r:id="rId645" display="../PT. Simpang Kanan Lestarindo/DO INV/PT. SKL DO 1438 (PO  25 00527) 01.xlsm" xr:uid="{4F7F6711-ABB5-4E7B-BA73-2219FA30842C}"/>
    <hyperlink ref="G673" r:id="rId646" display="../PT. Agro Raya Mas/DO INV/PT. ARM DO 1439 (PO   ) 01 - SEMENTARA - URGENT.xlsm" xr:uid="{23997522-89EB-4B5A-A4E0-DE45051D39E1}"/>
    <hyperlink ref="G675" r:id="rId647" display="../PT. Pacific Palmindo Industri/DO INV/PT. PPI DO 1440 (PO  4714045796) 01 - PARTIAL COMPLETE.xlsm" xr:uid="{E96E0ACC-FCA8-418E-9FC5-4285093C2149}"/>
    <hyperlink ref="G676" r:id="rId648" display="../PT. Pacific Palmindo Industri/DO INV/PT. PPI DO 1440 (PO  4714045796) 01 - PARTIAL COMPLETE.xlsm" xr:uid="{1F8253D7-4674-4E5F-89EE-BF9B791D2EB8}"/>
    <hyperlink ref="G677" r:id="rId649" display="../PT. Pacific Palmindo Industri/DO INV/PT. PPI DO 1441 (PO  4714045796) 01 - PARTIAL COMPLETE.xlsm" xr:uid="{B734F14A-3719-4950-BF8E-E9D4CC90592B}"/>
    <hyperlink ref="G678" r:id="rId650" display="../PT. Agro Raya Mas/DO INV/PT. ARM DO 1442 (PO  25901238) 01.xlsm" xr:uid="{CFC3A84A-3974-47D8-BB3C-924A94BC2A9C}"/>
    <hyperlink ref="G679" r:id="rId651" display="../PT. Agro Raya Mas/DO INV/PT. ARM DO 1443 (PO   ) 01 - SEMENTARA.xlsm" xr:uid="{374EC748-F32B-4F6F-BD54-4B2895AF0391}"/>
    <hyperlink ref="G680" r:id="rId652" display="../PT. SJIO DUMAI/DO INV/PT. SJIO DO 1444 (PO  862) 01.xlsm" xr:uid="{834F5FC2-9B51-4BB0-B31F-6C2F995E6BA3}"/>
    <hyperlink ref="G681" r:id="rId653" display="../PT. Agro Raya Mas/DO INV/PT. ARM DO 1445 (PO  25901232) 07.xlsm" xr:uid="{C187417D-DA9D-41E2-8B02-A61DC6CA2978}"/>
    <hyperlink ref="G682" r:id="rId654" display="../PT. Agro Raya Mas/DO INV/PT. ARM DO 1446 (PO  25901233) 07.xlsm" xr:uid="{96EE6784-1C54-40C1-97E7-3D7E2BF290A2}"/>
    <hyperlink ref="G683" r:id="rId655" display="../PT. SJIO DUMAI/DO INV/PT. SJIO DO 1447 (PO  834) 01.xlsm" xr:uid="{786A6AF1-1BF1-4E6A-948C-E33920BBEC1C}"/>
    <hyperlink ref="G684" r:id="rId656" display="../PT. Agro Raya Mas/DO INV/PT. ARM DO 1448 (PO  25901209) 01.xlsm" xr:uid="{468C7782-0C07-4374-9E5F-BA6EA92E4D61}"/>
    <hyperlink ref="G685" r:id="rId657" display="../PT. KIP/DO INV/PT. KIP DO 1449 (PO  25 00298) 01.xlsm" xr:uid="{3B28E6E7-A47D-466A-8E23-407D62261A1C}"/>
    <hyperlink ref="G686" r:id="rId658" display="../PT. SWP/DO INV/PT. SWP DO 1450 (PO  4000300015) 07.xlsm" xr:uid="{5B96606B-55F7-4B44-BBA4-9D670BDF68AA}"/>
    <hyperlink ref="G687" r:id="rId659" display="../PT. SWP/DO INV/PT. SWP DO 1451 (PO  4000300278) 07.xlsm" xr:uid="{29F1FBDC-83B2-4C99-9AB7-35959DF84021}"/>
    <hyperlink ref="G688" r:id="rId660" display="../PT. SWP/DO INV/PT. SWP DO 1452 (PO  4000299720) 07.xlsm" xr:uid="{1ABDD230-55B7-45BA-B7EA-CC23C9C14620}"/>
    <hyperlink ref="G689" r:id="rId661" display="../PT. SWP/DO INV/PT. SWP DO 1452 (PO  4000299720) 07.xlsm" xr:uid="{DAD067D6-CF92-49AB-B499-EE5F51E1210D}"/>
    <hyperlink ref="G671" r:id="rId662" display="../PT. Agro Raya Mas/DO INV/PT. ARM DO 1437 (PO  25901203) 01.xlsm" xr:uid="{7D5D08CE-C818-4982-8776-B1A305174A1E}"/>
    <hyperlink ref="G674" r:id="rId663" display="../PT. Agro Raya Mas/DO INV/PT. ARM DO 1439 (PO  25901201) 01.xlsm" xr:uid="{2CD8E3FD-D0F8-4335-BFF7-ACB88823C8A1}"/>
    <hyperlink ref="G690" r:id="rId664" display="../PT. Agro Raya Mas/DO INV/PT. ARM DO 1453 (PO  25901221) 07.xlsm" xr:uid="{373D42DF-3513-4BC0-AB45-E6305901D412}"/>
    <hyperlink ref="G691" r:id="rId665" display="../PT. Agro Raya Mas/DO INV/PT. ARM DO 1454 (PO  25901153) 01.xlsm" xr:uid="{A6EDCCF3-4C4D-4B65-BFBD-700E3B2E20FA}"/>
    <hyperlink ref="G692" r:id="rId666" display="../PT. SJIO DUMAI/DO INV/PT. SJIO DO 1455 (PO  940) 01 - PARTIAL - N6,7,8,9,10,11.xlsm" xr:uid="{5F5FE672-6D6B-41E3-83FD-818822FB8ECB}"/>
    <hyperlink ref="G693" r:id="rId667" display="../PT. SJIO DUMAI/DO INV/PT. SJIO DO 1456 (PO  944) 01 - PARTIAL - N1,2,3,5,6.xlsm" xr:uid="{07C703EE-9ACC-400F-ABB9-D077A4C47618}"/>
    <hyperlink ref="G694" r:id="rId668" display="../PT. SJIO DUMAI/DO INV/PT. SJIO DO 1457 (PO  ISI) DO UNTUK EKSPEDISI.xlsm" xr:uid="{D24D9EB0-A8FE-4C15-8DE2-1D0AE5493FFD}"/>
    <hyperlink ref="G695" r:id="rId669" display="../PT. SWP/DO INV/PT. SWP DO 1457 (PO  EKSPEDISI) DO UNTUK EKSPEDISI.xlsm" xr:uid="{D4DAA494-C6EB-4924-A3A7-D0EF38C0B96E}"/>
    <hyperlink ref="G696" r:id="rId670" display="../PT. SJIO DUMAI/DO INV/PT. SJIO DO 1458 (PO  940) 01 - PARTIAL - N3,4.xlsm" xr:uid="{ED99D112-BE52-41D9-9D71-CB7EA5CCB3CE}"/>
    <hyperlink ref="G697" r:id="rId671" display="../PT. Simpang Kanan Lestarindo/DO INV/PT. SKL DO 1459 (PO  25 00561) 01.xlsm" xr:uid="{8D3BA8A0-21E8-42C4-B4A8-48EF0BE85C01}"/>
    <hyperlink ref="G698" r:id="rId672" display="../PT. Simpang Kanan Lestarindo/DO INV/PT. SKL DO 1460 (PO  25 00585) 01.xlsm" xr:uid="{F8EF7960-F148-4DCC-A45D-9F554C030F07}"/>
    <hyperlink ref="G699" r:id="rId673" display="../PT. Pacific Palmindo Industri/DO INV/PT. PPI DO 1461 (PO  4714046991) 07.xlsm" xr:uid="{94B97F9C-DED7-4FC2-91AC-FF29FD58FAFC}"/>
    <hyperlink ref="G700" r:id="rId674" display="../PT. Agro Raya Mas/DO INV/PT. ARM DO 1462 (PO  45896) 01.xlsm" xr:uid="{039DB2DB-A867-4DF7-8BE2-B3D8F99DAB91}"/>
    <hyperlink ref="G701" r:id="rId675" display="../PT. Agro Raya Mas/DO INV/PT. ARM DO 1462 (PO  25901255) 01.xlsm" xr:uid="{1F8C3CE6-B8D4-4AFF-8DB8-7038BCC981BE}"/>
    <hyperlink ref="G702" r:id="rId676" display="../PT. Simpang Kanan Lestarindo/DO INV/PT. SKL DO 1463 (PO  508 0944) 01 - PARTIAL COMPLETE - N4,7.xlsm" xr:uid="{557F946A-F628-45BD-9E24-84E5C0E3B9EA}"/>
    <hyperlink ref="G703" r:id="rId677" display="../PT. SJIO DUMAI/DO INV/PT. SJIO DO 1463 (PO  944) 01 - PARTIAL COMPLETE - N4,7.xlsm" xr:uid="{456C3354-E76E-468F-BA4A-46D5D114A5DE}"/>
    <hyperlink ref="G704" r:id="rId678" display="../PT. KIP/DO INV/PT. KIP DO 1464 (PO  25 00419) 01.xlsm" xr:uid="{B5CDAC4F-CD21-4227-BD5A-91900947BA5E}"/>
    <hyperlink ref="G705" r:id="rId679" display="../PT. KIP/DO INV/PT. KIP DO 1465 (PO  25 00375) 01.xlsm" xr:uid="{55D618FF-3F7D-4B74-A193-62F4AA96A444}"/>
    <hyperlink ref="G706" r:id="rId680" display="../PT. Agro Raya Mas/DO INV/PT. ARM DO 1466 (PO  25901275) 07.xlsm" xr:uid="{C5EC8242-20C2-49CF-8978-1DE4F6A002A0}"/>
    <hyperlink ref="G707" r:id="rId681" display="../PT. Agro Raya Mas/DO INV/PT. ARM DO 1467 (PO  25901216) 01 - PARTIAL - N2.xlsm" xr:uid="{F17F1220-8E2B-4ADD-A05C-3B5E756AD8E7}"/>
    <hyperlink ref="G708" r:id="rId682" display="../PT. SJIO DUMAI/DO INV/PT. SJIO DO 1468 (PO  940) 01 - PARTIAL - N5.xlsm" xr:uid="{0B015745-8AEB-42B2-8565-DBBEFCEF0101}"/>
    <hyperlink ref="G709" r:id="rId683" display="../PT. Simpang Kanan Lestarindo/DO INV/PT. SKL DO 1469 (PO  25 00572) 01.xlsm" xr:uid="{0C88D717-7211-4359-99B8-B7008CB577DF}"/>
    <hyperlink ref="G710" r:id="rId684" display="../PT. Simpang Kanan Lestarindo/DO INV/ DO 1470 (PO  ) 01.xlsm" xr:uid="{6684FCE3-1CE6-4570-8331-C409444EE5D8}"/>
    <hyperlink ref="G711" r:id="rId685" display="../PT. Simpang Kanan Lestarindo/DO INV/PT. SKL DO 1471 (PO  25 00567) 01.xlsm" xr:uid="{1BEDBBC0-0CBC-4B2C-9F2B-C21693AF37A9}"/>
    <hyperlink ref="G712" r:id="rId686" xr:uid="{51FBD075-B7F9-413C-9F1B-71D6D853F526}"/>
    <hyperlink ref="G713" r:id="rId687" display="D:\PT. AGRI PRIMA INDOTAMA\PT. Agro Murni\DO INV\PT. AGRO M DO 1473 (PO  25 00748) 01.xlsm" xr:uid="{C202F5C0-62DD-418A-B40F-6591A7F42E7D}"/>
    <hyperlink ref="G714" r:id="rId688" display="D:\PT. AGRI PRIMA INDOTAMA\PT. Simpang Kanan Lestarindo\DO INV\PT. SKL DO 1474 (PO  25 00617) 01.xlsm" xr:uid="{AA3EAFF9-01C2-4F5F-92A5-45DE41160600}"/>
    <hyperlink ref="G715" r:id="rId689" display="D:\PT. AGRI PRIMA INDOTAMA\PT. Simpang Kanan Lestarindo\DO INV\PT. SKL DO 1475 (PO  25 00591) 01.xlsm" xr:uid="{069F85C8-8DCB-449E-98AB-348B378D09BA}"/>
    <hyperlink ref="G716" r:id="rId690" display="D:\PT. AGRI PRIMA INDOTAMA\PT. Simpang Kanan Lestarindo\DO INV\PT. SKL DO 1476 (PO  25 00587) 01.xlsm" xr:uid="{A4B6BF60-47F3-4B01-B475-D1C040419B9F}"/>
    <hyperlink ref="G717" r:id="rId691" xr:uid="{F34FC548-64B1-4D49-9DAC-29B613549072}"/>
    <hyperlink ref="G718" r:id="rId692" xr:uid="{149B366C-2791-4CB3-8A8C-81E056D3D6A0}"/>
    <hyperlink ref="G719" r:id="rId693" xr:uid="{489A7B73-9889-4FE0-81E2-937939CC164C}"/>
    <hyperlink ref="G720" r:id="rId694" xr:uid="{130DE640-8671-4A08-AB06-A21F4281060B}"/>
    <hyperlink ref="G721" r:id="rId695" xr:uid="{3673A81B-C3CD-4F1E-BF9E-70AEFA309AE5}"/>
    <hyperlink ref="G722" r:id="rId696" xr:uid="{AC20A2BC-F759-4083-8239-F3AF0DD76971}"/>
    <hyperlink ref="G723" r:id="rId697" display="../PT. SJIO DUMAI/DO INV/PT. SJIO DO 1482 (PO  940) 01 - PARTIAL - N1.xlsm" xr:uid="{CBAA7BC3-3914-4A02-8AD9-E1E0FAFAAC41}"/>
    <hyperlink ref="G724" r:id="rId698" display="../PT. SJIO DUMAI/DO INV/PT. SJIO DO 1483 (PO  940) 01 - PARTIAL - N2.xlsm" xr:uid="{4962E42C-EB7B-4346-BB8E-B1154453DF5B}"/>
    <hyperlink ref="G725" r:id="rId699" display="../PT. Agro Raya Mas/DO INV/PT. ARM DO 1484 (PO  25901327) 07.xlsm" xr:uid="{E43FFDBB-E366-425A-918D-72156E5A77A1}"/>
    <hyperlink ref="G726" r:id="rId700" display="../PT. SJIO DUMAI/DO INV/PT. SJIO DO 1485 (PO  924) 01 - PARTIAL - N2.xlsm" xr:uid="{5FFB1DDB-45C0-4665-A00A-288ADDD5B79F}"/>
    <hyperlink ref="G727" r:id="rId701" display="../PT. SJIO DUMAI/DO INV/PT. SJIO DO 1486 (PO  SJIO PROJ PO 2509 0996) 01 - PARTIAL - N1,6.xlsm" xr:uid="{930B28F6-92F1-4011-BD8B-06909EB1BE75}"/>
    <hyperlink ref="G728" r:id="rId702" display="../PT. SJIO DUMAI/DO INV/PT. SJIO DO 1487 (PO  SJIO TANK PO 2508 0924) 01 - PARTIAL - N1,3,4,5,7,8,,9,10.xlsm" xr:uid="{F38419B0-682D-4F2C-B65E-06E994732040}"/>
    <hyperlink ref="G729" r:id="rId703" display="../PT. Simpang Kanan Lestarindo/DO INV/PT. SKL DO 1488 (PO  25 00629) 01.xlsm" xr:uid="{EA11A33F-0A67-4366-B6B8-5F4F9A2D7F74}"/>
    <hyperlink ref="G730" r:id="rId704" display="../PT. Simpang Kanan Lestarindo/DO INV/PT. SKL DO 1489 (PO  25 00632) 01.xlsm" xr:uid="{B750C8A3-1B6F-43C5-B96D-AAC0BB0788E9}"/>
    <hyperlink ref="G731" r:id="rId705" display="../PT. KIP/DO INV/PT. KIP DO 1490 (PO  25 00321) 01.xlsm" xr:uid="{6557CD60-F757-401F-A3E8-A1EE12851F00}"/>
    <hyperlink ref="G732" r:id="rId706" display="../PT. SJIO DUMAI/DO INV/PT. SJIO DO 1491 (PO  SJIO PROJ PO 2509 0996) 01 - PARTIAL - N5,8.xlsm" xr:uid="{EAF76EA6-CC85-4B35-8D97-0EB1951A598B}"/>
    <hyperlink ref="G733" r:id="rId707" display="../PT. Agro Raya Mas/DO INV/PT. ARM DO 1492 (PO  25901328) 07 - PARTIAL - N1.xlsm" xr:uid="{3C750C27-5ACA-4170-B63C-D2AE9DCF7CA6}"/>
    <hyperlink ref="G734" r:id="rId708" display="../PT. SJIO DUMAI/DO INV/PT. SJIO DO 1493 (PO  SJIO TANK PO 2509 0977) 01.xlsm" xr:uid="{2108449D-AA50-468A-9ADA-BE65563EEA49}"/>
    <hyperlink ref="G735" r:id="rId709" display="../PT. Agro Raya Mas/DO INV/PT. ARM DO 1494 (PO  SEMENTARA) 01 - DO SEMENTARA.xlsm" xr:uid="{17053198-B412-4F08-A416-4B262298A936}"/>
    <hyperlink ref="G736" r:id="rId710" display="../PT. Agro Raya Mas/DO INV/PT. ARM DO 1495 (PO  25901337) 01.xlsm" xr:uid="{76A8F755-6563-4E25-892F-0E741BD21C93}"/>
    <hyperlink ref="G737" r:id="rId711" display="../PT. SJIO DUMAI/DO INV/PT. SJIO DO 1496 (PO  SJIO PROJ PO 2509 0996) 01 - PARTIAL - N2,3,4,7.xlsm" xr:uid="{38A472AB-A3A9-411B-9A3F-DAA70BFB7772}"/>
    <hyperlink ref="G738" r:id="rId712" display="../PT. SWP/DO INV/PT. SWP DO 1497 (PO  4000313851) 01.xlsm" xr:uid="{B42B9DFA-6FB1-442E-8F47-AAB76C8CDC30}"/>
    <hyperlink ref="G739" r:id="rId713" display="../PT. Agro Murni/DO INV/PT. AGRO M DO 1498 (PO  25 00362) 01 - PARTIAL - N5,7,9,11(-7PCS),14,17,19,21,23.xlsm" xr:uid="{97012496-036A-4B0C-B2E8-0D18B0A38516}"/>
    <hyperlink ref="G740" r:id="rId714" display="../PT. KIP/DO INV/PT. KIP DO 1499 (PO  25 00255) 01 - PARTIAL - N5,6,7.xlsm" xr:uid="{DB9BAE6F-522A-4153-BF06-8E7B5A66B5F9}"/>
    <hyperlink ref="G741" r:id="rId715" display="../PT. Simpang Kanan Lestarindo/DO INV/PT. SKL DO 1500 (PO  25 00653) 01.xlsm" xr:uid="{416B5931-940B-42DA-A623-4B3593C9E529}"/>
    <hyperlink ref="G742" r:id="rId716" xr:uid="{4A1AF0EA-4073-4A5D-9CE6-747E5250796F}"/>
    <hyperlink ref="G743" r:id="rId717" xr:uid="{BC2FEAB4-5228-4793-BBD1-84A1E62D4924}"/>
    <hyperlink ref="G744" r:id="rId718" xr:uid="{63A2EC6F-469E-4D5C-9338-6F996F9ED5E1}"/>
    <hyperlink ref="G745" r:id="rId719" display="D:\PT. AGRI PRIMA INDOTAMA\PT. SJIO DUMAI\DO INV\PT. SJIO DO 1503 (PO   SJIO REF PO 2509 1031) 01 - PARTIAL - N7,8,10,12,13,15,16.xlsm" xr:uid="{138CF628-BE2D-4178-B49D-AC85F007C286}"/>
    <hyperlink ref="G747" r:id="rId720" display="D:\PT. AGRI PRIMA INDOTAMA\PT. SJIO DUMAI\DO INV\PT. SJIO DO 1504 (PO   SJIO TANK PO 2509 1039) 01 - PARTIAL - N5,7,8,9.xlsm" xr:uid="{74CCFAA2-1283-410D-95D5-2F3E48E1BB22}"/>
    <hyperlink ref="G748" r:id="rId721" display="D:\PT. AGRI PRIMA INDOTAMA\PT. SJIO DUMAI\DO INV\PT. SJIO DO 1505 (PO   SJIO TANK PO 2504 0355) 01 - PARTIAL - N1,4,5.xlsm" xr:uid="{5618A8D6-8584-40E5-9153-E020F2D6830F}"/>
    <hyperlink ref="G749" r:id="rId722" display="D:\PT. AGRI PRIMA INDOTAMA\PT. Agro Murni\DO INV\PT. AGRO M DO 1506 (PO  25 00362) 01 - PARTIAL - N1.xlsm" xr:uid="{BDDAA934-87D9-4808-AE22-2F844157FAD7}"/>
    <hyperlink ref="G750" r:id="rId723" display="../PT. Agro Raya Mas/DO INV/PT. ARM DO 1507 (PO  25901328) 07 - PARTIAL - N2.xlsm" xr:uid="{35242074-6A00-409A-A539-C4FD6ACE8283}"/>
    <hyperlink ref="G746" r:id="rId724" display="../PT. SJIO DUMAI/DO INV/PT. SJIO DO 1503 (PO   SJIO REF PO 2509 1031) REV 1 01 - PARTIAL - N5,7,8,10,12,13,15,16.xlsm" xr:uid="{F25909B2-C105-480F-AA6D-89DD4B5F1E8A}"/>
    <hyperlink ref="G751" r:id="rId725" display="../PT. SJIO DUMAI/DO INV/PT. SJIO DO 1508 (PO  SJIO TANK PO 2509 1039) 01 - PARTIAL - N3.xlsm" xr:uid="{1AB8F518-8E93-4864-822B-761C71A7670A}"/>
    <hyperlink ref="G752" r:id="rId726" display="../PT. SATU/DO INV/PT. SATU DO 1509 (PO 25 007) 01.xlsm" xr:uid="{228A5768-8387-485B-A9F9-CCB4D52E8AF4}"/>
    <hyperlink ref="G753" r:id="rId727" display="../PT. SJIO DUMAI/DO INV/PT. SJIO DO 1510 (PO  SJIO REF PO 2509 1031) 01 - PARTIAL - N1,2,3,6,14.xlsm" xr:uid="{0454BBAC-8E30-43D9-AC99-CD91B06BEC80}"/>
    <hyperlink ref="G754" r:id="rId728" display="../PT. SJIO DUMAI/DO INV/PT. SJIO DO 1511 (PO  SJIO REF PO 2509 1031) 01 - PARTIAL - N4.xlsm" xr:uid="{6AEED81C-C9C4-4470-9A7B-DCBBFB55E5A7}"/>
    <hyperlink ref="G755" r:id="rId729" display="../PT. SJIO DUMAI/DO INV/PT. SJIO DO 1512 (PO  SJIO TANK PO 2509 1039) 01 - PARTIAL - N1,2.xlsm" xr:uid="{56673B8B-60BC-42DB-BF22-A5FCAB9A243C}"/>
    <hyperlink ref="G756" r:id="rId730" display="../PT. SJIO DUMAI/DO INV/PT. SJIO DO 1513 (PO  SJIO TANK PO 2504 0355) 01 - PARTIAL - N6.xlsm" xr:uid="{6AB74DC0-E49C-4E03-82D8-A86766365594}"/>
    <hyperlink ref="G757" r:id="rId731" xr:uid="{6B3565EA-ABB3-4CB6-BCF5-E540097E61BA}"/>
    <hyperlink ref="G758" r:id="rId732" display="../PT. SJIO DUMAI/DO INV/PT. SJIO DO 1515 (PO  SJIO TANK PO 2509 1039) 01 - PARTIAL - N4.xlsm" xr:uid="{4305CBC1-3E18-4B63-83B3-2500982BC0B3}"/>
    <hyperlink ref="G759" r:id="rId733" display="../PT. KIP/DO INV/PT. KIP DO 1516 (PO  25 00441) 01.xlsm" xr:uid="{05322684-EEC6-44C8-AE9C-7924DC0AFFEC}"/>
    <hyperlink ref="G760" r:id="rId734" xr:uid="{D32A566C-C959-4E59-A66A-F535991A3265}"/>
    <hyperlink ref="G761" r:id="rId735" display="../PT. Agro Raya Mas/DO INV/PT. ARM DO 1518 (PO  25901398) 01.xlsm" xr:uid="{0ED8324F-8621-4CC2-9198-11F8EF3BC44D}"/>
    <hyperlink ref="G762" r:id="rId736" display="../PT. SJIO DUMAI/DO INV/PT. SJIO DO 1519 (PO  SJIO TANK PO 2509 1039) 01 - PARTIAL - N6.xlsm" xr:uid="{785939DF-F2E2-4386-9558-23187B3ECD51}"/>
    <hyperlink ref="G763" r:id="rId737" display="../PT. Agro Murni/DO INV/PT. AGRO M DO 1520 (PO  25 00024) 01.xlsm" xr:uid="{23E2883F-631E-4CDA-B304-4A046FDA85E9}"/>
    <hyperlink ref="G764" r:id="rId738" display="../PT. Agro Murni/DO INV/PT. AGRO M DO 1521 (PO  25 00024) 07 - PARTIAL PENGIRIMAN KE 2 - N4.xlsm" xr:uid="{E7A27084-73C0-4DEE-96E2-EF5218F690E2}"/>
    <hyperlink ref="G765" r:id="rId739" display="../PT. Agro Murni/DO INV/PT. AGRO M DO 1521 (PO  25 00345) 07 - PARTIAL PENGIRIMAN KE 2 - N4.xlsm" xr:uid="{92E66BE4-7101-4EDE-A384-3F0C22081253}"/>
    <hyperlink ref="G766" r:id="rId740" display="../PT. Pacific Palmindo Industri/DO INV/PT. PPI DO 1522 (PO  4714047349) 01.xlsm" xr:uid="{635F8742-9828-4BD1-9E69-48A445599300}"/>
    <hyperlink ref="G767" r:id="rId741" display="../PT. Pacific Palmindo Industri/DO INV/PT. PPI DO 1523 (PO  4714047304) 01.xlsm" xr:uid="{EE493002-8D37-4B67-A733-181E5F281B25}"/>
    <hyperlink ref="G768" r:id="rId742" display="../PT. Pacific Palmindo Industri/DO INV/PT. PPI DO 1524 (PO  4714047353) 01.xlsm" xr:uid="{0FC5B6ED-084C-4004-B60E-AF9918A5D78B}"/>
    <hyperlink ref="G769" r:id="rId743" display="../PT. Agro Raya Mas/DO INV/PT. ARM DO 1525 (PO  25901374) 01 - PARTIAL - N3,4.xlsm" xr:uid="{94A1074D-EE38-4093-B44B-18EA164BCEB0}"/>
    <hyperlink ref="G770" r:id="rId744" display="../PT. Agro Raya Mas/DO INV/PT. ARM DO 1526 (PO  25901416) 01 - PARTIAL - N5,6.xlsm" xr:uid="{EF761447-4653-42BF-B6AF-000F6B006518}"/>
    <hyperlink ref="G771" r:id="rId745" xr:uid="{75E98BBA-3562-4E9A-938B-E88DB52FF3A5}"/>
    <hyperlink ref="G772" r:id="rId746" xr:uid="{0C920E4C-E364-4931-A073-1AC6521B9D3E}"/>
    <hyperlink ref="G773" r:id="rId747" display="../PT. Agro Raya Mas/DO INV/PT. ARM DO 1529 (PO  25901374) 01 - PARTIAL - N5.xlsm" xr:uid="{0B92ED89-5D49-4BC6-9918-5A24D649DAAF}"/>
    <hyperlink ref="G774" r:id="rId748" display="../PT. Agro Raya Mas/DO INV/PT. ARM DO 1529 (PO  25901374) REV 1 01 - PARTIAL - N1,2,5.xlsm" xr:uid="{CE344E52-3B73-49D8-9B99-DF70634F0AA1}"/>
    <hyperlink ref="G775" r:id="rId749" display="D:\PT. AGRI PRIMA INDOTAMA\PT. Agro Raya Mas\DO INV\PT. ARM DO 1530 (PO  25901416) 01 - PARTIAL - N3,4,7.xlsm" xr:uid="{64BC9CC3-5343-47EF-809F-CF5F212BD67C}"/>
    <hyperlink ref="G776" r:id="rId750" display="../PT. Simpang Kanan Lestarindo/DO INV/PT. SKL DO 1531 (PO  25 00698) 01.xlsm" xr:uid="{7D478BC8-21BE-4FB2-AEE5-4292574D9E4F}"/>
    <hyperlink ref="G777" r:id="rId751" display="../PT. Agro Murni/DO INV/PT. AGRO M DO 1532 (PO  25 00176) 01.xlsm" xr:uid="{E5487D4A-C7F1-4836-AC43-B40308726C2C}"/>
    <hyperlink ref="G778" r:id="rId752" display="../PT. Pacific Palmindo Industri/DO INV/PT. PPI DO 1533 (PO  4714047416) 01.xlsm" xr:uid="{3F5C0964-0EAC-40A7-B330-D5952C669171}"/>
    <hyperlink ref="G779" r:id="rId753" xr:uid="{63F56C93-6229-439E-B413-2D686358E8DE}"/>
    <hyperlink ref="G780" r:id="rId754" display="../PT. Agro Murni/DO INV/PT. AGRO M DO 1535 (PO  25 00362) 01 - PARTIAL - N10(-16BOX), N11(COMPLETE).xlsm" xr:uid="{D7C4268A-892F-49B3-A17A-00C36D4D0A6E}"/>
    <hyperlink ref="G781" r:id="rId755" display="../PT. Agro Murni/DO INV/PT. AGRO M DO 1536 (PO  25 00362) 01 - PARTIAL - N10(COMPLETE).xlsm" xr:uid="{EFCB2372-E31A-46FC-A30A-7969938D8CF5}"/>
    <hyperlink ref="G782" r:id="rId756" display="../PT. Simpang Kanan Lestarindo/DO INV/PT. SKL DO 1537 (PO  EMENTARA) DO SEMENTARA.xlsm" xr:uid="{9377DF94-E6B3-4FAB-BB9F-9E1D5B2DE798}"/>
    <hyperlink ref="G783" r:id="rId757" display="../PT. Agro Raya Mas/DO INV/PT. ARM DO 1538 (PO  25 00009) 01.xlsm" xr:uid="{394B27D1-7B4E-43DD-895B-905FAFAE186B}"/>
    <hyperlink ref="G784" r:id="rId758" display="../PT. Agro Raya Mas/DO INV/PT. ARM DO 1539 (PO  25 00026) 01.xlsm" xr:uid="{26E7C857-2C8E-4321-9A2E-7D1A29BCB0D5}"/>
    <hyperlink ref="G785" r:id="rId759" display="D:\PT. AGRI PRIMA INDOTAMA\PT. Agro Raya Mas\DO INV\PT. ARM DO 1540 (PO  25 00029) 07.xlsm" xr:uid="{979C92C6-93A8-40C6-BDB3-FE79449E6417}"/>
    <hyperlink ref="G786" r:id="rId760" display="D:\PT. AGRI PRIMA INDOTAMA\PT. Simpang Kanan Lestarindo\DO INV\PT. SKL DO 1541 (PO  25 00770) 01.xlsm" xr:uid="{599E3432-3528-42C7-BAF3-67F388952E9E}"/>
    <hyperlink ref="G787" r:id="rId761" display="../PT. SJIO DUMAI/DO INV/PT. SJIO DO 1542 (PO  SJIO REF PO 2510 1337) 01 - PARTIAL - N5,6,7,8.xlsm" xr:uid="{2E644CF0-5192-4692-8387-88AF47F0054C}"/>
    <hyperlink ref="G788" r:id="rId762" display="../PT. SJIO DUMAI/DO INV/PT. SJIO DO 1542 (PO  SJIO REF PO 2510 1337) REV 1 01.xlsm" xr:uid="{0F04DF68-BC71-4295-8235-E187592B81EB}"/>
    <hyperlink ref="G789" r:id="rId763" display="../PT. SJIO DUMAI/DO INV/PT. SJIO DO 1543 (PO  SJIO BOILER PO 2510 1246) 01.xlsm" xr:uid="{8DDA3170-F6FD-4316-96BA-11AEDAA0EFB1}"/>
    <hyperlink ref="G790" r:id="rId764" display="../PT. Agro Raya Mas/DO INV/PT. ARM DO 1544 (PO  25 00005) 07.xlsm" xr:uid="{4F9587E9-A30C-4260-86B0-680E0995D49E}"/>
    <hyperlink ref="G791" r:id="rId765" display="D:\PT. AGRI PRIMA INDOTAMA\PT. Simpang Kanan Lestarindo\DO INV\PT. SKL DO 1545 (PO  EMENTARA) 01.xlsm" xr:uid="{3A58FC65-5C7F-45B6-8E26-C5B973FFDC3E}"/>
    <hyperlink ref="G792" r:id="rId766" display="D:\PT. AGRI PRIMA INDOTAMA\PT. KIP\DO INV\PT. KIP DO 1546 (PO  25 00537) 01.xlsm" xr:uid="{942BAE55-C287-42AF-823C-1B8E32EDF0D6}"/>
    <hyperlink ref="G793" r:id="rId767" display="../PT. Agro Raya Mas/DO INV/PT. ARM DO 1547 (PO  25901416) 07 - PARTIAL (COMPLETED) - N1,2.xlsm" xr:uid="{186F5E24-F883-4780-B141-30975D634434}"/>
    <hyperlink ref="G794" r:id="rId768" display="../PT. Agro Raya Mas/DO INV/PT. ARM DO 1548 (PO  25 00053) 01.xlsm" xr:uid="{D1606E41-767C-4D32-AC26-9049B2B6216D}"/>
    <hyperlink ref="G795" r:id="rId769" display="../PT. SJIO DUMAI/DO INV/PT. SJIO DO 1549 (PO  SJIO TANK PO 2504 0355) 01 - PARTIAL COMPLETE - N2,3.xlsm" xr:uid="{60CC6FF6-9416-4CE1-91C9-F4FD3DA64B00}"/>
    <hyperlink ref="G796" r:id="rId770" display="../PT. SJIO DUMAI/DO INV/PT. SJIO DO 1550 (PO  SJIO TANK PO 2508 0924) 01 - PARTIAL COMPLETE - N6.xlsm" xr:uid="{CEDE63D5-17D7-4E66-B26D-2A8464C7EDF5}"/>
    <hyperlink ref="G797" r:id="rId771" display="../PT. Simpang Kanan Lestarindo/DO INV/PT. SKL DO 1551 (PO  25 00798) 01.xlsm" xr:uid="{84715FB3-03E6-4497-9F14-AFDC7437FBAD}"/>
    <hyperlink ref="G798" r:id="rId772" display="../PT. Simpang Kanan Lestarindo/DO INV/PT. SKL DO 1552 (PO  25 00820) 01 - PENGGANTI DO 1545.xlsm" xr:uid="{84B03C68-AB58-4247-BF7A-16DB8B03F2DA}"/>
    <hyperlink ref="G799" r:id="rId773" display="../PT. KIP/DO INV/PT. KIP DO 1553 (PO  25 00441) 01 - PENGGANTI 2 PCS RUSAK.xlsm" xr:uid="{8E26B77F-55B2-42B1-A805-ADDF04416670}"/>
    <hyperlink ref="G800" r:id="rId774" display="../PT. Simpang Kanan Lestarindo/DO INV/PT. SKL DO 1554 (PO  25 00794) 01.xlsm" xr:uid="{4017647C-27C3-425D-B7F4-EFDB902A41B1}"/>
    <hyperlink ref="G801" r:id="rId775" display="../PT. Agro Murni/DO INV/PT. AGRO M DO 1555 (PO  25 00936) 07.xlsm" xr:uid="{0C2D7974-0760-4B35-967A-7195C47A67DE}"/>
    <hyperlink ref="G803" r:id="rId776" display="../PT. SJIO DUMAI/DO INV/PT. SJIO DO 1556 (PO  SJIO PROJ PO 2510 1345) 01 - PARTIAL - N8,9.xlsm" xr:uid="{66BACD84-21F6-4A70-8A3C-03D3009E3592}"/>
    <hyperlink ref="G804" r:id="rId777" display="../PT. Simpang Kanan Lestarindo/DO INV/PT. SKL DO 1557 (PO  25 00822) 01.xlsm" xr:uid="{447B69F0-583D-43E5-A3FC-D07F87434628}"/>
    <hyperlink ref="G805" r:id="rId778" display="../PT. Simpang Kanan Lestarindo/DO INV/PT. SKL DO 1558 (PO  25 00825) 01.xlsm" xr:uid="{19D912D3-B726-4A2B-AA4E-CD3E9CD5D76A}"/>
    <hyperlink ref="G806" r:id="rId779" display="../PT. SJIO DUMAI/DO INV/PT. SJIO DO 1559 (PO  SJIO PROJ PO 2510 1345) 01 - PARTIAL - 2,4,5,6,7,10.xlsm" xr:uid="{2049AF07-7ED9-4796-91E1-EEFC6CAB3554}"/>
    <hyperlink ref="G807" r:id="rId780" display="../PT. SJIO DUMAI/DO INV/PT. SJIO DO 1560 (PO  SJIO BOILER PO 2510 1314) 01.xlsm" xr:uid="{2C750DD1-B8C8-4FDC-887F-C1EBCCAC1103}"/>
    <hyperlink ref="G808" r:id="rId781" display="../PT. SJIO DUMAI/DO INV/PT. SJIO DO 1561 (PO  SJIO BOILER PO 2510 1320) 01 - PARTIAL - N7.xlsm" xr:uid="{47405CA9-452A-4C02-8081-20D065DEB10F}"/>
    <hyperlink ref="G809" r:id="rId782" display="../PT. SJIO DUMAI/DO INV/PT. SJIO DO 1562 (PO  SJIO BOILER PO 2510 1320) 01 - PARTIAL - N1,3,4,5,6.xlsm" xr:uid="{061F4317-C0B7-4487-9472-94A841BAAA93}"/>
    <hyperlink ref="G811" r:id="rId783" display="../PT. Agro Raya Mas/DO INV/PT. ARM DO 1563 (PO  25 00078) 01.xlsm" xr:uid="{6006D6C3-D1E6-4DE4-BCEC-4584D94FBD03}"/>
    <hyperlink ref="G812" r:id="rId784" display="../PT. Agro Raya Mas/DO INV/PT. ARM DO 1564 (PO  25 00073) 01.xlsm" xr:uid="{8629DCF7-203F-4D23-A720-313A75619417}"/>
    <hyperlink ref="G813" r:id="rId785" display="../PT. Agro Raya Mas/DO INV/PT. ARM DO 1565 (PO  25 00067) 01.xlsm" xr:uid="{06C5434A-D842-407D-9170-A0B478A6D46F}"/>
    <hyperlink ref="G810" r:id="rId786" display="../PT. SJIO DUMAI/DO INV/PT. SJIO DO 1562 (PO  SJIO BOILER PO 2510 1320) 01 - PARTIAL - N1,2,3,4,5,6.xlsm" xr:uid="{26CD82A1-0F2C-4FDA-A2DE-9D16A51569DC}"/>
    <hyperlink ref="G802" r:id="rId787" display="../PT. Agro Murni/DO INV/PT. AGRO M DO 1555 (PO  25 00936) 07.xlsm" xr:uid="{318CEF1A-C2F7-4317-8D51-E77394D15545}"/>
    <hyperlink ref="G814" r:id="rId788" display="../PT. SJIO DUMAI/DO INV/PT. SJIO DO 1566 (PO  SJIO PROJ PO 2510 1345) 01 - PARTIAL COMPLETE - N1,3,11.xlsm" xr:uid="{5155B879-2C06-46C1-A276-320CE5EB4CE9}"/>
    <hyperlink ref="G815" r:id="rId789" display="../PT. Simpang Kanan Lestarindo/DO INV/PT. SKL DO 1567 (PO  25 00828) 01.xlsm" xr:uid="{F75380A4-FBCE-4E80-96EE-701B39E0F6AA}"/>
    <hyperlink ref="G816" r:id="rId790" display="../PT. Agro Raya Mas/DO INV/PT. ARM DO 1568 (PO  25 00087) 07.xlsm" xr:uid="{393E4A5C-9B7C-48B1-8830-D7C7BBF6646C}"/>
    <hyperlink ref="G817" r:id="rId791" display="../PT. Agro Raya Mas/DO INV/PT. ARM DO 1569 (PO  25 00081) 07.xlsm" xr:uid="{20A6D7AA-811A-419F-8C2C-469D4DF84754}"/>
    <hyperlink ref="G818" r:id="rId792" display="../PT. Pacific Palmindo Industri/DO INV/PT. PPI DO 1570 (PO  4714047724) 01.xlsm" xr:uid="{9EC04B7C-2B70-427D-878C-7C9ADD73DB62}"/>
    <hyperlink ref="G819" r:id="rId793" display="D:\PT. AGRI PRIMA INDOTAMA\PT. SJIO DUMAI\DO INV\PT. SJIO DO 1571 (PO  SJIO BOILER PO 2511 1409) 01.xlsm" xr:uid="{98C7848E-0063-4352-B3AD-59BE2F21FA94}"/>
    <hyperlink ref="G820" r:id="rId794" display="../PT. Agro Raya Mas/DO INV/PT. ARM DO 1572 (PO  25 00108) 01.xlsm" xr:uid="{933B299F-7F31-4835-A6DF-1FD47C2C06D7}"/>
    <hyperlink ref="G821" r:id="rId795" display="../PT. Agro Raya Mas/DO INV/PT. ARM DO 1573 (PO  25 00120) 01.xlsm" xr:uid="{72C7FBBD-D31D-48F6-A4DD-70555E98F838}"/>
    <hyperlink ref="G822" r:id="rId796" display="../PT. Pacific Palmindo Industri/DO INV/PT. PPI DO 1574 (PO  4714047772) 07.xlsm" xr:uid="{82B8CC48-DEAE-47C9-BE46-4DB45BE0FB3C}"/>
    <hyperlink ref="G827" r:id="rId797" display="../PT. SJIO DUMAI/DO INV/PT. SJIO DO 1576 (PO   ) SEMENTARA.xlsm" xr:uid="{3D5E4970-8DC2-4E85-99E8-AFBB131F9532}"/>
    <hyperlink ref="G824" r:id="rId798" display="../PT. SJIO DUMAI/DO INV/PT. SJIO DO 1575 (PO   ) SEMENTARA.xlsm" xr:uid="{4DE3EC37-1D19-4C62-BB30-0585FCFBE3EA}"/>
    <hyperlink ref="G825" r:id="rId799" display="../PT. SJIO DUMAI/DO INV/PT. SJIO DO 1575 (PO  SJIO PROJ PO 2510 1191) 01.xlsm" xr:uid="{D67DAAD9-A810-4AD2-9967-011F554EDBAC}"/>
    <hyperlink ref="G828" r:id="rId800" display="../PT. SJIO DUMAI/DO INV/PT. SJIO DO 1576 (PO  SJIO PROJ PO 2510 1191) 01.xlsm" xr:uid="{8073FDB1-CD5A-4D89-891B-4C281297DFCA}"/>
    <hyperlink ref="G829" r:id="rId801" display="../PT. SJIO DUMAI/DO INV/PT. SJIO DO 1576 (PO  SJIO PROJ PO 2510 1191) 01 - PARTIAL - N2.xlsm" xr:uid="{8C9AA6B2-3132-459E-B436-21F91CC1A7CE}"/>
    <hyperlink ref="G826" r:id="rId802" display="../PT. SJIO DUMAI/DO INV/PT. SJIO DO 1575 (PO  SJIO PROJ PO 2510 1191) 01 - PARTIAL - N1.xlsm" xr:uid="{E180A3B4-6F2C-4557-95CF-0E6E4C84EFD3}"/>
    <hyperlink ref="G823" r:id="rId803" display="../PT. Pacific Palmindo Industri/DO INV/PT. PPI DO 1574 (PO  4714047772) REV 1 07 - PARTIAL - N1.xlsm" xr:uid="{881CFE2D-3E22-45F8-BACA-6421B940DB70}"/>
    <hyperlink ref="G830" r:id="rId804" display="../PT. Pacific Palmindo Industri/DO INV/PT. PPI DO 1577 (PO  4714047772) 07 - PARTIAL - N2.xlsm" xr:uid="{4317196A-4595-4241-9BC7-091E024237B1}"/>
    <hyperlink ref="G831" r:id="rId805" display="../PT. SJIO DUMAI/DO INV/PT. SJIO DO 1578 (PO   ) 01 - DO SEMENTARA - Quote 2740.xlsm" xr:uid="{6519D735-7A03-45D5-84AC-57221D9F91AD}"/>
    <hyperlink ref="G832" r:id="rId806" display="../PT. SJIO DUMAI/DO INV/PT. SJIO DO 1578 (PO   ) 01 - DO SEMENTARA - Quote 2740.xlsm" xr:uid="{72E52B50-BC68-4D5E-ABCC-AD867099D1CC}"/>
    <hyperlink ref="G834" r:id="rId807" display="../PT. KIP/DO INV/PT. KIP DO 1579 (PO  25 00563) 01.xlsm" xr:uid="{2D844BD4-8A18-4045-A1D8-194199CDE930}"/>
    <hyperlink ref="G835" r:id="rId808" display="../PT. Agro Raya Mas/DO INV/PT. ARM DO 1580 (PO  25 00116) 01.xlsm" xr:uid="{89BE9B0A-5F35-4EB6-92A8-9F7BE59EA36D}"/>
    <hyperlink ref="G836" r:id="rId809" display="../PT. Agro Raya Mas/DO INV/PT. ARM DO 1581 (PO  25 00118) 01.xlsm" xr:uid="{7F4EE3A7-1F26-4BBC-B239-FBD5B6A8ED1C}"/>
    <hyperlink ref="G837" r:id="rId810" display="../PT. Agro Raya Mas/DO INV/PT. ARM DO 1582 (PO  25 00103) 01.xlsm" xr:uid="{5D79EF5F-835F-430B-BA59-EB459DC6E6BC}"/>
    <hyperlink ref="G838" r:id="rId811" display="../PT. Agro Raya Mas/DO INV/PT. ARM DO 1583 (PO  25 00119) 01 - PARTIAL - N3.xlsm" xr:uid="{89772640-CC34-4A96-B4A2-D8B4660AE855}"/>
    <hyperlink ref="G839" r:id="rId812" display="../PT. Agro Raya Mas/DO INV/PT. ARM DO 1584 (PO  25 00132) 07 - PARTIAL - N1.xlsm" xr:uid="{E82B43C1-62EB-4167-ABBC-81B77C0092DA}"/>
    <hyperlink ref="G840" r:id="rId813" display="../PT. Agro Raya Mas/DO INV/PT. ARM DO 1586 (PO  25 00137) 07.xlsm" xr:uid="{B8190965-B7E0-443D-B52E-611D316C8C18}"/>
    <hyperlink ref="G841" r:id="rId814" display="../PT. SWP/DO INV/PT. SWP DO 1587 (PO  NON PO) TOOLS PT API UNTUK PROYEK.xlsm" xr:uid="{5325CFD7-E153-4498-8406-329911B73601}"/>
    <hyperlink ref="G842" r:id="rId815" display="../PT. SWP/DO INV/PT. SWP DO 1587 (PO   ) TOOLS PT API UNTUK PROYEK.xlsm" xr:uid="{88B066F5-CBFC-46B1-8204-9EF42EBF75A7}"/>
    <hyperlink ref="G843" r:id="rId816" display="../PT. SJIO DUMAI/DO INV/PT. SJIO DO 1588 (PO   ) 01 - DO SEMENTARA - Quote 2740 - (+3BTG) complete 4 batang.xlsm" xr:uid="{6BE7F9F0-BD54-4E6B-B811-40E1F3B90CA0}"/>
    <hyperlink ref="G844" r:id="rId817" display="../PT. SJIO DUMAI/DO INV/PT. SJIO DO 1588 (PO   ) 01 - DO SEMENTARA - Quote 2740 - (+3BTG) complete 4 batang.xlsm" xr:uid="{F4FD3CAD-B7F3-4387-9F7F-CD04A0DA3A8D}"/>
    <hyperlink ref="G846" r:id="rId818" display="../PT. Agro Raya Mas/DO INV/PT. ARM DO 1589 (PO  25 00119) 01 - PARTIAL COMPLETE - N1,2.xlsm" xr:uid="{F20762E0-EE95-41F2-B7C2-C948781FDC1A}"/>
    <hyperlink ref="G847" r:id="rId819" display="../PT. Simpang Kanan Lestarindo/DO INV/PT. SKL DO 1590 (PO  25 00867) 01.xlsm" xr:uid="{D28E968C-5ECD-479E-9412-F451E2635732}"/>
    <hyperlink ref="G845" r:id="rId820" display="../PT. SJIO DUMAI/DO INV/PT. SJIO DO 1588 (PO  SJIO BOILER PO 2511 1494) REV 1 01 - OFFICIAL.xlsm" xr:uid="{DF36ABF1-FA5F-4F22-AB5A-09EB9BF4FBF0}"/>
    <hyperlink ref="G833" r:id="rId821" display="../PT. SJIO DUMAI/DO INV/PT. SJIO DO 1578 (PO  SJIO BOILER PO 2511 1494) REV 1 01 - OFFICIAL.xlsm" xr:uid="{0CDF9FF0-A6F8-48C6-A941-FF08D82EAE79}"/>
    <hyperlink ref="G848" r:id="rId822" display="../PT. Agro Raya Mas/DO INV/PT. ARM DO 1591 (PO  25 00132) 07 - PARTIAL - N2,3.xlsm" xr:uid="{8322D038-B1C4-486E-B7DF-D0A095DE1813}"/>
    <hyperlink ref="G849" r:id="rId823" display="../PT. Agro Murni/DO INV/PT. AGRO M DO 1592 (PO  25 01051) 07 - PARTIAL - N1,3.xlsm" xr:uid="{1C5E6701-2B8F-477F-8FCF-F818B1F53A03}"/>
    <hyperlink ref="G850" r:id="rId824" display="../PT. Agro Murni/DO INV/PT. AGRO M DO 1593 (PO  25 01034) 07 - PARTIAL - N1,2.xlsm" xr:uid="{B63A1618-7387-4835-BDB9-AA8E44313CFA}"/>
    <hyperlink ref="G851" r:id="rId825" display="../PT. Agro Murni/DO INV/PT. AGRO M DO 1594 (PO  25 01034) 01 - PARTIAL - N3.xlsm" xr:uid="{D4078984-4A3B-40C8-A764-B8444552F549}"/>
    <hyperlink ref="G852" r:id="rId826" display="../PT. Agro Murni/DO INV/PT. AGRO M DO 1595 (PO  25 01051) 07 - PARTIAL COMPLETE - N2.xlsm" xr:uid="{1F926057-8785-4860-BEF9-11B483F47F35}"/>
    <hyperlink ref="G853" r:id="rId827" display="../PT. Agro Raya Mas/DO INV/PT. ARM DO 1596 (PO  25 00132) 07 - PARTIAL COMPLETE - N4.xlsm" xr:uid="{C30B13EE-F24A-4255-BA98-26471DA896AF}"/>
    <hyperlink ref="G854" r:id="rId828" display="../PT. SJIO DUMAI/DO INV/PT. SJIO DO 1597 (PO  SJIO BOILER PO 2511 1406) 01 - PARTIAL - N2,3.xlsm" xr:uid="{4FBD81A3-0AB8-46DE-AE30-D6F5E1EAF483}"/>
    <hyperlink ref="G855" r:id="rId829" display="../PT. SJIO DUMAI/DO INV/PT. SJIO DO 1598 (PO  SJIO BOILER PO 2511 1406) 01 - PARTIAL COMPLETE - N1.xlsm" xr:uid="{3E924D8D-3B42-49F1-9249-1782AE3A8E37}"/>
    <hyperlink ref="G856" r:id="rId830" display="../PT. Agro Raya Mas/DO INV/PT. ARM DO 1599 (PO  25 00176) 01.xlsm" xr:uid="{E75120EA-6D0D-4C70-BC6C-60AD0F78BEE8}"/>
    <hyperlink ref="G857" r:id="rId831" display="../PT. Agro Murni/DO INV/PT. AGRO M DO 1600 (PO  25 01052) 07 - PARTIAL - N2,3,4.xlsm" xr:uid="{696B977B-7119-4F3B-B9AD-899BCB45866A}"/>
    <hyperlink ref="G858" r:id="rId832" display="../PT. Agro Murni/DO INV/PT. AGRO M DO 1601 (PO  25 01034) 01 - PARTIAL - N5.xlsm" xr:uid="{03F234A8-A771-46E0-98FA-944421A6731F}"/>
    <hyperlink ref="G859" r:id="rId833" xr:uid="{4BBDC524-8EED-4051-9290-7D7B24FB4377}"/>
    <hyperlink ref="G860" r:id="rId834" xr:uid="{FD217933-1CE7-4FD8-A81E-22928CEAFD93}"/>
    <hyperlink ref="G861" r:id="rId835" xr:uid="{FDA2C5C4-A3EA-4F9C-803C-D0EBE5ECD028}"/>
    <hyperlink ref="G862" r:id="rId836" xr:uid="{E9B09C77-438E-4B32-BF20-FC99F35FFD50}"/>
    <hyperlink ref="G863" r:id="rId837" display="../PT. KIP/DO INV/PT. KIP DO 1606 (PO  25 00606) 01.xlsm" xr:uid="{70F091F3-56ED-4EBD-B4C4-92FE35E9EC6F}"/>
    <hyperlink ref="G864" r:id="rId838" display="../PT. Agro Murni/DO INV/PT. AGRO M DO 1607 (PO  25 01052) 07 - PARTIAL COMPLETE - N1.xlsm" xr:uid="{2C2444B0-336A-4CE4-9640-39610CE1FDD2}"/>
    <hyperlink ref="G865" r:id="rId839" display="../PT. Agro Raya Mas/DO INV/PT. ARM DO 1608 (PO  25 00161) 01.xlsm" xr:uid="{4F5FC321-CA56-43EE-A031-57C13602B5B4}"/>
    <hyperlink ref="G866" r:id="rId840" display="../PT. Agro Murni/DO INV/PT. AGRO M DO 1609 (PO  25 01034) 01 - PARTIAL COMPLETE - N4.xlsm" xr:uid="{E170EA3B-10B0-4C9B-A5C0-65C3B4D8D59A}"/>
    <hyperlink ref="G867" r:id="rId841" display="../PT. Pacific Palmindo Industri/DO INV/PT. PPI DO 1610 (PO  4714047937) 01.xlsm" xr:uid="{B3BDB784-7D15-45B4-A663-8E1EE50FA3E0}"/>
    <hyperlink ref="G868" r:id="rId842" display="../PT. Pacific Palmindo Industri/DO INV/ DO 1611 (PO  ) 07.xlsm" xr:uid="{457BE7B3-CAFE-4CEA-924C-B0AE48EFC308}"/>
    <hyperlink ref="G869" r:id="rId843" display="../PT. Agro Raya Mas/DO INV/PT. ARM DO 1612 (PO  25 00209) 07.xlsm" xr:uid="{0378F750-BCAA-4F65-8AA8-E1F9A7CD1B95}"/>
    <hyperlink ref="G870" r:id="rId844" xr:uid="{1A8CB2D6-87CB-43CD-A04C-47FBAE338993}"/>
    <hyperlink ref="G871" r:id="rId845" display="../PT. Agro Murni/DO INV/PT. AGRO M DO 1614 (PO  25 01092) 07.xlsm" xr:uid="{1932FC31-6B17-4C80-A497-44A1BBAB673C}"/>
    <hyperlink ref="G872" r:id="rId846" display="../PT. Agro Murni/DO INV/PT. AGRO M DO 1614 (PO  25 01092) 07.xlsm" xr:uid="{32CB4E9F-EB5A-4C23-86BC-689DAFBE25CA}"/>
    <hyperlink ref="G873" r:id="rId847" display="../PT. Agro Murni/DO INV/PT. AGRO M DO 1615 (PO  25 01093) 07.xlsm" xr:uid="{71E921EA-A2B5-4E47-9AB3-2665C810200F}"/>
    <hyperlink ref="G874" r:id="rId848" display="../PT. KIP/DO INV/PT. KIP DO 1616 (PO  25 00624) 01.xlsm" xr:uid="{4B5252B6-D426-4F5F-85B4-7CCCA84DE0B7}"/>
    <hyperlink ref="G875" r:id="rId849" display="../PT. SWP/DO INV/PT. SWP DO 1617 (PO  4000327387) 01.xlsm" xr:uid="{F5634FEA-FB02-42D5-9A4B-96CCB7EF4564}"/>
    <hyperlink ref="G876" r:id="rId850" display="../PT. SJIO DUMAI/DO INV/PT. SJIO DO 1618 (PO  SJIO BOILER PO 2511 1470) 01.xlsm" xr:uid="{FBD47BB3-CF13-4A0F-816C-17E32D8A80CF}"/>
    <hyperlink ref="G877" r:id="rId851" display="../PT. Simpang Kanan Lestarindo/DO INV/PT. SKL DO 1619 (PO  25 00913) 01 - PARTIAL - N5,7.xlsm" xr:uid="{DCF53B0E-E245-4CF5-93E2-8925CFCBC59C}"/>
    <hyperlink ref="G878" r:id="rId852" display="../PT. Agro Raya Mas/DO INV/PT. ARM DO 1620 (PO  25 00234) 01 - PARTIAL - N1.xlsm" xr:uid="{3B0E97AB-D22D-4FA2-8825-01B116ABF6FA}"/>
    <hyperlink ref="G879" r:id="rId853" display="../PT. Agro Raya Mas/DO INV/PT. ARM DO 1621 (PO  25 00231) 01.xlsm" xr:uid="{CDB53988-680D-4059-9C83-BB21FC260A09}"/>
    <hyperlink ref="G880" r:id="rId854" display="../PT. Simpang Kanan Lestarindo/DO INV/PT. SKL DO 1622 (PO  25 00913) 01.xlsm" xr:uid="{1FFE523D-1505-44E5-A717-C0D2561AC184}"/>
    <hyperlink ref="G881" r:id="rId855" display="../PT. Simpang Kanan Lestarindo/DO INV/PT. SKL DO 1623 (PO  25 00946) 01.xlsm" xr:uid="{6CE96F43-84C8-4183-A878-855DB96433CA}"/>
    <hyperlink ref="G882" r:id="rId856" display="../PT. Agro Raya Mas/DO INV/PT. ARM DO 1624 (PO  25 00222) 01.xlsm" xr:uid="{FB9840E8-5170-491A-A88E-988425471081}"/>
    <hyperlink ref="G884" r:id="rId857" display="../PT. Agro Murni/DO INV/PT. AGRO M DO 1625 (PO  25 01141) 07 - PARTIAL - N1,2,3,4.xlsm" xr:uid="{09BED0BE-6767-4BDA-80FD-D292FB4DA0E2}"/>
    <hyperlink ref="G885" r:id="rId858" display="../PT. Simpang Kanan Lestarindo/DO INV/PT. SKL DO 1626 (PO  25 00922) 01.xlsm" xr:uid="{5654463B-1739-48A3-9B4A-7DBC2BD07DF5}"/>
    <hyperlink ref="G886" r:id="rId859" display="../PT. SJIO DUMAI/DO INV/PT. SJIO DO 1627 (PO   ) 01 - DO SEMENTARA.xlsm" xr:uid="{C013655C-A3E0-42A0-BB7B-1BCD23554A3D}"/>
    <hyperlink ref="G888" r:id="rId860" display="../PT. Agro Raya Mas/DO INV/PT. ARM DO 1628 (PO  25 00248) 07.xlsm" xr:uid="{14993D8A-128D-46F5-B720-4432B55166BD}"/>
    <hyperlink ref="G889" r:id="rId861" display="../PT. Simpang Kanan Lestarindo/DO INV/PT. SKL DO 1629 (PO  25 00913) 01 - PARTIAL - N4.xlsm" xr:uid="{DC9E4AF9-DA8E-4DEC-9CC7-0E3149183215}"/>
    <hyperlink ref="G890" r:id="rId862" display="D:\PT. AGRI PRIMA INDOTAMA\PT. Agro Raya Mas\DO INV\PT. ARM DO 1630 (PO  25 00197) 01 - PARTIAL 103 ROL FROM 238 ROL (-135 ROL).xlsm" xr:uid="{EFB9412B-224A-4BD1-A1E8-BE994C14B32A}"/>
    <hyperlink ref="G891" r:id="rId863" display="D:\PT. AGRI PRIMA INDOTAMA\PT. Agro Murni\DO INV\PT. AGRO M DO 1631 (PO  25 01141) 07 - PARTIAL - 5,6,7,8.xlsm" xr:uid="{BD5B1668-76E4-457F-AE35-BD83B83F1A41}"/>
    <hyperlink ref="G883" r:id="rId864" display="../PT. Agro Murni/DO INV/PT. AGRO M DO 1625 (PO  25 01141) 07 - PARTIAL - N1,2,3,4.xlsm" xr:uid="{AF4EFF2D-4C5A-4169-99B1-4EEFAB43AA07}"/>
    <hyperlink ref="G892" r:id="rId865" display="D:\PT. AGRI PRIMA INDOTAMA\PT. Simpang Kanan Lestarindo\DO INV\PT. SKL DO 1632 (PO  25 00913) 01 - PARTIAL - N2,3.xlsm" xr:uid="{53E0222A-754F-4458-BE5B-67D6AED9AF5D}"/>
    <hyperlink ref="G893" r:id="rId866" display="../PT. Pacific Palmindo Industri/DO INV/PT. PPI DO 1633 (PO  4714048132) 01.xlsm" xr:uid="{2A0155E7-9FB7-4431-A4B4-C46003338DDB}"/>
    <hyperlink ref="G894" r:id="rId867" display="../PT. Agro Raya Mas/DO INV/PT. ARM DO 1634 (PO  25 00197) 01 - PARTIAL COMPLETE - 135 ROLL (TOTAL 238 ROLL).xlsm" xr:uid="{0B627114-E86C-487D-BCDD-8F71961144D3}"/>
    <hyperlink ref="G895" r:id="rId868" display="../PT. Agro Raya Mas/DO INV/PT. ARM DO 1635 (PO  25 00241) 07 - PARTIAL - N1,3.xlsm" xr:uid="{552FCDEE-C3B5-4620-9F10-93AC1C457B2B}"/>
    <hyperlink ref="G896" r:id="rId869" display="../PT. Agro Raya Mas/DO INV/PT. ARM DO 1636 (PO  25 00259) 07 - PARTIAL - N2,3,4.xlsm" xr:uid="{BC5FFD75-C0A0-48EB-8E1A-0A7F2146FFAE}"/>
    <hyperlink ref="G897" r:id="rId870" display="../PT. Agro Raya Mas/DO INV/PT. ARM DO 1637 (PO  25 00231) 01 - Pickup 18 des 25, Delivery and Refilled 29 Des 25.xlsm" xr:uid="{938661F3-7D54-431A-9754-39DF1E207531}"/>
    <hyperlink ref="G898" r:id="rId871" display="../PT. Pacific Palmindo Industri/DO INV/PT. PPI DO 1638 (PO  4714048196) 01.xlsm" xr:uid="{5678C8FA-DFEB-4920-B547-1ECE4A5BBCDD}"/>
    <hyperlink ref="G899" r:id="rId872" display="../PT. Agro Raya Mas/DO INV/PT. ARM DO 1639 (PO  25 00241) 07 - PARTIAL - N2.xlsm" xr:uid="{9627FEDA-DA09-4C43-8D55-FF0959DFB327}"/>
    <hyperlink ref="G900" r:id="rId873" display="../PT. Agro Murni/DO INV/PT. AGRO M DO 1640 (PO  25 01114) 01.xlsm" xr:uid="{085EDD51-C026-4422-A96E-7A80B3852B5E}"/>
    <hyperlink ref="G901" r:id="rId874" display="../PT. Agro Raya Mas/DO INV/PT. ARM DO 1641 (PO  25 00278) 01.xlsm" xr:uid="{7B76AE8B-B359-40B6-92C4-577D47DDA2F6}"/>
    <hyperlink ref="G902" r:id="rId875" display="../PT. Agro Raya Mas/DO INV/PT. ARM DO 1642 (PO  25 00252) 01.xlsm" xr:uid="{531D5F15-1CDC-4556-BD56-9E122543C8F4}"/>
    <hyperlink ref="G903" r:id="rId876" display="../PT. KIP/DO INV/PT. KIP DO 1643 (PO  EMENTARA) 01 - DO SEMENTARA - URGENT.xlsm" xr:uid="{A701A307-CB7A-44E7-A287-59ED2FA12F2B}"/>
    <hyperlink ref="G905" r:id="rId877" display="../PT. KIP/DO INV/PT. KIP DO 1644 (PO  EMENTARA) 01 - DO SEMENTARA - URGENT.xlsm" xr:uid="{4AF24D19-ABC2-4B48-BA22-66F627D2D27B}"/>
    <hyperlink ref="G907" r:id="rId878" xr:uid="{121A503C-BD98-4D72-B02C-9B8330DF55D4}"/>
    <hyperlink ref="G908" r:id="rId879" display="../PT. SJIO DUMAI/DO INV/PT. SJIO DO 1646 (PO  SJIO REF PO 2512 1688) 01.xlsm" xr:uid="{9A99C0B1-463D-46F8-BED5-6A7BE45785A3}"/>
    <hyperlink ref="G909" r:id="rId880" display="../PT. SATU/DO INV/PT. SATU DO 1647 (PO 25 006) 01.xlsm" xr:uid="{602F02A9-E1ED-47CE-912A-EA7DE4E645B6}"/>
    <hyperlink ref="G910" r:id="rId881" display="../PT. Agro Raya Mas/DO INV/PT. ARM DO 1648 (PO  25 00296) 07 - PARTIAL - N4,5,8.xlsm" xr:uid="{AF9B879D-9214-4D87-9E4C-077C83832319}"/>
    <hyperlink ref="G887" r:id="rId882" display="../PT. SJIO DUMAI/DO INV/PT. SJIO DO 1627 (PO  SJIO TANK PO 2511 1506) REV 1 01.xlsm" xr:uid="{5946A901-EF67-48CE-B155-0C3EB1BAD5FD}"/>
    <hyperlink ref="G911" r:id="rId883" display="../PT. KIP/DO INV/PT. KIP DO 1649 (PO  25 00637) 01.xlsm" xr:uid="{9D779C32-0E45-4A17-B6DE-6518E9F65545}"/>
    <hyperlink ref="G912" r:id="rId884" display="../PT. Agro Raya Mas/DO INV/PT. ARM DO 1650 (PO  25 00288) 07 - PARTIAL - N1.xlsm" xr:uid="{E01C321E-0485-458D-B367-031F518BF97A}"/>
    <hyperlink ref="G913" r:id="rId885" display="../PT. Agro Raya Mas/DO INV/PT. ARM DO 1650 (PO  25 00288) 07 - PARTIAL - N1.xlsm" xr:uid="{0B49063F-A746-408E-9E57-E56D72190490}"/>
    <hyperlink ref="G914" r:id="rId886" display="../PT. Agro Raya Mas/DO INV/PT. ARM DO 1651 (PO  26 00022) 01.xlsm" xr:uid="{37B1FD1E-B4AD-4346-8E98-93C64B48A1BB}"/>
    <hyperlink ref="G915" r:id="rId887" display="../PT. Simpang Kanan Lestarindo/DO INV/PT. SKL DO 1652 (PO  26 00020) 01.xlsm" xr:uid="{237B7CBE-5A8F-4BAB-AA26-19B29CC541C1}"/>
    <hyperlink ref="G916" r:id="rId888" display="../PT. Pacific Palmindo Industri/DO INV/PT. PPI DO 1653 (PO  4714048246) 07.xlsm" xr:uid="{116BDC87-0BB0-4C1A-A99E-B2331DE64D42}"/>
    <hyperlink ref="G917" r:id="rId889" display="../PT. Agro Raya Mas/DO INV/PT. ARM DO 1654 (PO  26 00017) 01.xlsm" xr:uid="{B6B8CCAC-7553-4C02-99CA-28C5259A44C4}"/>
    <hyperlink ref="G918" r:id="rId890" display="../PT. Agro Raya Mas/DO INV/PT. ARM DO 1655 (PO  25 00296) 07 - PARTIAL - N2,3.xlsm" xr:uid="{30EA1B15-21A0-4203-90FB-B86328B46DF0}"/>
    <hyperlink ref="G919" r:id="rId891" display="../PT. Agro Raya Mas/DO INV/PT. ARM DO 1656 (PO  25 00304) 07 - PARTIAL - N1.xlsm" xr:uid="{DEF044A5-9876-4D8F-9E38-B8937E084075}"/>
    <hyperlink ref="G920" r:id="rId892" display="../PT. Agro Raya Mas/DO INV/PT. ARM DO 1657 (PO  26 00033) 07.xlsm" xr:uid="{83581F9C-8B22-48E5-9B9A-60A9AD92F8ED}"/>
    <hyperlink ref="G921" r:id="rId893" display="../PT. KIP/DO INV/PT. KIP DO 1658 (PO  26 00002) 01.xlsm" xr:uid="{01CCFAD8-6CC7-45BC-96DF-F4330E7AAB38}"/>
    <hyperlink ref="G922" r:id="rId894" display="../PT. KIP/DO INV/PT. KIP DO 1659 (PO  25 00621) 01.xlsm" xr:uid="{07091937-EBAD-460F-8ABD-45B6876290A0}"/>
    <hyperlink ref="G923" r:id="rId895" display="../PT. Simpang Kanan Lestarindo/DO INV/PT. SKL DO 1660 (PO  26 00036) 01.xlsm" xr:uid="{7E56799E-DC84-4383-A11F-879989A4340E}"/>
    <hyperlink ref="G924" r:id="rId896" display="../PT. Simpang Kanan Lestarindo/DO INV/PT. SKL DO 1661 (PO  26 00042) 01.xlsm" xr:uid="{F95A35B5-92EB-4323-97E2-3E2A5BB68CEC}"/>
    <hyperlink ref="G925" r:id="rId897" display="../PT. Agro Raya Mas/DO INV/PT. ARM DO 1662 (PO  26 00027) 01 - PARTIAL - N4.xlsm" xr:uid="{27285C9A-B1B1-46EB-9C7A-84D657C44C9D}"/>
    <hyperlink ref="G926" r:id="rId898" display="../PT. Agro Raya Mas/DO INV/PT. ARM DO 1663 (PO  26 00045) 01.xlsm" xr:uid="{ED89C999-9DD3-4922-B182-890932C1858D}"/>
    <hyperlink ref="G927" r:id="rId899" display="../PT. Agro Raya Mas/DO INV/PT. ARM DO 1664 (PO  25 00241) 07 - PARTIAL COMPLETED - N4.xlsm" xr:uid="{1144D122-4138-4F63-8C3D-BFBD1D6DC1F1}"/>
    <hyperlink ref="G928" r:id="rId900" display="../PT. Agro Raya Mas/DO INV/PT. ARM DO 1665 (PO  25 00259) 07 - PARTIAL COMPLETED - N1.xlsm" xr:uid="{1ED2E769-764A-4A8D-914D-896CBABF14DA}"/>
    <hyperlink ref="G929" r:id="rId901" display="../PT. Agro Raya Mas/DO INV/PT. ARM DO 1666 (PO  25 00296) 07 - PARTIAL - N1.xlsm" xr:uid="{C475F465-1425-49D8-B6C4-06ED465E0EC9}"/>
    <hyperlink ref="G930" r:id="rId902" display="../PT. Agro Raya Mas/DO INV/PT. ARM DO 1667 (PO  26 00046) 01 - PARTIAL - N1.xlsm" xr:uid="{822C3EDE-D2DD-4C2F-96F1-C31922DDFFC3}"/>
    <hyperlink ref="G931" r:id="rId903" display="../PT. Agro Raya Mas/DO INV/PT. ARM DO 1668 (PO  26 00046) 01 - PARTIAL COMPLETED - N2.xlsm" xr:uid="{D634ACAD-BD70-45B9-BB40-EA323E971FB9}"/>
    <hyperlink ref="G933" r:id="rId904" display="../PT. Pacific Palmindo Industri/DO INV/PT. PPI DO 1669 (PO  4714048346) 07.xlsm" xr:uid="{46B81E6B-41F3-4C77-8782-8EEE0D8DCDA8}"/>
    <hyperlink ref="G934" r:id="rId905" display="../PT. KIP/DO INV/PT. KIP DO 1670 (PO  EMENTARA) DO SEMENTARA.xlsm" xr:uid="{9C573BEE-158F-48BD-A8FB-8DB2AE999319}"/>
    <hyperlink ref="G935" r:id="rId906" display="../PT. Agro Raya Mas/DO INV/PT. ARM DO 1671 (PO  25 00296) 07 - PARTIAL - N6.xlsm" xr:uid="{3E9EA29A-A4EC-44AD-B9DA-3B9E2AA3E4A2}"/>
    <hyperlink ref="G906" r:id="rId907" display="../PT. KIP/DO INV/PT. KIP DO 1644 (PO  26 00021) REV 1 01 - REV1 - BASED ON OFFICIAL PO.xlsm" xr:uid="{C23290EE-8D69-4125-BCDA-A85EF5A0B993}"/>
    <hyperlink ref="G936" r:id="rId908" display="../PT. Agro Raya Mas/DO INV/PT. ARM DO 1672 (PO  25 00296) 07 - PARTIAL COMPLETED - N7.xlsm" xr:uid="{1CE47ED6-CFE0-46CA-A6AC-7CCAD5235C0A}"/>
    <hyperlink ref="G937" r:id="rId909" display="../PT. Agro Raya Mas/DO INV/PT. ARM DO 1673 (PO  25 00288) 07 - PARTIAL COMPLETED - N2.xlsm" xr:uid="{4527CA1F-BD53-4A20-8F37-D2E2081D3AC4}"/>
    <hyperlink ref="G938" r:id="rId910" display="../PT. Agro Raya Mas/DO INV/PT. ARM DO 1674 (PO  25 00304) 07 - PARTIAL COMPLETED - N2.xlsm" xr:uid="{508AC44C-5246-4877-9AD5-0D1523BFC9B7}"/>
    <hyperlink ref="G939" r:id="rId911" display="../PT. Agro Raya Mas/DO INV/PT. ARM DO 1675 (PO  26 00027) 01 - PARTIAL - N1,2,3.xlsm" xr:uid="{697A00E1-C70E-419B-9AE6-CF8247D9E70F}"/>
    <hyperlink ref="G932" r:id="rId912" display="../PT. Agro Raya Mas/DO INV/PT. ARM DO 1668 (PO  26 00046) REV 1 01 - PARTIAL - N2 (RED,GREEN).xlsm" xr:uid="{03F470B4-5FAB-4502-885E-DA8A7A42F5B0}"/>
    <hyperlink ref="G940" r:id="rId913" display="../PT. Agro Raya Mas/DO INV/PT. ARM DO 1676 (PO  26 00046) 01 - PARTIAL - N2 (YELLOW).xlsm" xr:uid="{B3E1F64B-CC79-45EC-9D56-D4D2D8537CA2}"/>
    <hyperlink ref="G941" r:id="rId914" display="../PT. Simpang Kanan Lestarindo/DO INV/PT. SKL DO 1677 (PO  25 00940) 01.xlsm" xr:uid="{F2B469C8-D693-43B0-9BBE-FEBC53629FC6}"/>
    <hyperlink ref="G942" r:id="rId915" display="../PT. Agro Raya Mas/DO INV/PT. ARM DO 1678 (PO  26 00060) 01.xlsm" xr:uid="{DC6D9CDA-BE3B-4B49-8577-C80E42CA3B2F}"/>
    <hyperlink ref="G943" r:id="rId916" display="../PT. Agro Raya Mas/DO INV/PT. ARM DO 1679 (PO  26 00084) 01 - PARTIAL - N2.xlsm" xr:uid="{19773D5F-CEEC-4A0A-B3D4-56BB807AF732}"/>
    <hyperlink ref="G944" r:id="rId917" display="../PT. SJIO DUMAI/DO INV/PT. SJIO DO 1680 (PO  SJIO REF PO 2509 1065) 01.xlsm" xr:uid="{F3C6FA03-B967-41B3-8E3E-1D19F6BC7379}"/>
    <hyperlink ref="G945" r:id="rId918" display="../PT. SJIO DUMAI/DO INV/PT. SJIO DO 1681 (PO  SJIO REF PO 2509 1085) 01.xlsm" xr:uid="{424458DE-F8F1-4BF3-92DC-C7B46B054EF3}"/>
    <hyperlink ref="G946" r:id="rId919" xr:uid="{E144944E-4C1B-40AE-82D4-0B77BB0B6E9F}"/>
    <hyperlink ref="G947" r:id="rId920" display="../PT. PALUTA INTI SAWIT/DO INV/PT. PIS DO 1683 (PO  26 00009) 01.xlsm" xr:uid="{D5D9DB30-CE27-49CF-BC95-CEAD59242D94}"/>
    <hyperlink ref="G948" r:id="rId921" display="../PT. Agro Raya Mas/DO INV/PT. ARM DO 1684 (PO  26 00100) 07 - PARTIAL - N4.xlsm" xr:uid="{B35E31F3-36FA-4F09-A76D-8E421A70CD5D}"/>
    <hyperlink ref="G949" r:id="rId922" display="../PT. Agro Raya Mas/DO INV/PT. ARM DO 1684 (PO  26 00100) 07 - PARTIAL - N4.xlsm" xr:uid="{53D60F1F-A27D-4C5A-B054-1B8416BECA8C}"/>
    <hyperlink ref="G950" r:id="rId923" display="../PT. SATU/DO INV/PT. SATU DO 1685 (PO    ) .xlsm" xr:uid="{2E8AF372-C04C-4E0A-8894-A4E50F49B4FF}"/>
    <hyperlink ref="G952" r:id="rId924" display="../PT. Pacific Palmindo Industri/DO INV/PT. PPI DO 1686 (PO  4714048403) 01.xlsm" xr:uid="{E76C0335-2835-479B-842E-0A650AC95522}"/>
    <hyperlink ref="G953" r:id="rId925" display="../PT. SWP/DO INV/PT. SWP DO 1687 (PO  4000341075) 01 - PARTIAL - N1.xlsm" xr:uid="{40EC0A1F-1322-418F-926B-3861D290552F}"/>
    <hyperlink ref="G954" r:id="rId926" display="../PT. Simpang Kanan Lestarindo/DO INV/PT. SKL DO 1688 (PO  26 00053) 01.xlsm" xr:uid="{01A1C200-3EC1-4F3F-BF83-2B9DA9EBD3CE}"/>
    <hyperlink ref="G955" r:id="rId927" display="../PT. KIP/DO INV/PT. KIP DO 1689 (PO  26 00023) 01.xlsm" xr:uid="{D7B2FAF1-074B-4256-B15F-B0692ABCFEEA}"/>
    <hyperlink ref="G956" r:id="rId928" xr:uid="{57D5F68D-6F8F-4E53-ACCA-CD256770DDA7}"/>
    <hyperlink ref="G957" r:id="rId929" display="../PT. Agro Murni/DO INV/PT. AGRO M DO 1691 (PO  26 00016) 01.xlsm" xr:uid="{3317E83F-0FA1-41CE-86AE-C9E0C7FF0CE7}"/>
    <hyperlink ref="G958" r:id="rId930" display="../PT. Agro Raya Mas/DO INV/PT. ARM DO 1692 (PO  26 00100) 07 - PARTIAL COMPLETED - N1,2,3,5,6.xlsm" xr:uid="{3F68B3A4-C56D-4636-8F07-DED114A7E06E}"/>
    <hyperlink ref="G959" r:id="rId931" display="../PT. SJIO DUMAI/DO INV/PT. SJIO DO 1693 (PO  DO SEMENTARA) 01 - DO SEMENTARA.xlsm" xr:uid="{88A84DEC-950C-4645-8DBA-0A64C0C00CFD}"/>
    <hyperlink ref="G961" r:id="rId932" xr:uid="{51B78FEF-BAB8-451F-98C2-1C42F1E44654}"/>
    <hyperlink ref="G964" r:id="rId933" display="../PT. Agro Raya Mas/DO INV/PT. ARM DO 1695 (PO  26 00146) 01 - PARTIAL - 10 SHEET FROM 30 SHEET.xlsm" xr:uid="{5371CE9A-95C8-4BAD-ADDC-55FF37F7BFD9}"/>
    <hyperlink ref="G965" r:id="rId934" display="../PT. Agro Raya Mas/DO INV/PT. ARM DO 1696 (PO  26 00143) 01.xlsm" xr:uid="{FAE62894-FE97-4ACE-B85F-9B63E7AAE5C9}"/>
    <hyperlink ref="G966" r:id="rId935" display="../PT. Agro Raya Mas/DO INV/PT. ARM DO 1697 (PO  26 00140) 01.xlsm" xr:uid="{0D85E3E4-4B70-448C-B772-D831C41E52E9}"/>
    <hyperlink ref="G968" r:id="rId936" display="../PT. Agro Raya Mas/DO INV/PT. ARM DO 1698 (PO  26 00139) 01.xlsm" xr:uid="{698E74E3-0DBD-4F86-832C-B3B261994904}"/>
    <hyperlink ref="G969" r:id="rId937" display="../PT. Agro Raya Mas/DO INV/PT. ARM DO 1699 (PO  26 00135) 01.xlsm" xr:uid="{0FEB03F8-9E56-4465-BC90-36367646EB5F}"/>
    <hyperlink ref="G970" r:id="rId938" display="../PT. Pacific Palmindo Industri/DO INV/PT. PPI DO 1700 (PO  4714048421) 01.xlsm" xr:uid="{E9CDF3A3-B30D-482B-8108-0C3640710512}"/>
    <hyperlink ref="G967" r:id="rId939" display="../PT. Agro Raya Mas/DO INV/PT. ARM DO 1697 (PO  26 00140) REV 1 01 - PARTIAL - N3.xlsm" xr:uid="{681881EA-5C81-47CB-BD25-59A64DC947FE}"/>
    <hyperlink ref="G971" r:id="rId940" display="../PT. Agro Raya Mas/DO INV/PT. ARM DO 1701 (PO  26 00140) 01 - PARTIAL - N1,2.xlsm" xr:uid="{3533BA9A-8EDF-46DF-B907-BAACAD7273BF}"/>
    <hyperlink ref="G972" r:id="rId941" display="../PT. Agro Raya Mas/DO INV/PT. ARM DO 1702 (PO  26 00130) 01.xlsm" xr:uid="{9D902FCD-E543-468C-8E02-FD03D8A2D76C}"/>
    <hyperlink ref="G973" r:id="rId942" display="../PT. Agro Raya Mas/DO INV/PT. ARM DO 1703 (PO  26 00084) 01 - PARTIAL - N1 (1 UNIT FROM 2 UNIT).xlsm" xr:uid="{72D9C6E9-C802-4C23-BE5C-975118C8BC92}"/>
    <hyperlink ref="G962" r:id="rId943" display="../PT. Agro Raya Mas/DO INV/PT. ARM DO 1694 (PO  O I 2026) REV 1 07.xlsm" xr:uid="{F88CEA5D-E4A7-4A07-960D-AC5221FB8FC2}"/>
    <hyperlink ref="G963" r:id="rId944" display="../PT. Agro Raya Mas/DO INV/ DO 1694 (PO  ) REV 1 07.xlsm" xr:uid="{254F6F5F-F7FF-40C2-98A8-17F5363FCB27}"/>
    <hyperlink ref="G974" r:id="rId945" display="../PT. PALUTA INTI SAWIT/DO INV/PT. PIS DO 1704 (PO  26 00052) 01.xlsm" xr:uid="{C844E135-BC1E-42AC-94EE-272B12B0D912}"/>
    <hyperlink ref="G975" r:id="rId946" display="../PT. PALUTA INTI SAWIT/DO INV/PT. PIS DO 1705 (PO  26 00018) 01.xlsm" xr:uid="{8E2C51FB-6600-4770-8034-F5EE00DEBAFA}"/>
    <hyperlink ref="G976" r:id="rId947" display="../PT. SWP/DO INV/PT. SWP DO 1706 (PO  4000341075) 01 - PARTIAL COMPLETED - N2.xlsm" xr:uid="{97EEC618-2313-430F-B9D0-DD7AE231EE13}"/>
    <hyperlink ref="G977" r:id="rId948" display="../PT. Simpang Kanan Lestarindo/DO INV/PT. SKL DO 1707 (PO  26 00081) 01.xlsm" xr:uid="{B84B3975-16FC-4900-B560-F194DBE25B43}"/>
    <hyperlink ref="G951" r:id="rId949" display="../PT. SATU/DO INV/PT. SATU DO 1685 (PO 26 001) REV 1 01.xlsm" xr:uid="{48F82A02-3786-4152-A881-62399B4C78FB}"/>
    <hyperlink ref="G978" r:id="rId950" xr:uid="{20581AA4-9530-40CD-BFD7-856F2C601A16}"/>
    <hyperlink ref="G979" r:id="rId951" display="../PT. Pacific Palmindo Industri/DO INV/PT. PPI DO 1709 (PO  4714048449) 07.xlsm" xr:uid="{02ED92D2-A020-4509-84B2-1A0BA4492B99}"/>
    <hyperlink ref="G960" r:id="rId952" display="../PT. SJIO DUMAI/DO INV/PT. SJIO DO 1693 (PO  SJIO REF PO 2512 1624) 01.xlsm" xr:uid="{DBF01E11-DE0F-48E5-A60B-DA94A761CC42}"/>
    <hyperlink ref="G904" r:id="rId953" display="../PT. KIP/DO INV/PT. KIP DO 1643 (PO  26 00070) REV 1 PO PIS, PENGIRIMAN KIP.xlsm" xr:uid="{50422B99-B9E9-4DEE-B7C2-33F438CC32DE}"/>
    <hyperlink ref="G980" r:id="rId954" xr:uid="{E22F9815-21A5-45D0-B272-D69BE10B761F}"/>
    <hyperlink ref="G981" r:id="rId955" display="../PT. Agro Raya Mas/DO INV/PT. ARM DO 1711 (PO  26 00146) 01.xlsm" xr:uid="{B6F2A4E7-3583-43C6-9D46-5B1E8E36E17A}"/>
    <hyperlink ref="G982" r:id="rId956" display="../PT. Agro Raya Mas/DO INV/PT. ARM DO 1712 (PO  26 00084) 01 - PARTIAL COMPLETED - N1 (2 UNIT DELIVERED).xlsm" xr:uid="{3BB07160-62BD-4C39-8445-8F29F24374B8}"/>
    <hyperlink ref="G983" r:id="rId957" display="../PT. SJIO DUMAI/DO INV/PT. SJIO DO 1713 (PO  SJIO REF PO 2511 1413) 01.xlsm" xr:uid="{E1914E06-5E41-4AE9-98B0-5A8FE6C6B10D}"/>
    <hyperlink ref="G984" r:id="rId958" display="../PT. SJIO DUMAI/DO INV/ DO 1714 (PO  ) 01.xlsm" xr:uid="{078228B8-D8C8-41F9-A31B-964519D1FFE3}"/>
    <hyperlink ref="G985" r:id="rId959" display="../PT. SJIO DUMAI/DO INV/ DO 1715 (PO  ) 01.xlsm" xr:uid="{202F4DD0-F26B-4AD1-A31D-69A352E40281}"/>
    <hyperlink ref="G986" r:id="rId960" display="../PT. SJIO DUMAI/DO INV/ DO 1716 (PO  ) 01.xlsm" xr:uid="{C241AB5C-A3DB-41C3-8BA4-708C2FF42668}"/>
    <hyperlink ref="G987" r:id="rId961" display="../PT. KIP/DO INV/PT. KIP DO 1717 (PO  EMENTARA) 01.xlsm" xr:uid="{1F1E7B6B-E6F2-46A4-AFA9-2EC1073D4540}"/>
    <hyperlink ref="G988" r:id="rId962" display="../PT. KIP/DO INV/PT. KIP DO 1717 (PO  EMENTARA) 01.xlsm" xr:uid="{482A930C-5419-420B-A8D5-A590BF877C51}"/>
    <hyperlink ref="G990" r:id="rId963" xr:uid="{7D79719E-2BBB-4318-B69A-3F46ACE7F18B}"/>
    <hyperlink ref="G991" r:id="rId964" xr:uid="{649A1618-EF2A-497A-A63A-DCAC42EE4F83}"/>
    <hyperlink ref="G992" r:id="rId965" xr:uid="{90D20902-6DCE-4541-9B5A-4E58B66A3B80}"/>
    <hyperlink ref="G993" r:id="rId966" xr:uid="{5B24C786-B39B-4D6A-A906-B0516D947690}"/>
    <hyperlink ref="G994" r:id="rId967" xr:uid="{DF6BC54C-64DD-4511-98D6-B6A47F2A9D34}"/>
    <hyperlink ref="G996" r:id="rId968" display="../PT. Agro Raya Mas/DO INV/PT. ARM DO 1726 (PO  26 00209) 01.xlsm" xr:uid="{FF5EBE84-9F3F-4D88-9B4D-7D82A7EECE19}"/>
    <hyperlink ref="G995" r:id="rId969" display="../PT. SJIO DUMAI/DO INV/PT. SJIO DO 1725 (PO  SJIO TANK PO 2602 0217) 01.xlsm" xr:uid="{5D2A9489-10E7-4598-A246-A33D91ABB763}"/>
    <hyperlink ref="G997" r:id="rId970" display="../PT. SJIO DUMAI/DO INV/ DO 1727 (PO  ) 01 - PARTIAL COMPLETED - N3,4,5.xlsm" xr:uid="{880C5BCE-45DD-4053-905B-A7FC367865F6}"/>
    <hyperlink ref="G998" r:id="rId971" display="../PT. SJIO DUMAI/DO INV/ DO 1728 (PO  ) 01 - PARTIAL COMPLETED - N1,3,4.xlsm" xr:uid="{0AD01B8B-38B2-4BE3-A37E-473E27294125}"/>
    <hyperlink ref="G999" r:id="rId972" display="../PT. SJIO DUMAI/DO INV/ DO 1729 (PO  ) 01 - PARTIAL - N2(-1PCS), N3.xlsm" xr:uid="{8CE2287A-A3E2-4147-ADE7-9D51FBFF72AB}"/>
    <hyperlink ref="G1000" r:id="rId973" display="../PT. Pacific Palmindo Industri/DO INV/PT. PPI DO 1730 (PO  4714048671) 01 - PARTIAL - 25 PCS FROM 26 PCS (-1PCS).xlsm" xr:uid="{E2DAD46E-30B5-4A0C-83E3-088116A8157A}"/>
    <hyperlink ref="G1001" r:id="rId974" display="../PT. Agro Raya Mas/DO INV/PT. ARM DO 1731 (PO  26 00189) 01.xlsm" xr:uid="{5326BB7D-5BB0-46D5-9DBD-E5F042060458}"/>
    <hyperlink ref="G1003" r:id="rId975" display="../PT. Agro Raya Mas/DO INV/PT. ARM DO 1732 (PO  26 00172) 07 - PARTIAL - N2,4,5.xlsm" xr:uid="{D502B8A8-78D4-4B07-AD6A-AA959AF3D85E}"/>
    <hyperlink ref="G1002" r:id="rId976" display="../PT. Agro Raya Mas/DO INV/PT. ARM DO 1731 (PO  26 00189) 07.xlsm" xr:uid="{CBD1CA28-FFC4-4FDC-A853-373284758BD9}"/>
    <hyperlink ref="G1004" r:id="rId977" display="../PT. Agro Raya Mas/DO INV/PT. ARM DO 1733 (PO  26 00224) 07.xlsm" xr:uid="{4A1682A6-E503-4751-B0E1-32D91E8A2A12}"/>
    <hyperlink ref="G1005" r:id="rId978" display="../PT. SJIO DUMAI/DO INV/PT. SJIO DO 1734 (PO  BLM ADA) DO SEMENTARA.xlsm" xr:uid="{E9BCC765-3A13-4C9B-B06F-36A9E28C10EB}"/>
    <hyperlink ref="G1006" r:id="rId979" display="../PT. PALUTA INTI SAWIT/DO INV/PT. PIS DO 1735 (PO  BLM ADA) DO SEMENTARA.xlsm" xr:uid="{31F58F2C-1DC0-4E43-BD3D-85493F698930}"/>
    <hyperlink ref="G1007" r:id="rId980" display="../PT. Pacific Palmindo Industri/DO INV/PT. PPI DO 1736 (PO  4714048671) 07 - PARTIAL COMPLETED - 18 PLUS 8.xlsm" xr:uid="{FD34424D-7AED-4E2E-A51F-9114F294F2C0}"/>
    <hyperlink ref="G1008" r:id="rId981" xr:uid="{91C36EFC-130C-4D56-8F53-9E7C9D2A7901}"/>
    <hyperlink ref="G1009" r:id="rId982" display="../PT. Agro Murni/DO INV/PT. AGRO M DO 1738 (PO  26 00229) 01.xlsm" xr:uid="{A61C6925-D7B2-4589-9BB3-A01C608C27CB}"/>
    <hyperlink ref="G1010" r:id="rId983" display="../PT. SJIO DUMAI/DO INV/PT. SJIO DO 1739 (PO  SJIO BOILER PO 2602 0272) 01.xlsm" xr:uid="{2FB3FB5A-113F-4719-82C1-19A67D75DA19}"/>
    <hyperlink ref="G1011" r:id="rId984" display="../PT. Agro Raya Mas/DO INV/PT. ARM DO 1740 (PO  26 00209) 01.xlsm" xr:uid="{ABC1C73E-0520-4F13-B649-0F96CFB254D2}"/>
    <hyperlink ref="G1012" r:id="rId985" display="../PT. Pacific Palmindo Industri/DO INV/PT. PPI DO 1741 (PO  SAMPLE) SAMPLE.xlsm" xr:uid="{CF5CAA0B-114E-4774-A3A2-6C2268A3BD34}"/>
    <hyperlink ref="G1013" r:id="rId986" display="../PT. Simpang Kanan Lestarindo/DO INV/PT. SKL DO 1742 (PO  26 00158) 01.xlsm" xr:uid="{C15AC71D-B546-4C42-83AE-B10F771A3628}"/>
    <hyperlink ref="G1014" r:id="rId987" display="../PT. Simpang Kanan Lestarindo/DO INV/PT. SKL DO 1743 (PO  26 00144) 01 - PARTIAL - N3.xlsm" xr:uid="{0473FCF3-0771-46C0-8B5A-4A288F371DF4}"/>
    <hyperlink ref="G1015" r:id="rId988" display="../PT. KIP/DO INV/PT. KIP DO 1744 (PO  26 00125) 01 - PARTIAL - N1,2,4,5.xlsm" xr:uid="{93C619B7-D18B-4EF2-9C72-7A088F98EF92}"/>
    <hyperlink ref="G1016" r:id="rId989" display="../PT. KIP/DO INV/PT. KIP DO 1745 (PO  26 00140) 01 - PARTIAL - N1,2.xlsm" xr:uid="{7BBF18C5-24A7-482B-894D-8CD2F5F783F7}"/>
    <hyperlink ref="G1017" r:id="rId990" display="../PT. SJIO DUMAI/DO INV/PT. SJIO DO 1746 (PO  SJIO REF PO 2602 0210) 01.xlsm" xr:uid="{AF3D6920-ECDC-430F-AEC2-BDCA8BFF38BE}"/>
    <hyperlink ref="G1018" r:id="rId991" display="../PT. PALUTA INTI SAWIT/DO INV/PT. PIS DO 1747 (PO  26 00096) 01 - PARTIAL - N2,3.xlsm" xr:uid="{81308C2D-8A66-4FB8-B8F8-8A75E3B2122D}"/>
    <hyperlink ref="G1020" r:id="rId992" display="../PT. PALUTA INTI SAWIT/DO INV/PT. PIS DO 1748 (PO  26 00096) 01.xlsm" xr:uid="{DEE64F72-BE33-4E9F-8C1F-5AF35D6FBAB3}"/>
    <hyperlink ref="G1023" r:id="rId993" display="../PT. PALUTA INTI SAWIT/DO INV/PT. PIS DO 1749 (PO  26 00131) 01.xlsm" xr:uid="{0ED3ED24-B184-4CB6-BEB7-14DC3B8A6B0B}"/>
    <hyperlink ref="G1019" r:id="rId994" display="../PT. PALUTA INTI SAWIT/DO INV/PT. PIS DO 1747 (PO  26 00096) REV 1 01 - PARTIAL - N2,3.xlsm" xr:uid="{2AF3C4CB-075A-4636-B80F-65E081861737}"/>
    <hyperlink ref="G1021" r:id="rId995" display="../PT. PALUTA INTI SAWIT/DO INV/PT. PIS DO 1748 (PO  26 00096) REV 1 01.xlsm" xr:uid="{3DF3CD6B-245E-44E1-876A-104E9A7D81C1}"/>
    <hyperlink ref="G1024" r:id="rId996" display="../PT. Agro Raya Mas/DO INV/PT. ARM DO 1750 (PO  26 00231) 01.xlsm" xr:uid="{BB56F388-D0FB-4A3E-9C2A-32495EF4A7A4}"/>
    <hyperlink ref="G1026" r:id="rId997" display="../PT. Agro Raya Mas/DO INV/PT. ARM DO 1751 (PO  26 00220) 07.xlsm" xr:uid="{21183749-9625-4561-A710-36E26F003416}"/>
    <hyperlink ref="G1025" r:id="rId998" display="../PT. Agro Raya Mas/DO INV/PT. ARM DO 1750 (PO  26 00231) 07.xlsm" xr:uid="{FFCBE138-7E5F-448B-841E-D5FBA1F315F4}"/>
    <hyperlink ref="G1022" r:id="rId999" display="../PT. PALUTA INTI SAWIT/DO INV/PT. PIS DO 1748 (PO  26 00107) REV 1 01.xlsm" xr:uid="{96366EAD-BBAC-402D-B484-D8691884F871}"/>
    <hyperlink ref="G989" r:id="rId1000" display="../PT. KIP/DO INV/PT. KIP DO 1717 (PO  26 00145) 01.xlsm" xr:uid="{C5C08600-43AD-49B9-B8A2-9436F60298DA}"/>
    <hyperlink ref="G1027" r:id="rId1001" display="D:\PT. AGRI PRIMA INDOTAMA\PT. SJIO DUMAI\DO INV\PT. SJIO DO 1752 (PO  SJIO REF PO 2602 0208) 01.xlsm" xr:uid="{D0DC3B8A-319F-4F44-A247-AA088F979688}"/>
    <hyperlink ref="G1028" r:id="rId1002" display="D:\PT. AGRI PRIMA INDOTAMA\PT. PALUTA INTI SAWIT\DO INV\PT. PIS DO 1753 (PO  26 00096) 01 - PARTIAL COMPLETED - N1.xlsm" xr:uid="{53C02C74-AFC7-4425-9B57-AA6882DB7CA2}"/>
    <hyperlink ref="G1029" r:id="rId1003" display="D:\PT. AGRI PRIMA INDOTAMA\PT. SJIO DUMAI\DO INV\PT. SJIO DO 1754 (PO  SJIO REF PO 2601 0052) 01.xlsm" xr:uid="{5DBAAD95-8D5E-4712-B370-446912BE6269}"/>
    <hyperlink ref="G1030" r:id="rId1004" display="../PT. SJIO DUMAI/DO INV/PT. SJIO DO 1755 (PO  SJIO REF PO 2601 0052) 01 - PARTIAL - N1.xlsm" xr:uid="{27B070F6-1513-42AB-B73D-03D78A7E3EE6}"/>
    <hyperlink ref="G1031" r:id="rId1005" display="../PT. SJIO DUMAI/DO INV/ DO 1756 (PO  ) 01.xlsm" xr:uid="{F37BF7F7-57B6-4452-B59C-51B9D0E59974}"/>
    <hyperlink ref="G1032" r:id="rId1006" display="../PT. Agro Murni/DO INV/PT. AGRO M DO 1757 (PO  26 00168) 01.xlsm" xr:uid="{B9E48016-8D12-4859-BE11-BED019C6B8E6}"/>
    <hyperlink ref="G1035" r:id="rId1007" display="../PT. Agro Murni/DO INV/ DO 1758 (PO  ) .xlsm" xr:uid="{7FADC294-585B-4A90-A2E5-DCECE33F1DF0}"/>
    <hyperlink ref="G1036" r:id="rId1008" display="../PT. SJIO DUMAI/DO INV/PT. SJIO DO 1759 (PO  SJIO REF PO 2602 0209) 01 - PARTIAL - N1,2.xlsm" xr:uid="{4A58D717-D38E-4979-8887-963A9783F602}"/>
    <hyperlink ref="G1037" r:id="rId1009" xr:uid="{72C1DD88-70D1-4CD0-9A3D-ED1C1DCDC6E2}"/>
    <hyperlink ref="G1038" r:id="rId1010" xr:uid="{8949BF70-ED75-4C15-94A8-3E6B72933E2A}"/>
    <hyperlink ref="G1039" r:id="rId1011" xr:uid="{D07CBB37-288E-40AA-BD64-5095E10DB61F}"/>
    <hyperlink ref="G1040" r:id="rId1012" display="../PT. Agro Murni/DO INV/PT. AGRO M DO 1763 (PO  26 00290) 01.xlsm" xr:uid="{187E75CA-A7B9-43B1-A65D-93CB6E115DAF}"/>
    <hyperlink ref="G1033" r:id="rId1013" display="../PT. Agro Murni/DO INV/PT. AGRO M DO 1757 (PO  26 00168) REV 1 07 - PARTIAL - N2.xlsm" xr:uid="{797FA627-5099-498F-9692-3B41F2FCE968}"/>
    <hyperlink ref="G1034" r:id="rId1014" display="../PT. Agro Murni/DO INV/PT. AGRO M DO 1757 (PO  26 00168) REV 1 07 - PARTIAL - N2.xlsm" xr:uid="{E0FAE6FC-FBFD-4551-88BA-EA6376876899}"/>
    <hyperlink ref="G1041" r:id="rId1015" display="../PT. Agro Murni/DO INV/ DO 1764 (PO  ) 01.xlsm" xr:uid="{68076B57-144E-4073-87C1-3C163D42ACBF}"/>
    <hyperlink ref="G1042" r:id="rId1016" display="../PT. KIP/DO INV/PT. KIP DO 1765 (PO  26 00140) 01 - PARTIAL - N4,5,6.xlsm" xr:uid="{1DF690A1-AD91-47EE-B084-DFF152267319}"/>
    <hyperlink ref="G1043" r:id="rId1017" display="../PT. KIP/DO INV/PT. KIP DO 1766 (PO  26 00125) 01 - PARTIAL  COMPLETED - N3.xlsm" xr:uid="{CFB98318-6EAC-4E78-8441-BBE3FD09EA01}"/>
    <hyperlink ref="G1044" r:id="rId1018" display="../PT. KIP/DO INV/PT. KIP DO 1767 (PO  26 00162) 01 - PARTIAL - N2.xlsm" xr:uid="{7937750B-2043-4788-828D-5080B7201198}"/>
    <hyperlink ref="G1045" r:id="rId1019" display="../PT. SJIO DUMAI/DO INV/PT. SJIO DO 1768 (PO  SJIO BOILER PO 2602 0305) 01 - PARTIAL - N1,3,4.xlsm" xr:uid="{49224F53-42A6-4E6C-8AA8-0F7ED056E5B2}"/>
    <hyperlink ref="G1048" r:id="rId1020" display="../PT. SJIO DUMAI/DO INV/ DO 1770 (PO  ) 01.xlsm" xr:uid="{7D7520CE-D32A-4FEB-8E09-676E1F47B3B6}"/>
    <hyperlink ref="G1049" r:id="rId1021" display="../PT. SJIO DUMAI/DO INV/ DO 1771 (PO  ) 01.xlsm" xr:uid="{75BF80C8-B1CD-4656-B16B-79232DAA9CCD}"/>
    <hyperlink ref="G1050" r:id="rId1022" display="../PT. SJIO DUMAI/DO INV/ DO 1772 (PO  ) 01.xlsm" xr:uid="{3618D283-067F-4D37-BB56-5976B48D95DC}"/>
    <hyperlink ref="G1051" r:id="rId1023" display="../PT. Agro Murni/DO INV/PT. AGRO M DO 1773 (PO  26 00168) 07 - PARTIAL - N1.xlsm" xr:uid="{E22DE463-CAF1-42B0-A139-048DECA9A6F6}"/>
    <hyperlink ref="G1052" r:id="rId1024" display="../PT. KIP/DO INV/PT. KIP DO 1774 (PO  EMENTARA) DO SEMENTARA.xlsm" xr:uid="{1F4EC4CB-BDE5-46E2-A3F5-3D684B493A77}"/>
    <hyperlink ref="G1053" r:id="rId1025" xr:uid="{F1501695-243A-4E18-9939-21F54D5ED23A}"/>
    <hyperlink ref="G1054" r:id="rId1026" xr:uid="{A12F486B-3BE0-489E-AEC5-E7C72FCFB9A5}"/>
    <hyperlink ref="G1055" r:id="rId1027" display="../PT. Simpang Kanan Lestarindo/DO INV/PT. SKL DO 1777 (PO  26 00183) 01.xlsm" xr:uid="{24DA861A-636C-4619-B816-799D8620E5A1}"/>
    <hyperlink ref="G1056" r:id="rId1028" display="../PT. SJIO DUMAI/DO INV/PT. SJIO DO 1778 (PO  SJIO REF PO 2601 0052) 01 - PARTIAL COMPLETED - N2 (COMPLETED 3 PACK).xlsm" xr:uid="{4757EA76-6484-4E28-BA8E-CB7A8D53677E}"/>
    <hyperlink ref="G1057" r:id="rId1029" display="../PT. SJIO DUMAI/DO INV/PT. SJIO DO 1779 (PO  SJIO REF PO 2602 0209) 01 - PARTIAL COMPLETED - N3,4.xlsm" xr:uid="{C45A0EB3-C4C5-47CB-8AF9-3FA08363E4B5}"/>
    <hyperlink ref="G1058" r:id="rId1030" display="../PT. KIP/DO INV/PT. KIP DO 1780 (PO  EMENTARA) DO SEMENTARA.xlsm" xr:uid="{300B6140-B803-49B4-A159-E6643D8415DD}"/>
    <hyperlink ref="G1059" r:id="rId1031" display="../PT. KIP/DO INV/PT. KIP DO 1781 (PO  26 00291) 07.xlsm" xr:uid="{5F813803-EAED-418A-8FCA-A6475E63728D}"/>
    <hyperlink ref="G1060" r:id="rId1032" display="../PT. Agro Raya Mas/DO INV/PT. ARM DO 1781 (PO  26 00291) 07.xlsm" xr:uid="{63B93A69-3CF8-4469-A2FF-43FDFA8E74AA}"/>
    <hyperlink ref="G1061" r:id="rId1033" display="../PT. Agro Murni/DO INV/PT. AGRO M DO 1782 (PO  26 00143) 07 - PARTIAL - N1,N2(-28PCS),N3.xlsm" xr:uid="{CF79B753-8DC4-49DF-8911-8EB65540877F}"/>
    <hyperlink ref="G1062" r:id="rId1034" display="../PT. PALUTA INTI SAWIT/DO INV/PT. PIS DO 1783 (PO  26 00165) 01 - PARTIAL - N2.xlsm" xr:uid="{5984DB21-73DF-40E6-815D-F20E13868048}"/>
    <hyperlink ref="G1064" r:id="rId1035" display="../PT. Agro Raya Mas/DO INV/PT. ARM DO 1784 (PO  26 00275) 01 - PARTIAL - N2.xlsm" xr:uid="{1EE300D8-4D35-4CD6-964B-37992A5F1554}"/>
    <hyperlink ref="G1063" r:id="rId1036" display="../PT. PALUTA INTI SAWIT/DO INV/PT. PIS DO 1783 (PO  26 00165) REV 1 01 - PARTIAL - N2.xlsm" xr:uid="{31AD2632-C1AF-4108-A386-18C0B636897D}"/>
    <hyperlink ref="G1065" r:id="rId1037" display="../PT. SJIO DUMAI/DO INV/PT. SJIO DO 1785 (PO  SJIO BOILER PO 2602 0305) 01 - PARTIAL COMPLETED - N2.xlsm" xr:uid="{370F780A-6BA9-4083-B219-4FD9247F55BB}"/>
    <hyperlink ref="G1066" r:id="rId1038" display="../PT. SJIO DUMAI/DO INV/PT. SJIO DO 1785 (PO  SJIO BOILER PO 2602 0305) 01 - PARTIAL COMPLETED - N2.xlsm" xr:uid="{13890C5E-CBB5-4381-A41C-A28147A70E51}"/>
    <hyperlink ref="G1046" r:id="rId1039" display="../PT. SJIO DUMAI/DO INV/PT. SJIO DO 1768 (PO  SJIO BOILER PO 2602 0305) REV 1 01 - PARTIAL - N1,3.xlsm" xr:uid="{5330A28B-C1BC-44EC-93CE-64AEFAF12D02}"/>
    <hyperlink ref="G1047" r:id="rId1040" display="../PT. Pacific Palmindo Industri/DO INV/PT. PPI DO 1769 (PO  4714048836) 01.xlsm" xr:uid="{0E630F9D-8910-468D-A4A1-CF72715843D3}"/>
    <hyperlink ref="G1067" r:id="rId1041" display="../PT. Pacific Palmindo Industri/DO INV/PT. PPI DO 1786 (PO  4714048836) 07.xlsm" xr:uid="{3235B73F-CB45-43A4-A1B0-BA0DC6441FC7}"/>
    <hyperlink ref="G1068" r:id="rId1042" display="../PT. Pacific Palmindo Industri/DO INV/PT. PPI DO 1787 (PO  4714048831) 01 - PARTIAL - N2.xlsm" xr:uid="{72144D83-3032-4C66-A620-E0552DAA2761}"/>
    <hyperlink ref="G1069" r:id="rId1043" display="../PT. Agro Raya Mas/DO INV/PT. ARM DO 1788 (PO  26 00275) 07 - PARTIAL COMPLETED - N1.xlsm" xr:uid="{63EF65CE-EC61-4D17-97D9-253B0FC674C1}"/>
    <hyperlink ref="G1070" r:id="rId1044" display="../PT. Agro Raya Mas/DO INV/PT. ARM DO 1789 (PO  26 00228) 07 - PARTIAL - N8.xlsm" xr:uid="{E09BCDED-E30E-4583-9251-A7114E275527}"/>
    <hyperlink ref="G1071" r:id="rId1045" display="../PT. Agro Raya Mas/DO INV/ DO 1790 (PO  ) 07.xlsm" xr:uid="{018E7AD7-D6E5-4C93-82E9-21478B7D1BF2}"/>
    <hyperlink ref="G1072" r:id="rId1046" display="../PT. Agro Raya Mas/DO INV/PT. ARM DO 1791 (PO  26 00228) 07 - PARTIAL - N5,9.xlsm" xr:uid="{8AA1CDD1-6BF4-44AF-B035-B96AE1E48CF3}"/>
    <hyperlink ref="G1073" r:id="rId1047" display="../PT. Agro Raya Mas/DO INV/PT. ARM DO 1792 (PO  26 00228) 07 - PARTIAL - N1,2,3,4,7,8.xlsm" xr:uid="{A99ADC25-82C2-4ECD-8EC7-870CB261BBEC}"/>
    <hyperlink ref="G1074" r:id="rId1048" display="../PT. Agro Raya Mas/DO INV/PT. ARM DO 1793 (PO  26 00356) 07.xlsm" xr:uid="{EF9C5DC1-2AA8-4832-89D6-F21EAD8F93D9}"/>
    <hyperlink ref="G1075" r:id="rId1049" display="../PT. Simpang Kanan Lestarindo/DO INV/PT. SKL DO 1761 (PO  26 00144) 01 - PARTIAL - N1,2.xlsm" xr:uid="{ED1AD6A1-C4D9-478F-BADC-79C41B327802}"/>
    <hyperlink ref="G1076" r:id="rId1050" xr:uid="{E50CAFEB-91B6-4099-A298-9FB87DB83198}"/>
    <hyperlink ref="G1077" r:id="rId1051" display="../PT. KIP/DO INV/PT. KIP DO 1795 (PO  26 00140) 01 - PARTIAL COMPLETED - N3.xlsm" xr:uid="{C08038E2-BE00-42E6-A559-C7C23A628F32}"/>
    <hyperlink ref="G1078" r:id="rId1052" display="../PT. KIP/DO INV/PT. KIP DO 1796 (PO  26 00162) 01 - PARTIAL COMPLETED - N1.xlsm" xr:uid="{4C2B5246-3521-45F6-B007-A28239C9B307}"/>
  </hyperlinks>
  <pageMargins left="0.7" right="0.7" top="0.75" bottom="0.75" header="0" footer="0"/>
  <pageSetup orientation="portrait" r:id="rId1053"/>
  <tableParts count="1">
    <tablePart r:id="rId105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1000"/>
  <sheetViews>
    <sheetView workbookViewId="0">
      <selection activeCell="C34" sqref="C34"/>
    </sheetView>
  </sheetViews>
  <sheetFormatPr defaultColWidth="14.42578125" defaultRowHeight="15" customHeight="1" x14ac:dyDescent="0.25"/>
  <cols>
    <col min="1" max="1" width="36.85546875" style="191" customWidth="1"/>
    <col min="2" max="2" width="60.85546875" customWidth="1"/>
    <col min="3" max="3" width="51.85546875" customWidth="1"/>
    <col min="4" max="26" width="8.7109375" customWidth="1"/>
  </cols>
  <sheetData>
    <row r="1" spans="1:4" x14ac:dyDescent="0.25">
      <c r="A1" s="11" t="s">
        <v>27</v>
      </c>
      <c r="B1" s="11" t="s">
        <v>217</v>
      </c>
      <c r="C1" s="11" t="s">
        <v>218</v>
      </c>
    </row>
    <row r="2" spans="1:4" x14ac:dyDescent="0.25">
      <c r="A2" s="11" t="s">
        <v>41</v>
      </c>
      <c r="B2" s="27" t="s">
        <v>219</v>
      </c>
      <c r="C2" s="27" t="s">
        <v>220</v>
      </c>
      <c r="D2" s="2"/>
    </row>
    <row r="3" spans="1:4" x14ac:dyDescent="0.25">
      <c r="A3" s="11" t="s">
        <v>44</v>
      </c>
      <c r="B3" s="27" t="s">
        <v>221</v>
      </c>
      <c r="C3" s="27" t="s">
        <v>220</v>
      </c>
    </row>
    <row r="4" spans="1:4" x14ac:dyDescent="0.25">
      <c r="A4" s="11" t="s">
        <v>66</v>
      </c>
      <c r="B4" s="27" t="s">
        <v>222</v>
      </c>
      <c r="C4" s="27" t="s">
        <v>223</v>
      </c>
    </row>
    <row r="5" spans="1:4" x14ac:dyDescent="0.25">
      <c r="A5" s="11" t="s">
        <v>63</v>
      </c>
      <c r="B5" s="27" t="s">
        <v>224</v>
      </c>
      <c r="C5" s="27" t="s">
        <v>225</v>
      </c>
    </row>
    <row r="6" spans="1:4" x14ac:dyDescent="0.25">
      <c r="A6" s="11" t="s">
        <v>4</v>
      </c>
      <c r="B6" s="27" t="s">
        <v>226</v>
      </c>
      <c r="C6" s="27" t="s">
        <v>227</v>
      </c>
    </row>
    <row r="7" spans="1:4" x14ac:dyDescent="0.25">
      <c r="A7" s="11" t="s">
        <v>228</v>
      </c>
      <c r="B7" s="28" t="s">
        <v>229</v>
      </c>
      <c r="C7" s="29" t="s">
        <v>230</v>
      </c>
    </row>
    <row r="8" spans="1:4" x14ac:dyDescent="0.25">
      <c r="A8" s="11" t="s">
        <v>160</v>
      </c>
      <c r="B8" s="27" t="s">
        <v>231</v>
      </c>
      <c r="C8" s="27" t="s">
        <v>232</v>
      </c>
    </row>
    <row r="9" spans="1:4" x14ac:dyDescent="0.25">
      <c r="A9" s="221" t="s">
        <v>2489</v>
      </c>
      <c r="B9" s="29" t="s">
        <v>2217</v>
      </c>
      <c r="C9" s="29" t="s">
        <v>230</v>
      </c>
    </row>
    <row r="10" spans="1:4" x14ac:dyDescent="0.25">
      <c r="A10" s="191" t="s">
        <v>2298</v>
      </c>
      <c r="B10" s="29" t="s">
        <v>2300</v>
      </c>
      <c r="C10" s="29" t="s">
        <v>2374</v>
      </c>
    </row>
    <row r="11" spans="1:4" x14ac:dyDescent="0.25">
      <c r="A11" s="191" t="s">
        <v>2302</v>
      </c>
      <c r="B11" s="29" t="s">
        <v>2304</v>
      </c>
      <c r="C11" s="29" t="s">
        <v>2305</v>
      </c>
    </row>
    <row r="12" spans="1:4" x14ac:dyDescent="0.25">
      <c r="A12" s="191" t="s">
        <v>2311</v>
      </c>
      <c r="B12" s="29" t="s">
        <v>2312</v>
      </c>
      <c r="C12" s="29" t="s">
        <v>2313</v>
      </c>
    </row>
    <row r="13" spans="1:4" x14ac:dyDescent="0.25">
      <c r="A13" s="219" t="s">
        <v>2396</v>
      </c>
      <c r="B13" s="29" t="s">
        <v>2397</v>
      </c>
      <c r="C13" s="29" t="s">
        <v>2398</v>
      </c>
    </row>
    <row r="14" spans="1:4" x14ac:dyDescent="0.25">
      <c r="A14" s="191" t="s">
        <v>2417</v>
      </c>
      <c r="B14" s="29" t="s">
        <v>2418</v>
      </c>
      <c r="C14" s="29" t="s">
        <v>2419</v>
      </c>
    </row>
    <row r="15" spans="1:4" x14ac:dyDescent="0.25">
      <c r="A15" s="191" t="s">
        <v>2515</v>
      </c>
      <c r="B15" s="29" t="s">
        <v>2516</v>
      </c>
      <c r="C15" s="29" t="s">
        <v>2517</v>
      </c>
    </row>
    <row r="16" spans="1:4" x14ac:dyDescent="0.25">
      <c r="A16" s="191" t="s">
        <v>2581</v>
      </c>
      <c r="B16" s="29" t="s">
        <v>2582</v>
      </c>
      <c r="C16" s="29" t="s">
        <v>2583</v>
      </c>
    </row>
    <row r="17" spans="1:3" x14ac:dyDescent="0.25">
      <c r="A17" s="191" t="s">
        <v>2623</v>
      </c>
      <c r="B17" s="29" t="s">
        <v>2624</v>
      </c>
      <c r="C17" s="29" t="s">
        <v>2625</v>
      </c>
    </row>
    <row r="18" spans="1:3" x14ac:dyDescent="0.25">
      <c r="A18" s="191" t="s">
        <v>2766</v>
      </c>
      <c r="B18" s="29" t="s">
        <v>2767</v>
      </c>
      <c r="C18" s="29" t="s">
        <v>2768</v>
      </c>
    </row>
    <row r="19" spans="1:3" x14ac:dyDescent="0.25">
      <c r="A19" s="241" t="s">
        <v>2833</v>
      </c>
      <c r="B19" s="29" t="s">
        <v>2624</v>
      </c>
      <c r="C19" s="29" t="s">
        <v>2834</v>
      </c>
    </row>
    <row r="20" spans="1:3" x14ac:dyDescent="0.25">
      <c r="A20" s="253" t="s">
        <v>2971</v>
      </c>
      <c r="B20" s="29" t="s">
        <v>2972</v>
      </c>
      <c r="C20" s="29" t="s">
        <v>2973</v>
      </c>
    </row>
    <row r="21" spans="1:3" ht="15.75" customHeight="1" x14ac:dyDescent="0.25">
      <c r="A21" s="251" t="s">
        <v>2987</v>
      </c>
      <c r="B21" s="29" t="s">
        <v>2985</v>
      </c>
      <c r="C21" s="29" t="s">
        <v>2986</v>
      </c>
    </row>
    <row r="22" spans="1:3" ht="15.75" customHeight="1" x14ac:dyDescent="0.25">
      <c r="A22" s="191" t="s">
        <v>3003</v>
      </c>
      <c r="B22" s="29" t="s">
        <v>3004</v>
      </c>
      <c r="C22" s="29" t="s">
        <v>53</v>
      </c>
    </row>
    <row r="23" spans="1:3" ht="15.75" customHeight="1" x14ac:dyDescent="0.25">
      <c r="A23" s="253" t="s">
        <v>3078</v>
      </c>
      <c r="B23" s="29" t="s">
        <v>3081</v>
      </c>
      <c r="C23" s="254" t="s">
        <v>3082</v>
      </c>
    </row>
    <row r="24" spans="1:3" ht="15.75" customHeight="1" x14ac:dyDescent="0.25">
      <c r="A24" s="258" t="s">
        <v>3140</v>
      </c>
      <c r="B24" s="29" t="s">
        <v>3141</v>
      </c>
      <c r="C24" s="29" t="s">
        <v>53</v>
      </c>
    </row>
    <row r="25" spans="1:3" ht="15.75" customHeight="1" x14ac:dyDescent="0.25">
      <c r="A25" s="191" t="s">
        <v>3192</v>
      </c>
      <c r="B25" s="29" t="s">
        <v>53</v>
      </c>
      <c r="C25" s="29" t="s">
        <v>53</v>
      </c>
    </row>
    <row r="26" spans="1:3" ht="15.75" customHeight="1" x14ac:dyDescent="0.25">
      <c r="A26" s="191" t="s">
        <v>3771</v>
      </c>
      <c r="B26" s="29" t="s">
        <v>3769</v>
      </c>
      <c r="C26" s="29" t="s">
        <v>3770</v>
      </c>
    </row>
    <row r="27" spans="1:3" ht="15.75" customHeight="1" x14ac:dyDescent="0.25">
      <c r="A27" s="302" t="s">
        <v>3818</v>
      </c>
      <c r="B27" s="254" t="s">
        <v>3817</v>
      </c>
      <c r="C27" s="29" t="s">
        <v>3816</v>
      </c>
    </row>
    <row r="28" spans="1:3" ht="15.75" customHeight="1" x14ac:dyDescent="0.25">
      <c r="A28" s="191" t="s">
        <v>3834</v>
      </c>
      <c r="B28" s="29" t="s">
        <v>3835</v>
      </c>
      <c r="C28" s="29" t="s">
        <v>3836</v>
      </c>
    </row>
    <row r="29" spans="1:3" ht="15.75" customHeight="1" x14ac:dyDescent="0.25">
      <c r="A29" s="313" t="s">
        <v>3999</v>
      </c>
      <c r="B29" s="29" t="s">
        <v>4000</v>
      </c>
      <c r="C29" s="29" t="s">
        <v>4001</v>
      </c>
    </row>
    <row r="30" spans="1:3" ht="15.75" customHeight="1" x14ac:dyDescent="0.25">
      <c r="B30" s="29"/>
      <c r="C30" s="29"/>
    </row>
    <row r="31" spans="1:3" ht="15.75" customHeight="1" x14ac:dyDescent="0.25">
      <c r="B31" s="29"/>
      <c r="C31" s="29"/>
    </row>
    <row r="32" spans="1:3" ht="15.75" customHeight="1" x14ac:dyDescent="0.25">
      <c r="B32" s="29"/>
      <c r="C32" s="29"/>
    </row>
    <row r="33" spans="2:3" ht="15.75" customHeight="1" x14ac:dyDescent="0.25">
      <c r="B33" s="29"/>
      <c r="C33" s="29"/>
    </row>
    <row r="34" spans="2:3" ht="15.75" customHeight="1" x14ac:dyDescent="0.25">
      <c r="B34" s="29"/>
      <c r="C34" s="29"/>
    </row>
    <row r="35" spans="2:3" ht="15.75" customHeight="1" x14ac:dyDescent="0.25">
      <c r="B35" s="29"/>
      <c r="C35" s="29"/>
    </row>
    <row r="36" spans="2:3" ht="15.75" customHeight="1" x14ac:dyDescent="0.25">
      <c r="B36" s="29"/>
      <c r="C36" s="29"/>
    </row>
    <row r="37" spans="2:3" ht="15.75" customHeight="1" x14ac:dyDescent="0.25">
      <c r="B37" s="29"/>
      <c r="C37" s="29"/>
    </row>
    <row r="38" spans="2:3" ht="15.75" customHeight="1" x14ac:dyDescent="0.25">
      <c r="B38" s="29"/>
      <c r="C38" s="29"/>
    </row>
    <row r="39" spans="2:3" ht="15.75" customHeight="1" x14ac:dyDescent="0.25">
      <c r="B39" s="29"/>
      <c r="C39" s="29"/>
    </row>
    <row r="40" spans="2:3" ht="15.75" customHeight="1" x14ac:dyDescent="0.25">
      <c r="B40" s="29"/>
      <c r="C40" s="29"/>
    </row>
    <row r="41" spans="2:3" ht="15.75" customHeight="1" x14ac:dyDescent="0.25">
      <c r="B41" s="29"/>
      <c r="C41" s="29"/>
    </row>
    <row r="42" spans="2:3" ht="15.75" customHeight="1" x14ac:dyDescent="0.25">
      <c r="B42" s="29"/>
      <c r="C42" s="29"/>
    </row>
    <row r="43" spans="2:3" ht="15.75" customHeight="1" x14ac:dyDescent="0.25">
      <c r="B43" s="29"/>
      <c r="C43" s="29"/>
    </row>
    <row r="44" spans="2:3" ht="15.75" customHeight="1" x14ac:dyDescent="0.25">
      <c r="B44" s="29"/>
      <c r="C44" s="29"/>
    </row>
    <row r="45" spans="2:3" ht="15.75" customHeight="1" x14ac:dyDescent="0.25">
      <c r="B45" s="29"/>
      <c r="C45" s="29"/>
    </row>
    <row r="46" spans="2:3" ht="15.75" customHeight="1" x14ac:dyDescent="0.25">
      <c r="B46" s="29"/>
      <c r="C46" s="29"/>
    </row>
    <row r="47" spans="2:3" ht="15.75" customHeight="1" x14ac:dyDescent="0.25">
      <c r="B47" s="29"/>
      <c r="C47" s="29"/>
    </row>
    <row r="48" spans="2:3" ht="15.75" customHeight="1" x14ac:dyDescent="0.25">
      <c r="B48" s="29"/>
      <c r="C48" s="29"/>
    </row>
    <row r="49" spans="2:3" ht="15.75" customHeight="1" x14ac:dyDescent="0.25">
      <c r="B49" s="29"/>
      <c r="C49" s="29"/>
    </row>
    <row r="50" spans="2:3" ht="15.75" customHeight="1" x14ac:dyDescent="0.25">
      <c r="B50" s="29"/>
      <c r="C50" s="29"/>
    </row>
    <row r="51" spans="2:3" ht="15.75" customHeight="1" x14ac:dyDescent="0.25">
      <c r="B51" s="29"/>
      <c r="C51" s="29"/>
    </row>
    <row r="52" spans="2:3" ht="15.75" customHeight="1" x14ac:dyDescent="0.25">
      <c r="B52" s="29"/>
      <c r="C52" s="29"/>
    </row>
    <row r="53" spans="2:3" ht="15.75" customHeight="1" x14ac:dyDescent="0.25">
      <c r="B53" s="29"/>
      <c r="C53" s="29"/>
    </row>
    <row r="54" spans="2:3" ht="15.75" customHeight="1" x14ac:dyDescent="0.25">
      <c r="B54" s="29"/>
      <c r="C54" s="29"/>
    </row>
    <row r="55" spans="2:3" ht="15.75" customHeight="1" x14ac:dyDescent="0.25">
      <c r="B55" s="29"/>
      <c r="C55" s="29"/>
    </row>
    <row r="56" spans="2:3" ht="15.75" customHeight="1" x14ac:dyDescent="0.25">
      <c r="B56" s="29"/>
      <c r="C56" s="29"/>
    </row>
    <row r="57" spans="2:3" ht="15.75" customHeight="1" x14ac:dyDescent="0.25">
      <c r="B57" s="29"/>
      <c r="C57" s="29"/>
    </row>
    <row r="58" spans="2:3" ht="15.75" customHeight="1" x14ac:dyDescent="0.25">
      <c r="B58" s="29"/>
      <c r="C58" s="29"/>
    </row>
    <row r="59" spans="2:3" ht="15.75" customHeight="1" x14ac:dyDescent="0.25">
      <c r="B59" s="29"/>
      <c r="C59" s="29"/>
    </row>
    <row r="60" spans="2:3" ht="15.75" customHeight="1" x14ac:dyDescent="0.25">
      <c r="B60" s="29"/>
      <c r="C60" s="29"/>
    </row>
    <row r="61" spans="2:3" ht="15.75" customHeight="1" x14ac:dyDescent="0.25">
      <c r="B61" s="29"/>
      <c r="C61" s="29"/>
    </row>
    <row r="62" spans="2:3" ht="15.75" customHeight="1" x14ac:dyDescent="0.25">
      <c r="B62" s="29"/>
      <c r="C62" s="29"/>
    </row>
    <row r="63" spans="2:3" ht="15.75" customHeight="1" x14ac:dyDescent="0.25">
      <c r="B63" s="29"/>
      <c r="C63" s="29"/>
    </row>
    <row r="64" spans="2:3" ht="15.75" customHeight="1" x14ac:dyDescent="0.25">
      <c r="B64" s="29"/>
      <c r="C64" s="29"/>
    </row>
    <row r="65" spans="2:3" ht="15.75" customHeight="1" x14ac:dyDescent="0.25">
      <c r="B65" s="29"/>
      <c r="C65" s="29"/>
    </row>
    <row r="66" spans="2:3" ht="15.75" customHeight="1" x14ac:dyDescent="0.25">
      <c r="B66" s="29"/>
      <c r="C66" s="29"/>
    </row>
    <row r="67" spans="2:3" ht="15.75" customHeight="1" x14ac:dyDescent="0.25">
      <c r="B67" s="29"/>
      <c r="C67" s="29"/>
    </row>
    <row r="68" spans="2:3" ht="15.75" customHeight="1" x14ac:dyDescent="0.25">
      <c r="B68" s="29"/>
      <c r="C68" s="29"/>
    </row>
    <row r="69" spans="2:3" ht="15.75" customHeight="1" x14ac:dyDescent="0.25">
      <c r="B69" s="29"/>
      <c r="C69" s="29"/>
    </row>
    <row r="70" spans="2:3" ht="15.75" customHeight="1" x14ac:dyDescent="0.25">
      <c r="B70" s="29"/>
      <c r="C70" s="29"/>
    </row>
    <row r="71" spans="2:3" ht="15.75" customHeight="1" x14ac:dyDescent="0.25">
      <c r="B71" s="29"/>
      <c r="C71" s="29"/>
    </row>
    <row r="72" spans="2:3" ht="15.75" customHeight="1" x14ac:dyDescent="0.25">
      <c r="B72" s="29"/>
      <c r="C72" s="29"/>
    </row>
    <row r="73" spans="2:3" ht="15.75" customHeight="1" x14ac:dyDescent="0.25">
      <c r="B73" s="29"/>
      <c r="C73" s="29"/>
    </row>
    <row r="74" spans="2:3" ht="15.75" customHeight="1" x14ac:dyDescent="0.25">
      <c r="B74" s="29"/>
      <c r="C74" s="29"/>
    </row>
    <row r="75" spans="2:3" ht="15.75" customHeight="1" x14ac:dyDescent="0.25">
      <c r="B75" s="29"/>
      <c r="C75" s="29"/>
    </row>
    <row r="76" spans="2:3" ht="15.75" customHeight="1" x14ac:dyDescent="0.25">
      <c r="B76" s="29"/>
      <c r="C76" s="29"/>
    </row>
    <row r="77" spans="2:3" ht="15.75" customHeight="1" x14ac:dyDescent="0.25">
      <c r="B77" s="29"/>
      <c r="C77" s="29"/>
    </row>
    <row r="78" spans="2:3" ht="15.75" customHeight="1" x14ac:dyDescent="0.25">
      <c r="B78" s="29"/>
      <c r="C78" s="29"/>
    </row>
    <row r="79" spans="2:3" ht="15.75" customHeight="1" x14ac:dyDescent="0.25">
      <c r="B79" s="29"/>
      <c r="C79" s="29"/>
    </row>
    <row r="80" spans="2:3" ht="15.75" customHeight="1" x14ac:dyDescent="0.25">
      <c r="B80" s="29"/>
      <c r="C80" s="29"/>
    </row>
    <row r="81" spans="2:3" ht="15.75" customHeight="1" x14ac:dyDescent="0.25">
      <c r="B81" s="29"/>
      <c r="C81" s="29"/>
    </row>
    <row r="82" spans="2:3" ht="15.75" customHeight="1" x14ac:dyDescent="0.25">
      <c r="B82" s="29"/>
      <c r="C82" s="29"/>
    </row>
    <row r="83" spans="2:3" ht="15.75" customHeight="1" x14ac:dyDescent="0.25">
      <c r="B83" s="29"/>
      <c r="C83" s="29"/>
    </row>
    <row r="84" spans="2:3" ht="15.75" customHeight="1" x14ac:dyDescent="0.25">
      <c r="B84" s="29"/>
      <c r="C84" s="29"/>
    </row>
    <row r="85" spans="2:3" ht="15.75" customHeight="1" x14ac:dyDescent="0.25">
      <c r="B85" s="29"/>
      <c r="C85" s="29"/>
    </row>
    <row r="86" spans="2:3" ht="15.75" customHeight="1" x14ac:dyDescent="0.25">
      <c r="B86" s="29"/>
      <c r="C86" s="29"/>
    </row>
    <row r="87" spans="2:3" ht="15.75" customHeight="1" x14ac:dyDescent="0.25">
      <c r="B87" s="29"/>
      <c r="C87" s="29"/>
    </row>
    <row r="88" spans="2:3" ht="15.75" customHeight="1" x14ac:dyDescent="0.25">
      <c r="B88" s="29"/>
      <c r="C88" s="29"/>
    </row>
    <row r="89" spans="2:3" ht="15.75" customHeight="1" x14ac:dyDescent="0.25">
      <c r="B89" s="29"/>
      <c r="C89" s="29"/>
    </row>
    <row r="90" spans="2:3" ht="15.75" customHeight="1" x14ac:dyDescent="0.25">
      <c r="B90" s="29"/>
      <c r="C90" s="29"/>
    </row>
    <row r="91" spans="2:3" ht="15.75" customHeight="1" x14ac:dyDescent="0.25">
      <c r="B91" s="29"/>
      <c r="C91" s="29"/>
    </row>
    <row r="92" spans="2:3" ht="15.75" customHeight="1" x14ac:dyDescent="0.25">
      <c r="B92" s="29"/>
      <c r="C92" s="29"/>
    </row>
    <row r="93" spans="2:3" ht="15.75" customHeight="1" x14ac:dyDescent="0.25">
      <c r="B93" s="29"/>
      <c r="C93" s="29"/>
    </row>
    <row r="94" spans="2:3" ht="15.75" customHeight="1" x14ac:dyDescent="0.25">
      <c r="B94" s="29"/>
      <c r="C94" s="29"/>
    </row>
    <row r="95" spans="2:3" ht="15.75" customHeight="1" x14ac:dyDescent="0.25">
      <c r="B95" s="29"/>
      <c r="C95" s="29"/>
    </row>
    <row r="96" spans="2:3" ht="15.75" customHeight="1" x14ac:dyDescent="0.25">
      <c r="B96" s="29"/>
      <c r="C96" s="29"/>
    </row>
    <row r="97" spans="2:3" ht="15.75" customHeight="1" x14ac:dyDescent="0.25">
      <c r="B97" s="29"/>
      <c r="C97" s="29"/>
    </row>
    <row r="98" spans="2:3" ht="15.75" customHeight="1" x14ac:dyDescent="0.25">
      <c r="B98" s="29"/>
      <c r="C98" s="29"/>
    </row>
    <row r="99" spans="2:3" ht="15.75" customHeight="1" x14ac:dyDescent="0.25">
      <c r="B99" s="29"/>
      <c r="C99" s="29"/>
    </row>
    <row r="100" spans="2:3" ht="15.75" customHeight="1" x14ac:dyDescent="0.25">
      <c r="B100" s="29"/>
      <c r="C100" s="29"/>
    </row>
    <row r="101" spans="2:3" ht="15.75" customHeight="1" x14ac:dyDescent="0.25">
      <c r="B101" s="29"/>
      <c r="C101" s="29"/>
    </row>
    <row r="102" spans="2:3" ht="15.75" customHeight="1" x14ac:dyDescent="0.25">
      <c r="B102" s="29"/>
      <c r="C102" s="29"/>
    </row>
    <row r="103" spans="2:3" ht="15.75" customHeight="1" x14ac:dyDescent="0.25">
      <c r="B103" s="29"/>
      <c r="C103" s="29"/>
    </row>
    <row r="104" spans="2:3" ht="15.75" customHeight="1" x14ac:dyDescent="0.25">
      <c r="B104" s="29"/>
      <c r="C104" s="29"/>
    </row>
    <row r="105" spans="2:3" ht="15.75" customHeight="1" x14ac:dyDescent="0.25">
      <c r="B105" s="29"/>
      <c r="C105" s="29"/>
    </row>
    <row r="106" spans="2:3" ht="15.75" customHeight="1" x14ac:dyDescent="0.25">
      <c r="B106" s="29"/>
      <c r="C106" s="29"/>
    </row>
    <row r="107" spans="2:3" ht="15.75" customHeight="1" x14ac:dyDescent="0.25">
      <c r="B107" s="29"/>
      <c r="C107" s="29"/>
    </row>
    <row r="108" spans="2:3" ht="15.75" customHeight="1" x14ac:dyDescent="0.25">
      <c r="B108" s="29"/>
      <c r="C108" s="29"/>
    </row>
    <row r="109" spans="2:3" ht="15.75" customHeight="1" x14ac:dyDescent="0.25">
      <c r="B109" s="29"/>
      <c r="C109" s="29"/>
    </row>
    <row r="110" spans="2:3" ht="15.75" customHeight="1" x14ac:dyDescent="0.25">
      <c r="B110" s="29"/>
      <c r="C110" s="29"/>
    </row>
    <row r="111" spans="2:3" ht="15.75" customHeight="1" x14ac:dyDescent="0.25">
      <c r="B111" s="29"/>
      <c r="C111" s="29"/>
    </row>
    <row r="112" spans="2:3" ht="15.75" customHeight="1" x14ac:dyDescent="0.25">
      <c r="B112" s="29"/>
      <c r="C112" s="29"/>
    </row>
    <row r="113" spans="2:3" ht="15.75" customHeight="1" x14ac:dyDescent="0.25">
      <c r="B113" s="29"/>
      <c r="C113" s="29"/>
    </row>
    <row r="114" spans="2:3" ht="15.75" customHeight="1" x14ac:dyDescent="0.25">
      <c r="B114" s="29"/>
      <c r="C114" s="29"/>
    </row>
    <row r="115" spans="2:3" ht="15.75" customHeight="1" x14ac:dyDescent="0.25">
      <c r="B115" s="29"/>
      <c r="C115" s="29"/>
    </row>
    <row r="116" spans="2:3" ht="15.75" customHeight="1" x14ac:dyDescent="0.25">
      <c r="B116" s="29"/>
      <c r="C116" s="29"/>
    </row>
    <row r="117" spans="2:3" ht="15.75" customHeight="1" x14ac:dyDescent="0.25">
      <c r="B117" s="29"/>
      <c r="C117" s="29"/>
    </row>
    <row r="118" spans="2:3" ht="15.75" customHeight="1" x14ac:dyDescent="0.25">
      <c r="B118" s="29"/>
      <c r="C118" s="29"/>
    </row>
    <row r="119" spans="2:3" ht="15.75" customHeight="1" x14ac:dyDescent="0.25">
      <c r="B119" s="29"/>
      <c r="C119" s="29"/>
    </row>
    <row r="120" spans="2:3" ht="15.75" customHeight="1" x14ac:dyDescent="0.25">
      <c r="B120" s="29"/>
      <c r="C120" s="29"/>
    </row>
    <row r="121" spans="2:3" ht="15.75" customHeight="1" x14ac:dyDescent="0.25">
      <c r="B121" s="29"/>
      <c r="C121" s="29"/>
    </row>
    <row r="122" spans="2:3" ht="15.75" customHeight="1" x14ac:dyDescent="0.25">
      <c r="B122" s="29"/>
      <c r="C122" s="29"/>
    </row>
    <row r="123" spans="2:3" ht="15.75" customHeight="1" x14ac:dyDescent="0.25">
      <c r="B123" s="29"/>
      <c r="C123" s="29"/>
    </row>
    <row r="124" spans="2:3" ht="15.75" customHeight="1" x14ac:dyDescent="0.25">
      <c r="B124" s="29"/>
      <c r="C124" s="29"/>
    </row>
    <row r="125" spans="2:3" ht="15.75" customHeight="1" x14ac:dyDescent="0.25">
      <c r="B125" s="29"/>
      <c r="C125" s="29"/>
    </row>
    <row r="126" spans="2:3" ht="15.75" customHeight="1" x14ac:dyDescent="0.25">
      <c r="B126" s="29"/>
      <c r="C126" s="29"/>
    </row>
    <row r="127" spans="2:3" ht="15.75" customHeight="1" x14ac:dyDescent="0.25">
      <c r="B127" s="29"/>
      <c r="C127" s="29"/>
    </row>
    <row r="128" spans="2:3" ht="15.75" customHeight="1" x14ac:dyDescent="0.25">
      <c r="B128" s="29"/>
      <c r="C128" s="29"/>
    </row>
    <row r="129" spans="2:3" ht="15.75" customHeight="1" x14ac:dyDescent="0.25">
      <c r="B129" s="29"/>
      <c r="C129" s="29"/>
    </row>
    <row r="130" spans="2:3" ht="15.75" customHeight="1" x14ac:dyDescent="0.25">
      <c r="B130" s="29"/>
      <c r="C130" s="29"/>
    </row>
    <row r="131" spans="2:3" ht="15.75" customHeight="1" x14ac:dyDescent="0.25">
      <c r="B131" s="29"/>
      <c r="C131" s="29"/>
    </row>
    <row r="132" spans="2:3" ht="15.75" customHeight="1" x14ac:dyDescent="0.25">
      <c r="B132" s="29"/>
      <c r="C132" s="29"/>
    </row>
    <row r="133" spans="2:3" ht="15.75" customHeight="1" x14ac:dyDescent="0.25">
      <c r="B133" s="29"/>
      <c r="C133" s="29"/>
    </row>
    <row r="134" spans="2:3" ht="15.75" customHeight="1" x14ac:dyDescent="0.25">
      <c r="B134" s="29"/>
      <c r="C134" s="29"/>
    </row>
    <row r="135" spans="2:3" ht="15.75" customHeight="1" x14ac:dyDescent="0.25">
      <c r="B135" s="29"/>
      <c r="C135" s="29"/>
    </row>
    <row r="136" spans="2:3" ht="15.75" customHeight="1" x14ac:dyDescent="0.25">
      <c r="B136" s="29"/>
      <c r="C136" s="29"/>
    </row>
    <row r="137" spans="2:3" ht="15.75" customHeight="1" x14ac:dyDescent="0.25">
      <c r="B137" s="29"/>
      <c r="C137" s="29"/>
    </row>
    <row r="138" spans="2:3" ht="15.75" customHeight="1" x14ac:dyDescent="0.25">
      <c r="B138" s="29"/>
      <c r="C138" s="29"/>
    </row>
    <row r="139" spans="2:3" ht="15.75" customHeight="1" x14ac:dyDescent="0.25">
      <c r="B139" s="29"/>
      <c r="C139" s="29"/>
    </row>
    <row r="140" spans="2:3" ht="15.75" customHeight="1" x14ac:dyDescent="0.25">
      <c r="B140" s="29"/>
      <c r="C140" s="29"/>
    </row>
    <row r="141" spans="2:3" ht="15.75" customHeight="1" x14ac:dyDescent="0.25">
      <c r="B141" s="29"/>
      <c r="C141" s="29"/>
    </row>
    <row r="142" spans="2:3" ht="15.75" customHeight="1" x14ac:dyDescent="0.25">
      <c r="B142" s="29"/>
      <c r="C142" s="29"/>
    </row>
    <row r="143" spans="2:3" ht="15.75" customHeight="1" x14ac:dyDescent="0.25">
      <c r="B143" s="29"/>
      <c r="C143" s="29"/>
    </row>
    <row r="144" spans="2:3" ht="15.75" customHeight="1" x14ac:dyDescent="0.25">
      <c r="B144" s="29"/>
      <c r="C144" s="29"/>
    </row>
    <row r="145" spans="2:3" ht="15.75" customHeight="1" x14ac:dyDescent="0.25">
      <c r="B145" s="29"/>
      <c r="C145" s="29"/>
    </row>
    <row r="146" spans="2:3" ht="15.75" customHeight="1" x14ac:dyDescent="0.25">
      <c r="B146" s="29"/>
      <c r="C146" s="29"/>
    </row>
    <row r="147" spans="2:3" ht="15.75" customHeight="1" x14ac:dyDescent="0.25">
      <c r="B147" s="29"/>
      <c r="C147" s="29"/>
    </row>
    <row r="148" spans="2:3" ht="15.75" customHeight="1" x14ac:dyDescent="0.25">
      <c r="B148" s="29"/>
      <c r="C148" s="29"/>
    </row>
    <row r="149" spans="2:3" ht="15.75" customHeight="1" x14ac:dyDescent="0.25">
      <c r="B149" s="29"/>
      <c r="C149" s="29"/>
    </row>
    <row r="150" spans="2:3" ht="15.75" customHeight="1" x14ac:dyDescent="0.25">
      <c r="B150" s="29"/>
      <c r="C150" s="29"/>
    </row>
    <row r="151" spans="2:3" ht="15.75" customHeight="1" x14ac:dyDescent="0.25">
      <c r="B151" s="29"/>
      <c r="C151" s="29"/>
    </row>
    <row r="152" spans="2:3" ht="15.75" customHeight="1" x14ac:dyDescent="0.25">
      <c r="B152" s="29"/>
      <c r="C152" s="29"/>
    </row>
    <row r="153" spans="2:3" ht="15.75" customHeight="1" x14ac:dyDescent="0.25">
      <c r="B153" s="29"/>
      <c r="C153" s="29"/>
    </row>
    <row r="154" spans="2:3" ht="15.75" customHeight="1" x14ac:dyDescent="0.25">
      <c r="B154" s="29"/>
      <c r="C154" s="29"/>
    </row>
    <row r="155" spans="2:3" ht="15.75" customHeight="1" x14ac:dyDescent="0.25">
      <c r="B155" s="29"/>
      <c r="C155" s="29"/>
    </row>
    <row r="156" spans="2:3" ht="15.75" customHeight="1" x14ac:dyDescent="0.25">
      <c r="B156" s="29"/>
      <c r="C156" s="29"/>
    </row>
    <row r="157" spans="2:3" ht="15.75" customHeight="1" x14ac:dyDescent="0.25">
      <c r="B157" s="29"/>
      <c r="C157" s="29"/>
    </row>
    <row r="158" spans="2:3" ht="15.75" customHeight="1" x14ac:dyDescent="0.25">
      <c r="B158" s="29"/>
      <c r="C158" s="29"/>
    </row>
    <row r="159" spans="2:3" ht="15.75" customHeight="1" x14ac:dyDescent="0.25">
      <c r="B159" s="29"/>
      <c r="C159" s="29"/>
    </row>
    <row r="160" spans="2:3" ht="15.75" customHeight="1" x14ac:dyDescent="0.25">
      <c r="B160" s="29"/>
      <c r="C160" s="29"/>
    </row>
    <row r="161" spans="2:3" ht="15.75" customHeight="1" x14ac:dyDescent="0.25">
      <c r="B161" s="29"/>
      <c r="C161" s="29"/>
    </row>
    <row r="162" spans="2:3" ht="15.75" customHeight="1" x14ac:dyDescent="0.25">
      <c r="B162" s="29"/>
      <c r="C162" s="29"/>
    </row>
    <row r="163" spans="2:3" ht="15.75" customHeight="1" x14ac:dyDescent="0.25">
      <c r="B163" s="29"/>
      <c r="C163" s="29"/>
    </row>
    <row r="164" spans="2:3" ht="15.75" customHeight="1" x14ac:dyDescent="0.25">
      <c r="B164" s="29"/>
      <c r="C164" s="29"/>
    </row>
    <row r="165" spans="2:3" ht="15.75" customHeight="1" x14ac:dyDescent="0.25">
      <c r="B165" s="29"/>
      <c r="C165" s="29"/>
    </row>
    <row r="166" spans="2:3" ht="15.75" customHeight="1" x14ac:dyDescent="0.25">
      <c r="B166" s="29"/>
      <c r="C166" s="29"/>
    </row>
    <row r="167" spans="2:3" ht="15.75" customHeight="1" x14ac:dyDescent="0.25">
      <c r="B167" s="29"/>
      <c r="C167" s="29"/>
    </row>
    <row r="168" spans="2:3" ht="15.75" customHeight="1" x14ac:dyDescent="0.25">
      <c r="B168" s="29"/>
      <c r="C168" s="29"/>
    </row>
    <row r="169" spans="2:3" ht="15.75" customHeight="1" x14ac:dyDescent="0.25">
      <c r="B169" s="29"/>
      <c r="C169" s="29"/>
    </row>
    <row r="170" spans="2:3" ht="15.75" customHeight="1" x14ac:dyDescent="0.25">
      <c r="B170" s="29"/>
      <c r="C170" s="29"/>
    </row>
    <row r="171" spans="2:3" ht="15.75" customHeight="1" x14ac:dyDescent="0.25">
      <c r="B171" s="29"/>
      <c r="C171" s="29"/>
    </row>
    <row r="172" spans="2:3" ht="15.75" customHeight="1" x14ac:dyDescent="0.25">
      <c r="B172" s="29"/>
      <c r="C172" s="29"/>
    </row>
    <row r="173" spans="2:3" ht="15.75" customHeight="1" x14ac:dyDescent="0.25">
      <c r="B173" s="29"/>
      <c r="C173" s="29"/>
    </row>
    <row r="174" spans="2:3" ht="15.75" customHeight="1" x14ac:dyDescent="0.25">
      <c r="B174" s="29"/>
      <c r="C174" s="29"/>
    </row>
    <row r="175" spans="2:3" ht="15.75" customHeight="1" x14ac:dyDescent="0.25">
      <c r="B175" s="29"/>
      <c r="C175" s="29"/>
    </row>
    <row r="176" spans="2:3" ht="15.75" customHeight="1" x14ac:dyDescent="0.25">
      <c r="B176" s="29"/>
      <c r="C176" s="29"/>
    </row>
    <row r="177" spans="2:3" ht="15.75" customHeight="1" x14ac:dyDescent="0.25">
      <c r="B177" s="29"/>
      <c r="C177" s="29"/>
    </row>
    <row r="178" spans="2:3" ht="15.75" customHeight="1" x14ac:dyDescent="0.25">
      <c r="B178" s="29"/>
      <c r="C178" s="29"/>
    </row>
    <row r="179" spans="2:3" ht="15.75" customHeight="1" x14ac:dyDescent="0.25">
      <c r="B179" s="29"/>
      <c r="C179" s="29"/>
    </row>
    <row r="180" spans="2:3" ht="15.75" customHeight="1" x14ac:dyDescent="0.25">
      <c r="B180" s="29"/>
      <c r="C180" s="29"/>
    </row>
    <row r="181" spans="2:3" ht="15.75" customHeight="1" x14ac:dyDescent="0.25">
      <c r="B181" s="29"/>
      <c r="C181" s="29"/>
    </row>
    <row r="182" spans="2:3" ht="15.75" customHeight="1" x14ac:dyDescent="0.25">
      <c r="B182" s="29"/>
      <c r="C182" s="29"/>
    </row>
    <row r="183" spans="2:3" ht="15.75" customHeight="1" x14ac:dyDescent="0.25">
      <c r="B183" s="29"/>
      <c r="C183" s="29"/>
    </row>
    <row r="184" spans="2:3" ht="15.75" customHeight="1" x14ac:dyDescent="0.25">
      <c r="B184" s="29"/>
      <c r="C184" s="29"/>
    </row>
    <row r="185" spans="2:3" ht="15.75" customHeight="1" x14ac:dyDescent="0.25">
      <c r="B185" s="29"/>
      <c r="C185" s="29"/>
    </row>
    <row r="186" spans="2:3" ht="15.75" customHeight="1" x14ac:dyDescent="0.25">
      <c r="B186" s="29"/>
      <c r="C186" s="29"/>
    </row>
    <row r="187" spans="2:3" ht="15.75" customHeight="1" x14ac:dyDescent="0.25">
      <c r="B187" s="29"/>
      <c r="C187" s="29"/>
    </row>
    <row r="188" spans="2:3" ht="15.75" customHeight="1" x14ac:dyDescent="0.25">
      <c r="B188" s="29"/>
      <c r="C188" s="29"/>
    </row>
    <row r="189" spans="2:3" ht="15.75" customHeight="1" x14ac:dyDescent="0.25">
      <c r="B189" s="29"/>
      <c r="C189" s="29"/>
    </row>
    <row r="190" spans="2:3" ht="15.75" customHeight="1" x14ac:dyDescent="0.25">
      <c r="B190" s="29"/>
      <c r="C190" s="29"/>
    </row>
    <row r="191" spans="2:3" ht="15.75" customHeight="1" x14ac:dyDescent="0.25">
      <c r="B191" s="29"/>
      <c r="C191" s="29"/>
    </row>
    <row r="192" spans="2:3" ht="15.75" customHeight="1" x14ac:dyDescent="0.25">
      <c r="B192" s="29"/>
      <c r="C192" s="29"/>
    </row>
    <row r="193" spans="2:3" ht="15.75" customHeight="1" x14ac:dyDescent="0.25">
      <c r="B193" s="29"/>
      <c r="C193" s="29"/>
    </row>
    <row r="194" spans="2:3" ht="15.75" customHeight="1" x14ac:dyDescent="0.25">
      <c r="B194" s="29"/>
      <c r="C194" s="29"/>
    </row>
    <row r="195" spans="2:3" ht="15.75" customHeight="1" x14ac:dyDescent="0.25">
      <c r="B195" s="29"/>
      <c r="C195" s="29"/>
    </row>
    <row r="196" spans="2:3" ht="15.75" customHeight="1" x14ac:dyDescent="0.25">
      <c r="B196" s="29"/>
      <c r="C196" s="29"/>
    </row>
    <row r="197" spans="2:3" ht="15.75" customHeight="1" x14ac:dyDescent="0.25">
      <c r="B197" s="29"/>
      <c r="C197" s="29"/>
    </row>
    <row r="198" spans="2:3" ht="15.75" customHeight="1" x14ac:dyDescent="0.25">
      <c r="B198" s="29"/>
      <c r="C198" s="29"/>
    </row>
    <row r="199" spans="2:3" ht="15.75" customHeight="1" x14ac:dyDescent="0.25">
      <c r="B199" s="29"/>
      <c r="C199" s="29"/>
    </row>
    <row r="200" spans="2:3" ht="15.75" customHeight="1" x14ac:dyDescent="0.25">
      <c r="B200" s="29"/>
      <c r="C200" s="29"/>
    </row>
    <row r="201" spans="2:3" ht="15.75" customHeight="1" x14ac:dyDescent="0.25">
      <c r="B201" s="29"/>
      <c r="C201" s="29"/>
    </row>
    <row r="202" spans="2:3" ht="15.75" customHeight="1" x14ac:dyDescent="0.25">
      <c r="B202" s="29"/>
      <c r="C202" s="29"/>
    </row>
    <row r="203" spans="2:3" ht="15.75" customHeight="1" x14ac:dyDescent="0.25">
      <c r="B203" s="29"/>
      <c r="C203" s="29"/>
    </row>
    <row r="204" spans="2:3" ht="15.75" customHeight="1" x14ac:dyDescent="0.25">
      <c r="B204" s="29"/>
      <c r="C204" s="29"/>
    </row>
    <row r="205" spans="2:3" ht="15.75" customHeight="1" x14ac:dyDescent="0.25">
      <c r="B205" s="29"/>
      <c r="C205" s="29"/>
    </row>
    <row r="206" spans="2:3" ht="15.75" customHeight="1" x14ac:dyDescent="0.25">
      <c r="B206" s="29"/>
      <c r="C206" s="29"/>
    </row>
    <row r="207" spans="2:3" ht="15.75" customHeight="1" x14ac:dyDescent="0.25">
      <c r="B207" s="29"/>
      <c r="C207" s="29"/>
    </row>
    <row r="208" spans="2:3" ht="15.75" customHeight="1" x14ac:dyDescent="0.25">
      <c r="B208" s="29"/>
      <c r="C208" s="29"/>
    </row>
    <row r="209" spans="2:3" ht="15.75" customHeight="1" x14ac:dyDescent="0.25">
      <c r="B209" s="29"/>
      <c r="C209" s="29"/>
    </row>
    <row r="210" spans="2:3" ht="15.75" customHeight="1" x14ac:dyDescent="0.25">
      <c r="B210" s="29"/>
      <c r="C210" s="29"/>
    </row>
    <row r="211" spans="2:3" ht="15.75" customHeight="1" x14ac:dyDescent="0.25">
      <c r="B211" s="29"/>
      <c r="C211" s="29"/>
    </row>
    <row r="212" spans="2:3" ht="15.75" customHeight="1" x14ac:dyDescent="0.25">
      <c r="B212" s="29"/>
      <c r="C212" s="29"/>
    </row>
    <row r="213" spans="2:3" ht="15.75" customHeight="1" x14ac:dyDescent="0.25">
      <c r="B213" s="29"/>
      <c r="C213" s="29"/>
    </row>
    <row r="214" spans="2:3" ht="15.75" customHeight="1" x14ac:dyDescent="0.25">
      <c r="B214" s="29"/>
      <c r="C214" s="29"/>
    </row>
    <row r="215" spans="2:3" ht="15.75" customHeight="1" x14ac:dyDescent="0.25">
      <c r="B215" s="29"/>
      <c r="C215" s="29"/>
    </row>
    <row r="216" spans="2:3" ht="15.75" customHeight="1" x14ac:dyDescent="0.25">
      <c r="B216" s="29"/>
      <c r="C216" s="29"/>
    </row>
    <row r="217" spans="2:3" ht="15.75" customHeight="1" x14ac:dyDescent="0.25">
      <c r="B217" s="29"/>
      <c r="C217" s="29"/>
    </row>
    <row r="218" spans="2:3" ht="15.75" customHeight="1" x14ac:dyDescent="0.25">
      <c r="B218" s="29"/>
      <c r="C218" s="29"/>
    </row>
    <row r="219" spans="2:3" ht="15.75" customHeight="1" x14ac:dyDescent="0.25">
      <c r="B219" s="29"/>
      <c r="C219" s="29"/>
    </row>
    <row r="220" spans="2:3" ht="15.75" customHeight="1" x14ac:dyDescent="0.25">
      <c r="B220" s="29"/>
      <c r="C220" s="29"/>
    </row>
    <row r="221" spans="2:3" ht="15.75" customHeight="1" x14ac:dyDescent="0.25">
      <c r="B221" s="29"/>
      <c r="C221" s="29"/>
    </row>
    <row r="222" spans="2:3" ht="15.75" customHeight="1" x14ac:dyDescent="0.25">
      <c r="B222" s="29"/>
      <c r="C222" s="29"/>
    </row>
    <row r="223" spans="2:3" ht="15.75" customHeight="1" x14ac:dyDescent="0.25">
      <c r="B223" s="29"/>
      <c r="C223" s="29"/>
    </row>
    <row r="224" spans="2:3" ht="15.75" customHeight="1" x14ac:dyDescent="0.25">
      <c r="B224" s="29"/>
      <c r="C224" s="29"/>
    </row>
    <row r="225" spans="2:3" ht="15.75" customHeight="1" x14ac:dyDescent="0.25">
      <c r="B225" s="29"/>
      <c r="C225" s="29"/>
    </row>
    <row r="226" spans="2:3" ht="15.75" customHeight="1" x14ac:dyDescent="0.25">
      <c r="B226" s="29"/>
      <c r="C226" s="29"/>
    </row>
    <row r="227" spans="2:3" ht="15.75" customHeight="1" x14ac:dyDescent="0.25">
      <c r="B227" s="29"/>
      <c r="C227" s="29"/>
    </row>
    <row r="228" spans="2:3" ht="15.75" customHeight="1" x14ac:dyDescent="0.25">
      <c r="B228" s="29"/>
      <c r="C228" s="29"/>
    </row>
    <row r="229" spans="2:3" ht="15.75" customHeight="1" x14ac:dyDescent="0.25">
      <c r="B229" s="29"/>
      <c r="C229" s="29"/>
    </row>
    <row r="230" spans="2:3" ht="15.75" customHeight="1" x14ac:dyDescent="0.25">
      <c r="B230" s="29"/>
      <c r="C230" s="29"/>
    </row>
    <row r="231" spans="2:3" ht="15.75" customHeight="1" x14ac:dyDescent="0.25">
      <c r="B231" s="29"/>
      <c r="C231" s="29"/>
    </row>
    <row r="232" spans="2:3" ht="15.75" customHeight="1" x14ac:dyDescent="0.25">
      <c r="B232" s="29"/>
      <c r="C232" s="29"/>
    </row>
    <row r="233" spans="2:3" ht="15.75" customHeight="1" x14ac:dyDescent="0.25">
      <c r="B233" s="29"/>
      <c r="C233" s="29"/>
    </row>
    <row r="234" spans="2:3" ht="15.75" customHeight="1" x14ac:dyDescent="0.25">
      <c r="B234" s="29"/>
      <c r="C234" s="29"/>
    </row>
    <row r="235" spans="2:3" ht="15.75" customHeight="1" x14ac:dyDescent="0.25">
      <c r="B235" s="29"/>
      <c r="C235" s="29"/>
    </row>
    <row r="236" spans="2:3" ht="15.75" customHeight="1" x14ac:dyDescent="0.25">
      <c r="B236" s="29"/>
      <c r="C236" s="29"/>
    </row>
    <row r="237" spans="2:3" ht="15.75" customHeight="1" x14ac:dyDescent="0.25">
      <c r="B237" s="29"/>
      <c r="C237" s="29"/>
    </row>
    <row r="238" spans="2:3" ht="15.75" customHeight="1" x14ac:dyDescent="0.25">
      <c r="B238" s="29"/>
      <c r="C238" s="29"/>
    </row>
    <row r="239" spans="2:3" ht="15.75" customHeight="1" x14ac:dyDescent="0.25">
      <c r="B239" s="29"/>
      <c r="C239" s="29"/>
    </row>
    <row r="240" spans="2:3" ht="15.75" customHeight="1" x14ac:dyDescent="0.25">
      <c r="B240" s="29"/>
      <c r="C240" s="29"/>
    </row>
    <row r="241" spans="2:3" ht="15.75" customHeight="1" x14ac:dyDescent="0.25">
      <c r="B241" s="29"/>
      <c r="C241" s="29"/>
    </row>
    <row r="242" spans="2:3" ht="15.75" customHeight="1" x14ac:dyDescent="0.25">
      <c r="B242" s="29"/>
      <c r="C242" s="29"/>
    </row>
    <row r="243" spans="2:3" ht="15.75" customHeight="1" x14ac:dyDescent="0.25">
      <c r="B243" s="29"/>
      <c r="C243" s="29"/>
    </row>
    <row r="244" spans="2:3" ht="15.75" customHeight="1" x14ac:dyDescent="0.25">
      <c r="B244" s="29"/>
      <c r="C244" s="29"/>
    </row>
    <row r="245" spans="2:3" ht="15.75" customHeight="1" x14ac:dyDescent="0.25">
      <c r="B245" s="29"/>
      <c r="C245" s="29"/>
    </row>
    <row r="246" spans="2:3" ht="15.75" customHeight="1" x14ac:dyDescent="0.25">
      <c r="B246" s="29"/>
      <c r="C246" s="29"/>
    </row>
    <row r="247" spans="2:3" ht="15.75" customHeight="1" x14ac:dyDescent="0.25">
      <c r="B247" s="29"/>
      <c r="C247" s="29"/>
    </row>
    <row r="248" spans="2:3" ht="15.75" customHeight="1" x14ac:dyDescent="0.25">
      <c r="B248" s="29"/>
      <c r="C248" s="29"/>
    </row>
    <row r="249" spans="2:3" ht="15.75" customHeight="1" x14ac:dyDescent="0.25">
      <c r="B249" s="29"/>
      <c r="C249" s="29"/>
    </row>
    <row r="250" spans="2:3" ht="15.75" customHeight="1" x14ac:dyDescent="0.25">
      <c r="B250" s="29"/>
      <c r="C250" s="29"/>
    </row>
    <row r="251" spans="2:3" ht="15.75" customHeight="1" x14ac:dyDescent="0.25">
      <c r="B251" s="29"/>
      <c r="C251" s="29"/>
    </row>
    <row r="252" spans="2:3" ht="15.75" customHeight="1" x14ac:dyDescent="0.25">
      <c r="B252" s="29"/>
      <c r="C252" s="29"/>
    </row>
    <row r="253" spans="2:3" ht="15.75" customHeight="1" x14ac:dyDescent="0.25">
      <c r="B253" s="29"/>
      <c r="C253" s="29"/>
    </row>
    <row r="254" spans="2:3" ht="15.75" customHeight="1" x14ac:dyDescent="0.25">
      <c r="B254" s="29"/>
      <c r="C254" s="29"/>
    </row>
    <row r="255" spans="2:3" ht="15.75" customHeight="1" x14ac:dyDescent="0.25">
      <c r="B255" s="29"/>
      <c r="C255" s="29"/>
    </row>
    <row r="256" spans="2:3" ht="15.75" customHeight="1" x14ac:dyDescent="0.25">
      <c r="B256" s="29"/>
      <c r="C256" s="29"/>
    </row>
    <row r="257" spans="2:3" ht="15.75" customHeight="1" x14ac:dyDescent="0.25">
      <c r="B257" s="29"/>
      <c r="C257" s="29"/>
    </row>
    <row r="258" spans="2:3" ht="15.75" customHeight="1" x14ac:dyDescent="0.25">
      <c r="B258" s="29"/>
      <c r="C258" s="29"/>
    </row>
    <row r="259" spans="2:3" ht="15.75" customHeight="1" x14ac:dyDescent="0.25">
      <c r="B259" s="29"/>
      <c r="C259" s="29"/>
    </row>
    <row r="260" spans="2:3" ht="15.75" customHeight="1" x14ac:dyDescent="0.25">
      <c r="B260" s="29"/>
      <c r="C260" s="29"/>
    </row>
    <row r="261" spans="2:3" ht="15.75" customHeight="1" x14ac:dyDescent="0.25">
      <c r="B261" s="29"/>
      <c r="C261" s="29"/>
    </row>
    <row r="262" spans="2:3" ht="15.75" customHeight="1" x14ac:dyDescent="0.25">
      <c r="B262" s="29"/>
      <c r="C262" s="29"/>
    </row>
    <row r="263" spans="2:3" ht="15.75" customHeight="1" x14ac:dyDescent="0.25">
      <c r="B263" s="29"/>
      <c r="C263" s="29"/>
    </row>
    <row r="264" spans="2:3" ht="15.75" customHeight="1" x14ac:dyDescent="0.25">
      <c r="B264" s="29"/>
      <c r="C264" s="29"/>
    </row>
    <row r="265" spans="2:3" ht="15.75" customHeight="1" x14ac:dyDescent="0.25">
      <c r="B265" s="29"/>
      <c r="C265" s="29"/>
    </row>
    <row r="266" spans="2:3" ht="15.75" customHeight="1" x14ac:dyDescent="0.25">
      <c r="B266" s="29"/>
      <c r="C266" s="29"/>
    </row>
    <row r="267" spans="2:3" ht="15.75" customHeight="1" x14ac:dyDescent="0.25">
      <c r="B267" s="29"/>
      <c r="C267" s="29"/>
    </row>
    <row r="268" spans="2:3" ht="15.75" customHeight="1" x14ac:dyDescent="0.25">
      <c r="B268" s="29"/>
      <c r="C268" s="29"/>
    </row>
    <row r="269" spans="2:3" ht="15.75" customHeight="1" x14ac:dyDescent="0.25">
      <c r="B269" s="29"/>
      <c r="C269" s="29"/>
    </row>
    <row r="270" spans="2:3" ht="15.75" customHeight="1" x14ac:dyDescent="0.25">
      <c r="B270" s="29"/>
      <c r="C270" s="29"/>
    </row>
    <row r="271" spans="2:3" ht="15.75" customHeight="1" x14ac:dyDescent="0.25">
      <c r="B271" s="29"/>
      <c r="C271" s="29"/>
    </row>
    <row r="272" spans="2:3" ht="15.75" customHeight="1" x14ac:dyDescent="0.25">
      <c r="B272" s="29"/>
      <c r="C272" s="29"/>
    </row>
    <row r="273" spans="2:3" ht="15.75" customHeight="1" x14ac:dyDescent="0.25">
      <c r="B273" s="29"/>
      <c r="C273" s="29"/>
    </row>
    <row r="274" spans="2:3" ht="15.75" customHeight="1" x14ac:dyDescent="0.25">
      <c r="B274" s="29"/>
      <c r="C274" s="29"/>
    </row>
    <row r="275" spans="2:3" ht="15.75" customHeight="1" x14ac:dyDescent="0.25">
      <c r="B275" s="29"/>
      <c r="C275" s="29"/>
    </row>
    <row r="276" spans="2:3" ht="15.75" customHeight="1" x14ac:dyDescent="0.25">
      <c r="B276" s="29"/>
      <c r="C276" s="29"/>
    </row>
    <row r="277" spans="2:3" ht="15.75" customHeight="1" x14ac:dyDescent="0.25">
      <c r="B277" s="29"/>
      <c r="C277" s="29"/>
    </row>
    <row r="278" spans="2:3" ht="15.75" customHeight="1" x14ac:dyDescent="0.25">
      <c r="B278" s="29"/>
      <c r="C278" s="29"/>
    </row>
    <row r="279" spans="2:3" ht="15.75" customHeight="1" x14ac:dyDescent="0.25">
      <c r="B279" s="29"/>
      <c r="C279" s="29"/>
    </row>
    <row r="280" spans="2:3" ht="15.75" customHeight="1" x14ac:dyDescent="0.25">
      <c r="B280" s="29"/>
      <c r="C280" s="29"/>
    </row>
    <row r="281" spans="2:3" ht="15.75" customHeight="1" x14ac:dyDescent="0.25">
      <c r="B281" s="29"/>
      <c r="C281" s="29"/>
    </row>
    <row r="282" spans="2:3" ht="15.75" customHeight="1" x14ac:dyDescent="0.25">
      <c r="B282" s="29"/>
      <c r="C282" s="29"/>
    </row>
    <row r="283" spans="2:3" ht="15.75" customHeight="1" x14ac:dyDescent="0.25">
      <c r="B283" s="29"/>
      <c r="C283" s="29"/>
    </row>
    <row r="284" spans="2:3" ht="15.75" customHeight="1" x14ac:dyDescent="0.25">
      <c r="B284" s="29"/>
      <c r="C284" s="29"/>
    </row>
    <row r="285" spans="2:3" ht="15.75" customHeight="1" x14ac:dyDescent="0.25">
      <c r="B285" s="29"/>
      <c r="C285" s="29"/>
    </row>
    <row r="286" spans="2:3" ht="15.75" customHeight="1" x14ac:dyDescent="0.25">
      <c r="B286" s="29"/>
      <c r="C286" s="29"/>
    </row>
    <row r="287" spans="2:3" ht="15.75" customHeight="1" x14ac:dyDescent="0.25">
      <c r="B287" s="29"/>
      <c r="C287" s="29"/>
    </row>
    <row r="288" spans="2:3" ht="15.75" customHeight="1" x14ac:dyDescent="0.25">
      <c r="B288" s="29"/>
      <c r="C288" s="29"/>
    </row>
    <row r="289" spans="2:3" ht="15.75" customHeight="1" x14ac:dyDescent="0.25">
      <c r="B289" s="29"/>
      <c r="C289" s="29"/>
    </row>
    <row r="290" spans="2:3" ht="15.75" customHeight="1" x14ac:dyDescent="0.25">
      <c r="B290" s="29"/>
      <c r="C290" s="29"/>
    </row>
    <row r="291" spans="2:3" ht="15.75" customHeight="1" x14ac:dyDescent="0.25">
      <c r="B291" s="29"/>
      <c r="C291" s="29"/>
    </row>
    <row r="292" spans="2:3" ht="15.75" customHeight="1" x14ac:dyDescent="0.25">
      <c r="B292" s="29"/>
      <c r="C292" s="29"/>
    </row>
    <row r="293" spans="2:3" ht="15.75" customHeight="1" x14ac:dyDescent="0.25">
      <c r="B293" s="29"/>
      <c r="C293" s="29"/>
    </row>
    <row r="294" spans="2:3" ht="15.75" customHeight="1" x14ac:dyDescent="0.25">
      <c r="B294" s="29"/>
      <c r="C294" s="29"/>
    </row>
    <row r="295" spans="2:3" ht="15.75" customHeight="1" x14ac:dyDescent="0.25">
      <c r="B295" s="29"/>
      <c r="C295" s="29"/>
    </row>
    <row r="296" spans="2:3" ht="15.75" customHeight="1" x14ac:dyDescent="0.25">
      <c r="B296" s="29"/>
      <c r="C296" s="29"/>
    </row>
    <row r="297" spans="2:3" ht="15.75" customHeight="1" x14ac:dyDescent="0.25">
      <c r="B297" s="29"/>
      <c r="C297" s="29"/>
    </row>
    <row r="298" spans="2:3" ht="15.75" customHeight="1" x14ac:dyDescent="0.25">
      <c r="B298" s="29"/>
      <c r="C298" s="29"/>
    </row>
    <row r="299" spans="2:3" ht="15.75" customHeight="1" x14ac:dyDescent="0.25">
      <c r="B299" s="29"/>
      <c r="C299" s="29"/>
    </row>
    <row r="300" spans="2:3" ht="15.75" customHeight="1" x14ac:dyDescent="0.25">
      <c r="B300" s="29"/>
      <c r="C300" s="29"/>
    </row>
    <row r="301" spans="2:3" ht="15.75" customHeight="1" x14ac:dyDescent="0.25">
      <c r="B301" s="29"/>
      <c r="C301" s="29"/>
    </row>
    <row r="302" spans="2:3" ht="15.75" customHeight="1" x14ac:dyDescent="0.25">
      <c r="B302" s="29"/>
      <c r="C302" s="29"/>
    </row>
    <row r="303" spans="2:3" ht="15.75" customHeight="1" x14ac:dyDescent="0.25">
      <c r="B303" s="29"/>
      <c r="C303" s="29"/>
    </row>
    <row r="304" spans="2:3" ht="15.75" customHeight="1" x14ac:dyDescent="0.25">
      <c r="B304" s="29"/>
      <c r="C304" s="29"/>
    </row>
    <row r="305" spans="2:3" ht="15.75" customHeight="1" x14ac:dyDescent="0.25">
      <c r="B305" s="29"/>
      <c r="C305" s="29"/>
    </row>
    <row r="306" spans="2:3" ht="15.75" customHeight="1" x14ac:dyDescent="0.25">
      <c r="B306" s="29"/>
      <c r="C306" s="29"/>
    </row>
    <row r="307" spans="2:3" ht="15.75" customHeight="1" x14ac:dyDescent="0.25">
      <c r="B307" s="29"/>
      <c r="C307" s="29"/>
    </row>
    <row r="308" spans="2:3" ht="15.75" customHeight="1" x14ac:dyDescent="0.25">
      <c r="B308" s="29"/>
      <c r="C308" s="29"/>
    </row>
    <row r="309" spans="2:3" ht="15.75" customHeight="1" x14ac:dyDescent="0.25">
      <c r="B309" s="29"/>
      <c r="C309" s="29"/>
    </row>
    <row r="310" spans="2:3" ht="15.75" customHeight="1" x14ac:dyDescent="0.25">
      <c r="B310" s="29"/>
      <c r="C310" s="29"/>
    </row>
    <row r="311" spans="2:3" ht="15.75" customHeight="1" x14ac:dyDescent="0.25">
      <c r="B311" s="29"/>
      <c r="C311" s="29"/>
    </row>
    <row r="312" spans="2:3" ht="15.75" customHeight="1" x14ac:dyDescent="0.25">
      <c r="B312" s="29"/>
      <c r="C312" s="29"/>
    </row>
    <row r="313" spans="2:3" ht="15.75" customHeight="1" x14ac:dyDescent="0.25">
      <c r="B313" s="29"/>
      <c r="C313" s="29"/>
    </row>
    <row r="314" spans="2:3" ht="15.75" customHeight="1" x14ac:dyDescent="0.25">
      <c r="B314" s="29"/>
      <c r="C314" s="29"/>
    </row>
    <row r="315" spans="2:3" ht="15.75" customHeight="1" x14ac:dyDescent="0.25">
      <c r="B315" s="29"/>
      <c r="C315" s="29"/>
    </row>
    <row r="316" spans="2:3" ht="15.75" customHeight="1" x14ac:dyDescent="0.25">
      <c r="B316" s="29"/>
      <c r="C316" s="29"/>
    </row>
    <row r="317" spans="2:3" ht="15.75" customHeight="1" x14ac:dyDescent="0.25">
      <c r="B317" s="29"/>
      <c r="C317" s="29"/>
    </row>
    <row r="318" spans="2:3" ht="15.75" customHeight="1" x14ac:dyDescent="0.25">
      <c r="B318" s="29"/>
      <c r="C318" s="29"/>
    </row>
    <row r="319" spans="2:3" ht="15.75" customHeight="1" x14ac:dyDescent="0.25">
      <c r="B319" s="29"/>
      <c r="C319" s="29"/>
    </row>
    <row r="320" spans="2:3" ht="15.75" customHeight="1" x14ac:dyDescent="0.25">
      <c r="B320" s="29"/>
      <c r="C320" s="29"/>
    </row>
    <row r="321" spans="2:3" ht="15.75" customHeight="1" x14ac:dyDescent="0.25">
      <c r="B321" s="29"/>
      <c r="C321" s="29"/>
    </row>
    <row r="322" spans="2:3" ht="15.75" customHeight="1" x14ac:dyDescent="0.25">
      <c r="B322" s="29"/>
      <c r="C322" s="29"/>
    </row>
    <row r="323" spans="2:3" ht="15.75" customHeight="1" x14ac:dyDescent="0.25">
      <c r="B323" s="29"/>
      <c r="C323" s="29"/>
    </row>
    <row r="324" spans="2:3" ht="15.75" customHeight="1" x14ac:dyDescent="0.25">
      <c r="B324" s="29"/>
      <c r="C324" s="29"/>
    </row>
    <row r="325" spans="2:3" ht="15.75" customHeight="1" x14ac:dyDescent="0.25">
      <c r="B325" s="29"/>
      <c r="C325" s="29"/>
    </row>
    <row r="326" spans="2:3" ht="15.75" customHeight="1" x14ac:dyDescent="0.25">
      <c r="B326" s="29"/>
      <c r="C326" s="29"/>
    </row>
    <row r="327" spans="2:3" ht="15.75" customHeight="1" x14ac:dyDescent="0.25">
      <c r="B327" s="29"/>
      <c r="C327" s="29"/>
    </row>
    <row r="328" spans="2:3" ht="15.75" customHeight="1" x14ac:dyDescent="0.25">
      <c r="B328" s="29"/>
      <c r="C328" s="29"/>
    </row>
    <row r="329" spans="2:3" ht="15.75" customHeight="1" x14ac:dyDescent="0.25">
      <c r="B329" s="29"/>
      <c r="C329" s="29"/>
    </row>
    <row r="330" spans="2:3" ht="15.75" customHeight="1" x14ac:dyDescent="0.25">
      <c r="B330" s="29"/>
      <c r="C330" s="29"/>
    </row>
    <row r="331" spans="2:3" ht="15.75" customHeight="1" x14ac:dyDescent="0.25">
      <c r="B331" s="29"/>
      <c r="C331" s="29"/>
    </row>
    <row r="332" spans="2:3" ht="15.75" customHeight="1" x14ac:dyDescent="0.25">
      <c r="B332" s="29"/>
      <c r="C332" s="29"/>
    </row>
    <row r="333" spans="2:3" ht="15.75" customHeight="1" x14ac:dyDescent="0.25">
      <c r="B333" s="29"/>
      <c r="C333" s="29"/>
    </row>
    <row r="334" spans="2:3" ht="15.75" customHeight="1" x14ac:dyDescent="0.25">
      <c r="B334" s="29"/>
      <c r="C334" s="29"/>
    </row>
    <row r="335" spans="2:3" ht="15.75" customHeight="1" x14ac:dyDescent="0.25">
      <c r="B335" s="29"/>
      <c r="C335" s="29"/>
    </row>
    <row r="336" spans="2:3" ht="15.75" customHeight="1" x14ac:dyDescent="0.25">
      <c r="B336" s="29"/>
      <c r="C336" s="29"/>
    </row>
    <row r="337" spans="2:3" ht="15.75" customHeight="1" x14ac:dyDescent="0.25">
      <c r="B337" s="29"/>
      <c r="C337" s="29"/>
    </row>
    <row r="338" spans="2:3" ht="15.75" customHeight="1" x14ac:dyDescent="0.25">
      <c r="B338" s="29"/>
      <c r="C338" s="29"/>
    </row>
    <row r="339" spans="2:3" ht="15.75" customHeight="1" x14ac:dyDescent="0.25">
      <c r="B339" s="29"/>
      <c r="C339" s="29"/>
    </row>
    <row r="340" spans="2:3" ht="15.75" customHeight="1" x14ac:dyDescent="0.25">
      <c r="B340" s="29"/>
      <c r="C340" s="29"/>
    </row>
    <row r="341" spans="2:3" ht="15.75" customHeight="1" x14ac:dyDescent="0.25">
      <c r="B341" s="29"/>
      <c r="C341" s="29"/>
    </row>
    <row r="342" spans="2:3" ht="15.75" customHeight="1" x14ac:dyDescent="0.25">
      <c r="B342" s="29"/>
      <c r="C342" s="29"/>
    </row>
    <row r="343" spans="2:3" ht="15.75" customHeight="1" x14ac:dyDescent="0.25">
      <c r="B343" s="29"/>
      <c r="C343" s="29"/>
    </row>
    <row r="344" spans="2:3" ht="15.75" customHeight="1" x14ac:dyDescent="0.25">
      <c r="B344" s="29"/>
      <c r="C344" s="29"/>
    </row>
    <row r="345" spans="2:3" ht="15.75" customHeight="1" x14ac:dyDescent="0.25">
      <c r="B345" s="29"/>
      <c r="C345" s="29"/>
    </row>
    <row r="346" spans="2:3" ht="15.75" customHeight="1" x14ac:dyDescent="0.25">
      <c r="B346" s="29"/>
      <c r="C346" s="29"/>
    </row>
    <row r="347" spans="2:3" ht="15.75" customHeight="1" x14ac:dyDescent="0.25">
      <c r="B347" s="29"/>
      <c r="C347" s="29"/>
    </row>
    <row r="348" spans="2:3" ht="15.75" customHeight="1" x14ac:dyDescent="0.25">
      <c r="B348" s="29"/>
      <c r="C348" s="29"/>
    </row>
    <row r="349" spans="2:3" ht="15.75" customHeight="1" x14ac:dyDescent="0.25">
      <c r="B349" s="29"/>
      <c r="C349" s="29"/>
    </row>
    <row r="350" spans="2:3" ht="15.75" customHeight="1" x14ac:dyDescent="0.25">
      <c r="B350" s="29"/>
      <c r="C350" s="29"/>
    </row>
    <row r="351" spans="2:3" ht="15.75" customHeight="1" x14ac:dyDescent="0.25">
      <c r="B351" s="29"/>
      <c r="C351" s="29"/>
    </row>
    <row r="352" spans="2:3" ht="15.75" customHeight="1" x14ac:dyDescent="0.25">
      <c r="B352" s="29"/>
      <c r="C352" s="29"/>
    </row>
    <row r="353" spans="2:3" ht="15.75" customHeight="1" x14ac:dyDescent="0.25">
      <c r="B353" s="29"/>
      <c r="C353" s="29"/>
    </row>
    <row r="354" spans="2:3" ht="15.75" customHeight="1" x14ac:dyDescent="0.25">
      <c r="B354" s="29"/>
      <c r="C354" s="29"/>
    </row>
    <row r="355" spans="2:3" ht="15.75" customHeight="1" x14ac:dyDescent="0.25">
      <c r="B355" s="29"/>
      <c r="C355" s="29"/>
    </row>
    <row r="356" spans="2:3" ht="15.75" customHeight="1" x14ac:dyDescent="0.25">
      <c r="B356" s="29"/>
      <c r="C356" s="29"/>
    </row>
    <row r="357" spans="2:3" ht="15.75" customHeight="1" x14ac:dyDescent="0.25">
      <c r="B357" s="29"/>
      <c r="C357" s="29"/>
    </row>
    <row r="358" spans="2:3" ht="15.75" customHeight="1" x14ac:dyDescent="0.25">
      <c r="B358" s="29"/>
      <c r="C358" s="29"/>
    </row>
    <row r="359" spans="2:3" ht="15.75" customHeight="1" x14ac:dyDescent="0.25">
      <c r="B359" s="29"/>
      <c r="C359" s="29"/>
    </row>
    <row r="360" spans="2:3" ht="15.75" customHeight="1" x14ac:dyDescent="0.25">
      <c r="B360" s="29"/>
      <c r="C360" s="29"/>
    </row>
    <row r="361" spans="2:3" ht="15.75" customHeight="1" x14ac:dyDescent="0.25">
      <c r="B361" s="29"/>
      <c r="C361" s="29"/>
    </row>
    <row r="362" spans="2:3" ht="15.75" customHeight="1" x14ac:dyDescent="0.25">
      <c r="B362" s="29"/>
      <c r="C362" s="29"/>
    </row>
    <row r="363" spans="2:3" ht="15.75" customHeight="1" x14ac:dyDescent="0.25">
      <c r="B363" s="29"/>
      <c r="C363" s="29"/>
    </row>
    <row r="364" spans="2:3" ht="15.75" customHeight="1" x14ac:dyDescent="0.25">
      <c r="B364" s="29"/>
      <c r="C364" s="29"/>
    </row>
    <row r="365" spans="2:3" ht="15.75" customHeight="1" x14ac:dyDescent="0.25">
      <c r="B365" s="29"/>
      <c r="C365" s="29"/>
    </row>
    <row r="366" spans="2:3" ht="15.75" customHeight="1" x14ac:dyDescent="0.25">
      <c r="B366" s="29"/>
      <c r="C366" s="29"/>
    </row>
    <row r="367" spans="2:3" ht="15.75" customHeight="1" x14ac:dyDescent="0.25">
      <c r="B367" s="29"/>
      <c r="C367" s="29"/>
    </row>
    <row r="368" spans="2:3" ht="15.75" customHeight="1" x14ac:dyDescent="0.25">
      <c r="B368" s="29"/>
      <c r="C368" s="29"/>
    </row>
    <row r="369" spans="2:3" ht="15.75" customHeight="1" x14ac:dyDescent="0.25">
      <c r="B369" s="29"/>
      <c r="C369" s="29"/>
    </row>
    <row r="370" spans="2:3" ht="15.75" customHeight="1" x14ac:dyDescent="0.25">
      <c r="B370" s="29"/>
      <c r="C370" s="29"/>
    </row>
    <row r="371" spans="2:3" ht="15.75" customHeight="1" x14ac:dyDescent="0.25">
      <c r="B371" s="29"/>
      <c r="C371" s="29"/>
    </row>
    <row r="372" spans="2:3" ht="15.75" customHeight="1" x14ac:dyDescent="0.25">
      <c r="B372" s="29"/>
      <c r="C372" s="29"/>
    </row>
    <row r="373" spans="2:3" ht="15.75" customHeight="1" x14ac:dyDescent="0.25">
      <c r="B373" s="29"/>
      <c r="C373" s="29"/>
    </row>
    <row r="374" spans="2:3" ht="15.75" customHeight="1" x14ac:dyDescent="0.25">
      <c r="B374" s="29"/>
      <c r="C374" s="29"/>
    </row>
    <row r="375" spans="2:3" ht="15.75" customHeight="1" x14ac:dyDescent="0.25">
      <c r="B375" s="29"/>
      <c r="C375" s="29"/>
    </row>
    <row r="376" spans="2:3" ht="15.75" customHeight="1" x14ac:dyDescent="0.25">
      <c r="B376" s="29"/>
      <c r="C376" s="29"/>
    </row>
    <row r="377" spans="2:3" ht="15.75" customHeight="1" x14ac:dyDescent="0.25">
      <c r="B377" s="29"/>
      <c r="C377" s="29"/>
    </row>
    <row r="378" spans="2:3" ht="15.75" customHeight="1" x14ac:dyDescent="0.25">
      <c r="B378" s="29"/>
      <c r="C378" s="29"/>
    </row>
    <row r="379" spans="2:3" ht="15.75" customHeight="1" x14ac:dyDescent="0.25">
      <c r="B379" s="29"/>
      <c r="C379" s="29"/>
    </row>
    <row r="380" spans="2:3" ht="15.75" customHeight="1" x14ac:dyDescent="0.25">
      <c r="B380" s="29"/>
      <c r="C380" s="29"/>
    </row>
    <row r="381" spans="2:3" ht="15.75" customHeight="1" x14ac:dyDescent="0.25">
      <c r="B381" s="29"/>
      <c r="C381" s="29"/>
    </row>
    <row r="382" spans="2:3" ht="15.75" customHeight="1" x14ac:dyDescent="0.25">
      <c r="B382" s="29"/>
      <c r="C382" s="29"/>
    </row>
    <row r="383" spans="2:3" ht="15.75" customHeight="1" x14ac:dyDescent="0.25">
      <c r="B383" s="29"/>
      <c r="C383" s="29"/>
    </row>
    <row r="384" spans="2:3" ht="15.75" customHeight="1" x14ac:dyDescent="0.25">
      <c r="B384" s="29"/>
      <c r="C384" s="29"/>
    </row>
    <row r="385" spans="2:3" ht="15.75" customHeight="1" x14ac:dyDescent="0.25">
      <c r="B385" s="29"/>
      <c r="C385" s="29"/>
    </row>
    <row r="386" spans="2:3" ht="15.75" customHeight="1" x14ac:dyDescent="0.25">
      <c r="B386" s="29"/>
      <c r="C386" s="29"/>
    </row>
    <row r="387" spans="2:3" ht="15.75" customHeight="1" x14ac:dyDescent="0.25">
      <c r="B387" s="29"/>
      <c r="C387" s="29"/>
    </row>
    <row r="388" spans="2:3" ht="15.75" customHeight="1" x14ac:dyDescent="0.25">
      <c r="B388" s="29"/>
      <c r="C388" s="29"/>
    </row>
    <row r="389" spans="2:3" ht="15.75" customHeight="1" x14ac:dyDescent="0.25">
      <c r="B389" s="29"/>
      <c r="C389" s="29"/>
    </row>
    <row r="390" spans="2:3" ht="15.75" customHeight="1" x14ac:dyDescent="0.25">
      <c r="B390" s="29"/>
      <c r="C390" s="29"/>
    </row>
    <row r="391" spans="2:3" ht="15.75" customHeight="1" x14ac:dyDescent="0.25">
      <c r="B391" s="29"/>
      <c r="C391" s="29"/>
    </row>
    <row r="392" spans="2:3" ht="15.75" customHeight="1" x14ac:dyDescent="0.25">
      <c r="B392" s="29"/>
      <c r="C392" s="29"/>
    </row>
    <row r="393" spans="2:3" ht="15.75" customHeight="1" x14ac:dyDescent="0.25">
      <c r="B393" s="29"/>
      <c r="C393" s="29"/>
    </row>
    <row r="394" spans="2:3" ht="15.75" customHeight="1" x14ac:dyDescent="0.25">
      <c r="B394" s="29"/>
      <c r="C394" s="29"/>
    </row>
    <row r="395" spans="2:3" ht="15.75" customHeight="1" x14ac:dyDescent="0.25">
      <c r="B395" s="29"/>
      <c r="C395" s="29"/>
    </row>
    <row r="396" spans="2:3" ht="15.75" customHeight="1" x14ac:dyDescent="0.25">
      <c r="B396" s="29"/>
      <c r="C396" s="29"/>
    </row>
    <row r="397" spans="2:3" ht="15.75" customHeight="1" x14ac:dyDescent="0.25">
      <c r="B397" s="29"/>
      <c r="C397" s="29"/>
    </row>
    <row r="398" spans="2:3" ht="15.75" customHeight="1" x14ac:dyDescent="0.25">
      <c r="B398" s="29"/>
      <c r="C398" s="29"/>
    </row>
    <row r="399" spans="2:3" ht="15.75" customHeight="1" x14ac:dyDescent="0.25">
      <c r="B399" s="29"/>
      <c r="C399" s="29"/>
    </row>
    <row r="400" spans="2:3" ht="15.75" customHeight="1" x14ac:dyDescent="0.25">
      <c r="B400" s="29"/>
      <c r="C400" s="29"/>
    </row>
    <row r="401" spans="2:3" ht="15.75" customHeight="1" x14ac:dyDescent="0.25">
      <c r="B401" s="29"/>
      <c r="C401" s="29"/>
    </row>
    <row r="402" spans="2:3" ht="15.75" customHeight="1" x14ac:dyDescent="0.25">
      <c r="B402" s="29"/>
      <c r="C402" s="29"/>
    </row>
    <row r="403" spans="2:3" ht="15.75" customHeight="1" x14ac:dyDescent="0.25">
      <c r="B403" s="29"/>
      <c r="C403" s="29"/>
    </row>
    <row r="404" spans="2:3" ht="15.75" customHeight="1" x14ac:dyDescent="0.25">
      <c r="B404" s="29"/>
      <c r="C404" s="29"/>
    </row>
    <row r="405" spans="2:3" ht="15.75" customHeight="1" x14ac:dyDescent="0.25">
      <c r="B405" s="29"/>
      <c r="C405" s="29"/>
    </row>
    <row r="406" spans="2:3" ht="15.75" customHeight="1" x14ac:dyDescent="0.25">
      <c r="B406" s="29"/>
      <c r="C406" s="29"/>
    </row>
    <row r="407" spans="2:3" ht="15.75" customHeight="1" x14ac:dyDescent="0.25">
      <c r="B407" s="29"/>
      <c r="C407" s="29"/>
    </row>
    <row r="408" spans="2:3" ht="15.75" customHeight="1" x14ac:dyDescent="0.25">
      <c r="B408" s="29"/>
      <c r="C408" s="29"/>
    </row>
    <row r="409" spans="2:3" ht="15.75" customHeight="1" x14ac:dyDescent="0.25">
      <c r="B409" s="29"/>
      <c r="C409" s="29"/>
    </row>
    <row r="410" spans="2:3" ht="15.75" customHeight="1" x14ac:dyDescent="0.25">
      <c r="B410" s="29"/>
      <c r="C410" s="29"/>
    </row>
    <row r="411" spans="2:3" ht="15.75" customHeight="1" x14ac:dyDescent="0.25">
      <c r="B411" s="29"/>
      <c r="C411" s="29"/>
    </row>
    <row r="412" spans="2:3" ht="15.75" customHeight="1" x14ac:dyDescent="0.25">
      <c r="B412" s="29"/>
      <c r="C412" s="29"/>
    </row>
    <row r="413" spans="2:3" ht="15.75" customHeight="1" x14ac:dyDescent="0.25">
      <c r="B413" s="29"/>
      <c r="C413" s="29"/>
    </row>
    <row r="414" spans="2:3" ht="15.75" customHeight="1" x14ac:dyDescent="0.25">
      <c r="B414" s="29"/>
      <c r="C414" s="29"/>
    </row>
    <row r="415" spans="2:3" ht="15.75" customHeight="1" x14ac:dyDescent="0.25">
      <c r="B415" s="29"/>
      <c r="C415" s="29"/>
    </row>
    <row r="416" spans="2:3" ht="15.75" customHeight="1" x14ac:dyDescent="0.25">
      <c r="B416" s="29"/>
      <c r="C416" s="29"/>
    </row>
    <row r="417" spans="2:3" ht="15.75" customHeight="1" x14ac:dyDescent="0.25">
      <c r="B417" s="29"/>
      <c r="C417" s="29"/>
    </row>
    <row r="418" spans="2:3" ht="15.75" customHeight="1" x14ac:dyDescent="0.25">
      <c r="B418" s="29"/>
      <c r="C418" s="29"/>
    </row>
    <row r="419" spans="2:3" ht="15.75" customHeight="1" x14ac:dyDescent="0.25">
      <c r="B419" s="29"/>
      <c r="C419" s="29"/>
    </row>
    <row r="420" spans="2:3" ht="15.75" customHeight="1" x14ac:dyDescent="0.25">
      <c r="B420" s="29"/>
      <c r="C420" s="29"/>
    </row>
    <row r="421" spans="2:3" ht="15.75" customHeight="1" x14ac:dyDescent="0.25">
      <c r="B421" s="29"/>
      <c r="C421" s="29"/>
    </row>
    <row r="422" spans="2:3" ht="15.75" customHeight="1" x14ac:dyDescent="0.25">
      <c r="B422" s="29"/>
      <c r="C422" s="29"/>
    </row>
    <row r="423" spans="2:3" ht="15.75" customHeight="1" x14ac:dyDescent="0.25">
      <c r="B423" s="29"/>
      <c r="C423" s="29"/>
    </row>
    <row r="424" spans="2:3" ht="15.75" customHeight="1" x14ac:dyDescent="0.25">
      <c r="B424" s="29"/>
      <c r="C424" s="29"/>
    </row>
    <row r="425" spans="2:3" ht="15.75" customHeight="1" x14ac:dyDescent="0.25">
      <c r="B425" s="29"/>
      <c r="C425" s="29"/>
    </row>
    <row r="426" spans="2:3" ht="15.75" customHeight="1" x14ac:dyDescent="0.25">
      <c r="B426" s="29"/>
      <c r="C426" s="29"/>
    </row>
    <row r="427" spans="2:3" ht="15.75" customHeight="1" x14ac:dyDescent="0.25">
      <c r="B427" s="29"/>
      <c r="C427" s="29"/>
    </row>
    <row r="428" spans="2:3" ht="15.75" customHeight="1" x14ac:dyDescent="0.25">
      <c r="B428" s="29"/>
      <c r="C428" s="29"/>
    </row>
    <row r="429" spans="2:3" ht="15.75" customHeight="1" x14ac:dyDescent="0.25">
      <c r="B429" s="29"/>
      <c r="C429" s="29"/>
    </row>
    <row r="430" spans="2:3" ht="15.75" customHeight="1" x14ac:dyDescent="0.25">
      <c r="B430" s="29"/>
      <c r="C430" s="29"/>
    </row>
    <row r="431" spans="2:3" ht="15.75" customHeight="1" x14ac:dyDescent="0.25">
      <c r="B431" s="29"/>
      <c r="C431" s="29"/>
    </row>
    <row r="432" spans="2:3" ht="15.75" customHeight="1" x14ac:dyDescent="0.25">
      <c r="B432" s="29"/>
      <c r="C432" s="29"/>
    </row>
    <row r="433" spans="2:3" ht="15.75" customHeight="1" x14ac:dyDescent="0.25">
      <c r="B433" s="29"/>
      <c r="C433" s="29"/>
    </row>
    <row r="434" spans="2:3" ht="15.75" customHeight="1" x14ac:dyDescent="0.25">
      <c r="B434" s="29"/>
      <c r="C434" s="29"/>
    </row>
    <row r="435" spans="2:3" ht="15.75" customHeight="1" x14ac:dyDescent="0.25">
      <c r="B435" s="29"/>
      <c r="C435" s="29"/>
    </row>
    <row r="436" spans="2:3" ht="15.75" customHeight="1" x14ac:dyDescent="0.25">
      <c r="B436" s="29"/>
      <c r="C436" s="29"/>
    </row>
    <row r="437" spans="2:3" ht="15.75" customHeight="1" x14ac:dyDescent="0.25">
      <c r="B437" s="29"/>
      <c r="C437" s="29"/>
    </row>
    <row r="438" spans="2:3" ht="15.75" customHeight="1" x14ac:dyDescent="0.25">
      <c r="B438" s="29"/>
      <c r="C438" s="29"/>
    </row>
    <row r="439" spans="2:3" ht="15.75" customHeight="1" x14ac:dyDescent="0.25">
      <c r="B439" s="29"/>
      <c r="C439" s="29"/>
    </row>
    <row r="440" spans="2:3" ht="15.75" customHeight="1" x14ac:dyDescent="0.25">
      <c r="B440" s="29"/>
      <c r="C440" s="29"/>
    </row>
    <row r="441" spans="2:3" ht="15.75" customHeight="1" x14ac:dyDescent="0.25">
      <c r="B441" s="29"/>
      <c r="C441" s="29"/>
    </row>
    <row r="442" spans="2:3" ht="15.75" customHeight="1" x14ac:dyDescent="0.25">
      <c r="B442" s="29"/>
      <c r="C442" s="29"/>
    </row>
    <row r="443" spans="2:3" ht="15.75" customHeight="1" x14ac:dyDescent="0.25">
      <c r="B443" s="29"/>
      <c r="C443" s="29"/>
    </row>
    <row r="444" spans="2:3" ht="15.75" customHeight="1" x14ac:dyDescent="0.25">
      <c r="B444" s="29"/>
      <c r="C444" s="29"/>
    </row>
    <row r="445" spans="2:3" ht="15.75" customHeight="1" x14ac:dyDescent="0.25">
      <c r="B445" s="29"/>
      <c r="C445" s="29"/>
    </row>
    <row r="446" spans="2:3" ht="15.75" customHeight="1" x14ac:dyDescent="0.25">
      <c r="B446" s="29"/>
      <c r="C446" s="29"/>
    </row>
    <row r="447" spans="2:3" ht="15.75" customHeight="1" x14ac:dyDescent="0.25">
      <c r="B447" s="29"/>
      <c r="C447" s="29"/>
    </row>
    <row r="448" spans="2:3" ht="15.75" customHeight="1" x14ac:dyDescent="0.25">
      <c r="B448" s="29"/>
      <c r="C448" s="29"/>
    </row>
    <row r="449" spans="2:3" ht="15.75" customHeight="1" x14ac:dyDescent="0.25">
      <c r="B449" s="29"/>
      <c r="C449" s="29"/>
    </row>
    <row r="450" spans="2:3" ht="15.75" customHeight="1" x14ac:dyDescent="0.25">
      <c r="B450" s="29"/>
      <c r="C450" s="29"/>
    </row>
    <row r="451" spans="2:3" ht="15.75" customHeight="1" x14ac:dyDescent="0.25">
      <c r="B451" s="29"/>
      <c r="C451" s="29"/>
    </row>
    <row r="452" spans="2:3" ht="15.75" customHeight="1" x14ac:dyDescent="0.25">
      <c r="B452" s="29"/>
      <c r="C452" s="29"/>
    </row>
    <row r="453" spans="2:3" ht="15.75" customHeight="1" x14ac:dyDescent="0.25">
      <c r="B453" s="29"/>
      <c r="C453" s="29"/>
    </row>
    <row r="454" spans="2:3" ht="15.75" customHeight="1" x14ac:dyDescent="0.25">
      <c r="B454" s="29"/>
      <c r="C454" s="29"/>
    </row>
    <row r="455" spans="2:3" ht="15.75" customHeight="1" x14ac:dyDescent="0.25">
      <c r="B455" s="29"/>
      <c r="C455" s="29"/>
    </row>
    <row r="456" spans="2:3" ht="15.75" customHeight="1" x14ac:dyDescent="0.25">
      <c r="B456" s="29"/>
      <c r="C456" s="29"/>
    </row>
    <row r="457" spans="2:3" ht="15.75" customHeight="1" x14ac:dyDescent="0.25">
      <c r="B457" s="29"/>
      <c r="C457" s="29"/>
    </row>
    <row r="458" spans="2:3" ht="15.75" customHeight="1" x14ac:dyDescent="0.25">
      <c r="B458" s="29"/>
      <c r="C458" s="29"/>
    </row>
    <row r="459" spans="2:3" ht="15.75" customHeight="1" x14ac:dyDescent="0.25">
      <c r="B459" s="29"/>
      <c r="C459" s="29"/>
    </row>
    <row r="460" spans="2:3" ht="15.75" customHeight="1" x14ac:dyDescent="0.25">
      <c r="B460" s="29"/>
      <c r="C460" s="29"/>
    </row>
    <row r="461" spans="2:3" ht="15.75" customHeight="1" x14ac:dyDescent="0.25">
      <c r="B461" s="29"/>
      <c r="C461" s="29"/>
    </row>
    <row r="462" spans="2:3" ht="15.75" customHeight="1" x14ac:dyDescent="0.25">
      <c r="B462" s="29"/>
      <c r="C462" s="29"/>
    </row>
    <row r="463" spans="2:3" ht="15.75" customHeight="1" x14ac:dyDescent="0.25">
      <c r="B463" s="29"/>
      <c r="C463" s="29"/>
    </row>
    <row r="464" spans="2:3" ht="15.75" customHeight="1" x14ac:dyDescent="0.25">
      <c r="B464" s="29"/>
      <c r="C464" s="29"/>
    </row>
    <row r="465" spans="2:3" ht="15.75" customHeight="1" x14ac:dyDescent="0.25">
      <c r="B465" s="29"/>
      <c r="C465" s="29"/>
    </row>
    <row r="466" spans="2:3" ht="15.75" customHeight="1" x14ac:dyDescent="0.25">
      <c r="B466" s="29"/>
      <c r="C466" s="29"/>
    </row>
    <row r="467" spans="2:3" ht="15.75" customHeight="1" x14ac:dyDescent="0.25">
      <c r="B467" s="29"/>
      <c r="C467" s="29"/>
    </row>
    <row r="468" spans="2:3" ht="15.75" customHeight="1" x14ac:dyDescent="0.25">
      <c r="B468" s="29"/>
      <c r="C468" s="29"/>
    </row>
    <row r="469" spans="2:3" ht="15.75" customHeight="1" x14ac:dyDescent="0.25">
      <c r="B469" s="29"/>
      <c r="C469" s="29"/>
    </row>
    <row r="470" spans="2:3" ht="15.75" customHeight="1" x14ac:dyDescent="0.25">
      <c r="B470" s="29"/>
      <c r="C470" s="29"/>
    </row>
    <row r="471" spans="2:3" ht="15.75" customHeight="1" x14ac:dyDescent="0.25">
      <c r="B471" s="29"/>
      <c r="C471" s="29"/>
    </row>
    <row r="472" spans="2:3" ht="15.75" customHeight="1" x14ac:dyDescent="0.25">
      <c r="B472" s="29"/>
      <c r="C472" s="29"/>
    </row>
    <row r="473" spans="2:3" ht="15.75" customHeight="1" x14ac:dyDescent="0.25">
      <c r="B473" s="29"/>
      <c r="C473" s="29"/>
    </row>
    <row r="474" spans="2:3" ht="15.75" customHeight="1" x14ac:dyDescent="0.25">
      <c r="B474" s="29"/>
      <c r="C474" s="29"/>
    </row>
    <row r="475" spans="2:3" ht="15.75" customHeight="1" x14ac:dyDescent="0.25">
      <c r="B475" s="29"/>
      <c r="C475" s="29"/>
    </row>
    <row r="476" spans="2:3" ht="15.75" customHeight="1" x14ac:dyDescent="0.25">
      <c r="B476" s="29"/>
      <c r="C476" s="29"/>
    </row>
    <row r="477" spans="2:3" ht="15.75" customHeight="1" x14ac:dyDescent="0.25">
      <c r="B477" s="29"/>
      <c r="C477" s="29"/>
    </row>
    <row r="478" spans="2:3" ht="15.75" customHeight="1" x14ac:dyDescent="0.25">
      <c r="B478" s="29"/>
      <c r="C478" s="29"/>
    </row>
    <row r="479" spans="2:3" ht="15.75" customHeight="1" x14ac:dyDescent="0.25">
      <c r="B479" s="29"/>
      <c r="C479" s="29"/>
    </row>
    <row r="480" spans="2:3" ht="15.75" customHeight="1" x14ac:dyDescent="0.25">
      <c r="B480" s="29"/>
      <c r="C480" s="29"/>
    </row>
    <row r="481" spans="2:3" ht="15.75" customHeight="1" x14ac:dyDescent="0.25">
      <c r="B481" s="29"/>
      <c r="C481" s="29"/>
    </row>
    <row r="482" spans="2:3" ht="15.75" customHeight="1" x14ac:dyDescent="0.25">
      <c r="B482" s="29"/>
      <c r="C482" s="29"/>
    </row>
    <row r="483" spans="2:3" ht="15.75" customHeight="1" x14ac:dyDescent="0.25">
      <c r="B483" s="29"/>
      <c r="C483" s="29"/>
    </row>
    <row r="484" spans="2:3" ht="15.75" customHeight="1" x14ac:dyDescent="0.25">
      <c r="B484" s="29"/>
      <c r="C484" s="29"/>
    </row>
    <row r="485" spans="2:3" ht="15.75" customHeight="1" x14ac:dyDescent="0.25">
      <c r="B485" s="29"/>
      <c r="C485" s="29"/>
    </row>
    <row r="486" spans="2:3" ht="15.75" customHeight="1" x14ac:dyDescent="0.25">
      <c r="B486" s="29"/>
      <c r="C486" s="29"/>
    </row>
    <row r="487" spans="2:3" ht="15.75" customHeight="1" x14ac:dyDescent="0.25">
      <c r="B487" s="29"/>
      <c r="C487" s="29"/>
    </row>
    <row r="488" spans="2:3" ht="15.75" customHeight="1" x14ac:dyDescent="0.25">
      <c r="B488" s="29"/>
      <c r="C488" s="29"/>
    </row>
    <row r="489" spans="2:3" ht="15.75" customHeight="1" x14ac:dyDescent="0.25">
      <c r="B489" s="29"/>
      <c r="C489" s="29"/>
    </row>
    <row r="490" spans="2:3" ht="15.75" customHeight="1" x14ac:dyDescent="0.25">
      <c r="B490" s="29"/>
      <c r="C490" s="29"/>
    </row>
    <row r="491" spans="2:3" ht="15.75" customHeight="1" x14ac:dyDescent="0.25">
      <c r="B491" s="29"/>
      <c r="C491" s="29"/>
    </row>
    <row r="492" spans="2:3" ht="15.75" customHeight="1" x14ac:dyDescent="0.25">
      <c r="B492" s="29"/>
      <c r="C492" s="29"/>
    </row>
    <row r="493" spans="2:3" ht="15.75" customHeight="1" x14ac:dyDescent="0.25">
      <c r="B493" s="29"/>
      <c r="C493" s="29"/>
    </row>
    <row r="494" spans="2:3" ht="15.75" customHeight="1" x14ac:dyDescent="0.25">
      <c r="B494" s="29"/>
      <c r="C494" s="29"/>
    </row>
    <row r="495" spans="2:3" ht="15.75" customHeight="1" x14ac:dyDescent="0.25">
      <c r="B495" s="29"/>
      <c r="C495" s="29"/>
    </row>
    <row r="496" spans="2:3" ht="15.75" customHeight="1" x14ac:dyDescent="0.25">
      <c r="B496" s="29"/>
      <c r="C496" s="29"/>
    </row>
    <row r="497" spans="2:3" ht="15.75" customHeight="1" x14ac:dyDescent="0.25">
      <c r="B497" s="29"/>
      <c r="C497" s="29"/>
    </row>
    <row r="498" spans="2:3" ht="15.75" customHeight="1" x14ac:dyDescent="0.25">
      <c r="B498" s="29"/>
      <c r="C498" s="29"/>
    </row>
    <row r="499" spans="2:3" ht="15.75" customHeight="1" x14ac:dyDescent="0.25">
      <c r="B499" s="29"/>
      <c r="C499" s="29"/>
    </row>
    <row r="500" spans="2:3" ht="15.75" customHeight="1" x14ac:dyDescent="0.25">
      <c r="B500" s="29"/>
      <c r="C500" s="29"/>
    </row>
    <row r="501" spans="2:3" ht="15.75" customHeight="1" x14ac:dyDescent="0.25">
      <c r="B501" s="29"/>
      <c r="C501" s="29"/>
    </row>
    <row r="502" spans="2:3" ht="15.75" customHeight="1" x14ac:dyDescent="0.25">
      <c r="B502" s="29"/>
      <c r="C502" s="29"/>
    </row>
    <row r="503" spans="2:3" ht="15.75" customHeight="1" x14ac:dyDescent="0.25">
      <c r="B503" s="29"/>
      <c r="C503" s="29"/>
    </row>
    <row r="504" spans="2:3" ht="15.75" customHeight="1" x14ac:dyDescent="0.25">
      <c r="B504" s="29"/>
      <c r="C504" s="29"/>
    </row>
    <row r="505" spans="2:3" ht="15.75" customHeight="1" x14ac:dyDescent="0.25">
      <c r="B505" s="29"/>
      <c r="C505" s="29"/>
    </row>
    <row r="506" spans="2:3" ht="15.75" customHeight="1" x14ac:dyDescent="0.25">
      <c r="B506" s="29"/>
      <c r="C506" s="29"/>
    </row>
    <row r="507" spans="2:3" ht="15.75" customHeight="1" x14ac:dyDescent="0.25">
      <c r="B507" s="29"/>
      <c r="C507" s="29"/>
    </row>
    <row r="508" spans="2:3" ht="15.75" customHeight="1" x14ac:dyDescent="0.25">
      <c r="B508" s="29"/>
      <c r="C508" s="29"/>
    </row>
    <row r="509" spans="2:3" ht="15.75" customHeight="1" x14ac:dyDescent="0.25">
      <c r="B509" s="29"/>
      <c r="C509" s="29"/>
    </row>
    <row r="510" spans="2:3" ht="15.75" customHeight="1" x14ac:dyDescent="0.25">
      <c r="B510" s="29"/>
      <c r="C510" s="29"/>
    </row>
    <row r="511" spans="2:3" ht="15.75" customHeight="1" x14ac:dyDescent="0.25">
      <c r="B511" s="29"/>
      <c r="C511" s="29"/>
    </row>
    <row r="512" spans="2:3" ht="15.75" customHeight="1" x14ac:dyDescent="0.25">
      <c r="B512" s="29"/>
      <c r="C512" s="29"/>
    </row>
    <row r="513" spans="2:3" ht="15.75" customHeight="1" x14ac:dyDescent="0.25">
      <c r="B513" s="29"/>
      <c r="C513" s="29"/>
    </row>
    <row r="514" spans="2:3" ht="15.75" customHeight="1" x14ac:dyDescent="0.25">
      <c r="B514" s="29"/>
      <c r="C514" s="29"/>
    </row>
    <row r="515" spans="2:3" ht="15.75" customHeight="1" x14ac:dyDescent="0.25">
      <c r="B515" s="29"/>
      <c r="C515" s="29"/>
    </row>
    <row r="516" spans="2:3" ht="15.75" customHeight="1" x14ac:dyDescent="0.25">
      <c r="B516" s="29"/>
      <c r="C516" s="29"/>
    </row>
    <row r="517" spans="2:3" ht="15.75" customHeight="1" x14ac:dyDescent="0.25">
      <c r="B517" s="29"/>
      <c r="C517" s="29"/>
    </row>
    <row r="518" spans="2:3" ht="15.75" customHeight="1" x14ac:dyDescent="0.25">
      <c r="B518" s="29"/>
      <c r="C518" s="29"/>
    </row>
    <row r="519" spans="2:3" ht="15.75" customHeight="1" x14ac:dyDescent="0.25">
      <c r="B519" s="29"/>
      <c r="C519" s="29"/>
    </row>
    <row r="520" spans="2:3" ht="15.75" customHeight="1" x14ac:dyDescent="0.25">
      <c r="B520" s="29"/>
      <c r="C520" s="29"/>
    </row>
    <row r="521" spans="2:3" ht="15.75" customHeight="1" x14ac:dyDescent="0.25">
      <c r="B521" s="29"/>
      <c r="C521" s="29"/>
    </row>
    <row r="522" spans="2:3" ht="15.75" customHeight="1" x14ac:dyDescent="0.25">
      <c r="B522" s="29"/>
      <c r="C522" s="29"/>
    </row>
    <row r="523" spans="2:3" ht="15.75" customHeight="1" x14ac:dyDescent="0.25">
      <c r="B523" s="29"/>
      <c r="C523" s="29"/>
    </row>
    <row r="524" spans="2:3" ht="15.75" customHeight="1" x14ac:dyDescent="0.25">
      <c r="B524" s="29"/>
      <c r="C524" s="29"/>
    </row>
    <row r="525" spans="2:3" ht="15.75" customHeight="1" x14ac:dyDescent="0.25">
      <c r="B525" s="29"/>
      <c r="C525" s="29"/>
    </row>
    <row r="526" spans="2:3" ht="15.75" customHeight="1" x14ac:dyDescent="0.25">
      <c r="B526" s="29"/>
      <c r="C526" s="29"/>
    </row>
    <row r="527" spans="2:3" ht="15.75" customHeight="1" x14ac:dyDescent="0.25">
      <c r="B527" s="29"/>
      <c r="C527" s="29"/>
    </row>
    <row r="528" spans="2:3" ht="15.75" customHeight="1" x14ac:dyDescent="0.25">
      <c r="B528" s="29"/>
      <c r="C528" s="29"/>
    </row>
    <row r="529" spans="2:3" ht="15.75" customHeight="1" x14ac:dyDescent="0.25">
      <c r="B529" s="29"/>
      <c r="C529" s="29"/>
    </row>
    <row r="530" spans="2:3" ht="15.75" customHeight="1" x14ac:dyDescent="0.25">
      <c r="B530" s="29"/>
      <c r="C530" s="29"/>
    </row>
    <row r="531" spans="2:3" ht="15.75" customHeight="1" x14ac:dyDescent="0.25">
      <c r="B531" s="29"/>
      <c r="C531" s="29"/>
    </row>
    <row r="532" spans="2:3" ht="15.75" customHeight="1" x14ac:dyDescent="0.25">
      <c r="B532" s="29"/>
      <c r="C532" s="29"/>
    </row>
    <row r="533" spans="2:3" ht="15.75" customHeight="1" x14ac:dyDescent="0.25">
      <c r="B533" s="29"/>
      <c r="C533" s="29"/>
    </row>
    <row r="534" spans="2:3" ht="15.75" customHeight="1" x14ac:dyDescent="0.25">
      <c r="B534" s="29"/>
      <c r="C534" s="29"/>
    </row>
    <row r="535" spans="2:3" ht="15.75" customHeight="1" x14ac:dyDescent="0.25">
      <c r="B535" s="29"/>
      <c r="C535" s="29"/>
    </row>
    <row r="536" spans="2:3" ht="15.75" customHeight="1" x14ac:dyDescent="0.25">
      <c r="B536" s="29"/>
      <c r="C536" s="29"/>
    </row>
    <row r="537" spans="2:3" ht="15.75" customHeight="1" x14ac:dyDescent="0.25">
      <c r="B537" s="29"/>
      <c r="C537" s="29"/>
    </row>
    <row r="538" spans="2:3" ht="15.75" customHeight="1" x14ac:dyDescent="0.25">
      <c r="B538" s="29"/>
      <c r="C538" s="29"/>
    </row>
    <row r="539" spans="2:3" ht="15.75" customHeight="1" x14ac:dyDescent="0.25">
      <c r="B539" s="29"/>
      <c r="C539" s="29"/>
    </row>
    <row r="540" spans="2:3" ht="15.75" customHeight="1" x14ac:dyDescent="0.25">
      <c r="B540" s="29"/>
      <c r="C540" s="29"/>
    </row>
    <row r="541" spans="2:3" ht="15.75" customHeight="1" x14ac:dyDescent="0.25">
      <c r="B541" s="29"/>
      <c r="C541" s="29"/>
    </row>
    <row r="542" spans="2:3" ht="15.75" customHeight="1" x14ac:dyDescent="0.25">
      <c r="B542" s="29"/>
      <c r="C542" s="29"/>
    </row>
    <row r="543" spans="2:3" ht="15.75" customHeight="1" x14ac:dyDescent="0.25">
      <c r="B543" s="29"/>
      <c r="C543" s="29"/>
    </row>
    <row r="544" spans="2:3" ht="15.75" customHeight="1" x14ac:dyDescent="0.25">
      <c r="B544" s="29"/>
      <c r="C544" s="29"/>
    </row>
    <row r="545" spans="2:3" ht="15.75" customHeight="1" x14ac:dyDescent="0.25">
      <c r="B545" s="29"/>
      <c r="C545" s="29"/>
    </row>
    <row r="546" spans="2:3" ht="15.75" customHeight="1" x14ac:dyDescent="0.25">
      <c r="B546" s="29"/>
      <c r="C546" s="29"/>
    </row>
    <row r="547" spans="2:3" ht="15.75" customHeight="1" x14ac:dyDescent="0.25">
      <c r="B547" s="29"/>
      <c r="C547" s="29"/>
    </row>
    <row r="548" spans="2:3" ht="15.75" customHeight="1" x14ac:dyDescent="0.25">
      <c r="B548" s="29"/>
      <c r="C548" s="29"/>
    </row>
    <row r="549" spans="2:3" ht="15.75" customHeight="1" x14ac:dyDescent="0.25">
      <c r="B549" s="29"/>
      <c r="C549" s="29"/>
    </row>
    <row r="550" spans="2:3" ht="15.75" customHeight="1" x14ac:dyDescent="0.25">
      <c r="B550" s="29"/>
      <c r="C550" s="29"/>
    </row>
    <row r="551" spans="2:3" ht="15.75" customHeight="1" x14ac:dyDescent="0.25">
      <c r="B551" s="29"/>
      <c r="C551" s="29"/>
    </row>
    <row r="552" spans="2:3" ht="15.75" customHeight="1" x14ac:dyDescent="0.25">
      <c r="B552" s="29"/>
      <c r="C552" s="29"/>
    </row>
    <row r="553" spans="2:3" ht="15.75" customHeight="1" x14ac:dyDescent="0.25">
      <c r="B553" s="29"/>
      <c r="C553" s="29"/>
    </row>
    <row r="554" spans="2:3" ht="15.75" customHeight="1" x14ac:dyDescent="0.25">
      <c r="B554" s="29"/>
      <c r="C554" s="29"/>
    </row>
    <row r="555" spans="2:3" ht="15.75" customHeight="1" x14ac:dyDescent="0.25">
      <c r="B555" s="29"/>
      <c r="C555" s="29"/>
    </row>
    <row r="556" spans="2:3" ht="15.75" customHeight="1" x14ac:dyDescent="0.25">
      <c r="B556" s="29"/>
      <c r="C556" s="29"/>
    </row>
    <row r="557" spans="2:3" ht="15.75" customHeight="1" x14ac:dyDescent="0.25">
      <c r="B557" s="29"/>
      <c r="C557" s="29"/>
    </row>
    <row r="558" spans="2:3" ht="15.75" customHeight="1" x14ac:dyDescent="0.25">
      <c r="B558" s="29"/>
      <c r="C558" s="29"/>
    </row>
    <row r="559" spans="2:3" ht="15.75" customHeight="1" x14ac:dyDescent="0.25">
      <c r="B559" s="29"/>
      <c r="C559" s="29"/>
    </row>
    <row r="560" spans="2:3" ht="15.75" customHeight="1" x14ac:dyDescent="0.25">
      <c r="B560" s="29"/>
      <c r="C560" s="29"/>
    </row>
    <row r="561" spans="2:3" ht="15.75" customHeight="1" x14ac:dyDescent="0.25">
      <c r="B561" s="29"/>
      <c r="C561" s="29"/>
    </row>
    <row r="562" spans="2:3" ht="15.75" customHeight="1" x14ac:dyDescent="0.25">
      <c r="B562" s="29"/>
      <c r="C562" s="29"/>
    </row>
    <row r="563" spans="2:3" ht="15.75" customHeight="1" x14ac:dyDescent="0.25">
      <c r="B563" s="29"/>
      <c r="C563" s="29"/>
    </row>
    <row r="564" spans="2:3" ht="15.75" customHeight="1" x14ac:dyDescent="0.25">
      <c r="B564" s="29"/>
      <c r="C564" s="29"/>
    </row>
    <row r="565" spans="2:3" ht="15.75" customHeight="1" x14ac:dyDescent="0.25">
      <c r="B565" s="29"/>
      <c r="C565" s="29"/>
    </row>
    <row r="566" spans="2:3" ht="15.75" customHeight="1" x14ac:dyDescent="0.25">
      <c r="B566" s="29"/>
      <c r="C566" s="29"/>
    </row>
    <row r="567" spans="2:3" ht="15.75" customHeight="1" x14ac:dyDescent="0.25">
      <c r="B567" s="29"/>
      <c r="C567" s="29"/>
    </row>
    <row r="568" spans="2:3" ht="15.75" customHeight="1" x14ac:dyDescent="0.25">
      <c r="B568" s="29"/>
      <c r="C568" s="29"/>
    </row>
    <row r="569" spans="2:3" ht="15.75" customHeight="1" x14ac:dyDescent="0.25">
      <c r="B569" s="29"/>
      <c r="C569" s="29"/>
    </row>
    <row r="570" spans="2:3" ht="15.75" customHeight="1" x14ac:dyDescent="0.25">
      <c r="B570" s="29"/>
      <c r="C570" s="29"/>
    </row>
    <row r="571" spans="2:3" ht="15.75" customHeight="1" x14ac:dyDescent="0.25">
      <c r="B571" s="29"/>
      <c r="C571" s="29"/>
    </row>
    <row r="572" spans="2:3" ht="15.75" customHeight="1" x14ac:dyDescent="0.25">
      <c r="B572" s="29"/>
      <c r="C572" s="29"/>
    </row>
    <row r="573" spans="2:3" ht="15.75" customHeight="1" x14ac:dyDescent="0.25">
      <c r="B573" s="29"/>
      <c r="C573" s="29"/>
    </row>
    <row r="574" spans="2:3" ht="15.75" customHeight="1" x14ac:dyDescent="0.25">
      <c r="B574" s="29"/>
      <c r="C574" s="29"/>
    </row>
    <row r="575" spans="2:3" ht="15.75" customHeight="1" x14ac:dyDescent="0.25">
      <c r="B575" s="29"/>
      <c r="C575" s="29"/>
    </row>
    <row r="576" spans="2:3" ht="15.75" customHeight="1" x14ac:dyDescent="0.25">
      <c r="B576" s="29"/>
      <c r="C576" s="29"/>
    </row>
    <row r="577" spans="2:3" ht="15.75" customHeight="1" x14ac:dyDescent="0.25">
      <c r="B577" s="29"/>
      <c r="C577" s="29"/>
    </row>
    <row r="578" spans="2:3" ht="15.75" customHeight="1" x14ac:dyDescent="0.25">
      <c r="B578" s="29"/>
      <c r="C578" s="29"/>
    </row>
    <row r="579" spans="2:3" ht="15.75" customHeight="1" x14ac:dyDescent="0.25">
      <c r="B579" s="29"/>
      <c r="C579" s="29"/>
    </row>
    <row r="580" spans="2:3" ht="15.75" customHeight="1" x14ac:dyDescent="0.25">
      <c r="B580" s="29"/>
      <c r="C580" s="29"/>
    </row>
    <row r="581" spans="2:3" ht="15.75" customHeight="1" x14ac:dyDescent="0.25">
      <c r="B581" s="29"/>
      <c r="C581" s="29"/>
    </row>
    <row r="582" spans="2:3" ht="15.75" customHeight="1" x14ac:dyDescent="0.25">
      <c r="B582" s="29"/>
      <c r="C582" s="29"/>
    </row>
    <row r="583" spans="2:3" ht="15.75" customHeight="1" x14ac:dyDescent="0.25">
      <c r="B583" s="29"/>
      <c r="C583" s="29"/>
    </row>
    <row r="584" spans="2:3" ht="15.75" customHeight="1" x14ac:dyDescent="0.25">
      <c r="B584" s="29"/>
      <c r="C584" s="29"/>
    </row>
    <row r="585" spans="2:3" ht="15.75" customHeight="1" x14ac:dyDescent="0.25">
      <c r="B585" s="29"/>
      <c r="C585" s="29"/>
    </row>
    <row r="586" spans="2:3" ht="15.75" customHeight="1" x14ac:dyDescent="0.25">
      <c r="B586" s="29"/>
      <c r="C586" s="29"/>
    </row>
    <row r="587" spans="2:3" ht="15.75" customHeight="1" x14ac:dyDescent="0.25">
      <c r="B587" s="29"/>
      <c r="C587" s="29"/>
    </row>
    <row r="588" spans="2:3" ht="15.75" customHeight="1" x14ac:dyDescent="0.25">
      <c r="B588" s="29"/>
      <c r="C588" s="29"/>
    </row>
    <row r="589" spans="2:3" ht="15.75" customHeight="1" x14ac:dyDescent="0.25">
      <c r="B589" s="29"/>
      <c r="C589" s="29"/>
    </row>
    <row r="590" spans="2:3" ht="15.75" customHeight="1" x14ac:dyDescent="0.25">
      <c r="B590" s="29"/>
      <c r="C590" s="29"/>
    </row>
    <row r="591" spans="2:3" ht="15.75" customHeight="1" x14ac:dyDescent="0.25">
      <c r="B591" s="29"/>
      <c r="C591" s="29"/>
    </row>
    <row r="592" spans="2:3" ht="15.75" customHeight="1" x14ac:dyDescent="0.25">
      <c r="B592" s="29"/>
      <c r="C592" s="29"/>
    </row>
    <row r="593" spans="2:3" ht="15.75" customHeight="1" x14ac:dyDescent="0.25">
      <c r="B593" s="29"/>
      <c r="C593" s="29"/>
    </row>
    <row r="594" spans="2:3" ht="15.75" customHeight="1" x14ac:dyDescent="0.25">
      <c r="B594" s="29"/>
      <c r="C594" s="29"/>
    </row>
    <row r="595" spans="2:3" ht="15.75" customHeight="1" x14ac:dyDescent="0.25">
      <c r="B595" s="29"/>
      <c r="C595" s="29"/>
    </row>
    <row r="596" spans="2:3" ht="15.75" customHeight="1" x14ac:dyDescent="0.25">
      <c r="B596" s="29"/>
      <c r="C596" s="29"/>
    </row>
    <row r="597" spans="2:3" ht="15.75" customHeight="1" x14ac:dyDescent="0.25">
      <c r="B597" s="29"/>
      <c r="C597" s="29"/>
    </row>
    <row r="598" spans="2:3" ht="15.75" customHeight="1" x14ac:dyDescent="0.25">
      <c r="B598" s="29"/>
      <c r="C598" s="29"/>
    </row>
    <row r="599" spans="2:3" ht="15.75" customHeight="1" x14ac:dyDescent="0.25">
      <c r="B599" s="29"/>
      <c r="C599" s="29"/>
    </row>
    <row r="600" spans="2:3" ht="15.75" customHeight="1" x14ac:dyDescent="0.25">
      <c r="B600" s="29"/>
      <c r="C600" s="29"/>
    </row>
    <row r="601" spans="2:3" ht="15.75" customHeight="1" x14ac:dyDescent="0.25">
      <c r="B601" s="29"/>
      <c r="C601" s="29"/>
    </row>
    <row r="602" spans="2:3" ht="15.75" customHeight="1" x14ac:dyDescent="0.25">
      <c r="B602" s="29"/>
      <c r="C602" s="29"/>
    </row>
    <row r="603" spans="2:3" ht="15.75" customHeight="1" x14ac:dyDescent="0.25">
      <c r="B603" s="29"/>
      <c r="C603" s="29"/>
    </row>
    <row r="604" spans="2:3" ht="15.75" customHeight="1" x14ac:dyDescent="0.25">
      <c r="B604" s="29"/>
      <c r="C604" s="29"/>
    </row>
    <row r="605" spans="2:3" ht="15.75" customHeight="1" x14ac:dyDescent="0.25">
      <c r="B605" s="29"/>
      <c r="C605" s="29"/>
    </row>
    <row r="606" spans="2:3" ht="15.75" customHeight="1" x14ac:dyDescent="0.25">
      <c r="B606" s="29"/>
      <c r="C606" s="29"/>
    </row>
    <row r="607" spans="2:3" ht="15.75" customHeight="1" x14ac:dyDescent="0.25">
      <c r="B607" s="29"/>
      <c r="C607" s="29"/>
    </row>
    <row r="608" spans="2:3" ht="15.75" customHeight="1" x14ac:dyDescent="0.25">
      <c r="B608" s="29"/>
      <c r="C608" s="29"/>
    </row>
    <row r="609" spans="2:3" ht="15.75" customHeight="1" x14ac:dyDescent="0.25">
      <c r="B609" s="29"/>
      <c r="C609" s="29"/>
    </row>
    <row r="610" spans="2:3" ht="15.75" customHeight="1" x14ac:dyDescent="0.25">
      <c r="B610" s="29"/>
      <c r="C610" s="29"/>
    </row>
    <row r="611" spans="2:3" ht="15.75" customHeight="1" x14ac:dyDescent="0.25">
      <c r="B611" s="29"/>
      <c r="C611" s="29"/>
    </row>
    <row r="612" spans="2:3" ht="15.75" customHeight="1" x14ac:dyDescent="0.25">
      <c r="B612" s="29"/>
      <c r="C612" s="29"/>
    </row>
    <row r="613" spans="2:3" ht="15.75" customHeight="1" x14ac:dyDescent="0.25">
      <c r="B613" s="29"/>
      <c r="C613" s="29"/>
    </row>
    <row r="614" spans="2:3" ht="15.75" customHeight="1" x14ac:dyDescent="0.25">
      <c r="B614" s="29"/>
      <c r="C614" s="29"/>
    </row>
    <row r="615" spans="2:3" ht="15.75" customHeight="1" x14ac:dyDescent="0.25">
      <c r="B615" s="29"/>
      <c r="C615" s="29"/>
    </row>
    <row r="616" spans="2:3" ht="15.75" customHeight="1" x14ac:dyDescent="0.25">
      <c r="B616" s="29"/>
      <c r="C616" s="29"/>
    </row>
    <row r="617" spans="2:3" ht="15.75" customHeight="1" x14ac:dyDescent="0.25">
      <c r="B617" s="29"/>
      <c r="C617" s="29"/>
    </row>
    <row r="618" spans="2:3" ht="15.75" customHeight="1" x14ac:dyDescent="0.25">
      <c r="B618" s="29"/>
      <c r="C618" s="29"/>
    </row>
    <row r="619" spans="2:3" ht="15.75" customHeight="1" x14ac:dyDescent="0.25">
      <c r="B619" s="29"/>
      <c r="C619" s="29"/>
    </row>
    <row r="620" spans="2:3" ht="15.75" customHeight="1" x14ac:dyDescent="0.25">
      <c r="B620" s="29"/>
      <c r="C620" s="29"/>
    </row>
    <row r="621" spans="2:3" ht="15.75" customHeight="1" x14ac:dyDescent="0.25">
      <c r="B621" s="29"/>
      <c r="C621" s="29"/>
    </row>
    <row r="622" spans="2:3" ht="15.75" customHeight="1" x14ac:dyDescent="0.25">
      <c r="B622" s="29"/>
      <c r="C622" s="29"/>
    </row>
    <row r="623" spans="2:3" ht="15.75" customHeight="1" x14ac:dyDescent="0.25">
      <c r="B623" s="29"/>
      <c r="C623" s="29"/>
    </row>
    <row r="624" spans="2:3" ht="15.75" customHeight="1" x14ac:dyDescent="0.25">
      <c r="B624" s="29"/>
      <c r="C624" s="29"/>
    </row>
    <row r="625" spans="2:3" ht="15.75" customHeight="1" x14ac:dyDescent="0.25">
      <c r="B625" s="29"/>
      <c r="C625" s="29"/>
    </row>
    <row r="626" spans="2:3" ht="15.75" customHeight="1" x14ac:dyDescent="0.25">
      <c r="B626" s="29"/>
      <c r="C626" s="29"/>
    </row>
    <row r="627" spans="2:3" ht="15.75" customHeight="1" x14ac:dyDescent="0.25">
      <c r="B627" s="29"/>
      <c r="C627" s="29"/>
    </row>
    <row r="628" spans="2:3" ht="15.75" customHeight="1" x14ac:dyDescent="0.25">
      <c r="B628" s="29"/>
      <c r="C628" s="29"/>
    </row>
    <row r="629" spans="2:3" ht="15.75" customHeight="1" x14ac:dyDescent="0.25">
      <c r="B629" s="29"/>
      <c r="C629" s="29"/>
    </row>
    <row r="630" spans="2:3" ht="15.75" customHeight="1" x14ac:dyDescent="0.25">
      <c r="B630" s="29"/>
      <c r="C630" s="29"/>
    </row>
    <row r="631" spans="2:3" ht="15.75" customHeight="1" x14ac:dyDescent="0.25">
      <c r="B631" s="29"/>
      <c r="C631" s="29"/>
    </row>
    <row r="632" spans="2:3" ht="15.75" customHeight="1" x14ac:dyDescent="0.25">
      <c r="B632" s="29"/>
      <c r="C632" s="29"/>
    </row>
    <row r="633" spans="2:3" ht="15.75" customHeight="1" x14ac:dyDescent="0.25">
      <c r="B633" s="29"/>
      <c r="C633" s="29"/>
    </row>
    <row r="634" spans="2:3" ht="15.75" customHeight="1" x14ac:dyDescent="0.25">
      <c r="B634" s="29"/>
      <c r="C634" s="29"/>
    </row>
    <row r="635" spans="2:3" ht="15.75" customHeight="1" x14ac:dyDescent="0.25">
      <c r="B635" s="29"/>
      <c r="C635" s="29"/>
    </row>
    <row r="636" spans="2:3" ht="15.75" customHeight="1" x14ac:dyDescent="0.25">
      <c r="B636" s="29"/>
      <c r="C636" s="29"/>
    </row>
    <row r="637" spans="2:3" ht="15.75" customHeight="1" x14ac:dyDescent="0.25">
      <c r="B637" s="29"/>
      <c r="C637" s="29"/>
    </row>
    <row r="638" spans="2:3" ht="15.75" customHeight="1" x14ac:dyDescent="0.25">
      <c r="B638" s="29"/>
      <c r="C638" s="29"/>
    </row>
    <row r="639" spans="2:3" ht="15.75" customHeight="1" x14ac:dyDescent="0.25">
      <c r="B639" s="29"/>
      <c r="C639" s="29"/>
    </row>
    <row r="640" spans="2:3" ht="15.75" customHeight="1" x14ac:dyDescent="0.25">
      <c r="B640" s="29"/>
      <c r="C640" s="29"/>
    </row>
    <row r="641" spans="2:3" ht="15.75" customHeight="1" x14ac:dyDescent="0.25">
      <c r="B641" s="29"/>
      <c r="C641" s="29"/>
    </row>
    <row r="642" spans="2:3" ht="15.75" customHeight="1" x14ac:dyDescent="0.25">
      <c r="B642" s="29"/>
      <c r="C642" s="29"/>
    </row>
    <row r="643" spans="2:3" ht="15.75" customHeight="1" x14ac:dyDescent="0.25">
      <c r="B643" s="29"/>
      <c r="C643" s="29"/>
    </row>
    <row r="644" spans="2:3" ht="15.75" customHeight="1" x14ac:dyDescent="0.25">
      <c r="B644" s="29"/>
      <c r="C644" s="29"/>
    </row>
    <row r="645" spans="2:3" ht="15.75" customHeight="1" x14ac:dyDescent="0.25">
      <c r="B645" s="29"/>
      <c r="C645" s="29"/>
    </row>
    <row r="646" spans="2:3" ht="15.75" customHeight="1" x14ac:dyDescent="0.25">
      <c r="B646" s="29"/>
      <c r="C646" s="29"/>
    </row>
    <row r="647" spans="2:3" ht="15.75" customHeight="1" x14ac:dyDescent="0.25">
      <c r="B647" s="29"/>
      <c r="C647" s="29"/>
    </row>
    <row r="648" spans="2:3" ht="15.75" customHeight="1" x14ac:dyDescent="0.25">
      <c r="B648" s="29"/>
      <c r="C648" s="29"/>
    </row>
    <row r="649" spans="2:3" ht="15.75" customHeight="1" x14ac:dyDescent="0.25">
      <c r="B649" s="29"/>
      <c r="C649" s="29"/>
    </row>
    <row r="650" spans="2:3" ht="15.75" customHeight="1" x14ac:dyDescent="0.25">
      <c r="B650" s="29"/>
      <c r="C650" s="29"/>
    </row>
    <row r="651" spans="2:3" ht="15.75" customHeight="1" x14ac:dyDescent="0.25">
      <c r="B651" s="29"/>
      <c r="C651" s="29"/>
    </row>
    <row r="652" spans="2:3" ht="15.75" customHeight="1" x14ac:dyDescent="0.25">
      <c r="B652" s="29"/>
      <c r="C652" s="29"/>
    </row>
    <row r="653" spans="2:3" ht="15.75" customHeight="1" x14ac:dyDescent="0.25">
      <c r="B653" s="29"/>
      <c r="C653" s="29"/>
    </row>
    <row r="654" spans="2:3" ht="15.75" customHeight="1" x14ac:dyDescent="0.25">
      <c r="B654" s="29"/>
      <c r="C654" s="29"/>
    </row>
    <row r="655" spans="2:3" ht="15.75" customHeight="1" x14ac:dyDescent="0.25">
      <c r="B655" s="29"/>
      <c r="C655" s="29"/>
    </row>
    <row r="656" spans="2:3" ht="15.75" customHeight="1" x14ac:dyDescent="0.25">
      <c r="B656" s="29"/>
      <c r="C656" s="29"/>
    </row>
    <row r="657" spans="2:3" ht="15.75" customHeight="1" x14ac:dyDescent="0.25">
      <c r="B657" s="29"/>
      <c r="C657" s="29"/>
    </row>
    <row r="658" spans="2:3" ht="15.75" customHeight="1" x14ac:dyDescent="0.25">
      <c r="B658" s="29"/>
      <c r="C658" s="29"/>
    </row>
    <row r="659" spans="2:3" ht="15.75" customHeight="1" x14ac:dyDescent="0.25">
      <c r="B659" s="29"/>
      <c r="C659" s="29"/>
    </row>
    <row r="660" spans="2:3" ht="15.75" customHeight="1" x14ac:dyDescent="0.25">
      <c r="B660" s="29"/>
      <c r="C660" s="29"/>
    </row>
    <row r="661" spans="2:3" ht="15.75" customHeight="1" x14ac:dyDescent="0.25">
      <c r="B661" s="29"/>
      <c r="C661" s="29"/>
    </row>
    <row r="662" spans="2:3" ht="15.75" customHeight="1" x14ac:dyDescent="0.25">
      <c r="B662" s="29"/>
      <c r="C662" s="29"/>
    </row>
    <row r="663" spans="2:3" ht="15.75" customHeight="1" x14ac:dyDescent="0.25">
      <c r="B663" s="29"/>
      <c r="C663" s="29"/>
    </row>
    <row r="664" spans="2:3" ht="15.75" customHeight="1" x14ac:dyDescent="0.25">
      <c r="B664" s="29"/>
      <c r="C664" s="29"/>
    </row>
    <row r="665" spans="2:3" ht="15.75" customHeight="1" x14ac:dyDescent="0.25">
      <c r="B665" s="29"/>
      <c r="C665" s="29"/>
    </row>
    <row r="666" spans="2:3" ht="15.75" customHeight="1" x14ac:dyDescent="0.25">
      <c r="B666" s="29"/>
      <c r="C666" s="29"/>
    </row>
    <row r="667" spans="2:3" ht="15.75" customHeight="1" x14ac:dyDescent="0.25">
      <c r="B667" s="29"/>
      <c r="C667" s="29"/>
    </row>
    <row r="668" spans="2:3" ht="15.75" customHeight="1" x14ac:dyDescent="0.25">
      <c r="B668" s="29"/>
      <c r="C668" s="29"/>
    </row>
    <row r="669" spans="2:3" ht="15.75" customHeight="1" x14ac:dyDescent="0.25">
      <c r="B669" s="29"/>
      <c r="C669" s="29"/>
    </row>
    <row r="670" spans="2:3" ht="15.75" customHeight="1" x14ac:dyDescent="0.25">
      <c r="B670" s="29"/>
      <c r="C670" s="29"/>
    </row>
    <row r="671" spans="2:3" ht="15.75" customHeight="1" x14ac:dyDescent="0.25">
      <c r="B671" s="29"/>
      <c r="C671" s="29"/>
    </row>
    <row r="672" spans="2:3" ht="15.75" customHeight="1" x14ac:dyDescent="0.25">
      <c r="B672" s="29"/>
      <c r="C672" s="29"/>
    </row>
    <row r="673" spans="2:3" ht="15.75" customHeight="1" x14ac:dyDescent="0.25">
      <c r="B673" s="29"/>
      <c r="C673" s="29"/>
    </row>
    <row r="674" spans="2:3" ht="15.75" customHeight="1" x14ac:dyDescent="0.25">
      <c r="B674" s="29"/>
      <c r="C674" s="29"/>
    </row>
    <row r="675" spans="2:3" ht="15.75" customHeight="1" x14ac:dyDescent="0.25">
      <c r="B675" s="29"/>
      <c r="C675" s="29"/>
    </row>
    <row r="676" spans="2:3" ht="15.75" customHeight="1" x14ac:dyDescent="0.25">
      <c r="B676" s="29"/>
      <c r="C676" s="29"/>
    </row>
    <row r="677" spans="2:3" ht="15.75" customHeight="1" x14ac:dyDescent="0.25">
      <c r="B677" s="29"/>
      <c r="C677" s="29"/>
    </row>
    <row r="678" spans="2:3" ht="15.75" customHeight="1" x14ac:dyDescent="0.25">
      <c r="B678" s="29"/>
      <c r="C678" s="29"/>
    </row>
    <row r="679" spans="2:3" ht="15.75" customHeight="1" x14ac:dyDescent="0.25">
      <c r="B679" s="29"/>
      <c r="C679" s="29"/>
    </row>
    <row r="680" spans="2:3" ht="15.75" customHeight="1" x14ac:dyDescent="0.25">
      <c r="B680" s="29"/>
      <c r="C680" s="29"/>
    </row>
    <row r="681" spans="2:3" ht="15.75" customHeight="1" x14ac:dyDescent="0.25">
      <c r="B681" s="29"/>
      <c r="C681" s="29"/>
    </row>
    <row r="682" spans="2:3" ht="15.75" customHeight="1" x14ac:dyDescent="0.25">
      <c r="B682" s="29"/>
      <c r="C682" s="29"/>
    </row>
    <row r="683" spans="2:3" ht="15.75" customHeight="1" x14ac:dyDescent="0.25">
      <c r="B683" s="29"/>
      <c r="C683" s="29"/>
    </row>
    <row r="684" spans="2:3" ht="15.75" customHeight="1" x14ac:dyDescent="0.25">
      <c r="B684" s="29"/>
      <c r="C684" s="29"/>
    </row>
    <row r="685" spans="2:3" ht="15.75" customHeight="1" x14ac:dyDescent="0.25">
      <c r="B685" s="29"/>
      <c r="C685" s="29"/>
    </row>
    <row r="686" spans="2:3" ht="15.75" customHeight="1" x14ac:dyDescent="0.25">
      <c r="B686" s="29"/>
      <c r="C686" s="29"/>
    </row>
    <row r="687" spans="2:3" ht="15.75" customHeight="1" x14ac:dyDescent="0.25">
      <c r="B687" s="29"/>
      <c r="C687" s="29"/>
    </row>
    <row r="688" spans="2:3" ht="15.75" customHeight="1" x14ac:dyDescent="0.25">
      <c r="B688" s="29"/>
      <c r="C688" s="29"/>
    </row>
    <row r="689" spans="2:3" ht="15.75" customHeight="1" x14ac:dyDescent="0.25">
      <c r="B689" s="29"/>
      <c r="C689" s="29"/>
    </row>
    <row r="690" spans="2:3" ht="15.75" customHeight="1" x14ac:dyDescent="0.25">
      <c r="B690" s="29"/>
      <c r="C690" s="29"/>
    </row>
    <row r="691" spans="2:3" ht="15.75" customHeight="1" x14ac:dyDescent="0.25">
      <c r="B691" s="29"/>
      <c r="C691" s="29"/>
    </row>
    <row r="692" spans="2:3" ht="15.75" customHeight="1" x14ac:dyDescent="0.25">
      <c r="B692" s="29"/>
      <c r="C692" s="29"/>
    </row>
    <row r="693" spans="2:3" ht="15.75" customHeight="1" x14ac:dyDescent="0.25">
      <c r="B693" s="29"/>
      <c r="C693" s="29"/>
    </row>
    <row r="694" spans="2:3" ht="15.75" customHeight="1" x14ac:dyDescent="0.25">
      <c r="B694" s="29"/>
      <c r="C694" s="29"/>
    </row>
    <row r="695" spans="2:3" ht="15.75" customHeight="1" x14ac:dyDescent="0.25">
      <c r="B695" s="29"/>
      <c r="C695" s="29"/>
    </row>
    <row r="696" spans="2:3" ht="15.75" customHeight="1" x14ac:dyDescent="0.25">
      <c r="B696" s="29"/>
      <c r="C696" s="29"/>
    </row>
    <row r="697" spans="2:3" ht="15.75" customHeight="1" x14ac:dyDescent="0.25">
      <c r="B697" s="29"/>
      <c r="C697" s="29"/>
    </row>
    <row r="698" spans="2:3" ht="15.75" customHeight="1" x14ac:dyDescent="0.25">
      <c r="B698" s="29"/>
      <c r="C698" s="29"/>
    </row>
    <row r="699" spans="2:3" ht="15.75" customHeight="1" x14ac:dyDescent="0.25">
      <c r="B699" s="29"/>
      <c r="C699" s="29"/>
    </row>
    <row r="700" spans="2:3" ht="15.75" customHeight="1" x14ac:dyDescent="0.25">
      <c r="B700" s="29"/>
      <c r="C700" s="29"/>
    </row>
    <row r="701" spans="2:3" ht="15.75" customHeight="1" x14ac:dyDescent="0.25">
      <c r="B701" s="29"/>
      <c r="C701" s="29"/>
    </row>
    <row r="702" spans="2:3" ht="15.75" customHeight="1" x14ac:dyDescent="0.25">
      <c r="B702" s="29"/>
      <c r="C702" s="29"/>
    </row>
    <row r="703" spans="2:3" ht="15.75" customHeight="1" x14ac:dyDescent="0.25">
      <c r="B703" s="29"/>
      <c r="C703" s="29"/>
    </row>
    <row r="704" spans="2:3" ht="15.75" customHeight="1" x14ac:dyDescent="0.25">
      <c r="B704" s="29"/>
      <c r="C704" s="29"/>
    </row>
    <row r="705" spans="2:3" ht="15.75" customHeight="1" x14ac:dyDescent="0.25">
      <c r="B705" s="29"/>
      <c r="C705" s="29"/>
    </row>
    <row r="706" spans="2:3" ht="15.75" customHeight="1" x14ac:dyDescent="0.25">
      <c r="B706" s="29"/>
      <c r="C706" s="29"/>
    </row>
    <row r="707" spans="2:3" ht="15.75" customHeight="1" x14ac:dyDescent="0.25">
      <c r="B707" s="29"/>
      <c r="C707" s="29"/>
    </row>
    <row r="708" spans="2:3" ht="15.75" customHeight="1" x14ac:dyDescent="0.25">
      <c r="B708" s="29"/>
      <c r="C708" s="29"/>
    </row>
    <row r="709" spans="2:3" ht="15.75" customHeight="1" x14ac:dyDescent="0.25">
      <c r="B709" s="29"/>
      <c r="C709" s="29"/>
    </row>
    <row r="710" spans="2:3" ht="15.75" customHeight="1" x14ac:dyDescent="0.25">
      <c r="B710" s="29"/>
      <c r="C710" s="29"/>
    </row>
    <row r="711" spans="2:3" ht="15.75" customHeight="1" x14ac:dyDescent="0.25">
      <c r="B711" s="29"/>
      <c r="C711" s="29"/>
    </row>
    <row r="712" spans="2:3" ht="15.75" customHeight="1" x14ac:dyDescent="0.25">
      <c r="B712" s="29"/>
      <c r="C712" s="29"/>
    </row>
    <row r="713" spans="2:3" ht="15.75" customHeight="1" x14ac:dyDescent="0.25">
      <c r="B713" s="29"/>
      <c r="C713" s="29"/>
    </row>
    <row r="714" spans="2:3" ht="15.75" customHeight="1" x14ac:dyDescent="0.25">
      <c r="B714" s="29"/>
      <c r="C714" s="29"/>
    </row>
    <row r="715" spans="2:3" ht="15.75" customHeight="1" x14ac:dyDescent="0.25">
      <c r="B715" s="29"/>
      <c r="C715" s="29"/>
    </row>
    <row r="716" spans="2:3" ht="15.75" customHeight="1" x14ac:dyDescent="0.25">
      <c r="B716" s="29"/>
      <c r="C716" s="29"/>
    </row>
    <row r="717" spans="2:3" ht="15.75" customHeight="1" x14ac:dyDescent="0.25">
      <c r="B717" s="29"/>
      <c r="C717" s="29"/>
    </row>
    <row r="718" spans="2:3" ht="15.75" customHeight="1" x14ac:dyDescent="0.25">
      <c r="B718" s="29"/>
      <c r="C718" s="29"/>
    </row>
    <row r="719" spans="2:3" ht="15.75" customHeight="1" x14ac:dyDescent="0.25">
      <c r="B719" s="29"/>
      <c r="C719" s="29"/>
    </row>
    <row r="720" spans="2:3" ht="15.75" customHeight="1" x14ac:dyDescent="0.25">
      <c r="B720" s="29"/>
      <c r="C720" s="29"/>
    </row>
    <row r="721" spans="2:3" ht="15.75" customHeight="1" x14ac:dyDescent="0.25">
      <c r="B721" s="29"/>
      <c r="C721" s="29"/>
    </row>
    <row r="722" spans="2:3" ht="15.75" customHeight="1" x14ac:dyDescent="0.25">
      <c r="B722" s="29"/>
      <c r="C722" s="29"/>
    </row>
    <row r="723" spans="2:3" ht="15.75" customHeight="1" x14ac:dyDescent="0.25">
      <c r="B723" s="29"/>
      <c r="C723" s="29"/>
    </row>
    <row r="724" spans="2:3" ht="15.75" customHeight="1" x14ac:dyDescent="0.25">
      <c r="B724" s="29"/>
      <c r="C724" s="29"/>
    </row>
    <row r="725" spans="2:3" ht="15.75" customHeight="1" x14ac:dyDescent="0.25">
      <c r="B725" s="29"/>
      <c r="C725" s="29"/>
    </row>
    <row r="726" spans="2:3" ht="15.75" customHeight="1" x14ac:dyDescent="0.25">
      <c r="B726" s="29"/>
      <c r="C726" s="29"/>
    </row>
    <row r="727" spans="2:3" ht="15.75" customHeight="1" x14ac:dyDescent="0.25">
      <c r="B727" s="29"/>
      <c r="C727" s="29"/>
    </row>
    <row r="728" spans="2:3" ht="15.75" customHeight="1" x14ac:dyDescent="0.25">
      <c r="B728" s="29"/>
      <c r="C728" s="29"/>
    </row>
    <row r="729" spans="2:3" ht="15.75" customHeight="1" x14ac:dyDescent="0.25">
      <c r="B729" s="29"/>
      <c r="C729" s="29"/>
    </row>
    <row r="730" spans="2:3" ht="15.75" customHeight="1" x14ac:dyDescent="0.25">
      <c r="B730" s="29"/>
      <c r="C730" s="29"/>
    </row>
    <row r="731" spans="2:3" ht="15.75" customHeight="1" x14ac:dyDescent="0.25">
      <c r="B731" s="29"/>
      <c r="C731" s="29"/>
    </row>
    <row r="732" spans="2:3" ht="15.75" customHeight="1" x14ac:dyDescent="0.25">
      <c r="B732" s="29"/>
      <c r="C732" s="29"/>
    </row>
    <row r="733" spans="2:3" ht="15.75" customHeight="1" x14ac:dyDescent="0.25">
      <c r="B733" s="29"/>
      <c r="C733" s="29"/>
    </row>
    <row r="734" spans="2:3" ht="15.75" customHeight="1" x14ac:dyDescent="0.25">
      <c r="B734" s="29"/>
      <c r="C734" s="29"/>
    </row>
    <row r="735" spans="2:3" ht="15.75" customHeight="1" x14ac:dyDescent="0.25">
      <c r="B735" s="29"/>
      <c r="C735" s="29"/>
    </row>
    <row r="736" spans="2:3" ht="15.75" customHeight="1" x14ac:dyDescent="0.25">
      <c r="B736" s="29"/>
      <c r="C736" s="29"/>
    </row>
    <row r="737" spans="2:3" ht="15.75" customHeight="1" x14ac:dyDescent="0.25">
      <c r="B737" s="29"/>
      <c r="C737" s="29"/>
    </row>
    <row r="738" spans="2:3" ht="15.75" customHeight="1" x14ac:dyDescent="0.25">
      <c r="B738" s="29"/>
      <c r="C738" s="29"/>
    </row>
    <row r="739" spans="2:3" ht="15.75" customHeight="1" x14ac:dyDescent="0.25">
      <c r="B739" s="29"/>
      <c r="C739" s="29"/>
    </row>
    <row r="740" spans="2:3" ht="15.75" customHeight="1" x14ac:dyDescent="0.25">
      <c r="B740" s="29"/>
      <c r="C740" s="29"/>
    </row>
    <row r="741" spans="2:3" ht="15.75" customHeight="1" x14ac:dyDescent="0.25">
      <c r="B741" s="29"/>
      <c r="C741" s="29"/>
    </row>
    <row r="742" spans="2:3" ht="15.75" customHeight="1" x14ac:dyDescent="0.25">
      <c r="B742" s="29"/>
      <c r="C742" s="29"/>
    </row>
    <row r="743" spans="2:3" ht="15.75" customHeight="1" x14ac:dyDescent="0.25">
      <c r="B743" s="29"/>
      <c r="C743" s="29"/>
    </row>
    <row r="744" spans="2:3" ht="15.75" customHeight="1" x14ac:dyDescent="0.25">
      <c r="B744" s="29"/>
      <c r="C744" s="29"/>
    </row>
    <row r="745" spans="2:3" ht="15.75" customHeight="1" x14ac:dyDescent="0.25">
      <c r="B745" s="29"/>
      <c r="C745" s="29"/>
    </row>
    <row r="746" spans="2:3" ht="15.75" customHeight="1" x14ac:dyDescent="0.25">
      <c r="B746" s="29"/>
      <c r="C746" s="29"/>
    </row>
    <row r="747" spans="2:3" ht="15.75" customHeight="1" x14ac:dyDescent="0.25">
      <c r="B747" s="29"/>
      <c r="C747" s="29"/>
    </row>
    <row r="748" spans="2:3" ht="15.75" customHeight="1" x14ac:dyDescent="0.25">
      <c r="B748" s="29"/>
      <c r="C748" s="29"/>
    </row>
    <row r="749" spans="2:3" ht="15.75" customHeight="1" x14ac:dyDescent="0.25">
      <c r="B749" s="29"/>
      <c r="C749" s="29"/>
    </row>
    <row r="750" spans="2:3" ht="15.75" customHeight="1" x14ac:dyDescent="0.25">
      <c r="B750" s="29"/>
      <c r="C750" s="29"/>
    </row>
    <row r="751" spans="2:3" ht="15.75" customHeight="1" x14ac:dyDescent="0.25">
      <c r="B751" s="29"/>
      <c r="C751" s="29"/>
    </row>
    <row r="752" spans="2:3" ht="15.75" customHeight="1" x14ac:dyDescent="0.25">
      <c r="B752" s="29"/>
      <c r="C752" s="29"/>
    </row>
    <row r="753" spans="2:3" ht="15.75" customHeight="1" x14ac:dyDescent="0.25">
      <c r="B753" s="29"/>
      <c r="C753" s="29"/>
    </row>
    <row r="754" spans="2:3" ht="15.75" customHeight="1" x14ac:dyDescent="0.25">
      <c r="B754" s="29"/>
      <c r="C754" s="29"/>
    </row>
    <row r="755" spans="2:3" ht="15.75" customHeight="1" x14ac:dyDescent="0.25">
      <c r="B755" s="29"/>
      <c r="C755" s="29"/>
    </row>
    <row r="756" spans="2:3" ht="15.75" customHeight="1" x14ac:dyDescent="0.25">
      <c r="B756" s="29"/>
      <c r="C756" s="29"/>
    </row>
    <row r="757" spans="2:3" ht="15.75" customHeight="1" x14ac:dyDescent="0.25">
      <c r="B757" s="29"/>
      <c r="C757" s="29"/>
    </row>
    <row r="758" spans="2:3" ht="15.75" customHeight="1" x14ac:dyDescent="0.25">
      <c r="B758" s="29"/>
      <c r="C758" s="29"/>
    </row>
    <row r="759" spans="2:3" ht="15.75" customHeight="1" x14ac:dyDescent="0.25">
      <c r="B759" s="29"/>
      <c r="C759" s="29"/>
    </row>
    <row r="760" spans="2:3" ht="15.75" customHeight="1" x14ac:dyDescent="0.25">
      <c r="B760" s="29"/>
      <c r="C760" s="29"/>
    </row>
    <row r="761" spans="2:3" ht="15.75" customHeight="1" x14ac:dyDescent="0.25">
      <c r="B761" s="29"/>
      <c r="C761" s="29"/>
    </row>
    <row r="762" spans="2:3" ht="15.75" customHeight="1" x14ac:dyDescent="0.25">
      <c r="B762" s="29"/>
      <c r="C762" s="29"/>
    </row>
    <row r="763" spans="2:3" ht="15.75" customHeight="1" x14ac:dyDescent="0.25">
      <c r="B763" s="29"/>
      <c r="C763" s="29"/>
    </row>
    <row r="764" spans="2:3" ht="15.75" customHeight="1" x14ac:dyDescent="0.25">
      <c r="B764" s="29"/>
      <c r="C764" s="29"/>
    </row>
    <row r="765" spans="2:3" ht="15.75" customHeight="1" x14ac:dyDescent="0.25">
      <c r="B765" s="29"/>
      <c r="C765" s="29"/>
    </row>
    <row r="766" spans="2:3" ht="15.75" customHeight="1" x14ac:dyDescent="0.25">
      <c r="B766" s="29"/>
      <c r="C766" s="29"/>
    </row>
    <row r="767" spans="2:3" ht="15.75" customHeight="1" x14ac:dyDescent="0.25">
      <c r="B767" s="29"/>
      <c r="C767" s="29"/>
    </row>
    <row r="768" spans="2:3" ht="15.75" customHeight="1" x14ac:dyDescent="0.25">
      <c r="B768" s="29"/>
      <c r="C768" s="29"/>
    </row>
    <row r="769" spans="2:3" ht="15.75" customHeight="1" x14ac:dyDescent="0.25">
      <c r="B769" s="29"/>
      <c r="C769" s="29"/>
    </row>
    <row r="770" spans="2:3" ht="15.75" customHeight="1" x14ac:dyDescent="0.25">
      <c r="B770" s="29"/>
      <c r="C770" s="29"/>
    </row>
    <row r="771" spans="2:3" ht="15.75" customHeight="1" x14ac:dyDescent="0.25">
      <c r="B771" s="29"/>
      <c r="C771" s="29"/>
    </row>
    <row r="772" spans="2:3" ht="15.75" customHeight="1" x14ac:dyDescent="0.25">
      <c r="B772" s="29"/>
      <c r="C772" s="29"/>
    </row>
    <row r="773" spans="2:3" ht="15.75" customHeight="1" x14ac:dyDescent="0.25">
      <c r="B773" s="29"/>
      <c r="C773" s="29"/>
    </row>
    <row r="774" spans="2:3" ht="15.75" customHeight="1" x14ac:dyDescent="0.25">
      <c r="B774" s="29"/>
      <c r="C774" s="29"/>
    </row>
    <row r="775" spans="2:3" ht="15.75" customHeight="1" x14ac:dyDescent="0.25">
      <c r="B775" s="29"/>
      <c r="C775" s="29"/>
    </row>
    <row r="776" spans="2:3" ht="15.75" customHeight="1" x14ac:dyDescent="0.25">
      <c r="B776" s="29"/>
      <c r="C776" s="29"/>
    </row>
    <row r="777" spans="2:3" ht="15.75" customHeight="1" x14ac:dyDescent="0.25">
      <c r="B777" s="29"/>
      <c r="C777" s="29"/>
    </row>
    <row r="778" spans="2:3" ht="15.75" customHeight="1" x14ac:dyDescent="0.25">
      <c r="B778" s="29"/>
      <c r="C778" s="29"/>
    </row>
    <row r="779" spans="2:3" ht="15.75" customHeight="1" x14ac:dyDescent="0.25">
      <c r="B779" s="29"/>
      <c r="C779" s="29"/>
    </row>
    <row r="780" spans="2:3" ht="15.75" customHeight="1" x14ac:dyDescent="0.25">
      <c r="B780" s="29"/>
      <c r="C780" s="29"/>
    </row>
    <row r="781" spans="2:3" ht="15.75" customHeight="1" x14ac:dyDescent="0.25">
      <c r="B781" s="29"/>
      <c r="C781" s="29"/>
    </row>
    <row r="782" spans="2:3" ht="15.75" customHeight="1" x14ac:dyDescent="0.25">
      <c r="B782" s="29"/>
      <c r="C782" s="29"/>
    </row>
    <row r="783" spans="2:3" ht="15.75" customHeight="1" x14ac:dyDescent="0.25">
      <c r="B783" s="29"/>
      <c r="C783" s="29"/>
    </row>
    <row r="784" spans="2:3" ht="15.75" customHeight="1" x14ac:dyDescent="0.25">
      <c r="B784" s="29"/>
      <c r="C784" s="29"/>
    </row>
    <row r="785" spans="2:3" ht="15.75" customHeight="1" x14ac:dyDescent="0.25">
      <c r="B785" s="29"/>
      <c r="C785" s="29"/>
    </row>
    <row r="786" spans="2:3" ht="15.75" customHeight="1" x14ac:dyDescent="0.25">
      <c r="B786" s="29"/>
      <c r="C786" s="29"/>
    </row>
    <row r="787" spans="2:3" ht="15.75" customHeight="1" x14ac:dyDescent="0.25">
      <c r="B787" s="29"/>
      <c r="C787" s="29"/>
    </row>
    <row r="788" spans="2:3" ht="15.75" customHeight="1" x14ac:dyDescent="0.25">
      <c r="B788" s="29"/>
      <c r="C788" s="29"/>
    </row>
    <row r="789" spans="2:3" ht="15.75" customHeight="1" x14ac:dyDescent="0.25">
      <c r="B789" s="29"/>
      <c r="C789" s="29"/>
    </row>
    <row r="790" spans="2:3" ht="15.75" customHeight="1" x14ac:dyDescent="0.25">
      <c r="B790" s="29"/>
      <c r="C790" s="29"/>
    </row>
    <row r="791" spans="2:3" ht="15.75" customHeight="1" x14ac:dyDescent="0.25">
      <c r="B791" s="29"/>
      <c r="C791" s="29"/>
    </row>
    <row r="792" spans="2:3" ht="15.75" customHeight="1" x14ac:dyDescent="0.25">
      <c r="B792" s="29"/>
      <c r="C792" s="29"/>
    </row>
    <row r="793" spans="2:3" ht="15.75" customHeight="1" x14ac:dyDescent="0.25">
      <c r="B793" s="29"/>
      <c r="C793" s="29"/>
    </row>
    <row r="794" spans="2:3" ht="15.75" customHeight="1" x14ac:dyDescent="0.25">
      <c r="B794" s="29"/>
      <c r="C794" s="29"/>
    </row>
    <row r="795" spans="2:3" ht="15.75" customHeight="1" x14ac:dyDescent="0.25">
      <c r="B795" s="29"/>
      <c r="C795" s="29"/>
    </row>
    <row r="796" spans="2:3" ht="15.75" customHeight="1" x14ac:dyDescent="0.25">
      <c r="B796" s="29"/>
      <c r="C796" s="29"/>
    </row>
    <row r="797" spans="2:3" ht="15.75" customHeight="1" x14ac:dyDescent="0.25">
      <c r="B797" s="29"/>
      <c r="C797" s="29"/>
    </row>
    <row r="798" spans="2:3" ht="15.75" customHeight="1" x14ac:dyDescent="0.25">
      <c r="B798" s="29"/>
      <c r="C798" s="29"/>
    </row>
    <row r="799" spans="2:3" ht="15.75" customHeight="1" x14ac:dyDescent="0.25">
      <c r="B799" s="29"/>
      <c r="C799" s="29"/>
    </row>
    <row r="800" spans="2:3" ht="15.75" customHeight="1" x14ac:dyDescent="0.25">
      <c r="B800" s="29"/>
      <c r="C800" s="29"/>
    </row>
    <row r="801" spans="2:3" ht="15.75" customHeight="1" x14ac:dyDescent="0.25">
      <c r="B801" s="29"/>
      <c r="C801" s="29"/>
    </row>
    <row r="802" spans="2:3" ht="15.75" customHeight="1" x14ac:dyDescent="0.25">
      <c r="B802" s="29"/>
      <c r="C802" s="29"/>
    </row>
    <row r="803" spans="2:3" ht="15.75" customHeight="1" x14ac:dyDescent="0.25">
      <c r="B803" s="29"/>
      <c r="C803" s="29"/>
    </row>
    <row r="804" spans="2:3" ht="15.75" customHeight="1" x14ac:dyDescent="0.25">
      <c r="B804" s="29"/>
      <c r="C804" s="29"/>
    </row>
    <row r="805" spans="2:3" ht="15.75" customHeight="1" x14ac:dyDescent="0.25">
      <c r="B805" s="29"/>
      <c r="C805" s="29"/>
    </row>
    <row r="806" spans="2:3" ht="15.75" customHeight="1" x14ac:dyDescent="0.25">
      <c r="B806" s="29"/>
      <c r="C806" s="29"/>
    </row>
    <row r="807" spans="2:3" ht="15.75" customHeight="1" x14ac:dyDescent="0.25">
      <c r="B807" s="29"/>
      <c r="C807" s="29"/>
    </row>
    <row r="808" spans="2:3" ht="15.75" customHeight="1" x14ac:dyDescent="0.25">
      <c r="B808" s="29"/>
      <c r="C808" s="29"/>
    </row>
    <row r="809" spans="2:3" ht="15.75" customHeight="1" x14ac:dyDescent="0.25">
      <c r="B809" s="29"/>
      <c r="C809" s="29"/>
    </row>
    <row r="810" spans="2:3" ht="15.75" customHeight="1" x14ac:dyDescent="0.25">
      <c r="B810" s="29"/>
      <c r="C810" s="29"/>
    </row>
    <row r="811" spans="2:3" ht="15.75" customHeight="1" x14ac:dyDescent="0.25">
      <c r="B811" s="29"/>
      <c r="C811" s="29"/>
    </row>
    <row r="812" spans="2:3" ht="15.75" customHeight="1" x14ac:dyDescent="0.25">
      <c r="B812" s="29"/>
      <c r="C812" s="29"/>
    </row>
    <row r="813" spans="2:3" ht="15.75" customHeight="1" x14ac:dyDescent="0.25">
      <c r="B813" s="29"/>
      <c r="C813" s="29"/>
    </row>
    <row r="814" spans="2:3" ht="15.75" customHeight="1" x14ac:dyDescent="0.25">
      <c r="B814" s="29"/>
      <c r="C814" s="29"/>
    </row>
    <row r="815" spans="2:3" ht="15.75" customHeight="1" x14ac:dyDescent="0.25">
      <c r="B815" s="29"/>
      <c r="C815" s="29"/>
    </row>
    <row r="816" spans="2:3" ht="15.75" customHeight="1" x14ac:dyDescent="0.25">
      <c r="B816" s="29"/>
      <c r="C816" s="29"/>
    </row>
    <row r="817" spans="2:3" ht="15.75" customHeight="1" x14ac:dyDescent="0.25">
      <c r="B817" s="29"/>
      <c r="C817" s="29"/>
    </row>
    <row r="818" spans="2:3" ht="15.75" customHeight="1" x14ac:dyDescent="0.25">
      <c r="B818" s="29"/>
      <c r="C818" s="29"/>
    </row>
    <row r="819" spans="2:3" ht="15.75" customHeight="1" x14ac:dyDescent="0.25">
      <c r="B819" s="29"/>
      <c r="C819" s="29"/>
    </row>
    <row r="820" spans="2:3" ht="15.75" customHeight="1" x14ac:dyDescent="0.25">
      <c r="B820" s="29"/>
      <c r="C820" s="29"/>
    </row>
    <row r="821" spans="2:3" ht="15.75" customHeight="1" x14ac:dyDescent="0.25">
      <c r="B821" s="29"/>
      <c r="C821" s="29"/>
    </row>
    <row r="822" spans="2:3" ht="15.75" customHeight="1" x14ac:dyDescent="0.25">
      <c r="B822" s="29"/>
      <c r="C822" s="29"/>
    </row>
    <row r="823" spans="2:3" ht="15.75" customHeight="1" x14ac:dyDescent="0.25">
      <c r="B823" s="29"/>
      <c r="C823" s="29"/>
    </row>
    <row r="824" spans="2:3" ht="15.75" customHeight="1" x14ac:dyDescent="0.25">
      <c r="B824" s="29"/>
      <c r="C824" s="29"/>
    </row>
    <row r="825" spans="2:3" ht="15.75" customHeight="1" x14ac:dyDescent="0.25">
      <c r="B825" s="29"/>
      <c r="C825" s="29"/>
    </row>
    <row r="826" spans="2:3" ht="15.75" customHeight="1" x14ac:dyDescent="0.25">
      <c r="B826" s="29"/>
      <c r="C826" s="29"/>
    </row>
    <row r="827" spans="2:3" ht="15.75" customHeight="1" x14ac:dyDescent="0.25">
      <c r="B827" s="29"/>
      <c r="C827" s="29"/>
    </row>
    <row r="828" spans="2:3" ht="15.75" customHeight="1" x14ac:dyDescent="0.25">
      <c r="B828" s="29"/>
      <c r="C828" s="29"/>
    </row>
    <row r="829" spans="2:3" ht="15.75" customHeight="1" x14ac:dyDescent="0.25">
      <c r="B829" s="29"/>
      <c r="C829" s="29"/>
    </row>
    <row r="830" spans="2:3" ht="15.75" customHeight="1" x14ac:dyDescent="0.25">
      <c r="B830" s="29"/>
      <c r="C830" s="29"/>
    </row>
    <row r="831" spans="2:3" ht="15.75" customHeight="1" x14ac:dyDescent="0.25">
      <c r="B831" s="29"/>
      <c r="C831" s="29"/>
    </row>
    <row r="832" spans="2:3" ht="15.75" customHeight="1" x14ac:dyDescent="0.25">
      <c r="B832" s="29"/>
      <c r="C832" s="29"/>
    </row>
    <row r="833" spans="2:3" ht="15.75" customHeight="1" x14ac:dyDescent="0.25">
      <c r="B833" s="29"/>
      <c r="C833" s="29"/>
    </row>
    <row r="834" spans="2:3" ht="15.75" customHeight="1" x14ac:dyDescent="0.25">
      <c r="B834" s="29"/>
      <c r="C834" s="29"/>
    </row>
    <row r="835" spans="2:3" ht="15.75" customHeight="1" x14ac:dyDescent="0.25">
      <c r="B835" s="29"/>
      <c r="C835" s="29"/>
    </row>
    <row r="836" spans="2:3" ht="15.75" customHeight="1" x14ac:dyDescent="0.25">
      <c r="B836" s="29"/>
      <c r="C836" s="29"/>
    </row>
    <row r="837" spans="2:3" ht="15.75" customHeight="1" x14ac:dyDescent="0.25">
      <c r="B837" s="29"/>
      <c r="C837" s="29"/>
    </row>
    <row r="838" spans="2:3" ht="15.75" customHeight="1" x14ac:dyDescent="0.25">
      <c r="B838" s="29"/>
      <c r="C838" s="29"/>
    </row>
    <row r="839" spans="2:3" ht="15.75" customHeight="1" x14ac:dyDescent="0.25">
      <c r="B839" s="29"/>
      <c r="C839" s="29"/>
    </row>
    <row r="840" spans="2:3" ht="15.75" customHeight="1" x14ac:dyDescent="0.25">
      <c r="B840" s="29"/>
      <c r="C840" s="29"/>
    </row>
    <row r="841" spans="2:3" ht="15.75" customHeight="1" x14ac:dyDescent="0.25">
      <c r="B841" s="29"/>
      <c r="C841" s="29"/>
    </row>
    <row r="842" spans="2:3" ht="15.75" customHeight="1" x14ac:dyDescent="0.25">
      <c r="B842" s="29"/>
      <c r="C842" s="29"/>
    </row>
    <row r="843" spans="2:3" ht="15.75" customHeight="1" x14ac:dyDescent="0.25">
      <c r="B843" s="29"/>
      <c r="C843" s="29"/>
    </row>
    <row r="844" spans="2:3" ht="15.75" customHeight="1" x14ac:dyDescent="0.25">
      <c r="B844" s="29"/>
      <c r="C844" s="29"/>
    </row>
    <row r="845" spans="2:3" ht="15.75" customHeight="1" x14ac:dyDescent="0.25">
      <c r="B845" s="29"/>
      <c r="C845" s="29"/>
    </row>
    <row r="846" spans="2:3" ht="15.75" customHeight="1" x14ac:dyDescent="0.25">
      <c r="B846" s="29"/>
      <c r="C846" s="29"/>
    </row>
    <row r="847" spans="2:3" ht="15.75" customHeight="1" x14ac:dyDescent="0.25">
      <c r="B847" s="29"/>
      <c r="C847" s="29"/>
    </row>
    <row r="848" spans="2:3" ht="15.75" customHeight="1" x14ac:dyDescent="0.25">
      <c r="B848" s="29"/>
      <c r="C848" s="29"/>
    </row>
    <row r="849" spans="2:3" ht="15.75" customHeight="1" x14ac:dyDescent="0.25">
      <c r="B849" s="29"/>
      <c r="C849" s="29"/>
    </row>
    <row r="850" spans="2:3" ht="15.75" customHeight="1" x14ac:dyDescent="0.25">
      <c r="B850" s="29"/>
      <c r="C850" s="29"/>
    </row>
    <row r="851" spans="2:3" ht="15.75" customHeight="1" x14ac:dyDescent="0.25">
      <c r="B851" s="29"/>
      <c r="C851" s="29"/>
    </row>
    <row r="852" spans="2:3" ht="15.75" customHeight="1" x14ac:dyDescent="0.25">
      <c r="B852" s="29"/>
      <c r="C852" s="29"/>
    </row>
    <row r="853" spans="2:3" ht="15.75" customHeight="1" x14ac:dyDescent="0.25">
      <c r="B853" s="29"/>
      <c r="C853" s="29"/>
    </row>
    <row r="854" spans="2:3" ht="15.75" customHeight="1" x14ac:dyDescent="0.25">
      <c r="B854" s="29"/>
      <c r="C854" s="29"/>
    </row>
    <row r="855" spans="2:3" ht="15.75" customHeight="1" x14ac:dyDescent="0.25">
      <c r="B855" s="29"/>
      <c r="C855" s="29"/>
    </row>
    <row r="856" spans="2:3" ht="15.75" customHeight="1" x14ac:dyDescent="0.25">
      <c r="B856" s="29"/>
      <c r="C856" s="29"/>
    </row>
    <row r="857" spans="2:3" ht="15.75" customHeight="1" x14ac:dyDescent="0.25">
      <c r="B857" s="29"/>
      <c r="C857" s="29"/>
    </row>
    <row r="858" spans="2:3" ht="15.75" customHeight="1" x14ac:dyDescent="0.25">
      <c r="B858" s="29"/>
      <c r="C858" s="29"/>
    </row>
    <row r="859" spans="2:3" ht="15.75" customHeight="1" x14ac:dyDescent="0.25">
      <c r="B859" s="29"/>
      <c r="C859" s="29"/>
    </row>
    <row r="860" spans="2:3" ht="15.75" customHeight="1" x14ac:dyDescent="0.25">
      <c r="B860" s="29"/>
      <c r="C860" s="29"/>
    </row>
    <row r="861" spans="2:3" ht="15.75" customHeight="1" x14ac:dyDescent="0.25">
      <c r="B861" s="29"/>
      <c r="C861" s="29"/>
    </row>
    <row r="862" spans="2:3" ht="15.75" customHeight="1" x14ac:dyDescent="0.25">
      <c r="B862" s="29"/>
      <c r="C862" s="29"/>
    </row>
    <row r="863" spans="2:3" ht="15.75" customHeight="1" x14ac:dyDescent="0.25">
      <c r="B863" s="29"/>
      <c r="C863" s="29"/>
    </row>
    <row r="864" spans="2:3" ht="15.75" customHeight="1" x14ac:dyDescent="0.25">
      <c r="B864" s="29"/>
      <c r="C864" s="29"/>
    </row>
    <row r="865" spans="2:3" ht="15.75" customHeight="1" x14ac:dyDescent="0.25">
      <c r="B865" s="29"/>
      <c r="C865" s="29"/>
    </row>
    <row r="866" spans="2:3" ht="15.75" customHeight="1" x14ac:dyDescent="0.25">
      <c r="B866" s="29"/>
      <c r="C866" s="29"/>
    </row>
    <row r="867" spans="2:3" ht="15.75" customHeight="1" x14ac:dyDescent="0.25">
      <c r="B867" s="29"/>
      <c r="C867" s="29"/>
    </row>
    <row r="868" spans="2:3" ht="15.75" customHeight="1" x14ac:dyDescent="0.25">
      <c r="B868" s="29"/>
      <c r="C868" s="29"/>
    </row>
    <row r="869" spans="2:3" ht="15.75" customHeight="1" x14ac:dyDescent="0.25">
      <c r="B869" s="29"/>
      <c r="C869" s="29"/>
    </row>
    <row r="870" spans="2:3" ht="15.75" customHeight="1" x14ac:dyDescent="0.25">
      <c r="B870" s="29"/>
      <c r="C870" s="29"/>
    </row>
    <row r="871" spans="2:3" ht="15.75" customHeight="1" x14ac:dyDescent="0.25">
      <c r="B871" s="29"/>
      <c r="C871" s="29"/>
    </row>
    <row r="872" spans="2:3" ht="15.75" customHeight="1" x14ac:dyDescent="0.25">
      <c r="B872" s="29"/>
      <c r="C872" s="29"/>
    </row>
    <row r="873" spans="2:3" ht="15.75" customHeight="1" x14ac:dyDescent="0.25">
      <c r="B873" s="29"/>
      <c r="C873" s="29"/>
    </row>
    <row r="874" spans="2:3" ht="15.75" customHeight="1" x14ac:dyDescent="0.25">
      <c r="B874" s="29"/>
      <c r="C874" s="29"/>
    </row>
    <row r="875" spans="2:3" ht="15.75" customHeight="1" x14ac:dyDescent="0.25">
      <c r="B875" s="29"/>
      <c r="C875" s="29"/>
    </row>
    <row r="876" spans="2:3" ht="15.75" customHeight="1" x14ac:dyDescent="0.25">
      <c r="B876" s="29"/>
      <c r="C876" s="29"/>
    </row>
    <row r="877" spans="2:3" ht="15.75" customHeight="1" x14ac:dyDescent="0.25">
      <c r="B877" s="29"/>
      <c r="C877" s="29"/>
    </row>
    <row r="878" spans="2:3" ht="15.75" customHeight="1" x14ac:dyDescent="0.25">
      <c r="B878" s="29"/>
      <c r="C878" s="29"/>
    </row>
    <row r="879" spans="2:3" ht="15.75" customHeight="1" x14ac:dyDescent="0.25">
      <c r="B879" s="29"/>
      <c r="C879" s="29"/>
    </row>
    <row r="880" spans="2:3" ht="15.75" customHeight="1" x14ac:dyDescent="0.25">
      <c r="B880" s="29"/>
      <c r="C880" s="29"/>
    </row>
    <row r="881" spans="2:3" ht="15.75" customHeight="1" x14ac:dyDescent="0.25">
      <c r="B881" s="29"/>
      <c r="C881" s="29"/>
    </row>
    <row r="882" spans="2:3" ht="15.75" customHeight="1" x14ac:dyDescent="0.25">
      <c r="B882" s="29"/>
      <c r="C882" s="29"/>
    </row>
    <row r="883" spans="2:3" ht="15.75" customHeight="1" x14ac:dyDescent="0.25">
      <c r="B883" s="29"/>
      <c r="C883" s="29"/>
    </row>
    <row r="884" spans="2:3" ht="15.75" customHeight="1" x14ac:dyDescent="0.25">
      <c r="B884" s="29"/>
      <c r="C884" s="29"/>
    </row>
    <row r="885" spans="2:3" ht="15.75" customHeight="1" x14ac:dyDescent="0.25">
      <c r="B885" s="29"/>
      <c r="C885" s="29"/>
    </row>
    <row r="886" spans="2:3" ht="15.75" customHeight="1" x14ac:dyDescent="0.25">
      <c r="B886" s="29"/>
      <c r="C886" s="29"/>
    </row>
    <row r="887" spans="2:3" ht="15.75" customHeight="1" x14ac:dyDescent="0.25">
      <c r="B887" s="29"/>
      <c r="C887" s="29"/>
    </row>
    <row r="888" spans="2:3" ht="15.75" customHeight="1" x14ac:dyDescent="0.25">
      <c r="B888" s="29"/>
      <c r="C888" s="29"/>
    </row>
    <row r="889" spans="2:3" ht="15.75" customHeight="1" x14ac:dyDescent="0.25">
      <c r="B889" s="29"/>
      <c r="C889" s="29"/>
    </row>
    <row r="890" spans="2:3" ht="15.75" customHeight="1" x14ac:dyDescent="0.25">
      <c r="B890" s="29"/>
      <c r="C890" s="29"/>
    </row>
    <row r="891" spans="2:3" ht="15.75" customHeight="1" x14ac:dyDescent="0.25">
      <c r="B891" s="29"/>
      <c r="C891" s="29"/>
    </row>
    <row r="892" spans="2:3" ht="15.75" customHeight="1" x14ac:dyDescent="0.25">
      <c r="B892" s="29"/>
      <c r="C892" s="29"/>
    </row>
    <row r="893" spans="2:3" ht="15.75" customHeight="1" x14ac:dyDescent="0.25">
      <c r="B893" s="29"/>
      <c r="C893" s="29"/>
    </row>
    <row r="894" spans="2:3" ht="15.75" customHeight="1" x14ac:dyDescent="0.25">
      <c r="B894" s="29"/>
      <c r="C894" s="29"/>
    </row>
    <row r="895" spans="2:3" ht="15.75" customHeight="1" x14ac:dyDescent="0.25">
      <c r="B895" s="29"/>
      <c r="C895" s="29"/>
    </row>
    <row r="896" spans="2:3" ht="15.75" customHeight="1" x14ac:dyDescent="0.25">
      <c r="B896" s="29"/>
      <c r="C896" s="29"/>
    </row>
    <row r="897" spans="2:3" ht="15.75" customHeight="1" x14ac:dyDescent="0.25">
      <c r="B897" s="29"/>
      <c r="C897" s="29"/>
    </row>
    <row r="898" spans="2:3" ht="15.75" customHeight="1" x14ac:dyDescent="0.25">
      <c r="B898" s="29"/>
      <c r="C898" s="29"/>
    </row>
    <row r="899" spans="2:3" ht="15.75" customHeight="1" x14ac:dyDescent="0.25">
      <c r="B899" s="29"/>
      <c r="C899" s="29"/>
    </row>
    <row r="900" spans="2:3" ht="15.75" customHeight="1" x14ac:dyDescent="0.25">
      <c r="B900" s="29"/>
      <c r="C900" s="29"/>
    </row>
    <row r="901" spans="2:3" ht="15.75" customHeight="1" x14ac:dyDescent="0.25">
      <c r="B901" s="29"/>
      <c r="C901" s="29"/>
    </row>
    <row r="902" spans="2:3" ht="15.75" customHeight="1" x14ac:dyDescent="0.25">
      <c r="B902" s="29"/>
      <c r="C902" s="29"/>
    </row>
    <row r="903" spans="2:3" ht="15.75" customHeight="1" x14ac:dyDescent="0.25">
      <c r="B903" s="29"/>
      <c r="C903" s="29"/>
    </row>
    <row r="904" spans="2:3" ht="15.75" customHeight="1" x14ac:dyDescent="0.25">
      <c r="B904" s="29"/>
      <c r="C904" s="29"/>
    </row>
    <row r="905" spans="2:3" ht="15.75" customHeight="1" x14ac:dyDescent="0.25">
      <c r="B905" s="29"/>
      <c r="C905" s="29"/>
    </row>
    <row r="906" spans="2:3" ht="15.75" customHeight="1" x14ac:dyDescent="0.25">
      <c r="B906" s="29"/>
      <c r="C906" s="29"/>
    </row>
    <row r="907" spans="2:3" ht="15.75" customHeight="1" x14ac:dyDescent="0.25">
      <c r="B907" s="29"/>
      <c r="C907" s="29"/>
    </row>
    <row r="908" spans="2:3" ht="15.75" customHeight="1" x14ac:dyDescent="0.25">
      <c r="B908" s="29"/>
      <c r="C908" s="29"/>
    </row>
    <row r="909" spans="2:3" ht="15.75" customHeight="1" x14ac:dyDescent="0.25">
      <c r="B909" s="29"/>
      <c r="C909" s="29"/>
    </row>
    <row r="910" spans="2:3" ht="15.75" customHeight="1" x14ac:dyDescent="0.25">
      <c r="B910" s="29"/>
      <c r="C910" s="29"/>
    </row>
    <row r="911" spans="2:3" ht="15.75" customHeight="1" x14ac:dyDescent="0.25">
      <c r="B911" s="29"/>
      <c r="C911" s="29"/>
    </row>
    <row r="912" spans="2:3" ht="15.75" customHeight="1" x14ac:dyDescent="0.25">
      <c r="B912" s="29"/>
      <c r="C912" s="29"/>
    </row>
    <row r="913" spans="2:3" ht="15.75" customHeight="1" x14ac:dyDescent="0.25">
      <c r="B913" s="29"/>
      <c r="C913" s="29"/>
    </row>
    <row r="914" spans="2:3" ht="15.75" customHeight="1" x14ac:dyDescent="0.25">
      <c r="B914" s="29"/>
      <c r="C914" s="29"/>
    </row>
    <row r="915" spans="2:3" ht="15.75" customHeight="1" x14ac:dyDescent="0.25">
      <c r="B915" s="29"/>
      <c r="C915" s="29"/>
    </row>
    <row r="916" spans="2:3" ht="15.75" customHeight="1" x14ac:dyDescent="0.25">
      <c r="B916" s="29"/>
      <c r="C916" s="29"/>
    </row>
    <row r="917" spans="2:3" ht="15.75" customHeight="1" x14ac:dyDescent="0.25">
      <c r="B917" s="29"/>
      <c r="C917" s="29"/>
    </row>
    <row r="918" spans="2:3" ht="15.75" customHeight="1" x14ac:dyDescent="0.25">
      <c r="B918" s="29"/>
      <c r="C918" s="29"/>
    </row>
    <row r="919" spans="2:3" ht="15.75" customHeight="1" x14ac:dyDescent="0.25">
      <c r="B919" s="29"/>
      <c r="C919" s="29"/>
    </row>
    <row r="920" spans="2:3" ht="15.75" customHeight="1" x14ac:dyDescent="0.25">
      <c r="B920" s="29"/>
      <c r="C920" s="29"/>
    </row>
    <row r="921" spans="2:3" ht="15.75" customHeight="1" x14ac:dyDescent="0.25">
      <c r="B921" s="29"/>
      <c r="C921" s="29"/>
    </row>
    <row r="922" spans="2:3" ht="15.75" customHeight="1" x14ac:dyDescent="0.25">
      <c r="B922" s="29"/>
      <c r="C922" s="29"/>
    </row>
    <row r="923" spans="2:3" ht="15.75" customHeight="1" x14ac:dyDescent="0.25">
      <c r="B923" s="29"/>
      <c r="C923" s="29"/>
    </row>
    <row r="924" spans="2:3" ht="15.75" customHeight="1" x14ac:dyDescent="0.25">
      <c r="B924" s="29"/>
      <c r="C924" s="29"/>
    </row>
    <row r="925" spans="2:3" ht="15.75" customHeight="1" x14ac:dyDescent="0.25">
      <c r="B925" s="29"/>
      <c r="C925" s="29"/>
    </row>
    <row r="926" spans="2:3" ht="15.75" customHeight="1" x14ac:dyDescent="0.25">
      <c r="B926" s="29"/>
      <c r="C926" s="29"/>
    </row>
    <row r="927" spans="2:3" ht="15.75" customHeight="1" x14ac:dyDescent="0.25">
      <c r="B927" s="29"/>
      <c r="C927" s="29"/>
    </row>
    <row r="928" spans="2:3" ht="15.75" customHeight="1" x14ac:dyDescent="0.25">
      <c r="B928" s="29"/>
      <c r="C928" s="29"/>
    </row>
    <row r="929" spans="2:3" ht="15.75" customHeight="1" x14ac:dyDescent="0.25">
      <c r="B929" s="29"/>
      <c r="C929" s="29"/>
    </row>
    <row r="930" spans="2:3" ht="15.75" customHeight="1" x14ac:dyDescent="0.25">
      <c r="B930" s="29"/>
      <c r="C930" s="29"/>
    </row>
    <row r="931" spans="2:3" ht="15.75" customHeight="1" x14ac:dyDescent="0.25">
      <c r="B931" s="29"/>
      <c r="C931" s="29"/>
    </row>
    <row r="932" spans="2:3" ht="15.75" customHeight="1" x14ac:dyDescent="0.25">
      <c r="B932" s="29"/>
      <c r="C932" s="29"/>
    </row>
    <row r="933" spans="2:3" ht="15.75" customHeight="1" x14ac:dyDescent="0.25">
      <c r="B933" s="29"/>
      <c r="C933" s="29"/>
    </row>
    <row r="934" spans="2:3" ht="15.75" customHeight="1" x14ac:dyDescent="0.25">
      <c r="B934" s="29"/>
      <c r="C934" s="29"/>
    </row>
    <row r="935" spans="2:3" ht="15.75" customHeight="1" x14ac:dyDescent="0.25">
      <c r="B935" s="29"/>
      <c r="C935" s="29"/>
    </row>
    <row r="936" spans="2:3" ht="15.75" customHeight="1" x14ac:dyDescent="0.25">
      <c r="B936" s="29"/>
      <c r="C936" s="29"/>
    </row>
    <row r="937" spans="2:3" ht="15.75" customHeight="1" x14ac:dyDescent="0.25">
      <c r="B937" s="29"/>
      <c r="C937" s="29"/>
    </row>
    <row r="938" spans="2:3" ht="15.75" customHeight="1" x14ac:dyDescent="0.25">
      <c r="B938" s="29"/>
      <c r="C938" s="29"/>
    </row>
    <row r="939" spans="2:3" ht="15.75" customHeight="1" x14ac:dyDescent="0.25">
      <c r="B939" s="29"/>
      <c r="C939" s="29"/>
    </row>
    <row r="940" spans="2:3" ht="15.75" customHeight="1" x14ac:dyDescent="0.25">
      <c r="B940" s="29"/>
      <c r="C940" s="29"/>
    </row>
    <row r="941" spans="2:3" ht="15.75" customHeight="1" x14ac:dyDescent="0.25">
      <c r="B941" s="29"/>
      <c r="C941" s="29"/>
    </row>
    <row r="942" spans="2:3" ht="15.75" customHeight="1" x14ac:dyDescent="0.25">
      <c r="B942" s="29"/>
      <c r="C942" s="29"/>
    </row>
    <row r="943" spans="2:3" ht="15.75" customHeight="1" x14ac:dyDescent="0.25">
      <c r="B943" s="29"/>
      <c r="C943" s="29"/>
    </row>
    <row r="944" spans="2:3" ht="15.75" customHeight="1" x14ac:dyDescent="0.25">
      <c r="B944" s="29"/>
      <c r="C944" s="29"/>
    </row>
    <row r="945" spans="2:3" ht="15.75" customHeight="1" x14ac:dyDescent="0.25">
      <c r="B945" s="29"/>
      <c r="C945" s="29"/>
    </row>
    <row r="946" spans="2:3" ht="15.75" customHeight="1" x14ac:dyDescent="0.25">
      <c r="B946" s="29"/>
      <c r="C946" s="29"/>
    </row>
    <row r="947" spans="2:3" ht="15.75" customHeight="1" x14ac:dyDescent="0.25">
      <c r="B947" s="29"/>
      <c r="C947" s="29"/>
    </row>
    <row r="948" spans="2:3" ht="15.75" customHeight="1" x14ac:dyDescent="0.25">
      <c r="B948" s="29"/>
      <c r="C948" s="29"/>
    </row>
    <row r="949" spans="2:3" ht="15.75" customHeight="1" x14ac:dyDescent="0.25">
      <c r="B949" s="29"/>
      <c r="C949" s="29"/>
    </row>
    <row r="950" spans="2:3" ht="15.75" customHeight="1" x14ac:dyDescent="0.25">
      <c r="B950" s="29"/>
      <c r="C950" s="29"/>
    </row>
    <row r="951" spans="2:3" ht="15.75" customHeight="1" x14ac:dyDescent="0.25">
      <c r="B951" s="29"/>
      <c r="C951" s="29"/>
    </row>
    <row r="952" spans="2:3" ht="15.75" customHeight="1" x14ac:dyDescent="0.25">
      <c r="B952" s="29"/>
      <c r="C952" s="29"/>
    </row>
    <row r="953" spans="2:3" ht="15.75" customHeight="1" x14ac:dyDescent="0.25">
      <c r="B953" s="29"/>
      <c r="C953" s="29"/>
    </row>
    <row r="954" spans="2:3" ht="15.75" customHeight="1" x14ac:dyDescent="0.25">
      <c r="B954" s="29"/>
      <c r="C954" s="29"/>
    </row>
    <row r="955" spans="2:3" ht="15.75" customHeight="1" x14ac:dyDescent="0.25">
      <c r="B955" s="29"/>
      <c r="C955" s="29"/>
    </row>
    <row r="956" spans="2:3" ht="15.75" customHeight="1" x14ac:dyDescent="0.25">
      <c r="B956" s="29"/>
      <c r="C956" s="29"/>
    </row>
    <row r="957" spans="2:3" ht="15.75" customHeight="1" x14ac:dyDescent="0.25">
      <c r="B957" s="29"/>
      <c r="C957" s="29"/>
    </row>
    <row r="958" spans="2:3" ht="15.75" customHeight="1" x14ac:dyDescent="0.25">
      <c r="B958" s="29"/>
      <c r="C958" s="29"/>
    </row>
    <row r="959" spans="2:3" ht="15.75" customHeight="1" x14ac:dyDescent="0.25">
      <c r="B959" s="29"/>
      <c r="C959" s="29"/>
    </row>
    <row r="960" spans="2:3" ht="15.75" customHeight="1" x14ac:dyDescent="0.25">
      <c r="B960" s="29"/>
      <c r="C960" s="29"/>
    </row>
    <row r="961" spans="2:3" ht="15.75" customHeight="1" x14ac:dyDescent="0.25">
      <c r="B961" s="29"/>
      <c r="C961" s="29"/>
    </row>
    <row r="962" spans="2:3" ht="15.75" customHeight="1" x14ac:dyDescent="0.25">
      <c r="B962" s="29"/>
      <c r="C962" s="29"/>
    </row>
    <row r="963" spans="2:3" ht="15.75" customHeight="1" x14ac:dyDescent="0.25">
      <c r="B963" s="29"/>
      <c r="C963" s="29"/>
    </row>
    <row r="964" spans="2:3" ht="15.75" customHeight="1" x14ac:dyDescent="0.25">
      <c r="B964" s="29"/>
      <c r="C964" s="29"/>
    </row>
    <row r="965" spans="2:3" ht="15.75" customHeight="1" x14ac:dyDescent="0.25">
      <c r="B965" s="29"/>
      <c r="C965" s="29"/>
    </row>
    <row r="966" spans="2:3" ht="15.75" customHeight="1" x14ac:dyDescent="0.25">
      <c r="B966" s="29"/>
      <c r="C966" s="29"/>
    </row>
    <row r="967" spans="2:3" ht="15.75" customHeight="1" x14ac:dyDescent="0.25">
      <c r="B967" s="29"/>
      <c r="C967" s="29"/>
    </row>
    <row r="968" spans="2:3" ht="15.75" customHeight="1" x14ac:dyDescent="0.25">
      <c r="B968" s="29"/>
      <c r="C968" s="29"/>
    </row>
    <row r="969" spans="2:3" ht="15.75" customHeight="1" x14ac:dyDescent="0.25">
      <c r="B969" s="29"/>
      <c r="C969" s="29"/>
    </row>
    <row r="970" spans="2:3" ht="15.75" customHeight="1" x14ac:dyDescent="0.25">
      <c r="B970" s="29"/>
      <c r="C970" s="29"/>
    </row>
    <row r="971" spans="2:3" ht="15.75" customHeight="1" x14ac:dyDescent="0.25">
      <c r="B971" s="29"/>
      <c r="C971" s="29"/>
    </row>
    <row r="972" spans="2:3" ht="15.75" customHeight="1" x14ac:dyDescent="0.25">
      <c r="B972" s="29"/>
      <c r="C972" s="29"/>
    </row>
    <row r="973" spans="2:3" ht="15.75" customHeight="1" x14ac:dyDescent="0.25">
      <c r="B973" s="29"/>
      <c r="C973" s="29"/>
    </row>
    <row r="974" spans="2:3" ht="15.75" customHeight="1" x14ac:dyDescent="0.25">
      <c r="B974" s="29"/>
      <c r="C974" s="29"/>
    </row>
    <row r="975" spans="2:3" ht="15.75" customHeight="1" x14ac:dyDescent="0.25">
      <c r="B975" s="29"/>
      <c r="C975" s="29"/>
    </row>
    <row r="976" spans="2:3" ht="15.75" customHeight="1" x14ac:dyDescent="0.25">
      <c r="B976" s="29"/>
      <c r="C976" s="29"/>
    </row>
    <row r="977" spans="2:3" ht="15.75" customHeight="1" x14ac:dyDescent="0.25">
      <c r="B977" s="29"/>
      <c r="C977" s="29"/>
    </row>
    <row r="978" spans="2:3" ht="15.75" customHeight="1" x14ac:dyDescent="0.25">
      <c r="B978" s="29"/>
      <c r="C978" s="29"/>
    </row>
    <row r="979" spans="2:3" ht="15.75" customHeight="1" x14ac:dyDescent="0.25">
      <c r="B979" s="29"/>
      <c r="C979" s="29"/>
    </row>
    <row r="980" spans="2:3" ht="15.75" customHeight="1" x14ac:dyDescent="0.25">
      <c r="B980" s="29"/>
      <c r="C980" s="29"/>
    </row>
    <row r="981" spans="2:3" ht="15.75" customHeight="1" x14ac:dyDescent="0.25">
      <c r="B981" s="29"/>
      <c r="C981" s="29"/>
    </row>
    <row r="982" spans="2:3" ht="15.75" customHeight="1" x14ac:dyDescent="0.25">
      <c r="B982" s="29"/>
      <c r="C982" s="29"/>
    </row>
    <row r="983" spans="2:3" ht="15.75" customHeight="1" x14ac:dyDescent="0.25">
      <c r="B983" s="29"/>
      <c r="C983" s="29"/>
    </row>
    <row r="984" spans="2:3" ht="15.75" customHeight="1" x14ac:dyDescent="0.25">
      <c r="B984" s="29"/>
      <c r="C984" s="29"/>
    </row>
    <row r="985" spans="2:3" ht="15.75" customHeight="1" x14ac:dyDescent="0.25">
      <c r="B985" s="29"/>
      <c r="C985" s="29"/>
    </row>
    <row r="986" spans="2:3" ht="15.75" customHeight="1" x14ac:dyDescent="0.25">
      <c r="B986" s="29"/>
      <c r="C986" s="29"/>
    </row>
    <row r="987" spans="2:3" ht="15.75" customHeight="1" x14ac:dyDescent="0.25">
      <c r="B987" s="29"/>
      <c r="C987" s="29"/>
    </row>
    <row r="988" spans="2:3" ht="15.75" customHeight="1" x14ac:dyDescent="0.25">
      <c r="B988" s="29"/>
      <c r="C988" s="29"/>
    </row>
    <row r="989" spans="2:3" ht="15.75" customHeight="1" x14ac:dyDescent="0.25">
      <c r="B989" s="29"/>
      <c r="C989" s="29"/>
    </row>
    <row r="990" spans="2:3" ht="15.75" customHeight="1" x14ac:dyDescent="0.25">
      <c r="B990" s="29"/>
      <c r="C990" s="29"/>
    </row>
    <row r="991" spans="2:3" ht="15.75" customHeight="1" x14ac:dyDescent="0.25">
      <c r="B991" s="29"/>
      <c r="C991" s="29"/>
    </row>
    <row r="992" spans="2:3" ht="15.75" customHeight="1" x14ac:dyDescent="0.25">
      <c r="B992" s="29"/>
      <c r="C992" s="29"/>
    </row>
    <row r="993" spans="2:3" ht="15.75" customHeight="1" x14ac:dyDescent="0.25">
      <c r="B993" s="29"/>
      <c r="C993" s="29"/>
    </row>
    <row r="994" spans="2:3" ht="15.75" customHeight="1" x14ac:dyDescent="0.25">
      <c r="B994" s="29"/>
      <c r="C994" s="29"/>
    </row>
    <row r="995" spans="2:3" ht="15.75" customHeight="1" x14ac:dyDescent="0.25">
      <c r="B995" s="29"/>
      <c r="C995" s="29"/>
    </row>
    <row r="996" spans="2:3" ht="15.75" customHeight="1" x14ac:dyDescent="0.25">
      <c r="B996" s="29"/>
      <c r="C996" s="29"/>
    </row>
    <row r="997" spans="2:3" ht="15.75" customHeight="1" x14ac:dyDescent="0.25">
      <c r="B997" s="29"/>
      <c r="C997" s="29"/>
    </row>
    <row r="998" spans="2:3" ht="15.75" customHeight="1" x14ac:dyDescent="0.25">
      <c r="B998" s="29"/>
      <c r="C998" s="29"/>
    </row>
    <row r="999" spans="2:3" ht="15.75" customHeight="1" x14ac:dyDescent="0.25">
      <c r="B999" s="29"/>
      <c r="C999" s="29"/>
    </row>
    <row r="1000" spans="2:3" ht="15.75" customHeight="1" x14ac:dyDescent="0.25">
      <c r="B1000" s="29"/>
      <c r="C1000" s="29"/>
    </row>
  </sheetData>
  <pageMargins left="0.7" right="0.7" top="0.75" bottom="0.75" header="0" footer="0"/>
  <pageSetup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Z1006"/>
  <sheetViews>
    <sheetView topLeftCell="A253" zoomScale="95" zoomScaleNormal="95" workbookViewId="0">
      <selection activeCell="B267" sqref="B267:D271"/>
    </sheetView>
  </sheetViews>
  <sheetFormatPr defaultColWidth="14.42578125" defaultRowHeight="15" customHeight="1" x14ac:dyDescent="0.25"/>
  <cols>
    <col min="1" max="1" width="9.140625" customWidth="1"/>
    <col min="2" max="2" width="16.85546875" customWidth="1"/>
    <col min="3" max="3" width="5.140625" customWidth="1"/>
    <col min="4" max="4" width="21.5703125" customWidth="1"/>
    <col min="5" max="5" width="6" customWidth="1"/>
    <col min="6" max="6" width="66.42578125" bestFit="1" customWidth="1"/>
    <col min="7" max="7" width="30" customWidth="1"/>
    <col min="8" max="8" width="9.7109375" customWidth="1"/>
    <col min="9" max="9" width="11.85546875" bestFit="1" customWidth="1"/>
    <col min="10" max="10" width="48.7109375" customWidth="1"/>
    <col min="11" max="12" width="18.28515625" customWidth="1"/>
    <col min="13" max="13" width="11.5703125" customWidth="1"/>
    <col min="14" max="14" width="2.85546875" customWidth="1"/>
    <col min="15" max="15" width="15.5703125" customWidth="1"/>
    <col min="16" max="16" width="18.28515625" customWidth="1"/>
    <col min="17" max="17" width="28.7109375" customWidth="1"/>
    <col min="18" max="18" width="20.5703125" customWidth="1"/>
    <col min="19" max="26" width="8.7109375" customWidth="1"/>
  </cols>
  <sheetData>
    <row r="1" spans="1:26" x14ac:dyDescent="0.25">
      <c r="A1" s="11"/>
      <c r="B1" s="30"/>
      <c r="C1" s="30"/>
      <c r="D1" s="11"/>
      <c r="E1" s="11"/>
      <c r="F1" s="11"/>
      <c r="G1" s="11"/>
      <c r="H1" s="11"/>
      <c r="I1" s="11"/>
      <c r="J1" s="11"/>
      <c r="K1" s="11"/>
      <c r="L1" s="11"/>
      <c r="M1" s="11"/>
      <c r="N1" s="11"/>
      <c r="O1" s="11"/>
      <c r="P1" s="11"/>
      <c r="Q1" s="11"/>
      <c r="R1" s="11"/>
      <c r="S1" s="11"/>
      <c r="T1" s="11"/>
      <c r="U1" s="11"/>
      <c r="V1" s="11"/>
      <c r="W1" s="11"/>
      <c r="X1" s="11"/>
      <c r="Y1" s="11"/>
      <c r="Z1" s="11"/>
    </row>
    <row r="2" spans="1:26" x14ac:dyDescent="0.25">
      <c r="A2" s="11" t="s">
        <v>14</v>
      </c>
      <c r="B2" s="30" t="s">
        <v>233</v>
      </c>
      <c r="C2" s="30"/>
      <c r="D2" s="11" t="s">
        <v>27</v>
      </c>
      <c r="E2" s="11" t="s">
        <v>28</v>
      </c>
      <c r="F2" s="31" t="s">
        <v>14</v>
      </c>
      <c r="G2" s="31" t="s">
        <v>234</v>
      </c>
      <c r="H2" s="31" t="s">
        <v>16</v>
      </c>
      <c r="I2" s="31" t="s">
        <v>17</v>
      </c>
      <c r="J2" s="31" t="s">
        <v>235</v>
      </c>
      <c r="K2" s="31" t="s">
        <v>236</v>
      </c>
      <c r="L2" s="32" t="s">
        <v>237</v>
      </c>
      <c r="M2" s="33" t="s">
        <v>238</v>
      </c>
      <c r="N2" s="11"/>
      <c r="O2" s="31" t="s">
        <v>239</v>
      </c>
      <c r="P2" s="31" t="s">
        <v>240</v>
      </c>
      <c r="Q2" s="31" t="s">
        <v>241</v>
      </c>
      <c r="R2" s="31" t="s">
        <v>13</v>
      </c>
      <c r="S2" s="11"/>
      <c r="T2" s="11"/>
      <c r="U2" s="11"/>
      <c r="V2" s="11"/>
      <c r="W2" s="11"/>
      <c r="X2" s="11"/>
      <c r="Y2" s="11"/>
      <c r="Z2" s="11"/>
    </row>
    <row r="3" spans="1:26" x14ac:dyDescent="0.25">
      <c r="A3" s="11">
        <v>900</v>
      </c>
      <c r="B3" s="22" t="s">
        <v>228</v>
      </c>
      <c r="C3" s="22"/>
      <c r="D3" s="11" t="s">
        <v>237</v>
      </c>
      <c r="E3" s="34">
        <v>45414</v>
      </c>
      <c r="F3" s="7">
        <v>1</v>
      </c>
      <c r="G3" s="35" t="s">
        <v>242</v>
      </c>
      <c r="H3" s="7">
        <v>3</v>
      </c>
      <c r="I3" s="7" t="s">
        <v>243</v>
      </c>
      <c r="J3" s="36">
        <v>36250000</v>
      </c>
      <c r="K3" s="37">
        <f t="shared" ref="K3:K8" si="0">J3*H3</f>
        <v>108750000</v>
      </c>
      <c r="L3" s="21" t="s">
        <v>244</v>
      </c>
      <c r="M3" s="7"/>
      <c r="N3" s="11"/>
      <c r="O3" s="37"/>
      <c r="P3" s="37">
        <f t="shared" ref="P3:P8" si="1">O3*H3</f>
        <v>0</v>
      </c>
      <c r="Q3" s="7"/>
      <c r="R3" s="35"/>
      <c r="S3" s="11"/>
      <c r="T3" s="11"/>
      <c r="U3" s="11"/>
      <c r="V3" s="11"/>
      <c r="W3" s="11"/>
      <c r="X3" s="11"/>
      <c r="Y3" s="11"/>
      <c r="Z3" s="11"/>
    </row>
    <row r="4" spans="1:26" x14ac:dyDescent="0.25">
      <c r="A4" s="11">
        <v>900</v>
      </c>
      <c r="B4" s="22" t="s">
        <v>228</v>
      </c>
      <c r="C4" s="22"/>
      <c r="D4" s="11" t="s">
        <v>245</v>
      </c>
      <c r="E4" s="34">
        <v>45414</v>
      </c>
      <c r="F4" s="7">
        <v>1</v>
      </c>
      <c r="G4" s="38" t="s">
        <v>246</v>
      </c>
      <c r="H4" s="9">
        <v>400</v>
      </c>
      <c r="I4" s="39" t="s">
        <v>247</v>
      </c>
      <c r="J4" s="37">
        <v>3000</v>
      </c>
      <c r="K4" s="37">
        <f t="shared" si="0"/>
        <v>1200000</v>
      </c>
      <c r="L4" s="40" t="s">
        <v>248</v>
      </c>
      <c r="M4" s="7"/>
      <c r="N4" s="11"/>
      <c r="O4" s="37">
        <v>2200</v>
      </c>
      <c r="P4" s="37">
        <f t="shared" si="1"/>
        <v>880000</v>
      </c>
      <c r="Q4" s="7" t="s">
        <v>249</v>
      </c>
      <c r="R4" s="35"/>
      <c r="S4" s="11"/>
      <c r="T4" s="11"/>
      <c r="U4" s="11"/>
      <c r="V4" s="11"/>
      <c r="W4" s="11"/>
      <c r="X4" s="11"/>
      <c r="Y4" s="11"/>
      <c r="Z4" s="11"/>
    </row>
    <row r="5" spans="1:26" ht="45" x14ac:dyDescent="0.25">
      <c r="A5" s="11"/>
      <c r="B5" s="22">
        <v>45402</v>
      </c>
      <c r="C5" s="22"/>
      <c r="D5" s="11" t="s">
        <v>245</v>
      </c>
      <c r="E5" s="11">
        <v>4714042306</v>
      </c>
      <c r="F5" s="7">
        <v>2</v>
      </c>
      <c r="G5" s="41" t="s">
        <v>250</v>
      </c>
      <c r="H5" s="9">
        <v>4</v>
      </c>
      <c r="I5" s="7" t="s">
        <v>251</v>
      </c>
      <c r="J5" s="37">
        <v>6000</v>
      </c>
      <c r="K5" s="37">
        <f t="shared" si="0"/>
        <v>24000</v>
      </c>
      <c r="L5" s="42" t="s">
        <v>252</v>
      </c>
      <c r="M5" s="7"/>
      <c r="N5" s="11"/>
      <c r="O5" s="37">
        <v>5000</v>
      </c>
      <c r="P5" s="37">
        <f t="shared" si="1"/>
        <v>20000</v>
      </c>
      <c r="Q5" s="7" t="s">
        <v>253</v>
      </c>
      <c r="R5" s="35" t="s">
        <v>254</v>
      </c>
      <c r="S5" s="11"/>
      <c r="T5" s="11"/>
      <c r="U5" s="11"/>
      <c r="V5" s="11"/>
      <c r="W5" s="11"/>
      <c r="X5" s="11"/>
      <c r="Y5" s="11"/>
      <c r="Z5" s="11"/>
    </row>
    <row r="6" spans="1:26" x14ac:dyDescent="0.25">
      <c r="A6" s="11"/>
      <c r="B6" s="22">
        <v>45402</v>
      </c>
      <c r="C6" s="22"/>
      <c r="D6" s="11" t="s">
        <v>245</v>
      </c>
      <c r="E6" s="11">
        <v>4714042306</v>
      </c>
      <c r="F6" s="7">
        <v>3</v>
      </c>
      <c r="G6" s="35" t="s">
        <v>255</v>
      </c>
      <c r="H6" s="9">
        <v>5</v>
      </c>
      <c r="I6" s="7" t="s">
        <v>247</v>
      </c>
      <c r="J6" s="37">
        <v>24000</v>
      </c>
      <c r="K6" s="37">
        <f t="shared" si="0"/>
        <v>120000</v>
      </c>
      <c r="L6" s="25"/>
      <c r="M6" s="7"/>
      <c r="N6" s="11"/>
      <c r="O6" s="37">
        <v>20000</v>
      </c>
      <c r="P6" s="37">
        <f t="shared" si="1"/>
        <v>100000</v>
      </c>
      <c r="Q6" s="7" t="s">
        <v>253</v>
      </c>
      <c r="R6" s="35" t="s">
        <v>256</v>
      </c>
      <c r="S6" s="11"/>
      <c r="T6" s="11"/>
      <c r="U6" s="11"/>
      <c r="V6" s="11"/>
      <c r="W6" s="11"/>
      <c r="X6" s="11"/>
      <c r="Y6" s="11"/>
      <c r="Z6" s="11"/>
    </row>
    <row r="7" spans="1:26" x14ac:dyDescent="0.25">
      <c r="A7" s="11"/>
      <c r="B7" s="22">
        <v>45406</v>
      </c>
      <c r="C7" s="22"/>
      <c r="D7" s="11" t="s">
        <v>257</v>
      </c>
      <c r="E7" s="11" t="s">
        <v>258</v>
      </c>
      <c r="F7" s="7">
        <v>1</v>
      </c>
      <c r="G7" s="35" t="s">
        <v>259</v>
      </c>
      <c r="H7" s="9">
        <v>1</v>
      </c>
      <c r="I7" s="7" t="s">
        <v>260</v>
      </c>
      <c r="J7" s="37">
        <v>195000</v>
      </c>
      <c r="K7" s="37">
        <f t="shared" si="0"/>
        <v>195000</v>
      </c>
      <c r="L7" s="25" t="s">
        <v>261</v>
      </c>
      <c r="M7" s="7">
        <v>0</v>
      </c>
      <c r="N7" s="11"/>
      <c r="O7" s="37"/>
      <c r="P7" s="37">
        <f t="shared" si="1"/>
        <v>0</v>
      </c>
      <c r="Q7" s="7"/>
      <c r="R7" s="35"/>
      <c r="S7" s="11"/>
      <c r="T7" s="11"/>
      <c r="U7" s="11"/>
      <c r="V7" s="11"/>
      <c r="W7" s="11"/>
      <c r="X7" s="11"/>
      <c r="Y7" s="11"/>
      <c r="Z7" s="11"/>
    </row>
    <row r="8" spans="1:26" x14ac:dyDescent="0.25">
      <c r="A8" s="11"/>
      <c r="B8" s="22">
        <v>45406</v>
      </c>
      <c r="C8" s="22"/>
      <c r="D8" s="11" t="s">
        <v>257</v>
      </c>
      <c r="E8" s="11" t="s">
        <v>262</v>
      </c>
      <c r="F8" s="7">
        <v>1</v>
      </c>
      <c r="G8" s="35" t="s">
        <v>263</v>
      </c>
      <c r="H8" s="9">
        <v>12</v>
      </c>
      <c r="I8" s="7" t="s">
        <v>260</v>
      </c>
      <c r="J8" s="37">
        <v>94576</v>
      </c>
      <c r="K8" s="37">
        <f t="shared" si="0"/>
        <v>1134912</v>
      </c>
      <c r="L8" s="25" t="s">
        <v>264</v>
      </c>
      <c r="M8" s="7">
        <v>8</v>
      </c>
      <c r="N8" s="11"/>
      <c r="O8" s="37"/>
      <c r="P8" s="37">
        <f t="shared" si="1"/>
        <v>0</v>
      </c>
      <c r="Q8" s="7"/>
      <c r="R8" s="35"/>
      <c r="S8" s="11"/>
      <c r="T8" s="11"/>
      <c r="U8" s="11"/>
      <c r="V8" s="11"/>
      <c r="W8" s="11"/>
      <c r="X8" s="11"/>
      <c r="Y8" s="11"/>
      <c r="Z8" s="11"/>
    </row>
    <row r="9" spans="1:26" x14ac:dyDescent="0.25">
      <c r="A9" s="11"/>
      <c r="B9" s="30"/>
      <c r="C9" s="30"/>
      <c r="D9" s="11"/>
      <c r="E9" s="11"/>
      <c r="F9" s="11"/>
      <c r="G9" s="11"/>
      <c r="H9" s="11"/>
      <c r="I9" s="11"/>
      <c r="J9" s="11"/>
      <c r="K9" s="11"/>
      <c r="L9" s="11"/>
      <c r="M9" s="11"/>
      <c r="N9" s="11"/>
      <c r="O9" s="11"/>
      <c r="P9" s="11"/>
      <c r="Q9" s="11"/>
      <c r="R9" s="11"/>
      <c r="S9" s="11"/>
      <c r="T9" s="11"/>
      <c r="U9" s="11"/>
      <c r="V9" s="11"/>
      <c r="W9" s="11"/>
      <c r="X9" s="11"/>
      <c r="Y9" s="11"/>
      <c r="Z9" s="11"/>
    </row>
    <row r="10" spans="1:26" x14ac:dyDescent="0.25">
      <c r="A10" s="11"/>
      <c r="B10" s="30"/>
      <c r="C10" s="30"/>
      <c r="D10" s="11"/>
      <c r="E10" s="11"/>
      <c r="F10" s="11"/>
      <c r="G10" s="11"/>
      <c r="H10" s="11"/>
      <c r="I10" s="11"/>
      <c r="J10" s="11"/>
      <c r="K10" s="11"/>
      <c r="L10" s="11"/>
      <c r="M10" s="11"/>
      <c r="N10" s="11"/>
      <c r="O10" s="11"/>
      <c r="P10" s="11"/>
      <c r="Q10" s="11"/>
      <c r="R10" s="11"/>
      <c r="S10" s="11"/>
      <c r="T10" s="11"/>
      <c r="U10" s="11"/>
      <c r="V10" s="11"/>
      <c r="W10" s="11"/>
      <c r="X10" s="11"/>
      <c r="Y10" s="11"/>
      <c r="Z10" s="11"/>
    </row>
    <row r="11" spans="1:26" x14ac:dyDescent="0.25">
      <c r="A11" s="11"/>
      <c r="B11" s="30"/>
      <c r="C11" s="30"/>
      <c r="D11" s="11"/>
      <c r="E11" s="11"/>
      <c r="F11" s="11"/>
      <c r="G11" s="11"/>
      <c r="H11" s="11"/>
      <c r="I11" s="11"/>
      <c r="J11" s="11"/>
      <c r="K11" s="11"/>
      <c r="L11" s="11"/>
      <c r="M11" s="11"/>
      <c r="N11" s="11"/>
      <c r="O11" s="11"/>
      <c r="P11" s="11"/>
      <c r="Q11" s="11"/>
      <c r="R11" s="11"/>
      <c r="S11" s="11"/>
      <c r="T11" s="11"/>
      <c r="U11" s="11"/>
      <c r="V11" s="11"/>
      <c r="W11" s="11"/>
      <c r="X11" s="11"/>
      <c r="Y11" s="11"/>
      <c r="Z11" s="11"/>
    </row>
    <row r="12" spans="1:26" x14ac:dyDescent="0.25">
      <c r="A12" s="11"/>
      <c r="B12" s="30"/>
      <c r="C12" s="30"/>
      <c r="D12" s="11"/>
      <c r="E12" s="11"/>
      <c r="F12" s="11"/>
      <c r="G12" s="11"/>
      <c r="H12" s="11"/>
      <c r="I12" s="11"/>
      <c r="J12" s="11"/>
      <c r="K12" s="11"/>
      <c r="L12" s="11"/>
      <c r="M12" s="11"/>
      <c r="N12" s="11"/>
      <c r="O12" s="11"/>
      <c r="P12" s="11"/>
      <c r="Q12" s="11"/>
      <c r="R12" s="11"/>
      <c r="S12" s="11"/>
      <c r="T12" s="11"/>
      <c r="U12" s="11"/>
      <c r="V12" s="11"/>
      <c r="W12" s="11"/>
      <c r="X12" s="11"/>
      <c r="Y12" s="11"/>
      <c r="Z12" s="11"/>
    </row>
    <row r="13" spans="1:26" x14ac:dyDescent="0.25">
      <c r="A13" s="11"/>
      <c r="B13" s="30"/>
      <c r="C13" s="30"/>
      <c r="D13" s="11"/>
      <c r="E13" s="11"/>
      <c r="F13" s="11"/>
      <c r="G13" s="11"/>
      <c r="H13" s="11"/>
      <c r="I13" s="11"/>
      <c r="J13" s="11"/>
      <c r="K13" s="11"/>
      <c r="L13" s="11"/>
      <c r="M13" s="11"/>
      <c r="N13" s="11"/>
      <c r="O13" s="11"/>
      <c r="P13" s="11"/>
      <c r="Q13" s="11"/>
      <c r="R13" s="11"/>
      <c r="S13" s="11"/>
      <c r="T13" s="11"/>
      <c r="U13" s="11"/>
      <c r="V13" s="11"/>
      <c r="W13" s="11"/>
      <c r="X13" s="11"/>
      <c r="Y13" s="11"/>
      <c r="Z13" s="11"/>
    </row>
    <row r="14" spans="1:26" x14ac:dyDescent="0.25">
      <c r="A14" s="11"/>
      <c r="B14" s="30"/>
      <c r="C14" s="30"/>
      <c r="D14" s="11"/>
      <c r="E14" s="11"/>
      <c r="F14" s="11"/>
      <c r="G14" s="11"/>
      <c r="H14" s="11"/>
      <c r="I14" s="11"/>
      <c r="J14" s="11"/>
      <c r="K14" s="11"/>
      <c r="L14" s="11"/>
      <c r="M14" s="11"/>
      <c r="N14" s="11"/>
      <c r="O14" s="11"/>
      <c r="P14" s="11"/>
      <c r="Q14" s="11"/>
      <c r="R14" s="11"/>
      <c r="S14" s="11"/>
      <c r="T14" s="11"/>
      <c r="U14" s="11"/>
      <c r="V14" s="11"/>
      <c r="W14" s="11"/>
      <c r="X14" s="11"/>
      <c r="Y14" s="11"/>
      <c r="Z14" s="11"/>
    </row>
    <row r="15" spans="1:26" x14ac:dyDescent="0.25">
      <c r="A15" s="11"/>
      <c r="B15" s="30"/>
      <c r="C15" s="30"/>
      <c r="D15" s="11"/>
      <c r="E15" s="11"/>
      <c r="F15" s="11"/>
      <c r="G15" s="11"/>
      <c r="H15" s="11"/>
      <c r="I15" s="11"/>
      <c r="J15" s="11"/>
      <c r="K15" s="11"/>
      <c r="L15" s="11"/>
      <c r="M15" s="11"/>
      <c r="N15" s="11"/>
      <c r="O15" s="11"/>
      <c r="P15" s="11"/>
      <c r="Q15" s="11"/>
      <c r="R15" s="11"/>
      <c r="S15" s="11"/>
      <c r="T15" s="11"/>
      <c r="U15" s="11"/>
      <c r="V15" s="11"/>
      <c r="W15" s="11"/>
      <c r="X15" s="11"/>
      <c r="Y15" s="11"/>
      <c r="Z15" s="11"/>
    </row>
    <row r="16" spans="1:26" x14ac:dyDescent="0.25">
      <c r="A16" s="11"/>
      <c r="B16" s="30"/>
      <c r="C16" s="30" t="s">
        <v>14</v>
      </c>
      <c r="D16" s="11" t="s">
        <v>265</v>
      </c>
      <c r="E16" s="11" t="s">
        <v>2</v>
      </c>
      <c r="F16" s="11" t="s">
        <v>28</v>
      </c>
      <c r="G16" s="11" t="s">
        <v>266</v>
      </c>
      <c r="H16" s="11"/>
      <c r="I16" s="11"/>
      <c r="J16" s="11"/>
      <c r="K16" s="11"/>
      <c r="L16" s="11"/>
      <c r="M16" s="11"/>
      <c r="N16" s="11"/>
      <c r="O16" s="11"/>
      <c r="P16" s="11"/>
      <c r="Q16" s="11"/>
      <c r="R16" s="11"/>
      <c r="S16" s="11"/>
      <c r="T16" s="11"/>
      <c r="U16" s="11"/>
      <c r="V16" s="11"/>
      <c r="W16" s="11"/>
      <c r="X16" s="11"/>
      <c r="Y16" s="11"/>
      <c r="Z16" s="11"/>
    </row>
    <row r="17" spans="1:26" ht="60" x14ac:dyDescent="0.25">
      <c r="A17" s="11"/>
      <c r="B17" s="30"/>
      <c r="C17" s="43">
        <v>1</v>
      </c>
      <c r="D17" s="44" t="s">
        <v>267</v>
      </c>
      <c r="E17" s="45">
        <v>858</v>
      </c>
      <c r="F17" s="45" t="s">
        <v>168</v>
      </c>
      <c r="G17" s="46" t="s">
        <v>268</v>
      </c>
      <c r="H17" s="11"/>
      <c r="I17" s="11"/>
      <c r="J17" s="11"/>
      <c r="K17" s="11"/>
      <c r="L17" s="11"/>
      <c r="M17" s="11"/>
      <c r="N17" s="11"/>
      <c r="O17" s="11"/>
      <c r="P17" s="11"/>
      <c r="Q17" s="11"/>
      <c r="R17" s="11"/>
      <c r="S17" s="11"/>
      <c r="T17" s="11"/>
      <c r="U17" s="11"/>
      <c r="V17" s="11"/>
      <c r="W17" s="11"/>
      <c r="X17" s="11"/>
      <c r="Y17" s="11"/>
      <c r="Z17" s="11"/>
    </row>
    <row r="18" spans="1:26" ht="30" x14ac:dyDescent="0.25">
      <c r="A18" s="11"/>
      <c r="B18" s="30"/>
      <c r="C18" s="43">
        <v>2</v>
      </c>
      <c r="D18" s="47" t="s">
        <v>269</v>
      </c>
      <c r="E18" s="45">
        <v>859</v>
      </c>
      <c r="F18" s="45" t="s">
        <v>75</v>
      </c>
      <c r="G18" s="46" t="s">
        <v>188</v>
      </c>
      <c r="H18" s="11"/>
      <c r="I18" s="11"/>
      <c r="J18" s="11"/>
      <c r="K18" s="11"/>
      <c r="L18" s="11"/>
      <c r="M18" s="11"/>
      <c r="N18" s="11"/>
      <c r="O18" s="11"/>
      <c r="P18" s="11"/>
      <c r="Q18" s="11"/>
      <c r="R18" s="11"/>
      <c r="S18" s="11"/>
      <c r="T18" s="11"/>
      <c r="U18" s="11"/>
      <c r="V18" s="11"/>
      <c r="W18" s="11"/>
      <c r="X18" s="11"/>
      <c r="Y18" s="11"/>
      <c r="Z18" s="11"/>
    </row>
    <row r="19" spans="1:26" ht="30" x14ac:dyDescent="0.25">
      <c r="A19" s="11"/>
      <c r="B19" s="30"/>
      <c r="C19" s="48">
        <v>3</v>
      </c>
      <c r="D19" s="49" t="s">
        <v>270</v>
      </c>
      <c r="E19" s="50">
        <v>860</v>
      </c>
      <c r="F19" s="50" t="s">
        <v>155</v>
      </c>
      <c r="G19" s="51" t="s">
        <v>191</v>
      </c>
      <c r="H19" s="11"/>
      <c r="I19" s="11"/>
      <c r="J19" s="11"/>
      <c r="K19" s="11"/>
      <c r="L19" s="11"/>
      <c r="M19" s="11"/>
      <c r="N19" s="11"/>
      <c r="O19" s="11"/>
      <c r="P19" s="11"/>
      <c r="Q19" s="11"/>
      <c r="R19" s="11"/>
      <c r="S19" s="11"/>
      <c r="T19" s="11"/>
      <c r="U19" s="11"/>
      <c r="V19" s="11"/>
      <c r="W19" s="11"/>
      <c r="X19" s="11"/>
      <c r="Y19" s="11"/>
      <c r="Z19" s="11"/>
    </row>
    <row r="20" spans="1:26" x14ac:dyDescent="0.25">
      <c r="A20" s="11"/>
      <c r="B20" s="30"/>
      <c r="C20" s="48">
        <v>4</v>
      </c>
      <c r="D20" s="49" t="s">
        <v>270</v>
      </c>
      <c r="E20" s="50">
        <v>861</v>
      </c>
      <c r="F20" s="50" t="s">
        <v>148</v>
      </c>
      <c r="G20" s="51" t="s">
        <v>194</v>
      </c>
      <c r="H20" s="11"/>
      <c r="I20" s="11"/>
      <c r="J20" s="11"/>
      <c r="K20" s="11"/>
      <c r="L20" s="11"/>
      <c r="M20" s="11"/>
      <c r="N20" s="11"/>
      <c r="O20" s="11"/>
      <c r="P20" s="11"/>
      <c r="Q20" s="11"/>
      <c r="R20" s="11"/>
      <c r="S20" s="11"/>
      <c r="T20" s="11"/>
      <c r="U20" s="11"/>
      <c r="V20" s="11"/>
      <c r="W20" s="11"/>
      <c r="X20" s="11"/>
      <c r="Y20" s="11"/>
      <c r="Z20" s="11"/>
    </row>
    <row r="21" spans="1:26" ht="15.75" customHeight="1" x14ac:dyDescent="0.25">
      <c r="A21" s="11"/>
      <c r="B21" s="30"/>
      <c r="C21" s="48">
        <v>5</v>
      </c>
      <c r="D21" s="49" t="s">
        <v>270</v>
      </c>
      <c r="E21" s="50">
        <v>862</v>
      </c>
      <c r="F21" s="50" t="s">
        <v>11</v>
      </c>
      <c r="G21" s="51" t="s">
        <v>197</v>
      </c>
      <c r="H21" s="11"/>
      <c r="I21" s="11"/>
      <c r="J21" s="11"/>
      <c r="K21" s="11"/>
      <c r="L21" s="11"/>
      <c r="M21" s="11"/>
      <c r="N21" s="11"/>
      <c r="O21" s="11"/>
      <c r="P21" s="11"/>
      <c r="Q21" s="11"/>
      <c r="R21" s="11"/>
      <c r="S21" s="11"/>
      <c r="T21" s="11"/>
      <c r="U21" s="11"/>
      <c r="V21" s="11"/>
      <c r="W21" s="11"/>
      <c r="X21" s="11"/>
      <c r="Y21" s="11"/>
      <c r="Z21" s="11"/>
    </row>
    <row r="22" spans="1:26" ht="15.75" customHeight="1" x14ac:dyDescent="0.25">
      <c r="A22" s="11"/>
      <c r="B22" s="30"/>
      <c r="C22" s="48">
        <v>6</v>
      </c>
      <c r="D22" s="49" t="s">
        <v>270</v>
      </c>
      <c r="E22" s="50">
        <v>863</v>
      </c>
      <c r="F22" s="50" t="s">
        <v>136</v>
      </c>
      <c r="G22" s="51"/>
      <c r="H22" s="11"/>
      <c r="I22" s="11"/>
      <c r="J22" s="11"/>
      <c r="K22" s="11"/>
      <c r="L22" s="11"/>
      <c r="M22" s="11"/>
      <c r="N22" s="11"/>
      <c r="O22" s="11"/>
      <c r="P22" s="11"/>
      <c r="Q22" s="11"/>
      <c r="R22" s="11"/>
      <c r="S22" s="11"/>
      <c r="T22" s="11"/>
      <c r="U22" s="11"/>
      <c r="V22" s="11"/>
      <c r="W22" s="11"/>
      <c r="X22" s="11"/>
      <c r="Y22" s="11"/>
      <c r="Z22" s="11"/>
    </row>
    <row r="23" spans="1:26" ht="15.75" customHeight="1" x14ac:dyDescent="0.25">
      <c r="A23" s="11"/>
      <c r="B23" s="30"/>
      <c r="C23" s="48">
        <v>7</v>
      </c>
      <c r="D23" s="49" t="s">
        <v>270</v>
      </c>
      <c r="E23" s="50">
        <v>864</v>
      </c>
      <c r="F23" s="50" t="s">
        <v>199</v>
      </c>
      <c r="G23" s="51" t="s">
        <v>201</v>
      </c>
      <c r="H23" s="11"/>
      <c r="I23" s="11"/>
      <c r="J23" s="11"/>
      <c r="K23" s="11"/>
      <c r="L23" s="11"/>
      <c r="M23" s="11"/>
      <c r="N23" s="11"/>
      <c r="O23" s="11"/>
      <c r="P23" s="11"/>
      <c r="Q23" s="11"/>
      <c r="R23" s="11"/>
      <c r="S23" s="11"/>
      <c r="T23" s="11"/>
      <c r="U23" s="11"/>
      <c r="V23" s="11"/>
      <c r="W23" s="11"/>
      <c r="X23" s="11"/>
      <c r="Y23" s="11"/>
      <c r="Z23" s="11"/>
    </row>
    <row r="24" spans="1:26" ht="15.75" customHeight="1" x14ac:dyDescent="0.25">
      <c r="A24" s="11"/>
      <c r="B24" s="30"/>
      <c r="C24" s="30"/>
      <c r="D24" s="11"/>
      <c r="E24" s="11"/>
      <c r="F24" s="11"/>
      <c r="G24" s="11"/>
      <c r="H24" s="11"/>
      <c r="I24" s="11"/>
      <c r="J24" s="11"/>
      <c r="K24" s="11"/>
      <c r="L24" s="11"/>
      <c r="M24" s="11"/>
      <c r="N24" s="11"/>
      <c r="O24" s="11"/>
      <c r="P24" s="11"/>
      <c r="Q24" s="11"/>
      <c r="R24" s="11"/>
      <c r="S24" s="11"/>
      <c r="T24" s="11"/>
      <c r="U24" s="11"/>
      <c r="V24" s="11"/>
      <c r="W24" s="11"/>
      <c r="X24" s="11"/>
      <c r="Y24" s="11"/>
      <c r="Z24" s="11"/>
    </row>
    <row r="25" spans="1:26" ht="15.75" customHeight="1" x14ac:dyDescent="0.25">
      <c r="A25" s="11"/>
      <c r="B25" s="52" t="s">
        <v>271</v>
      </c>
      <c r="C25" s="30"/>
      <c r="D25" s="11"/>
      <c r="E25" s="53">
        <v>860</v>
      </c>
      <c r="F25" s="53" t="s">
        <v>155</v>
      </c>
      <c r="G25" s="53" t="s">
        <v>272</v>
      </c>
      <c r="H25" s="11"/>
      <c r="I25" s="11"/>
      <c r="J25" s="11"/>
      <c r="K25" s="11"/>
      <c r="L25" s="11"/>
      <c r="M25" s="11"/>
      <c r="N25" s="11"/>
      <c r="O25" s="11"/>
      <c r="P25" s="11"/>
      <c r="Q25" s="11"/>
      <c r="R25" s="11"/>
      <c r="S25" s="11"/>
      <c r="T25" s="11"/>
      <c r="U25" s="11"/>
      <c r="V25" s="11"/>
      <c r="W25" s="11"/>
      <c r="X25" s="11"/>
      <c r="Y25" s="11"/>
      <c r="Z25" s="11"/>
    </row>
    <row r="26" spans="1:26" ht="15.75" customHeight="1" x14ac:dyDescent="0.25">
      <c r="A26" s="11"/>
      <c r="B26" s="52" t="s">
        <v>273</v>
      </c>
      <c r="C26" s="30"/>
      <c r="D26" s="11"/>
      <c r="E26" s="54" t="s">
        <v>274</v>
      </c>
      <c r="F26" s="55" t="s">
        <v>275</v>
      </c>
      <c r="G26" s="56">
        <v>0.21</v>
      </c>
      <c r="H26" s="11"/>
      <c r="I26" s="11"/>
      <c r="J26" s="11"/>
      <c r="K26" s="11"/>
      <c r="L26" s="11"/>
      <c r="M26" s="11"/>
      <c r="N26" s="11"/>
      <c r="O26" s="11"/>
      <c r="P26" s="11"/>
      <c r="Q26" s="11"/>
      <c r="R26" s="11"/>
      <c r="S26" s="11"/>
      <c r="T26" s="11"/>
      <c r="U26" s="11"/>
      <c r="V26" s="11"/>
      <c r="W26" s="11"/>
      <c r="X26" s="11"/>
      <c r="Y26" s="11"/>
      <c r="Z26" s="11"/>
    </row>
    <row r="27" spans="1:26" ht="15.75" customHeight="1" x14ac:dyDescent="0.25">
      <c r="A27" s="11"/>
      <c r="B27" s="52" t="s">
        <v>276</v>
      </c>
      <c r="C27" s="30"/>
      <c r="D27" s="11"/>
      <c r="E27" s="54"/>
      <c r="F27" s="55" t="s">
        <v>277</v>
      </c>
      <c r="G27" s="57" t="s">
        <v>278</v>
      </c>
      <c r="H27" s="11"/>
      <c r="I27" s="11"/>
      <c r="J27" s="11"/>
      <c r="K27" s="11"/>
      <c r="L27" s="11"/>
      <c r="M27" s="11"/>
      <c r="N27" s="11"/>
      <c r="O27" s="11"/>
      <c r="P27" s="11"/>
      <c r="Q27" s="11"/>
      <c r="R27" s="11"/>
      <c r="S27" s="11"/>
      <c r="T27" s="11"/>
      <c r="U27" s="11"/>
      <c r="V27" s="11"/>
      <c r="W27" s="11"/>
      <c r="X27" s="11"/>
      <c r="Y27" s="11"/>
      <c r="Z27" s="11"/>
    </row>
    <row r="28" spans="1:26" ht="15.75" customHeight="1" x14ac:dyDescent="0.25">
      <c r="A28" s="11"/>
      <c r="B28" s="30"/>
      <c r="C28" s="30"/>
      <c r="D28" s="11"/>
      <c r="E28" s="54">
        <v>2</v>
      </c>
      <c r="F28" s="55" t="s">
        <v>279</v>
      </c>
      <c r="G28" s="56">
        <v>0.6</v>
      </c>
      <c r="H28" s="11"/>
      <c r="I28" s="11"/>
      <c r="J28" s="11"/>
      <c r="K28" s="11"/>
      <c r="L28" s="11"/>
      <c r="M28" s="11"/>
      <c r="N28" s="11"/>
      <c r="O28" s="11"/>
      <c r="P28" s="11"/>
      <c r="Q28" s="11"/>
      <c r="R28" s="11"/>
      <c r="S28" s="11"/>
      <c r="T28" s="11"/>
      <c r="U28" s="11"/>
      <c r="V28" s="11"/>
      <c r="W28" s="11"/>
      <c r="X28" s="11"/>
      <c r="Y28" s="11"/>
      <c r="Z28" s="11"/>
    </row>
    <row r="29" spans="1:26" ht="15.75" customHeight="1" x14ac:dyDescent="0.25">
      <c r="A29" s="11"/>
      <c r="B29" s="30"/>
      <c r="C29" s="30"/>
      <c r="D29" s="11"/>
      <c r="E29" s="54"/>
      <c r="F29" s="55" t="s">
        <v>277</v>
      </c>
      <c r="G29" s="57" t="s">
        <v>278</v>
      </c>
      <c r="H29" s="11"/>
      <c r="I29" s="11"/>
      <c r="J29" s="11"/>
      <c r="K29" s="11"/>
      <c r="L29" s="11"/>
      <c r="M29" s="11"/>
      <c r="N29" s="11"/>
      <c r="O29" s="11"/>
      <c r="P29" s="11"/>
      <c r="Q29" s="11"/>
      <c r="R29" s="11"/>
      <c r="S29" s="11"/>
      <c r="T29" s="11"/>
      <c r="U29" s="11"/>
      <c r="V29" s="11"/>
      <c r="W29" s="11"/>
      <c r="X29" s="11"/>
      <c r="Y29" s="11"/>
      <c r="Z29" s="11"/>
    </row>
    <row r="30" spans="1:26" ht="15.75" customHeight="1" x14ac:dyDescent="0.25">
      <c r="A30" s="11"/>
      <c r="B30" s="30"/>
      <c r="C30" s="30"/>
      <c r="D30" s="11"/>
      <c r="E30" s="54">
        <v>3</v>
      </c>
      <c r="F30" s="55" t="s">
        <v>279</v>
      </c>
      <c r="G30" s="56">
        <v>0.4</v>
      </c>
      <c r="H30" s="11"/>
      <c r="I30" s="11"/>
      <c r="J30" s="11"/>
      <c r="K30" s="11"/>
      <c r="L30" s="11"/>
      <c r="M30" s="11"/>
      <c r="N30" s="11"/>
      <c r="O30" s="11"/>
      <c r="P30" s="11"/>
      <c r="Q30" s="11"/>
      <c r="R30" s="11"/>
      <c r="S30" s="11"/>
      <c r="T30" s="11"/>
      <c r="U30" s="11"/>
      <c r="V30" s="11"/>
      <c r="W30" s="11"/>
      <c r="X30" s="11"/>
      <c r="Y30" s="11"/>
      <c r="Z30" s="11"/>
    </row>
    <row r="31" spans="1:26" ht="15.75" customHeight="1" x14ac:dyDescent="0.25">
      <c r="A31" s="11"/>
      <c r="B31" s="30"/>
      <c r="C31" s="30"/>
      <c r="D31" s="11"/>
      <c r="E31" s="54"/>
      <c r="F31" s="55" t="s">
        <v>277</v>
      </c>
      <c r="G31" s="57" t="s">
        <v>278</v>
      </c>
      <c r="H31" s="11"/>
      <c r="I31" s="11"/>
      <c r="J31" s="11"/>
      <c r="K31" s="11"/>
      <c r="L31" s="11"/>
      <c r="M31" s="11"/>
      <c r="N31" s="11"/>
      <c r="O31" s="11"/>
      <c r="P31" s="11"/>
      <c r="Q31" s="11"/>
      <c r="R31" s="11"/>
      <c r="S31" s="11"/>
      <c r="T31" s="11"/>
      <c r="U31" s="11"/>
      <c r="V31" s="11"/>
      <c r="W31" s="11"/>
      <c r="X31" s="11"/>
      <c r="Y31" s="11"/>
      <c r="Z31" s="11"/>
    </row>
    <row r="32" spans="1:26" ht="15.75" customHeight="1" x14ac:dyDescent="0.25">
      <c r="A32" s="11"/>
      <c r="B32" s="30"/>
      <c r="C32" s="30"/>
      <c r="D32" s="11"/>
      <c r="E32" s="54"/>
      <c r="F32" s="55" t="s">
        <v>280</v>
      </c>
      <c r="G32" s="56">
        <f>G26+G28+G30</f>
        <v>1.21</v>
      </c>
      <c r="H32" s="11"/>
      <c r="I32" s="11"/>
      <c r="J32" s="11"/>
      <c r="K32" s="11"/>
      <c r="L32" s="11"/>
      <c r="M32" s="11"/>
      <c r="N32" s="11"/>
      <c r="O32" s="11"/>
      <c r="P32" s="11"/>
      <c r="Q32" s="11"/>
      <c r="R32" s="11"/>
      <c r="S32" s="11"/>
      <c r="T32" s="11"/>
      <c r="U32" s="11"/>
      <c r="V32" s="11"/>
      <c r="W32" s="11"/>
      <c r="X32" s="11"/>
      <c r="Y32" s="11"/>
      <c r="Z32" s="11"/>
    </row>
    <row r="33" spans="1:26" ht="15.75" customHeight="1" x14ac:dyDescent="0.25">
      <c r="A33" s="11"/>
      <c r="B33" s="30"/>
      <c r="C33" s="30"/>
      <c r="D33" s="11"/>
      <c r="E33" s="11"/>
      <c r="F33" s="11"/>
      <c r="G33" s="11"/>
      <c r="H33" s="11"/>
      <c r="I33" s="11"/>
      <c r="J33" s="11"/>
      <c r="K33" s="11"/>
      <c r="L33" s="11"/>
      <c r="M33" s="11"/>
      <c r="N33" s="11"/>
      <c r="O33" s="11"/>
      <c r="P33" s="11"/>
      <c r="Q33" s="11"/>
      <c r="R33" s="11"/>
      <c r="S33" s="11"/>
      <c r="T33" s="11"/>
      <c r="U33" s="11"/>
      <c r="V33" s="11"/>
      <c r="W33" s="11"/>
      <c r="X33" s="11"/>
      <c r="Y33" s="11"/>
      <c r="Z33" s="11"/>
    </row>
    <row r="34" spans="1:26" ht="15.75" customHeight="1" x14ac:dyDescent="0.25">
      <c r="A34" s="11"/>
      <c r="B34" s="30"/>
      <c r="C34" s="30"/>
      <c r="D34" s="11"/>
      <c r="E34" s="53">
        <v>861</v>
      </c>
      <c r="F34" s="53" t="s">
        <v>148</v>
      </c>
      <c r="G34" s="53" t="s">
        <v>272</v>
      </c>
      <c r="H34" s="11"/>
      <c r="I34" s="11"/>
      <c r="J34" s="11"/>
      <c r="K34" s="11"/>
      <c r="L34" s="11"/>
      <c r="M34" s="11"/>
      <c r="N34" s="11"/>
      <c r="O34" s="11"/>
      <c r="P34" s="11"/>
      <c r="Q34" s="11"/>
      <c r="R34" s="11"/>
      <c r="S34" s="11"/>
      <c r="T34" s="11"/>
      <c r="U34" s="11"/>
      <c r="V34" s="11"/>
      <c r="W34" s="11"/>
      <c r="X34" s="11"/>
      <c r="Y34" s="11"/>
      <c r="Z34" s="11"/>
    </row>
    <row r="35" spans="1:26" ht="15.75" customHeight="1" x14ac:dyDescent="0.25">
      <c r="A35" s="11"/>
      <c r="B35" s="30"/>
      <c r="C35" s="30"/>
      <c r="D35" s="11"/>
      <c r="E35" s="54" t="s">
        <v>274</v>
      </c>
      <c r="F35" s="55" t="s">
        <v>275</v>
      </c>
      <c r="G35" s="56">
        <f>0.9*55</f>
        <v>49.5</v>
      </c>
      <c r="H35" s="11"/>
      <c r="I35" s="11"/>
      <c r="J35" s="11"/>
      <c r="K35" s="11"/>
      <c r="L35" s="11"/>
      <c r="M35" s="11"/>
      <c r="N35" s="11"/>
      <c r="O35" s="11"/>
      <c r="P35" s="11"/>
      <c r="Q35" s="11"/>
      <c r="R35" s="11"/>
      <c r="S35" s="11"/>
      <c r="T35" s="11"/>
      <c r="U35" s="11"/>
      <c r="V35" s="11"/>
      <c r="W35" s="11"/>
      <c r="X35" s="11"/>
      <c r="Y35" s="11"/>
      <c r="Z35" s="11"/>
    </row>
    <row r="36" spans="1:26" ht="15.75" customHeight="1" x14ac:dyDescent="0.25">
      <c r="A36" s="11"/>
      <c r="B36" s="30"/>
      <c r="C36" s="30"/>
      <c r="D36" s="11"/>
      <c r="E36" s="54"/>
      <c r="F36" s="55" t="s">
        <v>277</v>
      </c>
      <c r="G36" s="57" t="s">
        <v>281</v>
      </c>
      <c r="H36" s="11"/>
      <c r="I36" s="11"/>
      <c r="J36" s="11"/>
      <c r="K36" s="11"/>
      <c r="L36" s="11"/>
      <c r="M36" s="11"/>
      <c r="N36" s="11"/>
      <c r="O36" s="11"/>
      <c r="P36" s="11"/>
      <c r="Q36" s="11"/>
      <c r="R36" s="11"/>
      <c r="S36" s="11"/>
      <c r="T36" s="11"/>
      <c r="U36" s="11"/>
      <c r="V36" s="11"/>
      <c r="W36" s="11"/>
      <c r="X36" s="11"/>
      <c r="Y36" s="11"/>
      <c r="Z36" s="11"/>
    </row>
    <row r="37" spans="1:26" ht="15.75" customHeight="1" x14ac:dyDescent="0.25">
      <c r="A37" s="11"/>
      <c r="B37" s="30"/>
      <c r="C37" s="30"/>
      <c r="D37" s="11"/>
      <c r="E37" s="54"/>
      <c r="F37" s="55" t="s">
        <v>282</v>
      </c>
      <c r="G37" s="56">
        <f>G35</f>
        <v>49.5</v>
      </c>
      <c r="H37" s="11"/>
      <c r="I37" s="11"/>
      <c r="J37" s="11"/>
      <c r="K37" s="11"/>
      <c r="L37" s="11"/>
      <c r="M37" s="11"/>
      <c r="N37" s="11"/>
      <c r="O37" s="11"/>
      <c r="P37" s="11"/>
      <c r="Q37" s="11"/>
      <c r="R37" s="11"/>
      <c r="S37" s="11"/>
      <c r="T37" s="11"/>
      <c r="U37" s="11"/>
      <c r="V37" s="11"/>
      <c r="W37" s="11"/>
      <c r="X37" s="11"/>
      <c r="Y37" s="11"/>
      <c r="Z37" s="11"/>
    </row>
    <row r="38" spans="1:26" ht="15.75" customHeight="1" x14ac:dyDescent="0.25">
      <c r="A38" s="11"/>
      <c r="B38" s="30"/>
      <c r="C38" s="30"/>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1"/>
      <c r="B39" s="30"/>
      <c r="C39" s="30"/>
      <c r="D39" s="11"/>
      <c r="E39" s="53">
        <v>862</v>
      </c>
      <c r="F39" s="53" t="s">
        <v>11</v>
      </c>
      <c r="G39" s="53" t="s">
        <v>272</v>
      </c>
      <c r="H39" s="11"/>
      <c r="I39" s="11"/>
      <c r="J39" s="11"/>
      <c r="K39" s="11"/>
      <c r="L39" s="11"/>
      <c r="M39" s="11"/>
      <c r="N39" s="11"/>
      <c r="O39" s="11"/>
      <c r="P39" s="11"/>
      <c r="Q39" s="11"/>
      <c r="R39" s="11"/>
      <c r="S39" s="11"/>
      <c r="T39" s="11"/>
      <c r="U39" s="11"/>
      <c r="V39" s="11"/>
      <c r="W39" s="11"/>
      <c r="X39" s="11"/>
      <c r="Y39" s="11"/>
      <c r="Z39" s="11"/>
    </row>
    <row r="40" spans="1:26" ht="15.75" customHeight="1" x14ac:dyDescent="0.25">
      <c r="A40" s="11"/>
      <c r="B40" s="30"/>
      <c r="C40" s="30"/>
      <c r="D40" s="11"/>
      <c r="E40" s="54" t="s">
        <v>274</v>
      </c>
      <c r="F40" s="55" t="s">
        <v>275</v>
      </c>
      <c r="G40" s="56">
        <v>559</v>
      </c>
      <c r="H40" s="11"/>
      <c r="I40" s="11"/>
      <c r="J40" s="11"/>
      <c r="K40" s="11"/>
      <c r="L40" s="11"/>
      <c r="M40" s="11"/>
      <c r="N40" s="11"/>
      <c r="O40" s="11"/>
      <c r="P40" s="11"/>
      <c r="Q40" s="11"/>
      <c r="R40" s="11"/>
      <c r="S40" s="11"/>
      <c r="T40" s="11"/>
      <c r="U40" s="11"/>
      <c r="V40" s="11"/>
      <c r="W40" s="11"/>
      <c r="X40" s="11"/>
      <c r="Y40" s="11"/>
      <c r="Z40" s="11"/>
    </row>
    <row r="41" spans="1:26" ht="15.75" customHeight="1" x14ac:dyDescent="0.25">
      <c r="A41" s="11"/>
      <c r="B41" s="30"/>
      <c r="C41" s="30"/>
      <c r="D41" s="11"/>
      <c r="E41" s="54"/>
      <c r="F41" s="55" t="s">
        <v>277</v>
      </c>
      <c r="G41" s="57" t="s">
        <v>283</v>
      </c>
      <c r="H41" s="11"/>
      <c r="I41" s="11"/>
      <c r="J41" s="11"/>
      <c r="K41" s="11"/>
      <c r="L41" s="11"/>
      <c r="M41" s="11"/>
      <c r="N41" s="11"/>
      <c r="O41" s="11"/>
      <c r="P41" s="11"/>
      <c r="Q41" s="11"/>
      <c r="R41" s="11"/>
      <c r="S41" s="11"/>
      <c r="T41" s="11"/>
      <c r="U41" s="11"/>
      <c r="V41" s="11"/>
      <c r="W41" s="11"/>
      <c r="X41" s="11"/>
      <c r="Y41" s="11"/>
      <c r="Z41" s="11"/>
    </row>
    <row r="42" spans="1:26" ht="15.75" customHeight="1" x14ac:dyDescent="0.25">
      <c r="A42" s="11"/>
      <c r="B42" s="30"/>
      <c r="C42" s="30"/>
      <c r="D42" s="11"/>
      <c r="E42" s="54">
        <v>2</v>
      </c>
      <c r="F42" s="55" t="s">
        <v>279</v>
      </c>
      <c r="G42" s="56">
        <v>0.4</v>
      </c>
      <c r="H42" s="11"/>
      <c r="I42" s="11"/>
      <c r="J42" s="11"/>
      <c r="K42" s="11"/>
      <c r="L42" s="11"/>
      <c r="M42" s="11"/>
      <c r="N42" s="11"/>
      <c r="O42" s="11"/>
      <c r="P42" s="11"/>
      <c r="Q42" s="11"/>
      <c r="R42" s="11"/>
      <c r="S42" s="11"/>
      <c r="T42" s="11"/>
      <c r="U42" s="11"/>
      <c r="V42" s="11"/>
      <c r="W42" s="11"/>
      <c r="X42" s="11"/>
      <c r="Y42" s="11"/>
      <c r="Z42" s="11"/>
    </row>
    <row r="43" spans="1:26" ht="15.75" customHeight="1" x14ac:dyDescent="0.25">
      <c r="A43" s="11"/>
      <c r="B43" s="30"/>
      <c r="C43" s="30"/>
      <c r="D43" s="11"/>
      <c r="E43" s="54"/>
      <c r="F43" s="55" t="s">
        <v>277</v>
      </c>
      <c r="G43" s="57" t="s">
        <v>278</v>
      </c>
      <c r="H43" s="11"/>
      <c r="I43" s="11"/>
      <c r="J43" s="11"/>
      <c r="K43" s="11"/>
      <c r="L43" s="11"/>
      <c r="M43" s="11"/>
      <c r="N43" s="11"/>
      <c r="O43" s="11"/>
      <c r="P43" s="11"/>
      <c r="Q43" s="11"/>
      <c r="R43" s="11"/>
      <c r="S43" s="11"/>
      <c r="T43" s="11"/>
      <c r="U43" s="11"/>
      <c r="V43" s="11"/>
      <c r="W43" s="11"/>
      <c r="X43" s="11"/>
      <c r="Y43" s="11"/>
      <c r="Z43" s="11"/>
    </row>
    <row r="44" spans="1:26" ht="15.75" customHeight="1" x14ac:dyDescent="0.25">
      <c r="A44" s="11"/>
      <c r="B44" s="30"/>
      <c r="C44" s="30"/>
      <c r="D44" s="11"/>
      <c r="E44" s="54">
        <v>3</v>
      </c>
      <c r="F44" s="55" t="s">
        <v>279</v>
      </c>
      <c r="G44" s="56">
        <v>825</v>
      </c>
      <c r="H44" s="11"/>
      <c r="I44" s="11"/>
      <c r="J44" s="11"/>
      <c r="K44" s="11"/>
      <c r="L44" s="11"/>
      <c r="M44" s="11"/>
      <c r="N44" s="11"/>
      <c r="O44" s="11"/>
      <c r="P44" s="11"/>
      <c r="Q44" s="11"/>
      <c r="R44" s="11"/>
      <c r="S44" s="11"/>
      <c r="T44" s="11"/>
      <c r="U44" s="11"/>
      <c r="V44" s="11"/>
      <c r="W44" s="11"/>
      <c r="X44" s="11"/>
      <c r="Y44" s="11"/>
      <c r="Z44" s="11"/>
    </row>
    <row r="45" spans="1:26" ht="15.75" customHeight="1" x14ac:dyDescent="0.25">
      <c r="A45" s="11"/>
      <c r="B45" s="30"/>
      <c r="C45" s="30"/>
      <c r="D45" s="11"/>
      <c r="E45" s="54"/>
      <c r="F45" s="55" t="s">
        <v>277</v>
      </c>
      <c r="G45" s="57" t="s">
        <v>283</v>
      </c>
      <c r="H45" s="11"/>
      <c r="I45" s="11"/>
      <c r="J45" s="11"/>
      <c r="K45" s="11"/>
      <c r="L45" s="11"/>
      <c r="M45" s="11"/>
      <c r="N45" s="11"/>
      <c r="O45" s="11"/>
      <c r="P45" s="11"/>
      <c r="Q45" s="11"/>
      <c r="R45" s="11"/>
      <c r="S45" s="11"/>
      <c r="T45" s="11"/>
      <c r="U45" s="11"/>
      <c r="V45" s="11"/>
      <c r="W45" s="11"/>
      <c r="X45" s="11"/>
      <c r="Y45" s="11"/>
      <c r="Z45" s="11"/>
    </row>
    <row r="46" spans="1:26" ht="15.75" customHeight="1" x14ac:dyDescent="0.25">
      <c r="A46" s="11"/>
      <c r="B46" s="30"/>
      <c r="C46" s="30"/>
      <c r="D46" s="11"/>
      <c r="E46" s="54">
        <v>4</v>
      </c>
      <c r="F46" s="55" t="s">
        <v>279</v>
      </c>
      <c r="G46" s="56">
        <f>0.1*250</f>
        <v>25</v>
      </c>
      <c r="H46" s="11"/>
      <c r="I46" s="11"/>
      <c r="J46" s="11"/>
      <c r="K46" s="11"/>
      <c r="L46" s="11"/>
      <c r="M46" s="11"/>
      <c r="N46" s="11"/>
      <c r="O46" s="11"/>
      <c r="P46" s="11"/>
      <c r="Q46" s="11"/>
      <c r="R46" s="11"/>
      <c r="S46" s="11"/>
      <c r="T46" s="11"/>
      <c r="U46" s="11"/>
      <c r="V46" s="11"/>
      <c r="W46" s="11"/>
      <c r="X46" s="11"/>
      <c r="Y46" s="11"/>
      <c r="Z46" s="11"/>
    </row>
    <row r="47" spans="1:26" ht="15.75" customHeight="1" x14ac:dyDescent="0.25">
      <c r="A47" s="11"/>
      <c r="B47" s="30"/>
      <c r="C47" s="30"/>
      <c r="D47" s="11"/>
      <c r="E47" s="54"/>
      <c r="F47" s="55" t="s">
        <v>277</v>
      </c>
      <c r="G47" s="57" t="s">
        <v>281</v>
      </c>
      <c r="H47" s="11"/>
      <c r="I47" s="11"/>
      <c r="J47" s="11"/>
      <c r="K47" s="11"/>
      <c r="L47" s="11"/>
      <c r="M47" s="11"/>
      <c r="N47" s="11"/>
      <c r="O47" s="11"/>
      <c r="P47" s="11"/>
      <c r="Q47" s="11"/>
      <c r="R47" s="11"/>
      <c r="S47" s="11"/>
      <c r="T47" s="11"/>
      <c r="U47" s="11"/>
      <c r="V47" s="11"/>
      <c r="W47" s="11"/>
      <c r="X47" s="11"/>
      <c r="Y47" s="11"/>
      <c r="Z47" s="11"/>
    </row>
    <row r="48" spans="1:26" ht="15.75" customHeight="1" x14ac:dyDescent="0.25">
      <c r="A48" s="11"/>
      <c r="B48" s="30"/>
      <c r="C48" s="30"/>
      <c r="D48" s="11"/>
      <c r="E48" s="54">
        <v>5</v>
      </c>
      <c r="F48" s="55" t="s">
        <v>279</v>
      </c>
      <c r="G48" s="56">
        <v>2.94</v>
      </c>
      <c r="H48" s="11"/>
      <c r="I48" s="11"/>
      <c r="J48" s="11"/>
      <c r="K48" s="11"/>
      <c r="L48" s="11"/>
      <c r="M48" s="11"/>
      <c r="N48" s="11"/>
      <c r="O48" s="11"/>
      <c r="P48" s="11"/>
      <c r="Q48" s="11"/>
      <c r="R48" s="11"/>
      <c r="S48" s="11"/>
      <c r="T48" s="11"/>
      <c r="U48" s="11"/>
      <c r="V48" s="11"/>
      <c r="W48" s="11"/>
      <c r="X48" s="11"/>
      <c r="Y48" s="11"/>
      <c r="Z48" s="11"/>
    </row>
    <row r="49" spans="1:26" ht="15.75" customHeight="1" x14ac:dyDescent="0.25">
      <c r="A49" s="11"/>
      <c r="B49" s="30"/>
      <c r="C49" s="30"/>
      <c r="D49" s="11"/>
      <c r="E49" s="54"/>
      <c r="F49" s="55" t="s">
        <v>277</v>
      </c>
      <c r="G49" s="57" t="s">
        <v>278</v>
      </c>
      <c r="H49" s="11"/>
      <c r="I49" s="11"/>
      <c r="J49" s="11"/>
      <c r="K49" s="11"/>
      <c r="L49" s="11"/>
      <c r="M49" s="11"/>
      <c r="N49" s="11"/>
      <c r="O49" s="11"/>
      <c r="P49" s="11"/>
      <c r="Q49" s="11"/>
      <c r="R49" s="11"/>
      <c r="S49" s="11"/>
      <c r="T49" s="11"/>
      <c r="U49" s="11"/>
      <c r="V49" s="11"/>
      <c r="W49" s="11"/>
      <c r="X49" s="11"/>
      <c r="Y49" s="11"/>
      <c r="Z49" s="11"/>
    </row>
    <row r="50" spans="1:26" ht="15.75" customHeight="1" x14ac:dyDescent="0.25">
      <c r="A50" s="11"/>
      <c r="B50" s="30"/>
      <c r="C50" s="30"/>
      <c r="D50" s="11"/>
      <c r="E50" s="54">
        <v>6</v>
      </c>
      <c r="F50" s="55" t="s">
        <v>279</v>
      </c>
      <c r="G50" s="56">
        <f>2.5*4</f>
        <v>10</v>
      </c>
      <c r="H50" s="11"/>
      <c r="I50" s="11"/>
      <c r="J50" s="11"/>
      <c r="K50" s="11"/>
      <c r="L50" s="11"/>
      <c r="M50" s="11"/>
      <c r="N50" s="11"/>
      <c r="O50" s="11"/>
      <c r="P50" s="11"/>
      <c r="Q50" s="11"/>
      <c r="R50" s="11"/>
      <c r="S50" s="11"/>
      <c r="T50" s="11"/>
      <c r="U50" s="11"/>
      <c r="V50" s="11"/>
      <c r="W50" s="11"/>
      <c r="X50" s="11"/>
      <c r="Y50" s="11"/>
      <c r="Z50" s="11"/>
    </row>
    <row r="51" spans="1:26" ht="15.75" customHeight="1" x14ac:dyDescent="0.25">
      <c r="A51" s="11"/>
      <c r="B51" s="30"/>
      <c r="C51" s="30"/>
      <c r="D51" s="11"/>
      <c r="E51" s="54"/>
      <c r="F51" s="55" t="s">
        <v>277</v>
      </c>
      <c r="G51" s="57" t="s">
        <v>281</v>
      </c>
      <c r="H51" s="11"/>
      <c r="I51" s="11"/>
      <c r="J51" s="11"/>
      <c r="K51" s="11"/>
      <c r="L51" s="11"/>
      <c r="M51" s="11"/>
      <c r="N51" s="11"/>
      <c r="O51" s="11"/>
      <c r="P51" s="11"/>
      <c r="Q51" s="11"/>
      <c r="R51" s="11"/>
      <c r="S51" s="11"/>
      <c r="T51" s="11"/>
      <c r="U51" s="11"/>
      <c r="V51" s="11"/>
      <c r="W51" s="11"/>
      <c r="X51" s="11"/>
      <c r="Y51" s="11"/>
      <c r="Z51" s="11"/>
    </row>
    <row r="52" spans="1:26" ht="15.75" customHeight="1" x14ac:dyDescent="0.25">
      <c r="A52" s="11"/>
      <c r="B52" s="30"/>
      <c r="C52" s="30"/>
      <c r="D52" s="11"/>
      <c r="E52" s="54">
        <v>7</v>
      </c>
      <c r="F52" s="55" t="s">
        <v>279</v>
      </c>
      <c r="G52" s="56">
        <v>3</v>
      </c>
      <c r="H52" s="11"/>
      <c r="I52" s="11"/>
      <c r="J52" s="11"/>
      <c r="K52" s="11"/>
      <c r="L52" s="11"/>
      <c r="M52" s="11"/>
      <c r="N52" s="11"/>
      <c r="O52" s="11"/>
      <c r="P52" s="11"/>
      <c r="Q52" s="11"/>
      <c r="R52" s="11"/>
      <c r="S52" s="11"/>
      <c r="T52" s="11"/>
      <c r="U52" s="11"/>
      <c r="V52" s="11"/>
      <c r="W52" s="11"/>
      <c r="X52" s="11"/>
      <c r="Y52" s="11"/>
      <c r="Z52" s="11"/>
    </row>
    <row r="53" spans="1:26" ht="15.75" customHeight="1" x14ac:dyDescent="0.25">
      <c r="A53" s="11"/>
      <c r="B53" s="30"/>
      <c r="C53" s="30"/>
      <c r="D53" s="11"/>
      <c r="E53" s="54"/>
      <c r="F53" s="55" t="s">
        <v>277</v>
      </c>
      <c r="G53" s="57" t="s">
        <v>281</v>
      </c>
      <c r="H53" s="11"/>
      <c r="I53" s="11"/>
      <c r="J53" s="11"/>
      <c r="K53" s="11"/>
      <c r="L53" s="11"/>
      <c r="M53" s="11"/>
      <c r="N53" s="11"/>
      <c r="O53" s="11"/>
      <c r="P53" s="11"/>
      <c r="Q53" s="11"/>
      <c r="R53" s="11"/>
      <c r="S53" s="11"/>
      <c r="T53" s="11"/>
      <c r="U53" s="11"/>
      <c r="V53" s="11"/>
      <c r="W53" s="11"/>
      <c r="X53" s="11"/>
      <c r="Y53" s="11"/>
      <c r="Z53" s="11"/>
    </row>
    <row r="54" spans="1:26" ht="15.75" customHeight="1" x14ac:dyDescent="0.25">
      <c r="A54" s="11"/>
      <c r="B54" s="30"/>
      <c r="C54" s="30"/>
      <c r="D54" s="11"/>
      <c r="E54" s="54"/>
      <c r="F54" s="55" t="s">
        <v>280</v>
      </c>
      <c r="G54" s="56">
        <f>G52+G50+G48+G46+G44+G40+G42</f>
        <v>1425.3400000000001</v>
      </c>
      <c r="H54" s="11"/>
      <c r="I54" s="11"/>
      <c r="J54" s="11"/>
      <c r="K54" s="11"/>
      <c r="L54" s="11"/>
      <c r="M54" s="11"/>
      <c r="N54" s="11"/>
      <c r="O54" s="11"/>
      <c r="P54" s="11"/>
      <c r="Q54" s="11"/>
      <c r="R54" s="11"/>
      <c r="S54" s="11"/>
      <c r="T54" s="11"/>
      <c r="U54" s="11"/>
      <c r="V54" s="11"/>
      <c r="W54" s="11"/>
      <c r="X54" s="11"/>
      <c r="Y54" s="11"/>
      <c r="Z54" s="11"/>
    </row>
    <row r="55" spans="1:26" ht="15.75" customHeight="1" x14ac:dyDescent="0.25">
      <c r="A55" s="11"/>
      <c r="B55" s="30"/>
      <c r="C55" s="30"/>
      <c r="D55" s="11"/>
      <c r="E55" s="11"/>
      <c r="F55" s="11"/>
      <c r="G55" s="11"/>
      <c r="H55" s="11"/>
      <c r="I55" s="11"/>
      <c r="J55" s="11"/>
      <c r="K55" s="11"/>
      <c r="L55" s="11"/>
      <c r="M55" s="11"/>
      <c r="N55" s="11"/>
      <c r="O55" s="11"/>
      <c r="P55" s="11"/>
      <c r="Q55" s="11"/>
      <c r="R55" s="11"/>
      <c r="S55" s="11"/>
      <c r="T55" s="11"/>
      <c r="U55" s="11"/>
      <c r="V55" s="11"/>
      <c r="W55" s="11"/>
      <c r="X55" s="11"/>
      <c r="Y55" s="11"/>
      <c r="Z55" s="11"/>
    </row>
    <row r="56" spans="1:26" ht="15.75" customHeight="1" x14ac:dyDescent="0.25">
      <c r="A56" s="11"/>
      <c r="B56" s="30"/>
      <c r="C56" s="30"/>
      <c r="D56" s="11"/>
      <c r="E56" s="53">
        <v>863</v>
      </c>
      <c r="F56" s="53" t="s">
        <v>136</v>
      </c>
      <c r="G56" s="53" t="s">
        <v>272</v>
      </c>
      <c r="H56" s="11"/>
      <c r="I56" s="11"/>
      <c r="J56" s="11"/>
      <c r="K56" s="11"/>
      <c r="L56" s="11"/>
      <c r="M56" s="11"/>
      <c r="N56" s="11"/>
      <c r="O56" s="11"/>
      <c r="P56" s="11"/>
      <c r="Q56" s="11"/>
      <c r="R56" s="11"/>
      <c r="S56" s="11"/>
      <c r="T56" s="11"/>
      <c r="U56" s="11"/>
      <c r="V56" s="11"/>
      <c r="W56" s="11"/>
      <c r="X56" s="11"/>
      <c r="Y56" s="11"/>
      <c r="Z56" s="11"/>
    </row>
    <row r="57" spans="1:26" ht="15.75" customHeight="1" x14ac:dyDescent="0.25">
      <c r="A57" s="11"/>
      <c r="B57" s="30"/>
      <c r="C57" s="30"/>
      <c r="D57" s="11"/>
      <c r="E57" s="54" t="s">
        <v>274</v>
      </c>
      <c r="F57" s="55" t="s">
        <v>275</v>
      </c>
      <c r="G57" s="56">
        <v>884</v>
      </c>
      <c r="H57" s="11"/>
      <c r="I57" s="11"/>
      <c r="J57" s="11"/>
      <c r="K57" s="11"/>
      <c r="L57" s="11"/>
      <c r="M57" s="11"/>
      <c r="N57" s="11"/>
      <c r="O57" s="11"/>
      <c r="P57" s="11"/>
      <c r="Q57" s="11"/>
      <c r="R57" s="11"/>
      <c r="S57" s="11"/>
      <c r="T57" s="11"/>
      <c r="U57" s="11"/>
      <c r="V57" s="11"/>
      <c r="W57" s="11"/>
      <c r="X57" s="11"/>
      <c r="Y57" s="11"/>
      <c r="Z57" s="11"/>
    </row>
    <row r="58" spans="1:26" ht="15.75" customHeight="1" x14ac:dyDescent="0.25">
      <c r="A58" s="11"/>
      <c r="B58" s="30"/>
      <c r="C58" s="30"/>
      <c r="D58" s="11"/>
      <c r="E58" s="54"/>
      <c r="F58" s="55" t="s">
        <v>277</v>
      </c>
      <c r="G58" s="57" t="s">
        <v>284</v>
      </c>
      <c r="H58" s="11"/>
      <c r="I58" s="11"/>
      <c r="J58" s="11"/>
      <c r="K58" s="11"/>
      <c r="L58" s="11"/>
      <c r="M58" s="11"/>
      <c r="N58" s="11"/>
      <c r="O58" s="11"/>
      <c r="P58" s="11"/>
      <c r="Q58" s="11"/>
      <c r="R58" s="11"/>
      <c r="S58" s="11"/>
      <c r="T58" s="11"/>
      <c r="U58" s="11"/>
      <c r="V58" s="11"/>
      <c r="W58" s="11"/>
      <c r="X58" s="11"/>
      <c r="Y58" s="11"/>
      <c r="Z58" s="11"/>
    </row>
    <row r="59" spans="1:26" ht="15.75" customHeight="1" x14ac:dyDescent="0.25">
      <c r="A59" s="11"/>
      <c r="B59" s="30"/>
      <c r="C59" s="30"/>
      <c r="D59" s="11"/>
      <c r="E59" s="54">
        <v>2</v>
      </c>
      <c r="F59" s="55" t="s">
        <v>279</v>
      </c>
      <c r="G59" s="56">
        <f>5*7</f>
        <v>35</v>
      </c>
      <c r="H59" s="11"/>
      <c r="I59" s="11"/>
      <c r="J59" s="11"/>
      <c r="K59" s="11"/>
      <c r="L59" s="11"/>
      <c r="M59" s="11"/>
      <c r="N59" s="11"/>
      <c r="O59" s="11"/>
      <c r="P59" s="11"/>
      <c r="Q59" s="11"/>
      <c r="R59" s="11"/>
      <c r="S59" s="11"/>
      <c r="T59" s="11"/>
      <c r="U59" s="11"/>
      <c r="V59" s="11"/>
      <c r="W59" s="11"/>
      <c r="X59" s="11"/>
      <c r="Y59" s="11"/>
      <c r="Z59" s="11"/>
    </row>
    <row r="60" spans="1:26" ht="15.75" customHeight="1" x14ac:dyDescent="0.25">
      <c r="A60" s="11"/>
      <c r="B60" s="30"/>
      <c r="C60" s="30"/>
      <c r="D60" s="11"/>
      <c r="E60" s="54"/>
      <c r="F60" s="55" t="s">
        <v>277</v>
      </c>
      <c r="G60" s="57" t="s">
        <v>285</v>
      </c>
      <c r="H60" s="11"/>
      <c r="I60" s="11"/>
      <c r="J60" s="11"/>
      <c r="K60" s="11"/>
      <c r="L60" s="11"/>
      <c r="M60" s="11"/>
      <c r="N60" s="11"/>
      <c r="O60" s="11"/>
      <c r="P60" s="11"/>
      <c r="Q60" s="11"/>
      <c r="R60" s="11"/>
      <c r="S60" s="11"/>
      <c r="T60" s="11"/>
      <c r="U60" s="11"/>
      <c r="V60" s="11"/>
      <c r="W60" s="11"/>
      <c r="X60" s="11"/>
      <c r="Y60" s="11"/>
      <c r="Z60" s="11"/>
    </row>
    <row r="61" spans="1:26" ht="15.75" customHeight="1" x14ac:dyDescent="0.25">
      <c r="A61" s="11"/>
      <c r="B61" s="30"/>
      <c r="C61" s="30"/>
      <c r="D61" s="11"/>
      <c r="E61" s="54">
        <v>3</v>
      </c>
      <c r="F61" s="55" t="s">
        <v>279</v>
      </c>
      <c r="G61" s="56">
        <v>938</v>
      </c>
      <c r="H61" s="11"/>
      <c r="I61" s="11"/>
      <c r="J61" s="11"/>
      <c r="K61" s="11"/>
      <c r="L61" s="11"/>
      <c r="M61" s="11"/>
      <c r="N61" s="11"/>
      <c r="O61" s="11"/>
      <c r="P61" s="11"/>
      <c r="Q61" s="11"/>
      <c r="R61" s="11"/>
      <c r="S61" s="11"/>
      <c r="T61" s="11"/>
      <c r="U61" s="11"/>
      <c r="V61" s="11"/>
      <c r="W61" s="11"/>
      <c r="X61" s="11"/>
      <c r="Y61" s="11"/>
      <c r="Z61" s="11"/>
    </row>
    <row r="62" spans="1:26" ht="15.75" customHeight="1" x14ac:dyDescent="0.25">
      <c r="A62" s="11"/>
      <c r="B62" s="30"/>
      <c r="C62" s="30"/>
      <c r="D62" s="11"/>
      <c r="E62" s="54"/>
      <c r="F62" s="55" t="s">
        <v>277</v>
      </c>
      <c r="G62" s="57" t="s">
        <v>283</v>
      </c>
      <c r="H62" s="11"/>
      <c r="I62" s="11"/>
      <c r="J62" s="11"/>
      <c r="K62" s="11"/>
      <c r="L62" s="11"/>
      <c r="M62" s="11"/>
      <c r="N62" s="11"/>
      <c r="O62" s="11"/>
      <c r="P62" s="11"/>
      <c r="Q62" s="11"/>
      <c r="R62" s="11"/>
      <c r="S62" s="11"/>
      <c r="T62" s="11"/>
      <c r="U62" s="11"/>
      <c r="V62" s="11"/>
      <c r="W62" s="11"/>
      <c r="X62" s="11"/>
      <c r="Y62" s="11"/>
      <c r="Z62" s="11"/>
    </row>
    <row r="63" spans="1:26" ht="15.75" customHeight="1" x14ac:dyDescent="0.25">
      <c r="A63" s="11"/>
      <c r="B63" s="30"/>
      <c r="C63" s="30"/>
      <c r="D63" s="11"/>
      <c r="E63" s="54">
        <v>4</v>
      </c>
      <c r="F63" s="55" t="s">
        <v>279</v>
      </c>
      <c r="G63" s="56">
        <v>3351</v>
      </c>
      <c r="H63" s="11"/>
      <c r="I63" s="11"/>
      <c r="J63" s="11"/>
      <c r="K63" s="11"/>
      <c r="L63" s="11"/>
      <c r="M63" s="11"/>
      <c r="N63" s="11"/>
      <c r="O63" s="11"/>
      <c r="P63" s="11"/>
      <c r="Q63" s="11"/>
      <c r="R63" s="11"/>
      <c r="S63" s="11"/>
      <c r="T63" s="11"/>
      <c r="U63" s="11"/>
      <c r="V63" s="11"/>
      <c r="W63" s="11"/>
      <c r="X63" s="11"/>
      <c r="Y63" s="11"/>
      <c r="Z63" s="11"/>
    </row>
    <row r="64" spans="1:26" ht="15.75" customHeight="1" x14ac:dyDescent="0.25">
      <c r="A64" s="11"/>
      <c r="B64" s="30"/>
      <c r="C64" s="30"/>
      <c r="D64" s="11"/>
      <c r="E64" s="54"/>
      <c r="F64" s="55" t="s">
        <v>277</v>
      </c>
      <c r="G64" s="57" t="s">
        <v>283</v>
      </c>
      <c r="H64" s="11"/>
      <c r="I64" s="11"/>
      <c r="J64" s="11"/>
      <c r="K64" s="11"/>
      <c r="L64" s="11"/>
      <c r="M64" s="11"/>
      <c r="N64" s="11"/>
      <c r="O64" s="11"/>
      <c r="P64" s="11"/>
      <c r="Q64" s="11"/>
      <c r="R64" s="11"/>
      <c r="S64" s="11"/>
      <c r="T64" s="11"/>
      <c r="U64" s="11"/>
      <c r="V64" s="11"/>
      <c r="W64" s="11"/>
      <c r="X64" s="11"/>
      <c r="Y64" s="11"/>
      <c r="Z64" s="11"/>
    </row>
    <row r="65" spans="1:26" ht="15.75" customHeight="1" x14ac:dyDescent="0.25">
      <c r="A65" s="11"/>
      <c r="B65" s="30"/>
      <c r="C65" s="30"/>
      <c r="D65" s="11"/>
      <c r="E65" s="54"/>
      <c r="F65" s="55" t="s">
        <v>280</v>
      </c>
      <c r="G65" s="56">
        <f>G63+G61+G59+G57</f>
        <v>5208</v>
      </c>
      <c r="H65" s="11"/>
      <c r="I65" s="11"/>
      <c r="J65" s="11"/>
      <c r="K65" s="11"/>
      <c r="L65" s="11"/>
      <c r="M65" s="11"/>
      <c r="N65" s="11"/>
      <c r="O65" s="11"/>
      <c r="P65" s="11"/>
      <c r="Q65" s="11"/>
      <c r="R65" s="11"/>
      <c r="S65" s="11"/>
      <c r="T65" s="11"/>
      <c r="U65" s="11"/>
      <c r="V65" s="11"/>
      <c r="W65" s="11"/>
      <c r="X65" s="11"/>
      <c r="Y65" s="11"/>
      <c r="Z65" s="11"/>
    </row>
    <row r="66" spans="1:26" ht="15.75" customHeight="1" x14ac:dyDescent="0.25">
      <c r="A66" s="11"/>
      <c r="B66" s="30"/>
      <c r="C66" s="30"/>
      <c r="D66" s="11"/>
      <c r="E66" s="11"/>
      <c r="F66" s="11"/>
      <c r="G66" s="11"/>
      <c r="H66" s="11"/>
      <c r="I66" s="11"/>
      <c r="J66" s="11"/>
      <c r="K66" s="11"/>
      <c r="L66" s="11"/>
      <c r="M66" s="11"/>
      <c r="N66" s="11"/>
      <c r="O66" s="11"/>
      <c r="P66" s="11"/>
      <c r="Q66" s="11"/>
      <c r="R66" s="11"/>
      <c r="S66" s="11"/>
      <c r="T66" s="11"/>
      <c r="U66" s="11"/>
      <c r="V66" s="11"/>
      <c r="W66" s="11"/>
      <c r="X66" s="11"/>
      <c r="Y66" s="11"/>
      <c r="Z66" s="11"/>
    </row>
    <row r="67" spans="1:26" ht="15.75" customHeight="1" x14ac:dyDescent="0.25">
      <c r="A67" s="11"/>
      <c r="B67" s="30"/>
      <c r="C67" s="30"/>
      <c r="D67" s="11"/>
      <c r="E67" s="53">
        <v>864</v>
      </c>
      <c r="F67" s="53" t="s">
        <v>199</v>
      </c>
      <c r="G67" s="53" t="s">
        <v>272</v>
      </c>
      <c r="H67" s="11"/>
      <c r="I67" s="11"/>
      <c r="J67" s="11"/>
      <c r="K67" s="11"/>
      <c r="L67" s="11"/>
      <c r="M67" s="11"/>
      <c r="N67" s="11"/>
      <c r="O67" s="11"/>
      <c r="P67" s="11"/>
      <c r="Q67" s="11"/>
      <c r="R67" s="11"/>
      <c r="S67" s="11"/>
      <c r="T67" s="11"/>
      <c r="U67" s="11"/>
      <c r="V67" s="11"/>
      <c r="W67" s="11"/>
      <c r="X67" s="11"/>
      <c r="Y67" s="11"/>
      <c r="Z67" s="11"/>
    </row>
    <row r="68" spans="1:26" ht="15.75" customHeight="1" x14ac:dyDescent="0.25">
      <c r="A68" s="11"/>
      <c r="B68" s="30"/>
      <c r="C68" s="30"/>
      <c r="D68" s="11"/>
      <c r="E68" s="54" t="s">
        <v>274</v>
      </c>
      <c r="F68" s="55" t="s">
        <v>275</v>
      </c>
      <c r="G68" s="56">
        <v>5</v>
      </c>
      <c r="H68" s="11"/>
      <c r="I68" s="11"/>
      <c r="J68" s="11"/>
      <c r="K68" s="11"/>
      <c r="L68" s="11"/>
      <c r="M68" s="11"/>
      <c r="N68" s="11"/>
      <c r="O68" s="11"/>
      <c r="P68" s="11"/>
      <c r="Q68" s="11"/>
      <c r="R68" s="11"/>
      <c r="S68" s="11"/>
      <c r="T68" s="11"/>
      <c r="U68" s="11"/>
      <c r="V68" s="11"/>
      <c r="W68" s="11"/>
      <c r="X68" s="11"/>
      <c r="Y68" s="11"/>
      <c r="Z68" s="11"/>
    </row>
    <row r="69" spans="1:26" ht="15.75" customHeight="1" x14ac:dyDescent="0.25">
      <c r="A69" s="11"/>
      <c r="B69" s="30"/>
      <c r="C69" s="30"/>
      <c r="D69" s="11"/>
      <c r="E69" s="54"/>
      <c r="F69" s="55" t="s">
        <v>277</v>
      </c>
      <c r="G69" s="57" t="s">
        <v>286</v>
      </c>
      <c r="H69" s="11"/>
      <c r="I69" s="11"/>
      <c r="J69" s="11"/>
      <c r="K69" s="11"/>
      <c r="L69" s="11"/>
      <c r="M69" s="11"/>
      <c r="N69" s="11"/>
      <c r="O69" s="11"/>
      <c r="P69" s="11"/>
      <c r="Q69" s="11"/>
      <c r="R69" s="11"/>
      <c r="S69" s="11"/>
      <c r="T69" s="11"/>
      <c r="U69" s="11"/>
      <c r="V69" s="11"/>
      <c r="W69" s="11"/>
      <c r="X69" s="11"/>
      <c r="Y69" s="11"/>
      <c r="Z69" s="11"/>
    </row>
    <row r="70" spans="1:26" ht="15.75" customHeight="1" x14ac:dyDescent="0.25">
      <c r="A70" s="11"/>
      <c r="B70" s="30"/>
      <c r="C70" s="30"/>
      <c r="D70" s="11"/>
      <c r="E70" s="54"/>
      <c r="F70" s="55" t="s">
        <v>280</v>
      </c>
      <c r="G70" s="56">
        <f>G68</f>
        <v>5</v>
      </c>
      <c r="H70" s="11"/>
      <c r="I70" s="11"/>
      <c r="J70" s="11"/>
      <c r="K70" s="11"/>
      <c r="L70" s="11"/>
      <c r="M70" s="11"/>
      <c r="N70" s="11"/>
      <c r="O70" s="11"/>
      <c r="P70" s="11"/>
      <c r="Q70" s="11"/>
      <c r="R70" s="11"/>
      <c r="S70" s="11"/>
      <c r="T70" s="11"/>
      <c r="U70" s="11"/>
      <c r="V70" s="11"/>
      <c r="W70" s="11"/>
      <c r="X70" s="11"/>
      <c r="Y70" s="11"/>
      <c r="Z70" s="11"/>
    </row>
    <row r="71" spans="1:26" ht="15.75" customHeight="1" x14ac:dyDescent="0.25">
      <c r="A71" s="11"/>
      <c r="B71" s="30"/>
      <c r="C71" s="30"/>
      <c r="D71" s="11"/>
      <c r="E71" s="11"/>
      <c r="F71" s="11"/>
      <c r="G71" s="11"/>
      <c r="H71" s="11"/>
      <c r="I71" s="11"/>
      <c r="J71" s="11"/>
      <c r="K71" s="11"/>
      <c r="L71" s="11"/>
      <c r="M71" s="11"/>
      <c r="N71" s="11"/>
      <c r="O71" s="11"/>
      <c r="P71" s="11"/>
      <c r="Q71" s="11"/>
      <c r="R71" s="11"/>
      <c r="S71" s="11"/>
      <c r="T71" s="11"/>
      <c r="U71" s="11"/>
      <c r="V71" s="11"/>
      <c r="W71" s="11"/>
      <c r="X71" s="11"/>
      <c r="Y71" s="11"/>
      <c r="Z71" s="11"/>
    </row>
    <row r="72" spans="1:26" ht="15.75" customHeight="1" x14ac:dyDescent="0.25">
      <c r="A72" s="11"/>
      <c r="B72" s="30"/>
      <c r="C72" s="30"/>
      <c r="D72" s="11"/>
      <c r="E72" s="11"/>
      <c r="F72" s="11"/>
      <c r="G72" s="11"/>
      <c r="H72" s="11"/>
      <c r="I72" s="11"/>
      <c r="J72" s="11"/>
      <c r="K72" s="11"/>
      <c r="L72" s="11"/>
      <c r="M72" s="11"/>
      <c r="N72" s="11"/>
      <c r="O72" s="11"/>
      <c r="P72" s="11"/>
      <c r="Q72" s="11"/>
      <c r="R72" s="11"/>
      <c r="S72" s="11"/>
      <c r="T72" s="11"/>
      <c r="U72" s="11"/>
      <c r="V72" s="11"/>
      <c r="W72" s="11"/>
      <c r="X72" s="11"/>
      <c r="Y72" s="11"/>
      <c r="Z72" s="11"/>
    </row>
    <row r="73" spans="1:26" ht="15.75" customHeight="1" x14ac:dyDescent="0.25">
      <c r="A73" s="11"/>
      <c r="B73" s="30"/>
      <c r="C73" s="30"/>
      <c r="D73" s="11"/>
      <c r="E73" s="11"/>
      <c r="F73" s="11"/>
      <c r="G73" s="11"/>
      <c r="H73" s="11"/>
      <c r="I73" s="11"/>
      <c r="J73" s="11"/>
      <c r="K73" s="11"/>
      <c r="L73" s="11"/>
      <c r="M73" s="11"/>
      <c r="N73" s="11"/>
      <c r="O73" s="11"/>
      <c r="P73" s="11"/>
      <c r="Q73" s="11"/>
      <c r="R73" s="11"/>
      <c r="S73" s="11"/>
      <c r="T73" s="11"/>
      <c r="U73" s="11"/>
      <c r="V73" s="11"/>
      <c r="W73" s="11"/>
      <c r="X73" s="11"/>
      <c r="Y73" s="11"/>
      <c r="Z73" s="11"/>
    </row>
    <row r="74" spans="1:26" ht="15.75" customHeight="1" x14ac:dyDescent="0.25">
      <c r="A74" s="11"/>
      <c r="B74" s="30"/>
      <c r="C74" s="30"/>
      <c r="D74" s="11"/>
      <c r="E74" s="53">
        <v>865</v>
      </c>
      <c r="F74" s="53" t="s">
        <v>202</v>
      </c>
      <c r="G74" s="53" t="s">
        <v>272</v>
      </c>
      <c r="H74" s="11"/>
      <c r="I74" s="11"/>
      <c r="J74" s="11"/>
      <c r="K74" s="11"/>
      <c r="L74" s="11"/>
      <c r="M74" s="11"/>
      <c r="N74" s="11"/>
      <c r="O74" s="11"/>
      <c r="P74" s="11"/>
      <c r="Q74" s="11"/>
      <c r="R74" s="11"/>
      <c r="S74" s="11"/>
      <c r="T74" s="11"/>
      <c r="U74" s="11"/>
      <c r="V74" s="11"/>
      <c r="W74" s="11"/>
      <c r="X74" s="11"/>
      <c r="Y74" s="11"/>
      <c r="Z74" s="11"/>
    </row>
    <row r="75" spans="1:26" ht="15.75" customHeight="1" x14ac:dyDescent="0.25">
      <c r="A75" s="11"/>
      <c r="B75" s="30"/>
      <c r="C75" s="30"/>
      <c r="D75" s="11"/>
      <c r="E75" s="54" t="s">
        <v>274</v>
      </c>
      <c r="F75" s="55" t="s">
        <v>287</v>
      </c>
      <c r="G75" s="56">
        <v>0.6</v>
      </c>
      <c r="H75" s="11"/>
      <c r="I75" s="11"/>
      <c r="J75" s="11"/>
      <c r="K75" s="11"/>
      <c r="L75" s="11"/>
      <c r="M75" s="11"/>
      <c r="N75" s="11"/>
      <c r="O75" s="11"/>
      <c r="P75" s="11"/>
      <c r="Q75" s="11"/>
      <c r="R75" s="11"/>
      <c r="S75" s="11"/>
      <c r="T75" s="11"/>
      <c r="U75" s="11"/>
      <c r="V75" s="11"/>
      <c r="W75" s="11"/>
      <c r="X75" s="11"/>
      <c r="Y75" s="11"/>
      <c r="Z75" s="11"/>
    </row>
    <row r="76" spans="1:26" ht="15.75" customHeight="1" x14ac:dyDescent="0.25">
      <c r="A76" s="11"/>
      <c r="B76" s="30"/>
      <c r="C76" s="30"/>
      <c r="D76" s="11"/>
      <c r="E76" s="54"/>
      <c r="F76" s="55" t="s">
        <v>288</v>
      </c>
      <c r="G76" s="57" t="s">
        <v>289</v>
      </c>
      <c r="H76" s="11"/>
      <c r="I76" s="11"/>
      <c r="J76" s="11"/>
      <c r="K76" s="11"/>
      <c r="L76" s="11"/>
      <c r="M76" s="11"/>
      <c r="N76" s="11"/>
      <c r="O76" s="11"/>
      <c r="P76" s="11"/>
      <c r="Q76" s="11"/>
      <c r="R76" s="11"/>
      <c r="S76" s="11"/>
      <c r="T76" s="11"/>
      <c r="U76" s="11"/>
      <c r="V76" s="11"/>
      <c r="W76" s="11"/>
      <c r="X76" s="11"/>
      <c r="Y76" s="11"/>
      <c r="Z76" s="11"/>
    </row>
    <row r="77" spans="1:26" ht="15.75" customHeight="1" x14ac:dyDescent="0.25">
      <c r="A77" s="11"/>
      <c r="B77" s="30"/>
      <c r="C77" s="30"/>
      <c r="D77" s="11"/>
      <c r="E77" s="54">
        <v>2</v>
      </c>
      <c r="F77" s="55" t="s">
        <v>287</v>
      </c>
      <c r="G77" s="56">
        <v>0.6</v>
      </c>
      <c r="H77" s="11"/>
      <c r="I77" s="11"/>
      <c r="J77" s="11"/>
      <c r="K77" s="11"/>
      <c r="L77" s="11"/>
      <c r="M77" s="11"/>
      <c r="N77" s="11"/>
      <c r="O77" s="11"/>
      <c r="P77" s="11"/>
      <c r="Q77" s="11"/>
      <c r="R77" s="11"/>
      <c r="S77" s="11"/>
      <c r="T77" s="11"/>
      <c r="U77" s="11"/>
      <c r="V77" s="11"/>
      <c r="W77" s="11"/>
      <c r="X77" s="11"/>
      <c r="Y77" s="11"/>
      <c r="Z77" s="11"/>
    </row>
    <row r="78" spans="1:26" ht="15.75" customHeight="1" x14ac:dyDescent="0.25">
      <c r="A78" s="11"/>
      <c r="B78" s="30"/>
      <c r="C78" s="30"/>
      <c r="D78" s="11"/>
      <c r="E78" s="54"/>
      <c r="F78" s="55" t="s">
        <v>288</v>
      </c>
      <c r="G78" s="57" t="s">
        <v>289</v>
      </c>
      <c r="H78" s="11"/>
      <c r="I78" s="11"/>
      <c r="J78" s="11"/>
      <c r="K78" s="11"/>
      <c r="L78" s="11"/>
      <c r="M78" s="11"/>
      <c r="N78" s="11"/>
      <c r="O78" s="11"/>
      <c r="P78" s="11"/>
      <c r="Q78" s="11"/>
      <c r="R78" s="11"/>
      <c r="S78" s="11"/>
      <c r="T78" s="11"/>
      <c r="U78" s="11"/>
      <c r="V78" s="11"/>
      <c r="W78" s="11"/>
      <c r="X78" s="11"/>
      <c r="Y78" s="11"/>
      <c r="Z78" s="11"/>
    </row>
    <row r="79" spans="1:26" ht="15.75" customHeight="1" x14ac:dyDescent="0.25">
      <c r="A79" s="11"/>
      <c r="B79" s="30"/>
      <c r="C79" s="30"/>
      <c r="D79" s="11"/>
      <c r="E79" s="54">
        <v>3</v>
      </c>
      <c r="F79" s="55" t="s">
        <v>287</v>
      </c>
      <c r="G79" s="56">
        <v>2.4500000000000002</v>
      </c>
      <c r="H79" s="11"/>
      <c r="I79" s="11"/>
      <c r="J79" s="11"/>
      <c r="K79" s="11"/>
      <c r="L79" s="11"/>
      <c r="M79" s="11"/>
      <c r="N79" s="11"/>
      <c r="O79" s="11"/>
      <c r="P79" s="11"/>
      <c r="Q79" s="11"/>
      <c r="R79" s="11"/>
      <c r="S79" s="11"/>
      <c r="T79" s="11"/>
      <c r="U79" s="11"/>
      <c r="V79" s="11"/>
      <c r="W79" s="11"/>
      <c r="X79" s="11"/>
      <c r="Y79" s="11"/>
      <c r="Z79" s="11"/>
    </row>
    <row r="80" spans="1:26" ht="15.75" customHeight="1" x14ac:dyDescent="0.25">
      <c r="A80" s="11"/>
      <c r="B80" s="30"/>
      <c r="C80" s="30"/>
      <c r="D80" s="11"/>
      <c r="E80" s="54"/>
      <c r="F80" s="55" t="s">
        <v>288</v>
      </c>
      <c r="G80" s="57" t="s">
        <v>290</v>
      </c>
      <c r="H80" s="11"/>
      <c r="I80" s="11"/>
      <c r="J80" s="11"/>
      <c r="K80" s="11"/>
      <c r="L80" s="11"/>
      <c r="M80" s="11"/>
      <c r="N80" s="11"/>
      <c r="O80" s="11"/>
      <c r="P80" s="11"/>
      <c r="Q80" s="11"/>
      <c r="R80" s="11"/>
      <c r="S80" s="11"/>
      <c r="T80" s="11"/>
      <c r="U80" s="11"/>
      <c r="V80" s="11"/>
      <c r="W80" s="11"/>
      <c r="X80" s="11"/>
      <c r="Y80" s="11"/>
      <c r="Z80" s="11"/>
    </row>
    <row r="81" spans="1:26" ht="15.75" customHeight="1" x14ac:dyDescent="0.25">
      <c r="A81" s="11"/>
      <c r="B81" s="30"/>
      <c r="C81" s="30"/>
      <c r="D81" s="11"/>
      <c r="E81" s="54">
        <v>4</v>
      </c>
      <c r="F81" s="55" t="s">
        <v>287</v>
      </c>
      <c r="G81" s="56">
        <v>2.4500000000000002</v>
      </c>
      <c r="H81" s="11"/>
      <c r="I81" s="11"/>
      <c r="J81" s="11"/>
      <c r="K81" s="11"/>
      <c r="L81" s="11"/>
      <c r="M81" s="11"/>
      <c r="N81" s="11"/>
      <c r="O81" s="11"/>
      <c r="P81" s="11"/>
      <c r="Q81" s="11"/>
      <c r="R81" s="11"/>
      <c r="S81" s="11"/>
      <c r="T81" s="11"/>
      <c r="U81" s="11"/>
      <c r="V81" s="11"/>
      <c r="W81" s="11"/>
      <c r="X81" s="11"/>
      <c r="Y81" s="11"/>
      <c r="Z81" s="11"/>
    </row>
    <row r="82" spans="1:26" ht="15.75" customHeight="1" x14ac:dyDescent="0.25">
      <c r="A82" s="11"/>
      <c r="B82" s="30"/>
      <c r="C82" s="30"/>
      <c r="D82" s="11"/>
      <c r="E82" s="54"/>
      <c r="F82" s="55" t="s">
        <v>288</v>
      </c>
      <c r="G82" s="57" t="s">
        <v>290</v>
      </c>
      <c r="H82" s="11"/>
      <c r="I82" s="11"/>
      <c r="J82" s="11"/>
      <c r="K82" s="11"/>
      <c r="L82" s="11"/>
      <c r="M82" s="11"/>
      <c r="N82" s="11"/>
      <c r="O82" s="11"/>
      <c r="P82" s="11"/>
      <c r="Q82" s="11"/>
      <c r="R82" s="11"/>
      <c r="S82" s="11"/>
      <c r="T82" s="11"/>
      <c r="U82" s="11"/>
      <c r="V82" s="11"/>
      <c r="W82" s="11"/>
      <c r="X82" s="11"/>
      <c r="Y82" s="11"/>
      <c r="Z82" s="11"/>
    </row>
    <row r="83" spans="1:26" ht="15.75" customHeight="1" x14ac:dyDescent="0.25">
      <c r="A83" s="11"/>
      <c r="B83" s="30"/>
      <c r="C83" s="30"/>
      <c r="D83" s="11"/>
      <c r="E83" s="331" t="s">
        <v>291</v>
      </c>
      <c r="F83" s="332"/>
      <c r="G83" s="58">
        <f>G81+G79+G77+G75</f>
        <v>6.1</v>
      </c>
      <c r="H83" s="11"/>
      <c r="I83" s="11"/>
      <c r="J83" s="11"/>
      <c r="K83" s="11"/>
      <c r="L83" s="11"/>
      <c r="M83" s="11"/>
      <c r="N83" s="11"/>
      <c r="O83" s="11"/>
      <c r="P83" s="11"/>
      <c r="Q83" s="11"/>
      <c r="R83" s="11"/>
      <c r="S83" s="11"/>
      <c r="T83" s="11"/>
      <c r="U83" s="11"/>
      <c r="V83" s="11"/>
      <c r="W83" s="11"/>
      <c r="X83" s="11"/>
      <c r="Y83" s="11"/>
      <c r="Z83" s="11"/>
    </row>
    <row r="84" spans="1:26" ht="15.75" customHeight="1" x14ac:dyDescent="0.25">
      <c r="A84" s="11"/>
      <c r="B84" s="30"/>
      <c r="C84" s="30"/>
      <c r="D84" s="11"/>
      <c r="E84" s="333" t="s">
        <v>292</v>
      </c>
      <c r="F84" s="334"/>
      <c r="G84" s="59" t="s">
        <v>293</v>
      </c>
      <c r="H84" s="11"/>
      <c r="I84" s="11"/>
      <c r="J84" s="11"/>
      <c r="K84" s="11"/>
      <c r="L84" s="11"/>
      <c r="M84" s="11"/>
      <c r="N84" s="11"/>
      <c r="O84" s="11"/>
      <c r="P84" s="11"/>
      <c r="Q84" s="11"/>
      <c r="R84" s="11"/>
      <c r="S84" s="11"/>
      <c r="T84" s="11"/>
      <c r="U84" s="11"/>
      <c r="V84" s="11"/>
      <c r="W84" s="11"/>
      <c r="X84" s="11"/>
      <c r="Y84" s="11"/>
      <c r="Z84" s="11"/>
    </row>
    <row r="85" spans="1:26" ht="15.75" customHeight="1" x14ac:dyDescent="0.25">
      <c r="A85" s="11"/>
      <c r="B85" s="30"/>
      <c r="C85" s="30"/>
      <c r="D85" s="11"/>
      <c r="E85" s="11"/>
      <c r="F85" s="11"/>
      <c r="G85" s="11"/>
      <c r="H85" s="11"/>
      <c r="I85" s="11"/>
      <c r="J85" s="11"/>
      <c r="K85" s="11"/>
      <c r="L85" s="11"/>
      <c r="M85" s="11"/>
      <c r="N85" s="11"/>
      <c r="O85" s="11"/>
      <c r="P85" s="11"/>
      <c r="Q85" s="11"/>
      <c r="R85" s="11"/>
      <c r="S85" s="11"/>
      <c r="T85" s="11"/>
      <c r="U85" s="11"/>
      <c r="V85" s="11"/>
      <c r="W85" s="11"/>
      <c r="X85" s="11"/>
      <c r="Y85" s="11"/>
      <c r="Z85" s="11"/>
    </row>
    <row r="86" spans="1:26" ht="15.75" customHeight="1" x14ac:dyDescent="0.25">
      <c r="A86" s="11"/>
      <c r="B86" s="30"/>
      <c r="C86" s="30"/>
      <c r="D86" s="11"/>
      <c r="E86" s="11"/>
      <c r="F86" s="11"/>
      <c r="G86" s="11"/>
      <c r="H86" s="11"/>
      <c r="I86" s="11"/>
      <c r="J86" s="11"/>
      <c r="K86" s="11"/>
      <c r="L86" s="11"/>
      <c r="M86" s="11"/>
      <c r="N86" s="11"/>
      <c r="O86" s="11"/>
      <c r="P86" s="11"/>
      <c r="Q86" s="11"/>
      <c r="R86" s="11"/>
      <c r="S86" s="11"/>
      <c r="T86" s="11"/>
      <c r="U86" s="11"/>
      <c r="V86" s="11"/>
      <c r="W86" s="11"/>
      <c r="X86" s="11"/>
      <c r="Y86" s="11"/>
      <c r="Z86" s="11"/>
    </row>
    <row r="87" spans="1:26" ht="15.75" customHeight="1" x14ac:dyDescent="0.25">
      <c r="A87" s="11"/>
      <c r="B87" s="30"/>
      <c r="C87" s="30"/>
      <c r="D87" s="11"/>
      <c r="E87" s="11"/>
      <c r="F87" s="11"/>
      <c r="G87" s="11"/>
      <c r="H87" s="11"/>
      <c r="I87" s="11"/>
      <c r="J87" s="11"/>
      <c r="K87" s="11"/>
      <c r="L87" s="11"/>
      <c r="M87" s="11"/>
      <c r="N87" s="11"/>
      <c r="O87" s="11"/>
      <c r="P87" s="11"/>
      <c r="Q87" s="11"/>
      <c r="R87" s="11"/>
      <c r="S87" s="11"/>
      <c r="T87" s="11"/>
      <c r="U87" s="11"/>
      <c r="V87" s="11"/>
      <c r="W87" s="11"/>
      <c r="X87" s="11"/>
      <c r="Y87" s="11"/>
      <c r="Z87" s="11"/>
    </row>
    <row r="88" spans="1:26" ht="15.75" customHeight="1" x14ac:dyDescent="0.25">
      <c r="A88" s="11"/>
      <c r="B88" s="30"/>
      <c r="C88" s="30"/>
      <c r="D88" s="11"/>
      <c r="E88" s="11"/>
      <c r="F88" s="11"/>
      <c r="G88" s="11"/>
      <c r="H88" s="11"/>
      <c r="I88" s="53">
        <v>867</v>
      </c>
      <c r="J88" s="53" t="s">
        <v>207</v>
      </c>
      <c r="K88" s="53" t="s">
        <v>272</v>
      </c>
      <c r="L88" s="11"/>
      <c r="M88" s="11"/>
      <c r="N88" s="11"/>
      <c r="O88" s="11"/>
      <c r="P88" s="11"/>
      <c r="Q88" s="11"/>
      <c r="R88" s="11"/>
      <c r="S88" s="11"/>
      <c r="T88" s="11"/>
      <c r="U88" s="11"/>
      <c r="V88" s="11"/>
      <c r="W88" s="11"/>
      <c r="X88" s="11"/>
      <c r="Y88" s="11"/>
      <c r="Z88" s="11"/>
    </row>
    <row r="89" spans="1:26" ht="15.75" customHeight="1" x14ac:dyDescent="0.25">
      <c r="A89" s="11"/>
      <c r="B89" s="30"/>
      <c r="C89" s="30"/>
      <c r="D89" s="11"/>
      <c r="E89" s="60">
        <v>1</v>
      </c>
      <c r="F89" s="8" t="s">
        <v>294</v>
      </c>
      <c r="G89" s="9">
        <v>200</v>
      </c>
      <c r="H89" s="11"/>
      <c r="I89" s="7">
        <v>1</v>
      </c>
      <c r="J89" s="61" t="s">
        <v>295</v>
      </c>
      <c r="K89" s="7">
        <v>5</v>
      </c>
      <c r="L89" s="11"/>
      <c r="M89" s="11"/>
      <c r="N89" s="11"/>
      <c r="O89" s="11"/>
      <c r="P89" s="11"/>
      <c r="Q89" s="11"/>
      <c r="R89" s="11"/>
      <c r="S89" s="11"/>
      <c r="T89" s="11"/>
      <c r="U89" s="11"/>
      <c r="V89" s="11"/>
      <c r="W89" s="11"/>
      <c r="X89" s="11"/>
      <c r="Y89" s="11"/>
      <c r="Z89" s="11"/>
    </row>
    <row r="90" spans="1:26" ht="15.75" customHeight="1" x14ac:dyDescent="0.25">
      <c r="A90" s="11"/>
      <c r="B90" s="30"/>
      <c r="C90" s="30"/>
      <c r="D90" s="11"/>
      <c r="E90" s="60"/>
      <c r="F90" s="62" t="s">
        <v>287</v>
      </c>
      <c r="G90" s="63">
        <f>0.075*G89</f>
        <v>15</v>
      </c>
      <c r="H90" s="11"/>
      <c r="I90" s="60"/>
      <c r="J90" s="62" t="s">
        <v>287</v>
      </c>
      <c r="K90" s="63">
        <v>0.4</v>
      </c>
      <c r="L90" s="11"/>
      <c r="M90" s="11"/>
      <c r="N90" s="11"/>
      <c r="O90" s="11"/>
      <c r="P90" s="11"/>
      <c r="Q90" s="11"/>
      <c r="R90" s="11"/>
      <c r="S90" s="11"/>
      <c r="T90" s="11"/>
      <c r="U90" s="11"/>
      <c r="V90" s="11"/>
      <c r="W90" s="11"/>
      <c r="X90" s="11"/>
      <c r="Y90" s="11"/>
      <c r="Z90" s="11"/>
    </row>
    <row r="91" spans="1:26" ht="15.75" customHeight="1" x14ac:dyDescent="0.25">
      <c r="A91" s="11"/>
      <c r="B91" s="30"/>
      <c r="C91" s="30"/>
      <c r="D91" s="11"/>
      <c r="E91" s="60"/>
      <c r="F91" s="62" t="s">
        <v>296</v>
      </c>
      <c r="G91" s="64" t="s">
        <v>297</v>
      </c>
      <c r="H91" s="11"/>
      <c r="I91" s="60"/>
      <c r="J91" s="62" t="s">
        <v>296</v>
      </c>
      <c r="K91" s="59" t="s">
        <v>285</v>
      </c>
      <c r="L91" s="11"/>
      <c r="M91" s="11"/>
      <c r="N91" s="11"/>
      <c r="O91" s="11"/>
      <c r="P91" s="11"/>
      <c r="Q91" s="11"/>
      <c r="R91" s="11"/>
      <c r="S91" s="11"/>
      <c r="T91" s="11"/>
      <c r="U91" s="11"/>
      <c r="V91" s="11"/>
      <c r="W91" s="11"/>
      <c r="X91" s="11"/>
      <c r="Y91" s="11"/>
      <c r="Z91" s="11"/>
    </row>
    <row r="92" spans="1:26" ht="15.75" customHeight="1" x14ac:dyDescent="0.25">
      <c r="A92" s="11"/>
      <c r="B92" s="30"/>
      <c r="C92" s="30"/>
      <c r="D92" s="11"/>
      <c r="E92" s="60">
        <v>2</v>
      </c>
      <c r="F92" s="8" t="s">
        <v>298</v>
      </c>
      <c r="G92" s="9">
        <v>64</v>
      </c>
      <c r="H92" s="11"/>
      <c r="I92" s="7">
        <v>2</v>
      </c>
      <c r="J92" s="61" t="s">
        <v>299</v>
      </c>
      <c r="K92" s="7">
        <v>3</v>
      </c>
      <c r="L92" s="11"/>
      <c r="M92" s="11">
        <v>12</v>
      </c>
      <c r="N92" s="11"/>
      <c r="O92" s="11"/>
      <c r="P92" s="11"/>
      <c r="Q92" s="11"/>
      <c r="R92" s="11"/>
      <c r="S92" s="11"/>
      <c r="T92" s="11"/>
      <c r="U92" s="11"/>
      <c r="V92" s="11"/>
      <c r="W92" s="11"/>
      <c r="X92" s="11"/>
      <c r="Y92" s="11"/>
      <c r="Z92" s="11"/>
    </row>
    <row r="93" spans="1:26" ht="15.75" customHeight="1" x14ac:dyDescent="0.25">
      <c r="A93" s="11"/>
      <c r="B93" s="30"/>
      <c r="C93" s="30"/>
      <c r="D93" s="11"/>
      <c r="E93" s="60"/>
      <c r="F93" s="62" t="s">
        <v>287</v>
      </c>
      <c r="G93" s="63">
        <f>0.24*G92</f>
        <v>15.36</v>
      </c>
      <c r="H93" s="11"/>
      <c r="I93" s="60"/>
      <c r="J93" s="62" t="s">
        <v>287</v>
      </c>
      <c r="K93" s="63">
        <v>0.75</v>
      </c>
      <c r="L93" s="65">
        <f>12*K93</f>
        <v>9</v>
      </c>
      <c r="M93" s="11"/>
      <c r="N93" s="11"/>
      <c r="O93" s="11"/>
      <c r="P93" s="11"/>
      <c r="Q93" s="11"/>
      <c r="R93" s="11"/>
      <c r="S93" s="11"/>
      <c r="T93" s="11"/>
      <c r="U93" s="11"/>
      <c r="V93" s="11"/>
      <c r="W93" s="11"/>
      <c r="X93" s="11"/>
      <c r="Y93" s="11"/>
      <c r="Z93" s="11"/>
    </row>
    <row r="94" spans="1:26" ht="15.75" customHeight="1" x14ac:dyDescent="0.25">
      <c r="A94" s="11"/>
      <c r="B94" s="30"/>
      <c r="C94" s="30"/>
      <c r="D94" s="11"/>
      <c r="E94" s="60"/>
      <c r="F94" s="62" t="s">
        <v>288</v>
      </c>
      <c r="G94" s="61" t="s">
        <v>289</v>
      </c>
      <c r="H94" s="11"/>
      <c r="I94" s="60"/>
      <c r="J94" s="62" t="s">
        <v>296</v>
      </c>
      <c r="K94" s="59" t="s">
        <v>285</v>
      </c>
      <c r="L94" s="11"/>
      <c r="M94" s="11"/>
      <c r="N94" s="11"/>
      <c r="O94" s="11"/>
      <c r="P94" s="11"/>
      <c r="Q94" s="11"/>
      <c r="R94" s="11"/>
      <c r="S94" s="11"/>
      <c r="T94" s="11"/>
      <c r="U94" s="11"/>
      <c r="V94" s="11"/>
      <c r="W94" s="11"/>
      <c r="X94" s="11"/>
      <c r="Y94" s="11"/>
      <c r="Z94" s="11"/>
    </row>
    <row r="95" spans="1:26" ht="15.75" customHeight="1" x14ac:dyDescent="0.25">
      <c r="A95" s="11"/>
      <c r="B95" s="30"/>
      <c r="C95" s="30"/>
      <c r="D95" s="11"/>
      <c r="E95" s="60">
        <v>3</v>
      </c>
      <c r="F95" s="8" t="s">
        <v>300</v>
      </c>
      <c r="G95" s="9">
        <v>32</v>
      </c>
      <c r="H95" s="11"/>
      <c r="I95" s="7">
        <v>3</v>
      </c>
      <c r="J95" s="61" t="s">
        <v>301</v>
      </c>
      <c r="K95" s="7">
        <v>5</v>
      </c>
      <c r="L95" s="11"/>
      <c r="M95" s="11"/>
      <c r="N95" s="11"/>
      <c r="O95" s="11"/>
      <c r="P95" s="11"/>
      <c r="Q95" s="11"/>
      <c r="R95" s="11"/>
      <c r="S95" s="11"/>
      <c r="T95" s="11"/>
      <c r="U95" s="11"/>
      <c r="V95" s="11"/>
      <c r="W95" s="11"/>
      <c r="X95" s="11"/>
      <c r="Y95" s="11"/>
      <c r="Z95" s="11"/>
    </row>
    <row r="96" spans="1:26" ht="15.75" customHeight="1" x14ac:dyDescent="0.25">
      <c r="A96" s="11"/>
      <c r="B96" s="30"/>
      <c r="C96" s="30"/>
      <c r="D96" s="11"/>
      <c r="E96" s="60"/>
      <c r="F96" s="62" t="s">
        <v>287</v>
      </c>
      <c r="G96" s="63">
        <f>0.25*G95</f>
        <v>8</v>
      </c>
      <c r="H96" s="11"/>
      <c r="I96" s="60"/>
      <c r="J96" s="62" t="s">
        <v>287</v>
      </c>
      <c r="K96" s="63">
        <v>5</v>
      </c>
      <c r="L96" s="65">
        <f>12/K96</f>
        <v>2.4</v>
      </c>
      <c r="M96" s="11"/>
      <c r="N96" s="11"/>
      <c r="O96" s="11"/>
      <c r="P96" s="11"/>
      <c r="Q96" s="11"/>
      <c r="R96" s="11"/>
      <c r="S96" s="11"/>
      <c r="T96" s="11"/>
      <c r="U96" s="11"/>
      <c r="V96" s="11"/>
      <c r="W96" s="11"/>
      <c r="X96" s="11"/>
      <c r="Y96" s="11"/>
      <c r="Z96" s="11"/>
    </row>
    <row r="97" spans="1:26" ht="15.75" customHeight="1" x14ac:dyDescent="0.25">
      <c r="A97" s="11"/>
      <c r="B97" s="30"/>
      <c r="C97" s="30"/>
      <c r="D97" s="11"/>
      <c r="E97" s="60"/>
      <c r="F97" s="62" t="s">
        <v>288</v>
      </c>
      <c r="G97" s="61" t="s">
        <v>289</v>
      </c>
      <c r="H97" s="11"/>
      <c r="I97" s="60"/>
      <c r="J97" s="62" t="s">
        <v>296</v>
      </c>
      <c r="K97" s="59" t="s">
        <v>285</v>
      </c>
      <c r="L97" s="11"/>
      <c r="M97" s="11"/>
      <c r="N97" s="11"/>
      <c r="O97" s="11"/>
      <c r="P97" s="11"/>
      <c r="Q97" s="11"/>
      <c r="R97" s="11"/>
      <c r="S97" s="11"/>
      <c r="T97" s="11"/>
      <c r="U97" s="11"/>
      <c r="V97" s="11"/>
      <c r="W97" s="11"/>
      <c r="X97" s="11"/>
      <c r="Y97" s="11"/>
      <c r="Z97" s="11"/>
    </row>
    <row r="98" spans="1:26" ht="15.75" customHeight="1" x14ac:dyDescent="0.25">
      <c r="A98" s="11"/>
      <c r="B98" s="30"/>
      <c r="C98" s="30"/>
      <c r="D98" s="11"/>
      <c r="E98" s="60">
        <v>4</v>
      </c>
      <c r="F98" s="8" t="s">
        <v>300</v>
      </c>
      <c r="G98" s="9">
        <v>24</v>
      </c>
      <c r="H98" s="11"/>
      <c r="I98" s="7">
        <v>4</v>
      </c>
      <c r="J98" s="61" t="s">
        <v>302</v>
      </c>
      <c r="K98" s="7">
        <v>3</v>
      </c>
      <c r="L98" s="11"/>
      <c r="M98" s="11"/>
      <c r="N98" s="11"/>
      <c r="O98" s="11"/>
      <c r="P98" s="11"/>
      <c r="Q98" s="11"/>
      <c r="R98" s="11"/>
      <c r="S98" s="11"/>
      <c r="T98" s="11"/>
      <c r="U98" s="11"/>
      <c r="V98" s="11"/>
      <c r="W98" s="11"/>
      <c r="X98" s="11"/>
      <c r="Y98" s="11"/>
      <c r="Z98" s="11"/>
    </row>
    <row r="99" spans="1:26" ht="15.75" customHeight="1" x14ac:dyDescent="0.25">
      <c r="A99" s="11"/>
      <c r="B99" s="30"/>
      <c r="C99" s="30"/>
      <c r="D99" s="11"/>
      <c r="E99" s="60"/>
      <c r="F99" s="62" t="s">
        <v>287</v>
      </c>
      <c r="G99" s="63">
        <f>0.25*G98</f>
        <v>6</v>
      </c>
      <c r="H99" s="11"/>
      <c r="I99" s="60"/>
      <c r="J99" s="62" t="s">
        <v>287</v>
      </c>
      <c r="K99" s="63">
        <v>1.5</v>
      </c>
      <c r="L99" s="65">
        <f>12/K99</f>
        <v>8</v>
      </c>
      <c r="M99" s="11"/>
      <c r="N99" s="11"/>
      <c r="O99" s="11"/>
      <c r="P99" s="11"/>
      <c r="Q99" s="11"/>
      <c r="R99" s="11"/>
      <c r="S99" s="11"/>
      <c r="T99" s="11"/>
      <c r="U99" s="11"/>
      <c r="V99" s="11"/>
      <c r="W99" s="11"/>
      <c r="X99" s="11"/>
      <c r="Y99" s="11"/>
      <c r="Z99" s="11"/>
    </row>
    <row r="100" spans="1:26" ht="15.75" customHeight="1" x14ac:dyDescent="0.25">
      <c r="A100" s="11"/>
      <c r="B100" s="30"/>
      <c r="C100" s="30"/>
      <c r="D100" s="11"/>
      <c r="E100" s="60"/>
      <c r="F100" s="62" t="s">
        <v>288</v>
      </c>
      <c r="G100" s="61" t="s">
        <v>289</v>
      </c>
      <c r="H100" s="11"/>
      <c r="I100" s="60"/>
      <c r="J100" s="62" t="s">
        <v>296</v>
      </c>
      <c r="K100" s="59" t="s">
        <v>285</v>
      </c>
      <c r="L100" s="11"/>
      <c r="M100" s="11"/>
      <c r="N100" s="11"/>
      <c r="O100" s="11"/>
      <c r="P100" s="11"/>
      <c r="Q100" s="11"/>
      <c r="R100" s="11"/>
      <c r="S100" s="11"/>
      <c r="T100" s="11"/>
      <c r="U100" s="11"/>
      <c r="V100" s="11"/>
      <c r="W100" s="11"/>
      <c r="X100" s="11"/>
      <c r="Y100" s="11"/>
      <c r="Z100" s="11"/>
    </row>
    <row r="101" spans="1:26" ht="15.75" customHeight="1" x14ac:dyDescent="0.25">
      <c r="A101" s="11"/>
      <c r="B101" s="30"/>
      <c r="C101" s="30"/>
      <c r="D101" s="11"/>
      <c r="E101" s="60">
        <v>5</v>
      </c>
      <c r="F101" s="8" t="s">
        <v>303</v>
      </c>
      <c r="G101" s="9">
        <v>100</v>
      </c>
      <c r="H101" s="11"/>
      <c r="I101" s="7">
        <v>5</v>
      </c>
      <c r="J101" s="61" t="s">
        <v>304</v>
      </c>
      <c r="K101" s="7">
        <v>2</v>
      </c>
      <c r="L101" s="11"/>
      <c r="M101" s="11"/>
      <c r="N101" s="11"/>
      <c r="O101" s="11"/>
      <c r="P101" s="11"/>
      <c r="Q101" s="11"/>
      <c r="R101" s="11"/>
      <c r="S101" s="11"/>
      <c r="T101" s="11"/>
      <c r="U101" s="11"/>
      <c r="V101" s="11"/>
      <c r="W101" s="11"/>
      <c r="X101" s="11"/>
      <c r="Y101" s="11"/>
      <c r="Z101" s="11"/>
    </row>
    <row r="102" spans="1:26" ht="15.75" customHeight="1" x14ac:dyDescent="0.25">
      <c r="A102" s="11"/>
      <c r="B102" s="30"/>
      <c r="C102" s="30"/>
      <c r="D102" s="11"/>
      <c r="E102" s="60"/>
      <c r="F102" s="62" t="s">
        <v>287</v>
      </c>
      <c r="G102" s="63">
        <v>10</v>
      </c>
      <c r="H102" s="11"/>
      <c r="I102" s="60"/>
      <c r="J102" s="62" t="s">
        <v>287</v>
      </c>
      <c r="K102" s="63">
        <v>2</v>
      </c>
      <c r="L102" s="65">
        <f>12/K102</f>
        <v>6</v>
      </c>
      <c r="M102" s="11"/>
      <c r="N102" s="11"/>
      <c r="O102" s="11"/>
      <c r="P102" s="11"/>
      <c r="Q102" s="11"/>
      <c r="R102" s="11"/>
      <c r="S102" s="11"/>
      <c r="T102" s="11"/>
      <c r="U102" s="11"/>
      <c r="V102" s="11"/>
      <c r="W102" s="11"/>
      <c r="X102" s="11"/>
      <c r="Y102" s="11"/>
      <c r="Z102" s="11"/>
    </row>
    <row r="103" spans="1:26" ht="15.75" customHeight="1" x14ac:dyDescent="0.25">
      <c r="A103" s="11"/>
      <c r="B103" s="30"/>
      <c r="C103" s="30"/>
      <c r="D103" s="11"/>
      <c r="E103" s="60"/>
      <c r="F103" s="62" t="s">
        <v>288</v>
      </c>
      <c r="G103" s="61" t="s">
        <v>305</v>
      </c>
      <c r="H103" s="11"/>
      <c r="I103" s="60"/>
      <c r="J103" s="62" t="s">
        <v>296</v>
      </c>
      <c r="K103" s="59" t="s">
        <v>285</v>
      </c>
      <c r="L103" s="11"/>
      <c r="M103" s="11"/>
      <c r="N103" s="11"/>
      <c r="O103" s="11"/>
      <c r="P103" s="11"/>
      <c r="Q103" s="11"/>
      <c r="R103" s="11"/>
      <c r="S103" s="11"/>
      <c r="T103" s="11"/>
      <c r="U103" s="11"/>
      <c r="V103" s="11"/>
      <c r="W103" s="11"/>
      <c r="X103" s="11"/>
      <c r="Y103" s="11"/>
      <c r="Z103" s="11"/>
    </row>
    <row r="104" spans="1:26" ht="15.75" customHeight="1" x14ac:dyDescent="0.25">
      <c r="A104" s="11"/>
      <c r="B104" s="30"/>
      <c r="C104" s="30"/>
      <c r="D104" s="11"/>
      <c r="E104" s="60">
        <v>6</v>
      </c>
      <c r="F104" s="8" t="s">
        <v>306</v>
      </c>
      <c r="G104" s="9">
        <v>170</v>
      </c>
      <c r="H104" s="11"/>
      <c r="I104" s="7">
        <v>6</v>
      </c>
      <c r="J104" s="61" t="s">
        <v>307</v>
      </c>
      <c r="K104" s="7">
        <v>2</v>
      </c>
      <c r="L104" s="11"/>
      <c r="M104" s="11"/>
      <c r="N104" s="11"/>
      <c r="O104" s="11"/>
      <c r="P104" s="11"/>
      <c r="Q104" s="11"/>
      <c r="R104" s="11"/>
      <c r="S104" s="11"/>
      <c r="T104" s="11"/>
      <c r="U104" s="11"/>
      <c r="V104" s="11"/>
      <c r="W104" s="11"/>
      <c r="X104" s="11"/>
      <c r="Y104" s="11"/>
      <c r="Z104" s="11"/>
    </row>
    <row r="105" spans="1:26" ht="15.75" customHeight="1" x14ac:dyDescent="0.25">
      <c r="A105" s="11"/>
      <c r="B105" s="30"/>
      <c r="C105" s="30"/>
      <c r="D105" s="11"/>
      <c r="E105" s="60"/>
      <c r="F105" s="62" t="s">
        <v>287</v>
      </c>
      <c r="G105" s="63">
        <v>5</v>
      </c>
      <c r="H105" s="11"/>
      <c r="I105" s="60"/>
      <c r="J105" s="62" t="s">
        <v>287</v>
      </c>
      <c r="K105" s="63">
        <v>1.5</v>
      </c>
      <c r="L105" s="11"/>
      <c r="M105" s="11"/>
      <c r="N105" s="11"/>
      <c r="O105" s="11"/>
      <c r="P105" s="11"/>
      <c r="Q105" s="11"/>
      <c r="R105" s="11"/>
      <c r="S105" s="11"/>
      <c r="T105" s="11"/>
      <c r="U105" s="11"/>
      <c r="V105" s="11"/>
      <c r="W105" s="11"/>
      <c r="X105" s="11"/>
      <c r="Y105" s="11"/>
      <c r="Z105" s="11"/>
    </row>
    <row r="106" spans="1:26" ht="15.75" customHeight="1" x14ac:dyDescent="0.25">
      <c r="A106" s="11"/>
      <c r="B106" s="30"/>
      <c r="C106" s="30"/>
      <c r="D106" s="11"/>
      <c r="E106" s="60"/>
      <c r="F106" s="62" t="s">
        <v>288</v>
      </c>
      <c r="G106" s="59" t="s">
        <v>308</v>
      </c>
      <c r="H106" s="11"/>
      <c r="I106" s="60"/>
      <c r="J106" s="62" t="s">
        <v>296</v>
      </c>
      <c r="K106" s="59" t="s">
        <v>285</v>
      </c>
      <c r="L106" s="11"/>
      <c r="M106" s="11"/>
      <c r="N106" s="11"/>
      <c r="O106" s="11"/>
      <c r="P106" s="11"/>
      <c r="Q106" s="11"/>
      <c r="R106" s="11"/>
      <c r="S106" s="11"/>
      <c r="T106" s="11"/>
      <c r="U106" s="11"/>
      <c r="V106" s="11"/>
      <c r="W106" s="11"/>
      <c r="X106" s="11"/>
      <c r="Y106" s="11"/>
      <c r="Z106" s="11"/>
    </row>
    <row r="107" spans="1:26" ht="15.75" customHeight="1" x14ac:dyDescent="0.25">
      <c r="A107" s="11"/>
      <c r="B107" s="30"/>
      <c r="C107" s="30"/>
      <c r="D107" s="11"/>
      <c r="E107" s="60">
        <v>7</v>
      </c>
      <c r="F107" s="61" t="s">
        <v>309</v>
      </c>
      <c r="G107" s="9">
        <v>48</v>
      </c>
      <c r="H107" s="11"/>
      <c r="I107" s="7">
        <v>7</v>
      </c>
      <c r="J107" s="61" t="s">
        <v>310</v>
      </c>
      <c r="K107" s="7">
        <v>1</v>
      </c>
      <c r="L107" s="11"/>
      <c r="M107" s="11"/>
      <c r="N107" s="11"/>
      <c r="O107" s="11"/>
      <c r="P107" s="11"/>
      <c r="Q107" s="11"/>
      <c r="R107" s="11"/>
      <c r="S107" s="11"/>
      <c r="T107" s="11"/>
      <c r="U107" s="11"/>
      <c r="V107" s="11"/>
      <c r="W107" s="11"/>
      <c r="X107" s="11"/>
      <c r="Y107" s="11"/>
      <c r="Z107" s="11"/>
    </row>
    <row r="108" spans="1:26" ht="15.75" customHeight="1" x14ac:dyDescent="0.25">
      <c r="A108" s="11"/>
      <c r="B108" s="30"/>
      <c r="C108" s="30"/>
      <c r="D108" s="11"/>
      <c r="E108" s="60"/>
      <c r="F108" s="62" t="s">
        <v>287</v>
      </c>
      <c r="G108" s="63">
        <v>19</v>
      </c>
      <c r="H108" s="11"/>
      <c r="I108" s="60"/>
      <c r="J108" s="62" t="s">
        <v>287</v>
      </c>
      <c r="K108" s="63">
        <v>0.25</v>
      </c>
      <c r="L108" s="65">
        <f>12*K108</f>
        <v>3</v>
      </c>
      <c r="M108" s="11"/>
      <c r="N108" s="11"/>
      <c r="O108" s="11"/>
      <c r="P108" s="11"/>
      <c r="Q108" s="11"/>
      <c r="R108" s="11"/>
      <c r="S108" s="11"/>
      <c r="T108" s="11"/>
      <c r="U108" s="11"/>
      <c r="V108" s="11"/>
      <c r="W108" s="11"/>
      <c r="X108" s="11"/>
      <c r="Y108" s="11"/>
      <c r="Z108" s="11"/>
    </row>
    <row r="109" spans="1:26" ht="15.75" customHeight="1" x14ac:dyDescent="0.25">
      <c r="A109" s="11"/>
      <c r="B109" s="30"/>
      <c r="C109" s="30"/>
      <c r="D109" s="11"/>
      <c r="E109" s="60"/>
      <c r="F109" s="62" t="s">
        <v>288</v>
      </c>
      <c r="G109" s="61" t="s">
        <v>290</v>
      </c>
      <c r="H109" s="11"/>
      <c r="I109" s="60"/>
      <c r="J109" s="62" t="s">
        <v>296</v>
      </c>
      <c r="K109" s="59" t="s">
        <v>285</v>
      </c>
      <c r="L109" s="11"/>
      <c r="M109" s="11"/>
      <c r="N109" s="11"/>
      <c r="O109" s="11"/>
      <c r="P109" s="11"/>
      <c r="Q109" s="11"/>
      <c r="R109" s="11"/>
      <c r="S109" s="11"/>
      <c r="T109" s="11"/>
      <c r="U109" s="11"/>
      <c r="V109" s="11"/>
      <c r="W109" s="11"/>
      <c r="X109" s="11"/>
      <c r="Y109" s="11"/>
      <c r="Z109" s="11"/>
    </row>
    <row r="110" spans="1:26" ht="15.75" customHeight="1" x14ac:dyDescent="0.25">
      <c r="A110" s="11"/>
      <c r="B110" s="30"/>
      <c r="C110" s="30"/>
      <c r="D110" s="11"/>
      <c r="E110" s="60">
        <v>8</v>
      </c>
      <c r="F110" s="61" t="s">
        <v>311</v>
      </c>
      <c r="G110" s="9">
        <v>16</v>
      </c>
      <c r="H110" s="11"/>
      <c r="I110" s="7">
        <v>8</v>
      </c>
      <c r="J110" s="61" t="s">
        <v>312</v>
      </c>
      <c r="K110" s="7">
        <v>1</v>
      </c>
      <c r="L110" s="11"/>
      <c r="M110" s="11"/>
      <c r="N110" s="11"/>
      <c r="O110" s="11"/>
      <c r="P110" s="11"/>
      <c r="Q110" s="11"/>
      <c r="R110" s="11"/>
      <c r="S110" s="11"/>
      <c r="T110" s="11"/>
      <c r="U110" s="11"/>
      <c r="V110" s="11"/>
      <c r="W110" s="11"/>
      <c r="X110" s="11"/>
      <c r="Y110" s="11"/>
      <c r="Z110" s="11"/>
    </row>
    <row r="111" spans="1:26" ht="15.75" customHeight="1" x14ac:dyDescent="0.25">
      <c r="A111" s="11"/>
      <c r="B111" s="30"/>
      <c r="C111" s="30"/>
      <c r="D111" s="11"/>
      <c r="E111" s="60"/>
      <c r="F111" s="62" t="s">
        <v>287</v>
      </c>
      <c r="G111" s="63">
        <f>0.111*G110</f>
        <v>1.776</v>
      </c>
      <c r="H111" s="11"/>
      <c r="I111" s="60"/>
      <c r="J111" s="62" t="s">
        <v>287</v>
      </c>
      <c r="K111" s="63">
        <v>0.15</v>
      </c>
      <c r="L111" s="65">
        <f>12*K111</f>
        <v>1.7999999999999998</v>
      </c>
      <c r="M111" s="11"/>
      <c r="N111" s="11"/>
      <c r="O111" s="11"/>
      <c r="P111" s="11"/>
      <c r="Q111" s="11"/>
      <c r="R111" s="11"/>
      <c r="S111" s="11"/>
      <c r="T111" s="11"/>
      <c r="U111" s="11"/>
      <c r="V111" s="11"/>
      <c r="W111" s="11"/>
      <c r="X111" s="11"/>
      <c r="Y111" s="11"/>
      <c r="Z111" s="11"/>
    </row>
    <row r="112" spans="1:26" ht="15.75" customHeight="1" x14ac:dyDescent="0.25">
      <c r="A112" s="11"/>
      <c r="B112" s="30"/>
      <c r="C112" s="30"/>
      <c r="D112" s="11"/>
      <c r="E112" s="60"/>
      <c r="F112" s="62" t="s">
        <v>288</v>
      </c>
      <c r="G112" s="61" t="s">
        <v>289</v>
      </c>
      <c r="H112" s="11"/>
      <c r="I112" s="60"/>
      <c r="J112" s="62" t="s">
        <v>296</v>
      </c>
      <c r="K112" s="59" t="s">
        <v>285</v>
      </c>
      <c r="L112" s="11"/>
      <c r="M112" s="11"/>
      <c r="N112" s="11"/>
      <c r="O112" s="11"/>
      <c r="P112" s="11"/>
      <c r="Q112" s="11"/>
      <c r="R112" s="11"/>
      <c r="S112" s="11"/>
      <c r="T112" s="11"/>
      <c r="U112" s="11"/>
      <c r="V112" s="11"/>
      <c r="W112" s="11"/>
      <c r="X112" s="11"/>
      <c r="Y112" s="11"/>
      <c r="Z112" s="11"/>
    </row>
    <row r="113" spans="1:26" ht="15.75" customHeight="1" x14ac:dyDescent="0.25">
      <c r="A113" s="11"/>
      <c r="B113" s="30"/>
      <c r="C113" s="30"/>
      <c r="D113" s="11"/>
      <c r="E113" s="60">
        <v>9</v>
      </c>
      <c r="F113" s="61" t="s">
        <v>313</v>
      </c>
      <c r="G113" s="9">
        <v>22</v>
      </c>
      <c r="H113" s="11"/>
      <c r="I113" s="7">
        <v>9</v>
      </c>
      <c r="J113" s="61" t="s">
        <v>314</v>
      </c>
      <c r="K113" s="7">
        <v>2</v>
      </c>
      <c r="L113" s="11"/>
      <c r="M113" s="11"/>
      <c r="N113" s="11"/>
      <c r="O113" s="11"/>
      <c r="P113" s="11"/>
      <c r="Q113" s="11"/>
      <c r="R113" s="11"/>
      <c r="S113" s="11"/>
      <c r="T113" s="11"/>
      <c r="U113" s="11"/>
      <c r="V113" s="11"/>
      <c r="W113" s="11"/>
      <c r="X113" s="11"/>
      <c r="Y113" s="11"/>
      <c r="Z113" s="11"/>
    </row>
    <row r="114" spans="1:26" ht="15.75" customHeight="1" x14ac:dyDescent="0.25">
      <c r="A114" s="11"/>
      <c r="B114" s="30"/>
      <c r="C114" s="30"/>
      <c r="D114" s="11"/>
      <c r="E114" s="60"/>
      <c r="F114" s="62" t="s">
        <v>287</v>
      </c>
      <c r="G114" s="63">
        <v>5</v>
      </c>
      <c r="H114" s="11"/>
      <c r="I114" s="60"/>
      <c r="J114" s="62" t="s">
        <v>287</v>
      </c>
      <c r="K114" s="63">
        <v>3</v>
      </c>
      <c r="L114" s="65">
        <f>SUM(L93:L113)</f>
        <v>30.2</v>
      </c>
      <c r="M114" s="11"/>
      <c r="N114" s="11"/>
      <c r="O114" s="11"/>
      <c r="P114" s="11"/>
      <c r="Q114" s="11"/>
      <c r="R114" s="11"/>
      <c r="S114" s="11"/>
      <c r="T114" s="11"/>
      <c r="U114" s="11"/>
      <c r="V114" s="11"/>
      <c r="W114" s="11"/>
      <c r="X114" s="11"/>
      <c r="Y114" s="11"/>
      <c r="Z114" s="11"/>
    </row>
    <row r="115" spans="1:26" ht="15.75" customHeight="1" x14ac:dyDescent="0.25">
      <c r="A115" s="11"/>
      <c r="B115" s="30"/>
      <c r="C115" s="30"/>
      <c r="D115" s="11"/>
      <c r="E115" s="60"/>
      <c r="F115" s="62" t="s">
        <v>288</v>
      </c>
      <c r="G115" s="61" t="s">
        <v>305</v>
      </c>
      <c r="H115" s="11"/>
      <c r="I115" s="60"/>
      <c r="J115" s="62" t="s">
        <v>296</v>
      </c>
      <c r="K115" s="59" t="s">
        <v>285</v>
      </c>
      <c r="L115" s="11"/>
      <c r="M115" s="11"/>
      <c r="N115" s="11"/>
      <c r="O115" s="11"/>
      <c r="P115" s="11"/>
      <c r="Q115" s="11"/>
      <c r="R115" s="11"/>
      <c r="S115" s="11"/>
      <c r="T115" s="11"/>
      <c r="U115" s="11"/>
      <c r="V115" s="11"/>
      <c r="W115" s="11"/>
      <c r="X115" s="11"/>
      <c r="Y115" s="11"/>
      <c r="Z115" s="11"/>
    </row>
    <row r="116" spans="1:26" ht="15.75" customHeight="1" x14ac:dyDescent="0.25">
      <c r="A116" s="11"/>
      <c r="B116" s="30"/>
      <c r="C116" s="30"/>
      <c r="D116" s="11"/>
      <c r="E116" s="60">
        <v>10</v>
      </c>
      <c r="F116" s="61" t="s">
        <v>315</v>
      </c>
      <c r="G116" s="9">
        <v>180</v>
      </c>
      <c r="H116" s="11"/>
      <c r="I116" s="7"/>
      <c r="J116" s="7" t="s">
        <v>316</v>
      </c>
      <c r="K116" s="66">
        <f>K111+K108+K114+K105+K102+K99+K96+K93+K90</f>
        <v>14.55</v>
      </c>
      <c r="L116" s="65">
        <f>12-K116</f>
        <v>-2.5500000000000007</v>
      </c>
      <c r="M116" s="11"/>
      <c r="N116" s="11"/>
      <c r="O116" s="11"/>
      <c r="P116" s="11"/>
      <c r="Q116" s="11"/>
      <c r="R116" s="11"/>
      <c r="S116" s="11"/>
      <c r="T116" s="11"/>
      <c r="U116" s="11"/>
      <c r="V116" s="11"/>
      <c r="W116" s="11"/>
      <c r="X116" s="11"/>
      <c r="Y116" s="11"/>
      <c r="Z116" s="11"/>
    </row>
    <row r="117" spans="1:26" ht="15.75" customHeight="1" x14ac:dyDescent="0.25">
      <c r="A117" s="11"/>
      <c r="B117" s="30"/>
      <c r="C117" s="30"/>
      <c r="D117" s="11"/>
      <c r="E117" s="60"/>
      <c r="F117" s="62" t="s">
        <v>287</v>
      </c>
      <c r="G117" s="63">
        <v>2</v>
      </c>
      <c r="H117" s="11"/>
      <c r="I117" s="7"/>
      <c r="J117" s="7" t="s">
        <v>317</v>
      </c>
      <c r="K117" s="7" t="s">
        <v>290</v>
      </c>
      <c r="L117" s="11"/>
      <c r="M117" s="11"/>
      <c r="N117" s="11"/>
      <c r="O117" s="11"/>
      <c r="P117" s="11"/>
      <c r="Q117" s="11"/>
      <c r="R117" s="11"/>
      <c r="S117" s="11"/>
      <c r="T117" s="11"/>
      <c r="U117" s="11"/>
      <c r="V117" s="11"/>
      <c r="W117" s="11"/>
      <c r="X117" s="11"/>
      <c r="Y117" s="11"/>
      <c r="Z117" s="11"/>
    </row>
    <row r="118" spans="1:26" ht="15.75" customHeight="1" x14ac:dyDescent="0.25">
      <c r="A118" s="11"/>
      <c r="B118" s="30"/>
      <c r="C118" s="30"/>
      <c r="D118" s="11"/>
      <c r="E118" s="60"/>
      <c r="F118" s="62" t="s">
        <v>288</v>
      </c>
      <c r="G118" s="61" t="s">
        <v>290</v>
      </c>
      <c r="H118" s="11"/>
      <c r="I118" s="7"/>
      <c r="J118" s="7" t="s">
        <v>318</v>
      </c>
      <c r="K118" s="7">
        <v>1</v>
      </c>
      <c r="L118" s="11"/>
      <c r="M118" s="11"/>
      <c r="N118" s="11"/>
      <c r="O118" s="11"/>
      <c r="P118" s="11"/>
      <c r="Q118" s="11"/>
      <c r="R118" s="11"/>
      <c r="S118" s="11"/>
      <c r="T118" s="11"/>
      <c r="U118" s="11"/>
      <c r="V118" s="11"/>
      <c r="W118" s="11"/>
      <c r="X118" s="11"/>
      <c r="Y118" s="11"/>
      <c r="Z118" s="11"/>
    </row>
    <row r="119" spans="1:26" ht="15.75" customHeight="1" x14ac:dyDescent="0.25">
      <c r="A119" s="11"/>
      <c r="B119" s="30"/>
      <c r="C119" s="30"/>
      <c r="D119" s="11"/>
      <c r="E119" s="7"/>
      <c r="F119" s="7" t="s">
        <v>317</v>
      </c>
      <c r="G119" s="7" t="s">
        <v>319</v>
      </c>
      <c r="H119" s="11"/>
      <c r="I119" s="11"/>
      <c r="J119" s="11"/>
      <c r="K119" s="11"/>
      <c r="L119" s="11"/>
      <c r="M119" s="11"/>
      <c r="N119" s="11"/>
      <c r="O119" s="11"/>
      <c r="P119" s="11"/>
      <c r="Q119" s="11"/>
      <c r="R119" s="11"/>
      <c r="S119" s="11"/>
      <c r="T119" s="11"/>
      <c r="U119" s="11"/>
      <c r="V119" s="11"/>
      <c r="W119" s="11"/>
      <c r="X119" s="11"/>
      <c r="Y119" s="11"/>
      <c r="Z119" s="11"/>
    </row>
    <row r="120" spans="1:26" ht="15.75" customHeight="1" x14ac:dyDescent="0.25">
      <c r="A120" s="11"/>
      <c r="B120" s="30"/>
      <c r="C120" s="30"/>
      <c r="D120" s="11"/>
      <c r="E120" s="7"/>
      <c r="F120" s="7" t="s">
        <v>318</v>
      </c>
      <c r="G120" s="59">
        <v>10</v>
      </c>
      <c r="H120" s="11"/>
      <c r="I120" s="11"/>
      <c r="J120" s="11"/>
      <c r="K120" s="11"/>
      <c r="L120" s="11"/>
      <c r="M120" s="11"/>
      <c r="N120" s="11"/>
      <c r="O120" s="11"/>
      <c r="P120" s="11"/>
      <c r="Q120" s="11"/>
      <c r="R120" s="11"/>
      <c r="S120" s="11"/>
      <c r="T120" s="11"/>
      <c r="U120" s="11"/>
      <c r="V120" s="11"/>
      <c r="W120" s="11"/>
      <c r="X120" s="11"/>
      <c r="Y120" s="11"/>
      <c r="Z120" s="11"/>
    </row>
    <row r="121" spans="1:26" ht="15.75" customHeight="1" x14ac:dyDescent="0.25">
      <c r="A121" s="11"/>
      <c r="B121" s="30"/>
      <c r="C121" s="30"/>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15.75" customHeight="1" x14ac:dyDescent="0.25">
      <c r="A122" s="11"/>
      <c r="B122" s="30"/>
      <c r="C122" s="30"/>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15.75" customHeight="1" x14ac:dyDescent="0.25">
      <c r="A123" s="11"/>
      <c r="B123" s="30"/>
      <c r="C123" s="30"/>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15.75" customHeight="1" x14ac:dyDescent="0.25">
      <c r="A124" s="11"/>
      <c r="B124" s="30"/>
      <c r="C124" s="30"/>
      <c r="D124" s="11"/>
      <c r="E124" s="11"/>
      <c r="F124" s="11"/>
      <c r="G124" s="11" t="s">
        <v>320</v>
      </c>
      <c r="H124" s="11"/>
      <c r="I124" s="11"/>
      <c r="J124" s="11"/>
      <c r="K124" s="11"/>
      <c r="L124" s="11"/>
      <c r="M124" s="11"/>
      <c r="N124" s="11"/>
      <c r="O124" s="11"/>
      <c r="P124" s="11"/>
      <c r="Q124" s="11"/>
      <c r="R124" s="11"/>
      <c r="S124" s="11"/>
      <c r="T124" s="11"/>
      <c r="U124" s="11"/>
      <c r="V124" s="11"/>
      <c r="W124" s="11"/>
      <c r="X124" s="11"/>
      <c r="Y124" s="11"/>
      <c r="Z124" s="11"/>
    </row>
    <row r="125" spans="1:26" ht="15.75" customHeight="1" x14ac:dyDescent="0.25">
      <c r="A125" s="11"/>
      <c r="B125" s="30"/>
      <c r="C125" s="30"/>
      <c r="D125" s="11"/>
      <c r="E125" s="53">
        <v>873</v>
      </c>
      <c r="F125" s="53" t="s">
        <v>202</v>
      </c>
      <c r="G125" s="53" t="s">
        <v>272</v>
      </c>
      <c r="H125" s="335"/>
      <c r="I125" s="53">
        <v>886</v>
      </c>
      <c r="J125" s="53" t="s">
        <v>168</v>
      </c>
      <c r="K125" s="53" t="s">
        <v>272</v>
      </c>
      <c r="L125" s="11"/>
      <c r="M125" s="11"/>
      <c r="N125" s="11"/>
      <c r="O125" s="11"/>
      <c r="P125" s="11"/>
      <c r="Q125" s="11"/>
      <c r="R125" s="11"/>
      <c r="S125" s="11"/>
      <c r="T125" s="11"/>
      <c r="U125" s="11"/>
      <c r="V125" s="11"/>
      <c r="W125" s="11"/>
      <c r="X125" s="11"/>
      <c r="Y125" s="11"/>
      <c r="Z125" s="11"/>
    </row>
    <row r="126" spans="1:26" ht="15.75" customHeight="1" x14ac:dyDescent="0.25">
      <c r="A126" s="11"/>
      <c r="B126" s="30"/>
      <c r="C126" s="30"/>
      <c r="D126" s="11"/>
      <c r="E126" s="67">
        <v>1</v>
      </c>
      <c r="F126" s="68" t="s">
        <v>321</v>
      </c>
      <c r="G126" s="69">
        <v>2</v>
      </c>
      <c r="H126" s="336"/>
      <c r="I126" s="67">
        <v>1</v>
      </c>
      <c r="J126" s="70" t="s">
        <v>322</v>
      </c>
      <c r="K126" s="71">
        <v>4</v>
      </c>
      <c r="L126" s="11"/>
      <c r="M126" s="11"/>
      <c r="N126" s="11"/>
      <c r="O126" s="11"/>
      <c r="P126" s="11"/>
      <c r="Q126" s="11"/>
      <c r="R126" s="11"/>
      <c r="S126" s="11"/>
      <c r="T126" s="11"/>
      <c r="U126" s="11"/>
      <c r="V126" s="11"/>
      <c r="W126" s="11"/>
      <c r="X126" s="11"/>
      <c r="Y126" s="11"/>
      <c r="Z126" s="11"/>
    </row>
    <row r="127" spans="1:26" ht="15.75" customHeight="1" x14ac:dyDescent="0.25">
      <c r="A127" s="11"/>
      <c r="B127" s="30"/>
      <c r="C127" s="30"/>
      <c r="D127" s="11"/>
      <c r="E127" s="60"/>
      <c r="F127" s="72" t="s">
        <v>287</v>
      </c>
      <c r="G127" s="73">
        <v>6.25</v>
      </c>
      <c r="H127" s="337"/>
      <c r="I127" s="74"/>
      <c r="J127" s="72" t="s">
        <v>287</v>
      </c>
      <c r="K127" s="73">
        <f>1.5*K126</f>
        <v>6</v>
      </c>
      <c r="L127" s="11"/>
      <c r="M127" s="11"/>
      <c r="N127" s="11"/>
      <c r="O127" s="11"/>
      <c r="P127" s="11"/>
      <c r="Q127" s="11"/>
      <c r="R127" s="11"/>
      <c r="S127" s="11"/>
      <c r="T127" s="11"/>
      <c r="U127" s="11"/>
      <c r="V127" s="11"/>
      <c r="W127" s="11"/>
      <c r="X127" s="11"/>
      <c r="Y127" s="11"/>
      <c r="Z127" s="11"/>
    </row>
    <row r="128" spans="1:26" ht="15.75" customHeight="1" x14ac:dyDescent="0.25">
      <c r="A128" s="11"/>
      <c r="B128" s="30"/>
      <c r="C128" s="30"/>
      <c r="D128" s="11"/>
      <c r="E128" s="60"/>
      <c r="F128" s="75" t="s">
        <v>296</v>
      </c>
      <c r="G128" s="76" t="s">
        <v>283</v>
      </c>
      <c r="H128" s="336"/>
      <c r="I128" s="74"/>
      <c r="J128" s="72" t="s">
        <v>296</v>
      </c>
      <c r="K128" s="77" t="s">
        <v>283</v>
      </c>
      <c r="L128" s="11"/>
      <c r="M128" s="11"/>
      <c r="N128" s="11"/>
      <c r="O128" s="11"/>
      <c r="P128" s="11"/>
      <c r="Q128" s="11"/>
      <c r="R128" s="11"/>
      <c r="S128" s="11"/>
      <c r="T128" s="11"/>
      <c r="U128" s="11"/>
      <c r="V128" s="11"/>
      <c r="W128" s="11"/>
      <c r="X128" s="11"/>
      <c r="Y128" s="11"/>
      <c r="Z128" s="11"/>
    </row>
    <row r="129" spans="1:26" ht="15.75" customHeight="1" x14ac:dyDescent="0.25">
      <c r="A129" s="11"/>
      <c r="B129" s="30"/>
      <c r="C129" s="30"/>
      <c r="D129" s="11"/>
      <c r="E129" s="67">
        <v>2</v>
      </c>
      <c r="F129" s="70" t="s">
        <v>323</v>
      </c>
      <c r="G129" s="71">
        <v>2</v>
      </c>
      <c r="H129" s="337"/>
      <c r="I129" s="67">
        <v>2</v>
      </c>
      <c r="J129" s="70" t="s">
        <v>324</v>
      </c>
      <c r="K129" s="71">
        <v>3</v>
      </c>
      <c r="L129" s="11"/>
      <c r="M129" s="11"/>
      <c r="N129" s="11"/>
      <c r="O129" s="11"/>
      <c r="P129" s="11"/>
      <c r="Q129" s="11"/>
      <c r="R129" s="11"/>
      <c r="S129" s="11"/>
      <c r="T129" s="11"/>
      <c r="U129" s="11"/>
      <c r="V129" s="11"/>
      <c r="W129" s="11"/>
      <c r="X129" s="11"/>
      <c r="Y129" s="11"/>
      <c r="Z129" s="11"/>
    </row>
    <row r="130" spans="1:26" ht="15.75" customHeight="1" x14ac:dyDescent="0.25">
      <c r="A130" s="11"/>
      <c r="B130" s="30"/>
      <c r="C130" s="30"/>
      <c r="D130" s="11"/>
      <c r="E130" s="78"/>
      <c r="F130" s="79" t="s">
        <v>287</v>
      </c>
      <c r="G130" s="80">
        <v>4.25</v>
      </c>
      <c r="H130" s="336"/>
      <c r="I130" s="81"/>
      <c r="J130" s="82" t="s">
        <v>287</v>
      </c>
      <c r="K130" s="73">
        <f>2*K129</f>
        <v>6</v>
      </c>
      <c r="L130" s="11"/>
      <c r="M130" s="11"/>
      <c r="N130" s="11"/>
      <c r="O130" s="11"/>
      <c r="P130" s="11"/>
      <c r="Q130" s="11"/>
      <c r="R130" s="11"/>
      <c r="S130" s="11"/>
      <c r="T130" s="11"/>
      <c r="U130" s="11"/>
      <c r="V130" s="11"/>
      <c r="W130" s="11"/>
      <c r="X130" s="11"/>
      <c r="Y130" s="11"/>
      <c r="Z130" s="11"/>
    </row>
    <row r="131" spans="1:26" ht="15.75" customHeight="1" x14ac:dyDescent="0.25">
      <c r="A131" s="11"/>
      <c r="B131" s="30"/>
      <c r="C131" s="30"/>
      <c r="D131" s="11"/>
      <c r="E131" s="78"/>
      <c r="F131" s="82" t="s">
        <v>296</v>
      </c>
      <c r="G131" s="81" t="s">
        <v>283</v>
      </c>
      <c r="H131" s="337"/>
      <c r="I131" s="81"/>
      <c r="J131" s="82" t="s">
        <v>296</v>
      </c>
      <c r="K131" s="81" t="s">
        <v>283</v>
      </c>
      <c r="L131" s="11"/>
      <c r="M131" s="11"/>
      <c r="N131" s="11"/>
      <c r="O131" s="11"/>
      <c r="P131" s="11"/>
      <c r="Q131" s="11"/>
      <c r="R131" s="11"/>
      <c r="S131" s="11"/>
      <c r="T131" s="11"/>
      <c r="U131" s="11"/>
      <c r="V131" s="11"/>
      <c r="W131" s="11"/>
      <c r="X131" s="11"/>
      <c r="Y131" s="11"/>
      <c r="Z131" s="11"/>
    </row>
    <row r="132" spans="1:26" ht="15.75" customHeight="1" x14ac:dyDescent="0.25">
      <c r="A132" s="11"/>
      <c r="B132" s="30"/>
      <c r="C132" s="30"/>
      <c r="D132" s="11"/>
      <c r="E132" s="67">
        <v>3</v>
      </c>
      <c r="F132" s="68" t="s">
        <v>325</v>
      </c>
      <c r="G132" s="69">
        <v>2</v>
      </c>
      <c r="H132" s="336"/>
      <c r="I132" s="67">
        <v>3</v>
      </c>
      <c r="J132" s="83" t="s">
        <v>326</v>
      </c>
      <c r="K132" s="84">
        <v>1</v>
      </c>
      <c r="L132" s="11"/>
      <c r="M132" s="11"/>
      <c r="N132" s="11"/>
      <c r="O132" s="11"/>
      <c r="P132" s="11"/>
      <c r="Q132" s="11"/>
      <c r="R132" s="11"/>
      <c r="S132" s="11"/>
      <c r="T132" s="11"/>
      <c r="U132" s="11"/>
      <c r="V132" s="11"/>
      <c r="W132" s="11"/>
      <c r="X132" s="11"/>
      <c r="Y132" s="11"/>
      <c r="Z132" s="11"/>
    </row>
    <row r="133" spans="1:26" ht="15.75" customHeight="1" x14ac:dyDescent="0.25">
      <c r="A133" s="11"/>
      <c r="B133" s="30"/>
      <c r="C133" s="30"/>
      <c r="D133" s="11"/>
      <c r="E133" s="78"/>
      <c r="F133" s="82" t="s">
        <v>287</v>
      </c>
      <c r="G133" s="85">
        <v>2</v>
      </c>
      <c r="H133" s="337"/>
      <c r="I133" s="81"/>
      <c r="J133" s="82" t="s">
        <v>287</v>
      </c>
      <c r="K133" s="85">
        <v>0.4</v>
      </c>
      <c r="L133" s="11"/>
      <c r="M133" s="11"/>
      <c r="N133" s="11"/>
      <c r="O133" s="11"/>
      <c r="P133" s="11"/>
      <c r="Q133" s="11"/>
      <c r="R133" s="11"/>
      <c r="S133" s="11"/>
      <c r="T133" s="11"/>
      <c r="U133" s="11"/>
      <c r="V133" s="11"/>
      <c r="W133" s="11"/>
      <c r="X133" s="11"/>
      <c r="Y133" s="11"/>
      <c r="Z133" s="11"/>
    </row>
    <row r="134" spans="1:26" ht="15.75" customHeight="1" x14ac:dyDescent="0.25">
      <c r="A134" s="11"/>
      <c r="B134" s="30"/>
      <c r="C134" s="30"/>
      <c r="D134" s="11"/>
      <c r="E134" s="78"/>
      <c r="F134" s="79" t="s">
        <v>296</v>
      </c>
      <c r="G134" s="86" t="s">
        <v>283</v>
      </c>
      <c r="H134" s="336"/>
      <c r="I134" s="81"/>
      <c r="J134" s="82" t="s">
        <v>296</v>
      </c>
      <c r="K134" s="81" t="s">
        <v>283</v>
      </c>
      <c r="L134" s="11"/>
      <c r="M134" s="11"/>
      <c r="N134" s="11"/>
      <c r="O134" s="11"/>
      <c r="P134" s="11"/>
      <c r="Q134" s="11"/>
      <c r="R134" s="11"/>
      <c r="S134" s="11"/>
      <c r="T134" s="11"/>
      <c r="U134" s="11"/>
      <c r="V134" s="11"/>
      <c r="W134" s="11"/>
      <c r="X134" s="11"/>
      <c r="Y134" s="11"/>
      <c r="Z134" s="11"/>
    </row>
    <row r="135" spans="1:26" ht="15.75" customHeight="1" x14ac:dyDescent="0.25">
      <c r="A135" s="11"/>
      <c r="B135" s="30"/>
      <c r="C135" s="30"/>
      <c r="D135" s="11"/>
      <c r="E135" s="7"/>
      <c r="F135" s="74" t="s">
        <v>316</v>
      </c>
      <c r="G135" s="87">
        <f>G133+G130+G127</f>
        <v>12.5</v>
      </c>
      <c r="H135" s="337"/>
      <c r="I135" s="88"/>
      <c r="J135" s="74" t="s">
        <v>316</v>
      </c>
      <c r="K135" s="87">
        <f>K133+K130+K127+0.1</f>
        <v>12.5</v>
      </c>
      <c r="L135" s="11"/>
      <c r="M135" s="11"/>
      <c r="N135" s="11"/>
      <c r="O135" s="11"/>
      <c r="P135" s="11"/>
      <c r="Q135" s="11"/>
      <c r="R135" s="11"/>
      <c r="S135" s="11"/>
      <c r="T135" s="11"/>
      <c r="U135" s="11"/>
      <c r="V135" s="11"/>
      <c r="W135" s="11"/>
      <c r="X135" s="11"/>
      <c r="Y135" s="11"/>
      <c r="Z135" s="11"/>
    </row>
    <row r="136" spans="1:26" ht="15.75" customHeight="1" x14ac:dyDescent="0.25">
      <c r="A136" s="11"/>
      <c r="B136" s="30"/>
      <c r="C136" s="30"/>
      <c r="D136" s="11"/>
      <c r="E136" s="7"/>
      <c r="F136" s="89" t="s">
        <v>16</v>
      </c>
      <c r="G136" s="90" t="s">
        <v>290</v>
      </c>
      <c r="H136" s="336"/>
      <c r="I136" s="88"/>
      <c r="J136" s="74" t="s">
        <v>16</v>
      </c>
      <c r="K136" s="88" t="s">
        <v>290</v>
      </c>
      <c r="L136" s="11"/>
      <c r="M136" s="11"/>
      <c r="N136" s="11"/>
      <c r="O136" s="11"/>
      <c r="P136" s="11"/>
      <c r="Q136" s="11"/>
      <c r="R136" s="11"/>
      <c r="S136" s="11"/>
      <c r="T136" s="11"/>
      <c r="U136" s="11"/>
      <c r="V136" s="11"/>
      <c r="W136" s="11"/>
      <c r="X136" s="11"/>
      <c r="Y136" s="11"/>
      <c r="Z136" s="11"/>
    </row>
    <row r="137" spans="1:26" ht="15.75" customHeight="1" x14ac:dyDescent="0.25">
      <c r="A137" s="11"/>
      <c r="B137" s="30"/>
      <c r="C137" s="30"/>
      <c r="D137" s="11"/>
      <c r="E137" s="11"/>
      <c r="F137" s="11"/>
      <c r="G137" s="11"/>
      <c r="H137" s="338"/>
      <c r="I137" s="11"/>
      <c r="J137" s="11"/>
      <c r="K137" s="11"/>
      <c r="L137" s="11"/>
      <c r="M137" s="11"/>
      <c r="N137" s="11"/>
      <c r="O137" s="11"/>
      <c r="P137" s="11"/>
      <c r="Q137" s="11"/>
      <c r="R137" s="11"/>
      <c r="S137" s="11"/>
      <c r="T137" s="11"/>
      <c r="U137" s="11"/>
      <c r="V137" s="11"/>
      <c r="W137" s="11"/>
      <c r="X137" s="11"/>
      <c r="Y137" s="11"/>
      <c r="Z137" s="11"/>
    </row>
    <row r="138" spans="1:26" ht="15.75" customHeight="1" x14ac:dyDescent="0.25">
      <c r="A138" s="11"/>
      <c r="B138" s="30"/>
      <c r="C138" s="30"/>
      <c r="D138" s="11"/>
      <c r="E138" s="53">
        <v>872</v>
      </c>
      <c r="F138" s="53" t="s">
        <v>168</v>
      </c>
      <c r="G138" s="53" t="s">
        <v>272</v>
      </c>
      <c r="H138" s="338"/>
      <c r="I138" s="53">
        <v>889</v>
      </c>
      <c r="J138" s="53" t="s">
        <v>327</v>
      </c>
      <c r="K138" s="53" t="s">
        <v>272</v>
      </c>
      <c r="L138" s="11"/>
      <c r="M138" s="11"/>
      <c r="N138" s="11"/>
      <c r="O138" s="11"/>
      <c r="P138" s="11"/>
      <c r="Q138" s="11"/>
      <c r="R138" s="11"/>
      <c r="S138" s="11"/>
      <c r="T138" s="11"/>
      <c r="U138" s="11"/>
      <c r="V138" s="11"/>
      <c r="W138" s="11"/>
      <c r="X138" s="11"/>
      <c r="Y138" s="11"/>
      <c r="Z138" s="11"/>
    </row>
    <row r="139" spans="1:26" ht="15.75" customHeight="1" x14ac:dyDescent="0.25">
      <c r="A139" s="11"/>
      <c r="B139" s="30"/>
      <c r="C139" s="30"/>
      <c r="D139" s="11"/>
      <c r="E139" s="91">
        <v>1</v>
      </c>
      <c r="F139" s="82" t="s">
        <v>287</v>
      </c>
      <c r="G139" s="85">
        <v>0.3</v>
      </c>
      <c r="H139" s="337"/>
      <c r="I139" s="88">
        <v>1</v>
      </c>
      <c r="J139" s="70" t="s">
        <v>328</v>
      </c>
      <c r="K139" s="74">
        <v>40</v>
      </c>
      <c r="L139" s="92" t="s">
        <v>19</v>
      </c>
      <c r="M139" s="11"/>
      <c r="N139" s="11"/>
      <c r="O139" s="11"/>
      <c r="P139" s="11"/>
      <c r="Q139" s="11"/>
      <c r="R139" s="11"/>
      <c r="S139" s="11"/>
      <c r="T139" s="11"/>
      <c r="U139" s="11"/>
      <c r="V139" s="11"/>
      <c r="W139" s="11"/>
      <c r="X139" s="11"/>
      <c r="Y139" s="11"/>
      <c r="Z139" s="11"/>
    </row>
    <row r="140" spans="1:26" ht="15.75" customHeight="1" x14ac:dyDescent="0.25">
      <c r="A140" s="11"/>
      <c r="B140" s="30"/>
      <c r="C140" s="30"/>
      <c r="D140" s="11"/>
      <c r="E140" s="91"/>
      <c r="F140" s="79" t="s">
        <v>296</v>
      </c>
      <c r="G140" s="86" t="s">
        <v>283</v>
      </c>
      <c r="H140" s="339"/>
      <c r="I140" s="74"/>
      <c r="J140" s="72" t="s">
        <v>287</v>
      </c>
      <c r="K140" s="73">
        <v>18.989999999999998</v>
      </c>
      <c r="L140" s="93"/>
      <c r="M140" s="11"/>
      <c r="N140" s="11"/>
      <c r="O140" s="11"/>
      <c r="P140" s="11"/>
      <c r="Q140" s="11"/>
      <c r="R140" s="11"/>
      <c r="S140" s="11"/>
      <c r="T140" s="11"/>
      <c r="U140" s="11"/>
      <c r="V140" s="11"/>
      <c r="W140" s="11"/>
      <c r="X140" s="11"/>
      <c r="Y140" s="11"/>
      <c r="Z140" s="11"/>
    </row>
    <row r="141" spans="1:26" ht="15.75" customHeight="1" x14ac:dyDescent="0.25">
      <c r="A141" s="11"/>
      <c r="B141" s="30"/>
      <c r="C141" s="30"/>
      <c r="D141" s="11"/>
      <c r="E141" s="91">
        <v>2</v>
      </c>
      <c r="F141" s="82" t="s">
        <v>287</v>
      </c>
      <c r="G141" s="85">
        <v>2</v>
      </c>
      <c r="H141" s="81"/>
      <c r="I141" s="74"/>
      <c r="J141" s="72" t="s">
        <v>296</v>
      </c>
      <c r="K141" s="77" t="s">
        <v>329</v>
      </c>
      <c r="L141" s="94"/>
      <c r="M141" s="11"/>
      <c r="N141" s="11"/>
      <c r="O141" s="11"/>
      <c r="P141" s="11"/>
      <c r="Q141" s="11"/>
      <c r="R141" s="11"/>
      <c r="S141" s="11"/>
      <c r="T141" s="11"/>
      <c r="U141" s="11"/>
      <c r="V141" s="11"/>
      <c r="W141" s="11"/>
      <c r="X141" s="11"/>
      <c r="Y141" s="11"/>
      <c r="Z141" s="11"/>
    </row>
    <row r="142" spans="1:26" ht="15.75" customHeight="1" x14ac:dyDescent="0.25">
      <c r="A142" s="11"/>
      <c r="B142" s="30"/>
      <c r="C142" s="30"/>
      <c r="D142" s="11"/>
      <c r="E142" s="91"/>
      <c r="F142" s="79" t="s">
        <v>296</v>
      </c>
      <c r="G142" s="86" t="s">
        <v>283</v>
      </c>
      <c r="H142" s="86"/>
      <c r="I142" s="88">
        <v>2</v>
      </c>
      <c r="J142" s="70" t="s">
        <v>330</v>
      </c>
      <c r="K142" s="74">
        <v>6</v>
      </c>
      <c r="L142" s="95" t="s">
        <v>19</v>
      </c>
      <c r="M142" s="11"/>
      <c r="N142" s="11"/>
      <c r="O142" s="11"/>
      <c r="P142" s="11"/>
      <c r="Q142" s="11"/>
      <c r="R142" s="11"/>
      <c r="S142" s="11"/>
      <c r="T142" s="11"/>
      <c r="U142" s="11"/>
      <c r="V142" s="11"/>
      <c r="W142" s="11"/>
      <c r="X142" s="11"/>
      <c r="Y142" s="11"/>
      <c r="Z142" s="11"/>
    </row>
    <row r="143" spans="1:26" ht="15.75" customHeight="1" x14ac:dyDescent="0.25">
      <c r="A143" s="11"/>
      <c r="B143" s="30"/>
      <c r="C143" s="30"/>
      <c r="D143" s="11"/>
      <c r="E143" s="91">
        <v>3</v>
      </c>
      <c r="F143" s="82" t="s">
        <v>287</v>
      </c>
      <c r="G143" s="85">
        <v>3.8</v>
      </c>
      <c r="H143" s="81"/>
      <c r="I143" s="81"/>
      <c r="J143" s="82" t="s">
        <v>287</v>
      </c>
      <c r="K143" s="73">
        <v>1.1000000000000001</v>
      </c>
      <c r="L143" s="96"/>
      <c r="M143" s="11"/>
      <c r="N143" s="11"/>
      <c r="O143" s="11"/>
      <c r="P143" s="11"/>
      <c r="Q143" s="11"/>
      <c r="R143" s="11"/>
      <c r="S143" s="11"/>
      <c r="T143" s="11"/>
      <c r="U143" s="11"/>
      <c r="V143" s="11"/>
      <c r="W143" s="11"/>
      <c r="X143" s="11"/>
      <c r="Y143" s="11"/>
      <c r="Z143" s="11"/>
    </row>
    <row r="144" spans="1:26" ht="15.75" customHeight="1" x14ac:dyDescent="0.25">
      <c r="A144" s="11"/>
      <c r="B144" s="30"/>
      <c r="C144" s="30"/>
      <c r="D144" s="11"/>
      <c r="E144" s="91"/>
      <c r="F144" s="79" t="s">
        <v>296</v>
      </c>
      <c r="G144" s="86" t="s">
        <v>283</v>
      </c>
      <c r="H144" s="86"/>
      <c r="I144" s="81"/>
      <c r="J144" s="82" t="s">
        <v>296</v>
      </c>
      <c r="K144" s="81" t="s">
        <v>331</v>
      </c>
      <c r="L144" s="97"/>
      <c r="M144" s="11"/>
      <c r="N144" s="11"/>
      <c r="O144" s="11"/>
      <c r="P144" s="11"/>
      <c r="Q144" s="11"/>
      <c r="R144" s="11"/>
      <c r="S144" s="11"/>
      <c r="T144" s="11"/>
      <c r="U144" s="11"/>
      <c r="V144" s="11"/>
      <c r="W144" s="11"/>
      <c r="X144" s="11"/>
      <c r="Y144" s="11"/>
      <c r="Z144" s="11"/>
    </row>
    <row r="145" spans="1:26" ht="15.75" customHeight="1" x14ac:dyDescent="0.25">
      <c r="A145" s="11"/>
      <c r="B145" s="30"/>
      <c r="C145" s="30"/>
      <c r="D145" s="11"/>
      <c r="E145" s="91">
        <v>4</v>
      </c>
      <c r="F145" s="82" t="s">
        <v>287</v>
      </c>
      <c r="G145" s="85">
        <v>34.25</v>
      </c>
      <c r="H145" s="81"/>
      <c r="I145" s="88"/>
      <c r="J145" s="74" t="s">
        <v>316</v>
      </c>
      <c r="K145" s="87">
        <f>K143+K140</f>
        <v>20.09</v>
      </c>
      <c r="L145" s="98"/>
      <c r="M145" s="11"/>
      <c r="N145" s="11"/>
      <c r="O145" s="11"/>
      <c r="P145" s="11"/>
      <c r="Q145" s="11"/>
      <c r="R145" s="11"/>
      <c r="S145" s="11"/>
      <c r="T145" s="11"/>
      <c r="U145" s="11"/>
      <c r="V145" s="11"/>
      <c r="W145" s="11"/>
      <c r="X145" s="11"/>
      <c r="Y145" s="11"/>
      <c r="Z145" s="11"/>
    </row>
    <row r="146" spans="1:26" ht="15.75" customHeight="1" x14ac:dyDescent="0.25">
      <c r="A146" s="11"/>
      <c r="B146" s="30"/>
      <c r="C146" s="30"/>
      <c r="D146" s="11"/>
      <c r="E146" s="91"/>
      <c r="F146" s="79" t="s">
        <v>296</v>
      </c>
      <c r="G146" s="86" t="s">
        <v>283</v>
      </c>
      <c r="H146" s="86"/>
      <c r="I146" s="88"/>
      <c r="J146" s="74" t="s">
        <v>16</v>
      </c>
      <c r="K146" s="88" t="s">
        <v>290</v>
      </c>
      <c r="L146" s="97"/>
      <c r="M146" s="11"/>
      <c r="N146" s="11"/>
      <c r="O146" s="11"/>
      <c r="P146" s="11"/>
      <c r="Q146" s="11"/>
      <c r="R146" s="11"/>
      <c r="S146" s="11"/>
      <c r="T146" s="11"/>
      <c r="U146" s="11"/>
      <c r="V146" s="11"/>
      <c r="W146" s="11"/>
      <c r="X146" s="11"/>
      <c r="Y146" s="11"/>
      <c r="Z146" s="11"/>
    </row>
    <row r="147" spans="1:26" ht="15.75" customHeight="1" x14ac:dyDescent="0.25">
      <c r="A147" s="11"/>
      <c r="B147" s="30"/>
      <c r="C147" s="30"/>
      <c r="D147" s="11"/>
      <c r="E147" s="91">
        <v>5</v>
      </c>
      <c r="F147" s="82" t="s">
        <v>287</v>
      </c>
      <c r="G147" s="99">
        <v>3.25</v>
      </c>
      <c r="H147" s="81"/>
      <c r="I147" s="100"/>
      <c r="J147" s="100"/>
      <c r="K147" s="100"/>
      <c r="L147" s="100"/>
      <c r="M147" s="11"/>
      <c r="N147" s="11"/>
      <c r="O147" s="11"/>
      <c r="P147" s="11"/>
      <c r="Q147" s="11"/>
      <c r="R147" s="11"/>
      <c r="S147" s="11"/>
      <c r="T147" s="11"/>
      <c r="U147" s="11"/>
      <c r="V147" s="11"/>
      <c r="W147" s="11"/>
      <c r="X147" s="11"/>
      <c r="Y147" s="11"/>
      <c r="Z147" s="11"/>
    </row>
    <row r="148" spans="1:26" ht="15.75" customHeight="1" x14ac:dyDescent="0.25">
      <c r="A148" s="11"/>
      <c r="B148" s="30"/>
      <c r="C148" s="30"/>
      <c r="D148" s="11"/>
      <c r="E148" s="91"/>
      <c r="F148" s="79" t="s">
        <v>296</v>
      </c>
      <c r="G148" s="86" t="s">
        <v>283</v>
      </c>
      <c r="H148" s="86"/>
      <c r="I148" s="101"/>
      <c r="J148" s="101"/>
      <c r="K148" s="101"/>
      <c r="L148" s="101"/>
      <c r="M148" s="11"/>
      <c r="N148" s="11"/>
      <c r="O148" s="11"/>
      <c r="P148" s="11"/>
      <c r="Q148" s="11"/>
      <c r="R148" s="11"/>
      <c r="S148" s="11"/>
      <c r="T148" s="11"/>
      <c r="U148" s="11"/>
      <c r="V148" s="11"/>
      <c r="W148" s="11"/>
      <c r="X148" s="11"/>
      <c r="Y148" s="11"/>
      <c r="Z148" s="11"/>
    </row>
    <row r="149" spans="1:26" ht="15.75" customHeight="1" x14ac:dyDescent="0.25">
      <c r="A149" s="11"/>
      <c r="B149" s="30"/>
      <c r="C149" s="30"/>
      <c r="D149" s="11"/>
      <c r="E149" s="91">
        <v>6</v>
      </c>
      <c r="F149" s="82" t="s">
        <v>287</v>
      </c>
      <c r="G149" s="99">
        <v>2</v>
      </c>
      <c r="H149" s="81"/>
      <c r="I149" s="100"/>
      <c r="J149" s="100"/>
      <c r="K149" s="100"/>
      <c r="L149" s="100"/>
      <c r="M149" s="11"/>
      <c r="N149" s="11"/>
      <c r="O149" s="11"/>
      <c r="P149" s="11"/>
      <c r="Q149" s="11"/>
      <c r="R149" s="11"/>
      <c r="S149" s="11"/>
      <c r="T149" s="11"/>
      <c r="U149" s="11"/>
      <c r="V149" s="11"/>
      <c r="W149" s="11"/>
      <c r="X149" s="11"/>
      <c r="Y149" s="11"/>
      <c r="Z149" s="11"/>
    </row>
    <row r="150" spans="1:26" ht="15.75" customHeight="1" x14ac:dyDescent="0.25">
      <c r="A150" s="11"/>
      <c r="B150" s="30"/>
      <c r="C150" s="30"/>
      <c r="D150" s="11"/>
      <c r="E150" s="78"/>
      <c r="F150" s="79" t="s">
        <v>296</v>
      </c>
      <c r="G150" s="86" t="s">
        <v>283</v>
      </c>
      <c r="H150" s="86"/>
      <c r="I150" s="97"/>
      <c r="J150" s="97"/>
      <c r="K150" s="97"/>
      <c r="L150" s="97"/>
      <c r="M150" s="11"/>
      <c r="N150" s="11"/>
      <c r="O150" s="11"/>
      <c r="P150" s="11"/>
      <c r="Q150" s="11"/>
      <c r="R150" s="11"/>
      <c r="S150" s="11"/>
      <c r="T150" s="11"/>
      <c r="U150" s="11"/>
      <c r="V150" s="11"/>
      <c r="W150" s="11"/>
      <c r="X150" s="11"/>
      <c r="Y150" s="11"/>
      <c r="Z150" s="11"/>
    </row>
    <row r="151" spans="1:26" ht="15.75" customHeight="1" x14ac:dyDescent="0.25">
      <c r="A151" s="11"/>
      <c r="B151" s="30"/>
      <c r="C151" s="30"/>
      <c r="D151" s="11"/>
      <c r="E151" s="7"/>
      <c r="F151" s="74" t="s">
        <v>316</v>
      </c>
      <c r="G151" s="87">
        <f>G139+G141+G143+G145+G147+G149</f>
        <v>45.6</v>
      </c>
      <c r="H151" s="67"/>
      <c r="I151" s="98"/>
      <c r="J151" s="98"/>
      <c r="K151" s="98"/>
      <c r="L151" s="98"/>
      <c r="M151" s="11"/>
      <c r="N151" s="11"/>
      <c r="O151" s="11"/>
      <c r="P151" s="11"/>
      <c r="Q151" s="11"/>
      <c r="R151" s="11"/>
      <c r="S151" s="11"/>
      <c r="T151" s="11"/>
      <c r="U151" s="11"/>
      <c r="V151" s="11"/>
      <c r="W151" s="11"/>
      <c r="X151" s="11"/>
      <c r="Y151" s="11"/>
      <c r="Z151" s="11"/>
    </row>
    <row r="152" spans="1:26" ht="15.75" customHeight="1" x14ac:dyDescent="0.25">
      <c r="A152" s="11"/>
      <c r="B152" s="30"/>
      <c r="C152" s="30"/>
      <c r="D152" s="11"/>
      <c r="E152" s="7"/>
      <c r="F152" s="89" t="s">
        <v>16</v>
      </c>
      <c r="G152" s="90" t="s">
        <v>290</v>
      </c>
      <c r="H152" s="102"/>
      <c r="I152" s="97"/>
      <c r="J152" s="97"/>
      <c r="K152" s="97"/>
      <c r="L152" s="97"/>
      <c r="M152" s="11"/>
      <c r="N152" s="11"/>
      <c r="O152" s="11"/>
      <c r="P152" s="11"/>
      <c r="Q152" s="11"/>
      <c r="R152" s="11"/>
      <c r="S152" s="11"/>
      <c r="T152" s="11"/>
      <c r="U152" s="11"/>
      <c r="V152" s="11"/>
      <c r="W152" s="11"/>
      <c r="X152" s="11"/>
      <c r="Y152" s="11"/>
      <c r="Z152" s="11"/>
    </row>
    <row r="153" spans="1:26" ht="15.75" customHeight="1" x14ac:dyDescent="0.25">
      <c r="A153" s="11"/>
      <c r="B153" s="30"/>
      <c r="C153" s="30"/>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15.75" customHeight="1" x14ac:dyDescent="0.25">
      <c r="A154" s="11"/>
      <c r="B154" s="30"/>
      <c r="C154" s="30"/>
      <c r="D154" s="11"/>
      <c r="E154" s="53">
        <v>892</v>
      </c>
      <c r="F154" s="53" t="s">
        <v>332</v>
      </c>
      <c r="G154" s="53" t="s">
        <v>272</v>
      </c>
      <c r="H154" s="11"/>
      <c r="I154" s="53">
        <v>895</v>
      </c>
      <c r="J154" s="193" t="s">
        <v>168</v>
      </c>
      <c r="K154" s="53" t="s">
        <v>272</v>
      </c>
      <c r="L154" s="11"/>
      <c r="M154" s="11"/>
      <c r="N154" s="11"/>
      <c r="O154" s="11"/>
      <c r="P154" s="11"/>
      <c r="Q154" s="11"/>
      <c r="R154" s="11"/>
      <c r="S154" s="11"/>
      <c r="T154" s="11"/>
      <c r="U154" s="11"/>
      <c r="V154" s="11"/>
      <c r="W154" s="11"/>
      <c r="X154" s="11"/>
      <c r="Y154" s="11"/>
      <c r="Z154" s="11"/>
    </row>
    <row r="155" spans="1:26" ht="32.25" customHeight="1" x14ac:dyDescent="0.25">
      <c r="A155" s="11"/>
      <c r="B155" s="30"/>
      <c r="C155" s="30"/>
      <c r="D155" s="11"/>
      <c r="E155" s="88">
        <v>1</v>
      </c>
      <c r="F155" s="103" t="s">
        <v>333</v>
      </c>
      <c r="G155" s="74">
        <v>6</v>
      </c>
      <c r="H155" s="11"/>
      <c r="I155" s="88">
        <v>1</v>
      </c>
      <c r="J155" s="195" t="s">
        <v>2215</v>
      </c>
      <c r="K155" s="194">
        <v>1</v>
      </c>
      <c r="L155" s="11"/>
      <c r="M155" s="11"/>
      <c r="N155" s="11"/>
      <c r="O155" s="11"/>
      <c r="P155" s="11"/>
      <c r="Q155" s="11"/>
      <c r="R155" s="11"/>
      <c r="S155" s="11"/>
      <c r="T155" s="11"/>
      <c r="U155" s="11"/>
      <c r="V155" s="11"/>
      <c r="W155" s="11"/>
      <c r="X155" s="11"/>
      <c r="Y155" s="11"/>
      <c r="Z155" s="11"/>
    </row>
    <row r="156" spans="1:26" ht="15.75" customHeight="1" x14ac:dyDescent="0.25">
      <c r="A156" s="11"/>
      <c r="B156" s="30"/>
      <c r="C156" s="30"/>
      <c r="D156" s="11"/>
      <c r="E156" s="74"/>
      <c r="F156" s="72" t="s">
        <v>287</v>
      </c>
      <c r="G156" s="73">
        <f>1.2*G155</f>
        <v>7.1999999999999993</v>
      </c>
      <c r="H156" s="11"/>
      <c r="I156" s="74"/>
      <c r="J156" s="72" t="s">
        <v>287</v>
      </c>
      <c r="K156" s="73">
        <v>1</v>
      </c>
      <c r="L156" s="11"/>
      <c r="M156" s="11"/>
      <c r="N156" s="11"/>
      <c r="O156" s="11"/>
      <c r="P156" s="11"/>
      <c r="Q156" s="11"/>
      <c r="R156" s="11"/>
      <c r="S156" s="11"/>
      <c r="T156" s="11"/>
      <c r="U156" s="11"/>
      <c r="V156" s="11"/>
      <c r="W156" s="11"/>
      <c r="X156" s="11"/>
      <c r="Y156" s="11"/>
      <c r="Z156" s="11"/>
    </row>
    <row r="157" spans="1:26" ht="15.75" customHeight="1" x14ac:dyDescent="0.25">
      <c r="A157" s="11"/>
      <c r="B157" s="30"/>
      <c r="C157" s="30"/>
      <c r="D157" s="11"/>
      <c r="E157" s="74"/>
      <c r="F157" s="72" t="s">
        <v>296</v>
      </c>
      <c r="G157" s="77" t="s">
        <v>278</v>
      </c>
      <c r="H157" s="11"/>
      <c r="I157" s="74"/>
      <c r="J157" s="72" t="s">
        <v>296</v>
      </c>
      <c r="K157" s="77" t="s">
        <v>278</v>
      </c>
      <c r="L157" s="11"/>
      <c r="M157" s="11"/>
      <c r="N157" s="11"/>
      <c r="O157" s="11"/>
      <c r="P157" s="11"/>
      <c r="Q157" s="11"/>
      <c r="R157" s="11"/>
      <c r="S157" s="11"/>
      <c r="T157" s="11"/>
      <c r="U157" s="11"/>
      <c r="V157" s="11"/>
      <c r="W157" s="11"/>
      <c r="X157" s="11"/>
      <c r="Y157" s="11"/>
      <c r="Z157" s="11"/>
    </row>
    <row r="158" spans="1:26" ht="15.75" customHeight="1" x14ac:dyDescent="0.25">
      <c r="A158" s="11"/>
      <c r="B158" s="30"/>
      <c r="C158" s="30"/>
      <c r="D158" s="11"/>
      <c r="E158" s="88"/>
      <c r="F158" s="74" t="s">
        <v>316</v>
      </c>
      <c r="G158" s="87">
        <f>G156</f>
        <v>7.1999999999999993</v>
      </c>
      <c r="H158" s="11"/>
      <c r="I158" s="88"/>
      <c r="J158" s="74" t="s">
        <v>316</v>
      </c>
      <c r="K158" s="87">
        <f>K156</f>
        <v>1</v>
      </c>
      <c r="L158" s="11"/>
      <c r="M158" s="11"/>
      <c r="N158" s="11"/>
      <c r="O158" s="11"/>
      <c r="P158" s="11"/>
      <c r="Q158" s="11"/>
      <c r="R158" s="11"/>
      <c r="S158" s="11"/>
      <c r="T158" s="11"/>
      <c r="U158" s="11"/>
      <c r="V158" s="11"/>
      <c r="W158" s="11"/>
      <c r="X158" s="11"/>
      <c r="Y158" s="11"/>
      <c r="Z158" s="11"/>
    </row>
    <row r="159" spans="1:26" ht="15.75" customHeight="1" x14ac:dyDescent="0.25">
      <c r="A159" s="11"/>
      <c r="B159" s="30"/>
      <c r="C159" s="30"/>
      <c r="D159" s="11"/>
      <c r="E159" s="88"/>
      <c r="F159" s="74" t="s">
        <v>16</v>
      </c>
      <c r="G159" s="88" t="s">
        <v>290</v>
      </c>
      <c r="H159" s="11"/>
      <c r="I159" s="88"/>
      <c r="J159" s="74" t="s">
        <v>16</v>
      </c>
      <c r="K159" s="88" t="s">
        <v>290</v>
      </c>
      <c r="L159" s="11"/>
      <c r="M159" s="11"/>
      <c r="N159" s="11"/>
      <c r="O159" s="11"/>
      <c r="P159" s="11"/>
      <c r="Q159" s="11"/>
      <c r="R159" s="11"/>
      <c r="S159" s="11"/>
      <c r="T159" s="11"/>
      <c r="U159" s="11"/>
      <c r="V159" s="11"/>
      <c r="W159" s="11"/>
      <c r="X159" s="11"/>
      <c r="Y159" s="11"/>
      <c r="Z159" s="11"/>
    </row>
    <row r="160" spans="1:26" ht="15.75" customHeight="1" x14ac:dyDescent="0.25">
      <c r="A160" s="11"/>
      <c r="B160" s="30"/>
      <c r="C160" s="30"/>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15.75" customHeight="1" x14ac:dyDescent="0.25">
      <c r="A161" s="11"/>
      <c r="B161" s="30"/>
      <c r="C161" s="30"/>
      <c r="D161" s="11"/>
      <c r="E161" s="53">
        <v>894</v>
      </c>
      <c r="F161" s="53" t="s">
        <v>327</v>
      </c>
      <c r="G161" s="53" t="s">
        <v>272</v>
      </c>
      <c r="H161" s="11"/>
      <c r="I161" s="11"/>
      <c r="J161" s="11"/>
      <c r="K161" s="11"/>
      <c r="L161" s="11"/>
      <c r="M161" s="11"/>
      <c r="N161" s="11"/>
      <c r="O161" s="11"/>
      <c r="P161" s="11"/>
      <c r="Q161" s="11"/>
      <c r="R161" s="11"/>
      <c r="S161" s="11"/>
      <c r="T161" s="11"/>
      <c r="U161" s="11"/>
      <c r="V161" s="11"/>
      <c r="W161" s="11"/>
      <c r="X161" s="11"/>
      <c r="Y161" s="11"/>
      <c r="Z161" s="11"/>
    </row>
    <row r="162" spans="1:26" ht="15.75" customHeight="1" x14ac:dyDescent="0.25">
      <c r="A162" s="11"/>
      <c r="B162" s="30"/>
      <c r="C162" s="30"/>
      <c r="D162" s="11"/>
      <c r="E162" s="88">
        <v>1</v>
      </c>
      <c r="F162" s="70" t="s">
        <v>334</v>
      </c>
      <c r="G162" s="74">
        <v>15</v>
      </c>
      <c r="H162" s="11"/>
      <c r="I162" s="11"/>
      <c r="J162" s="11"/>
      <c r="K162" s="11"/>
      <c r="L162" s="11"/>
      <c r="M162" s="11"/>
      <c r="N162" s="11"/>
      <c r="O162" s="11"/>
      <c r="P162" s="11"/>
      <c r="Q162" s="11"/>
      <c r="R162" s="11"/>
      <c r="S162" s="11"/>
      <c r="T162" s="11"/>
      <c r="U162" s="11"/>
      <c r="V162" s="11"/>
      <c r="W162" s="11"/>
      <c r="X162" s="11"/>
      <c r="Y162" s="11"/>
      <c r="Z162" s="11"/>
    </row>
    <row r="163" spans="1:26" ht="15.75" customHeight="1" x14ac:dyDescent="0.25">
      <c r="A163" s="11"/>
      <c r="B163" s="30"/>
      <c r="C163" s="30"/>
      <c r="D163" s="11"/>
      <c r="E163" s="74"/>
      <c r="F163" s="72" t="s">
        <v>287</v>
      </c>
      <c r="G163" s="73">
        <f>2.7*G162</f>
        <v>40.5</v>
      </c>
      <c r="H163" s="11"/>
      <c r="I163" s="11">
        <f>2.7*10</f>
        <v>27</v>
      </c>
      <c r="J163" s="11"/>
      <c r="K163" s="11"/>
      <c r="L163" s="11"/>
      <c r="M163" s="11"/>
      <c r="N163" s="11"/>
      <c r="O163" s="11"/>
      <c r="P163" s="11"/>
      <c r="Q163" s="11"/>
      <c r="R163" s="11"/>
      <c r="S163" s="11"/>
      <c r="T163" s="11"/>
      <c r="U163" s="11"/>
      <c r="V163" s="11"/>
      <c r="W163" s="11"/>
      <c r="X163" s="11"/>
      <c r="Y163" s="11"/>
      <c r="Z163" s="11"/>
    </row>
    <row r="164" spans="1:26" ht="15.75" customHeight="1" x14ac:dyDescent="0.25">
      <c r="A164" s="11"/>
      <c r="B164" s="30"/>
      <c r="C164" s="30"/>
      <c r="D164" s="11"/>
      <c r="E164" s="74"/>
      <c r="F164" s="72" t="s">
        <v>296</v>
      </c>
      <c r="G164" s="77" t="s">
        <v>335</v>
      </c>
      <c r="H164" s="11"/>
      <c r="I164" s="11"/>
      <c r="J164" s="11"/>
      <c r="K164" s="11"/>
      <c r="L164" s="11"/>
      <c r="M164" s="11"/>
      <c r="N164" s="11"/>
      <c r="O164" s="11"/>
      <c r="P164" s="11"/>
      <c r="Q164" s="11"/>
      <c r="R164" s="11"/>
      <c r="S164" s="11"/>
      <c r="T164" s="11"/>
      <c r="U164" s="11"/>
      <c r="V164" s="11"/>
      <c r="W164" s="11"/>
      <c r="X164" s="11"/>
      <c r="Y164" s="11"/>
      <c r="Z164" s="11"/>
    </row>
    <row r="165" spans="1:26" ht="15.75" customHeight="1" x14ac:dyDescent="0.25">
      <c r="A165" s="11"/>
      <c r="B165" s="30"/>
      <c r="C165" s="30"/>
      <c r="D165" s="11"/>
      <c r="E165" s="88"/>
      <c r="F165" s="74" t="s">
        <v>316</v>
      </c>
      <c r="G165" s="87">
        <f>G163</f>
        <v>40.5</v>
      </c>
      <c r="H165" s="11"/>
      <c r="I165" s="11"/>
      <c r="J165" s="11"/>
      <c r="K165" s="11"/>
      <c r="L165" s="11"/>
      <c r="M165" s="11"/>
      <c r="N165" s="11"/>
      <c r="O165" s="11"/>
      <c r="P165" s="11"/>
      <c r="Q165" s="11"/>
      <c r="R165" s="11"/>
      <c r="S165" s="11"/>
      <c r="T165" s="11"/>
      <c r="U165" s="11"/>
      <c r="V165" s="11"/>
      <c r="W165" s="11"/>
      <c r="X165" s="11"/>
      <c r="Y165" s="11"/>
      <c r="Z165" s="11"/>
    </row>
    <row r="166" spans="1:26" ht="15.75" customHeight="1" x14ac:dyDescent="0.25">
      <c r="A166" s="11"/>
      <c r="B166" s="30"/>
      <c r="C166" s="30"/>
      <c r="D166" s="11"/>
      <c r="E166" s="88"/>
      <c r="F166" s="74" t="s">
        <v>16</v>
      </c>
      <c r="G166" s="88" t="s">
        <v>336</v>
      </c>
      <c r="H166" s="11"/>
      <c r="I166" s="11"/>
      <c r="J166" s="11"/>
      <c r="K166" s="11"/>
      <c r="L166" s="11"/>
      <c r="M166" s="11"/>
      <c r="N166" s="11"/>
      <c r="O166" s="11"/>
      <c r="P166" s="11"/>
      <c r="Q166" s="11"/>
      <c r="R166" s="11"/>
      <c r="S166" s="11"/>
      <c r="T166" s="11"/>
      <c r="U166" s="11"/>
      <c r="V166" s="11"/>
      <c r="W166" s="11"/>
      <c r="X166" s="11"/>
      <c r="Y166" s="11"/>
      <c r="Z166" s="11"/>
    </row>
    <row r="167" spans="1:26" ht="15.75" customHeight="1" x14ac:dyDescent="0.25">
      <c r="A167" s="11"/>
      <c r="B167" s="30"/>
      <c r="C167" s="30"/>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x14ac:dyDescent="0.25">
      <c r="A168" s="11"/>
      <c r="B168" s="30"/>
      <c r="C168" s="30"/>
      <c r="D168" s="11"/>
      <c r="E168" s="53">
        <v>895</v>
      </c>
      <c r="F168" s="53" t="s">
        <v>337</v>
      </c>
      <c r="G168" s="53" t="s">
        <v>272</v>
      </c>
      <c r="H168" s="11"/>
      <c r="I168" s="11"/>
      <c r="J168" s="70" t="s">
        <v>338</v>
      </c>
      <c r="K168" s="71">
        <v>12</v>
      </c>
      <c r="L168" s="11"/>
      <c r="M168" s="11"/>
      <c r="N168" s="11"/>
      <c r="O168" s="11"/>
      <c r="P168" s="11"/>
      <c r="Q168" s="11"/>
      <c r="R168" s="11"/>
      <c r="S168" s="11"/>
      <c r="T168" s="11"/>
      <c r="U168" s="11"/>
      <c r="V168" s="11"/>
      <c r="W168" s="11"/>
      <c r="X168" s="11"/>
      <c r="Y168" s="11"/>
      <c r="Z168" s="11"/>
    </row>
    <row r="169" spans="1:26" ht="15.75" customHeight="1" x14ac:dyDescent="0.25">
      <c r="A169" s="11"/>
      <c r="B169" s="30"/>
      <c r="C169" s="30"/>
      <c r="D169" s="11"/>
      <c r="E169" s="67">
        <v>1</v>
      </c>
      <c r="F169" s="70" t="s">
        <v>338</v>
      </c>
      <c r="G169" s="71">
        <v>12</v>
      </c>
      <c r="H169" s="11"/>
      <c r="I169" s="11"/>
      <c r="J169" s="70" t="s">
        <v>339</v>
      </c>
      <c r="K169" s="71">
        <v>60</v>
      </c>
      <c r="L169" s="11"/>
      <c r="M169" s="11"/>
      <c r="N169" s="11"/>
      <c r="O169" s="11"/>
      <c r="P169" s="11"/>
      <c r="Q169" s="11"/>
      <c r="R169" s="11"/>
      <c r="S169" s="11"/>
      <c r="T169" s="11"/>
      <c r="U169" s="11"/>
      <c r="V169" s="11"/>
      <c r="W169" s="11"/>
      <c r="X169" s="11"/>
      <c r="Y169" s="11"/>
      <c r="Z169" s="11"/>
    </row>
    <row r="170" spans="1:26" ht="15.75" customHeight="1" x14ac:dyDescent="0.25">
      <c r="A170" s="11"/>
      <c r="B170" s="30"/>
      <c r="C170" s="30"/>
      <c r="D170" s="11"/>
      <c r="E170" s="74"/>
      <c r="F170" s="72" t="s">
        <v>287</v>
      </c>
      <c r="G170" s="73">
        <f>2*G169</f>
        <v>24</v>
      </c>
      <c r="H170" s="11"/>
      <c r="I170" s="11"/>
      <c r="J170" s="83" t="s">
        <v>340</v>
      </c>
      <c r="K170" s="84">
        <v>2</v>
      </c>
      <c r="L170" s="11"/>
      <c r="M170" s="11"/>
      <c r="N170" s="11"/>
      <c r="O170" s="11"/>
      <c r="P170" s="11"/>
      <c r="Q170" s="11"/>
      <c r="R170" s="11"/>
      <c r="S170" s="11"/>
      <c r="T170" s="11"/>
      <c r="U170" s="11"/>
      <c r="V170" s="11"/>
      <c r="W170" s="11"/>
      <c r="X170" s="11"/>
      <c r="Y170" s="11"/>
      <c r="Z170" s="11"/>
    </row>
    <row r="171" spans="1:26" ht="15.75" customHeight="1" x14ac:dyDescent="0.25">
      <c r="A171" s="11"/>
      <c r="B171" s="30"/>
      <c r="C171" s="30"/>
      <c r="D171" s="11"/>
      <c r="E171" s="74"/>
      <c r="F171" s="72" t="s">
        <v>296</v>
      </c>
      <c r="G171" s="77" t="s">
        <v>283</v>
      </c>
      <c r="H171" s="11"/>
      <c r="I171" s="11"/>
      <c r="J171" s="11"/>
      <c r="K171" s="11"/>
      <c r="L171" s="11"/>
      <c r="M171" s="11"/>
      <c r="N171" s="11"/>
      <c r="O171" s="11"/>
      <c r="P171" s="11"/>
      <c r="Q171" s="11"/>
      <c r="R171" s="11"/>
      <c r="S171" s="11"/>
      <c r="T171" s="11"/>
      <c r="U171" s="11"/>
      <c r="V171" s="11"/>
      <c r="W171" s="11"/>
      <c r="X171" s="11"/>
      <c r="Y171" s="11"/>
      <c r="Z171" s="11"/>
    </row>
    <row r="172" spans="1:26" ht="15.75" customHeight="1" x14ac:dyDescent="0.25">
      <c r="A172" s="11"/>
      <c r="B172" s="30"/>
      <c r="C172" s="30"/>
      <c r="D172" s="11"/>
      <c r="E172" s="67">
        <v>2</v>
      </c>
      <c r="F172" s="70" t="s">
        <v>339</v>
      </c>
      <c r="G172" s="71">
        <v>60</v>
      </c>
      <c r="H172" s="11"/>
      <c r="I172" s="11"/>
      <c r="J172" s="11"/>
      <c r="K172" s="11"/>
      <c r="L172" s="11"/>
      <c r="M172" s="11"/>
      <c r="N172" s="11"/>
      <c r="O172" s="11"/>
      <c r="P172" s="11"/>
      <c r="Q172" s="11"/>
      <c r="R172" s="11"/>
      <c r="S172" s="11"/>
      <c r="T172" s="11"/>
      <c r="U172" s="11"/>
      <c r="V172" s="11"/>
      <c r="W172" s="11"/>
      <c r="X172" s="11"/>
      <c r="Y172" s="11"/>
      <c r="Z172" s="11"/>
    </row>
    <row r="173" spans="1:26" ht="15.75" customHeight="1" x14ac:dyDescent="0.25">
      <c r="A173" s="11"/>
      <c r="B173" s="30"/>
      <c r="C173" s="30"/>
      <c r="D173" s="11"/>
      <c r="E173" s="81"/>
      <c r="F173" s="82" t="s">
        <v>287</v>
      </c>
      <c r="G173" s="73">
        <v>9</v>
      </c>
      <c r="H173" s="11"/>
      <c r="I173" s="11"/>
      <c r="J173" s="11"/>
      <c r="K173" s="11"/>
      <c r="L173" s="11"/>
      <c r="M173" s="11"/>
      <c r="N173" s="11"/>
      <c r="O173" s="11"/>
      <c r="P173" s="11"/>
      <c r="Q173" s="11"/>
      <c r="R173" s="11"/>
      <c r="S173" s="11"/>
      <c r="T173" s="11"/>
      <c r="U173" s="11"/>
      <c r="V173" s="11"/>
      <c r="W173" s="11"/>
      <c r="X173" s="11"/>
      <c r="Y173" s="11"/>
      <c r="Z173" s="11"/>
    </row>
    <row r="174" spans="1:26" ht="15.75" customHeight="1" x14ac:dyDescent="0.25">
      <c r="A174" s="11"/>
      <c r="B174" s="30"/>
      <c r="C174" s="30"/>
      <c r="D174" s="11"/>
      <c r="E174" s="81"/>
      <c r="F174" s="82" t="s">
        <v>296</v>
      </c>
      <c r="G174" s="81" t="s">
        <v>329</v>
      </c>
      <c r="H174" s="11"/>
      <c r="I174" s="11"/>
      <c r="J174" s="11"/>
      <c r="K174" s="11"/>
      <c r="L174" s="11"/>
      <c r="M174" s="11"/>
      <c r="N174" s="11"/>
      <c r="O174" s="11"/>
      <c r="P174" s="11"/>
      <c r="Q174" s="11"/>
      <c r="R174" s="11"/>
      <c r="S174" s="11"/>
      <c r="T174" s="11"/>
      <c r="U174" s="11"/>
      <c r="V174" s="11"/>
      <c r="W174" s="11"/>
      <c r="X174" s="11"/>
      <c r="Y174" s="11"/>
      <c r="Z174" s="11"/>
    </row>
    <row r="175" spans="1:26" ht="15.75" customHeight="1" x14ac:dyDescent="0.25">
      <c r="A175" s="11"/>
      <c r="B175" s="30"/>
      <c r="C175" s="30"/>
      <c r="D175" s="11"/>
      <c r="E175" s="67">
        <v>3</v>
      </c>
      <c r="F175" s="83" t="s">
        <v>340</v>
      </c>
      <c r="G175" s="84">
        <v>2</v>
      </c>
      <c r="H175" s="11"/>
      <c r="I175" s="11"/>
      <c r="J175" s="11"/>
      <c r="K175" s="11"/>
      <c r="L175" s="11"/>
      <c r="M175" s="11"/>
      <c r="N175" s="11"/>
      <c r="O175" s="11"/>
      <c r="P175" s="11"/>
      <c r="Q175" s="11"/>
      <c r="R175" s="11"/>
      <c r="S175" s="11"/>
      <c r="T175" s="11"/>
      <c r="U175" s="11"/>
      <c r="V175" s="11"/>
      <c r="W175" s="11"/>
      <c r="X175" s="11"/>
      <c r="Y175" s="11"/>
      <c r="Z175" s="11"/>
    </row>
    <row r="176" spans="1:26" ht="15.75" customHeight="1" x14ac:dyDescent="0.25">
      <c r="A176" s="11"/>
      <c r="B176" s="30"/>
      <c r="C176" s="30"/>
      <c r="D176" s="11"/>
      <c r="E176" s="81"/>
      <c r="F176" s="82" t="s">
        <v>287</v>
      </c>
      <c r="G176" s="85">
        <v>1</v>
      </c>
      <c r="H176" s="11"/>
      <c r="I176" s="11"/>
      <c r="J176" s="11"/>
      <c r="K176" s="11"/>
      <c r="L176" s="11"/>
      <c r="M176" s="11"/>
      <c r="N176" s="11"/>
      <c r="O176" s="11"/>
      <c r="P176" s="11"/>
      <c r="Q176" s="11"/>
      <c r="R176" s="11"/>
      <c r="S176" s="11"/>
      <c r="T176" s="11"/>
      <c r="U176" s="11"/>
      <c r="V176" s="11"/>
      <c r="W176" s="11"/>
      <c r="X176" s="11"/>
      <c r="Y176" s="11"/>
      <c r="Z176" s="11"/>
    </row>
    <row r="177" spans="1:26" ht="15.75" customHeight="1" x14ac:dyDescent="0.25">
      <c r="A177" s="11"/>
      <c r="B177" s="30"/>
      <c r="C177" s="30"/>
      <c r="D177" s="11"/>
      <c r="E177" s="81"/>
      <c r="F177" s="82" t="s">
        <v>296</v>
      </c>
      <c r="G177" s="81" t="s">
        <v>329</v>
      </c>
      <c r="H177" s="11"/>
      <c r="I177" s="11"/>
      <c r="J177" s="11"/>
      <c r="K177" s="11"/>
      <c r="L177" s="11"/>
      <c r="M177" s="11"/>
      <c r="N177" s="11"/>
      <c r="O177" s="11"/>
      <c r="P177" s="11"/>
      <c r="Q177" s="11"/>
      <c r="R177" s="11"/>
      <c r="S177" s="11"/>
      <c r="T177" s="11"/>
      <c r="U177" s="11"/>
      <c r="V177" s="11"/>
      <c r="W177" s="11"/>
      <c r="X177" s="11"/>
      <c r="Y177" s="11"/>
      <c r="Z177" s="11"/>
    </row>
    <row r="178" spans="1:26" ht="15.75" customHeight="1" x14ac:dyDescent="0.25">
      <c r="A178" s="11"/>
      <c r="B178" s="30"/>
      <c r="C178" s="30"/>
      <c r="D178" s="11"/>
      <c r="E178" s="88"/>
      <c r="F178" s="74" t="s">
        <v>316</v>
      </c>
      <c r="G178" s="87">
        <f>G176+G173+G170</f>
        <v>34</v>
      </c>
      <c r="H178" s="11"/>
      <c r="I178" s="11"/>
      <c r="J178" s="11"/>
      <c r="K178" s="11"/>
      <c r="L178" s="11"/>
      <c r="M178" s="11"/>
      <c r="N178" s="11"/>
      <c r="O178" s="11"/>
      <c r="P178" s="11"/>
      <c r="Q178" s="11"/>
      <c r="R178" s="11"/>
      <c r="S178" s="11"/>
      <c r="T178" s="11"/>
      <c r="U178" s="11"/>
      <c r="V178" s="11"/>
      <c r="W178" s="11"/>
      <c r="X178" s="11"/>
      <c r="Y178" s="11"/>
      <c r="Z178" s="11"/>
    </row>
    <row r="179" spans="1:26" ht="15.75" customHeight="1" x14ac:dyDescent="0.25">
      <c r="A179" s="11"/>
      <c r="B179" s="30"/>
      <c r="C179" s="30"/>
      <c r="D179" s="11"/>
      <c r="E179" s="88"/>
      <c r="F179" s="74" t="s">
        <v>16</v>
      </c>
      <c r="G179" s="88" t="s">
        <v>305</v>
      </c>
      <c r="H179" s="11"/>
      <c r="I179" s="11"/>
      <c r="J179" s="11"/>
      <c r="K179" s="11"/>
      <c r="L179" s="11"/>
      <c r="M179" s="11"/>
      <c r="N179" s="11"/>
      <c r="O179" s="11"/>
      <c r="P179" s="11"/>
      <c r="Q179" s="11"/>
      <c r="R179" s="11"/>
      <c r="S179" s="11"/>
      <c r="T179" s="11"/>
      <c r="U179" s="11"/>
      <c r="V179" s="11"/>
      <c r="W179" s="11"/>
      <c r="X179" s="11"/>
      <c r="Y179" s="11"/>
      <c r="Z179" s="11"/>
    </row>
    <row r="180" spans="1:26" ht="15.75" customHeight="1" x14ac:dyDescent="0.25">
      <c r="A180" s="11"/>
      <c r="B180" s="30"/>
      <c r="C180" s="30"/>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x14ac:dyDescent="0.25">
      <c r="A181" s="11"/>
      <c r="B181" s="30"/>
      <c r="C181" s="30"/>
      <c r="D181" s="11"/>
      <c r="E181" s="53">
        <v>903</v>
      </c>
      <c r="F181" s="193" t="s">
        <v>327</v>
      </c>
      <c r="G181" s="193" t="s">
        <v>2244</v>
      </c>
      <c r="H181" s="11"/>
      <c r="I181" s="11"/>
      <c r="J181" s="11"/>
      <c r="K181" s="11"/>
      <c r="L181" s="11"/>
      <c r="M181" s="11"/>
      <c r="N181" s="11"/>
      <c r="O181" s="11"/>
      <c r="P181" s="11"/>
      <c r="Q181" s="11"/>
      <c r="R181" s="11"/>
      <c r="S181" s="11"/>
      <c r="T181" s="11"/>
      <c r="U181" s="11"/>
      <c r="V181" s="11"/>
      <c r="W181" s="11"/>
      <c r="X181" s="11"/>
      <c r="Y181" s="11"/>
      <c r="Z181" s="11"/>
    </row>
    <row r="182" spans="1:26" ht="30" x14ac:dyDescent="0.25">
      <c r="A182" s="11"/>
      <c r="B182" s="30"/>
      <c r="C182" s="30"/>
      <c r="D182" s="11"/>
      <c r="E182" s="88">
        <v>1</v>
      </c>
      <c r="F182" s="192" t="s">
        <v>2234</v>
      </c>
      <c r="G182" s="9">
        <v>20</v>
      </c>
      <c r="H182" s="11"/>
      <c r="I182" s="11"/>
      <c r="J182" s="11"/>
      <c r="K182" s="11"/>
      <c r="L182" s="11"/>
      <c r="M182" s="11"/>
      <c r="N182" s="11"/>
      <c r="O182" s="11"/>
      <c r="P182" s="11"/>
      <c r="Q182" s="11"/>
      <c r="R182" s="11"/>
      <c r="S182" s="11"/>
      <c r="T182" s="11"/>
      <c r="U182" s="11"/>
      <c r="V182" s="11"/>
      <c r="W182" s="11"/>
      <c r="X182" s="11"/>
      <c r="Y182" s="11"/>
      <c r="Z182" s="11"/>
    </row>
    <row r="183" spans="1:26" ht="15.75" customHeight="1" x14ac:dyDescent="0.25">
      <c r="A183" s="11"/>
      <c r="B183" s="30"/>
      <c r="C183" s="30"/>
      <c r="D183" s="11"/>
      <c r="E183" s="74"/>
      <c r="F183" s="72" t="s">
        <v>287</v>
      </c>
      <c r="G183" s="73">
        <v>81</v>
      </c>
      <c r="H183" s="11"/>
      <c r="I183" s="11"/>
      <c r="J183" s="11"/>
      <c r="K183" s="11"/>
      <c r="L183" s="11"/>
      <c r="M183" s="11"/>
      <c r="N183" s="11"/>
      <c r="O183" s="11"/>
      <c r="P183" s="11"/>
      <c r="Q183" s="11"/>
      <c r="R183" s="11"/>
      <c r="S183" s="11"/>
      <c r="T183" s="11"/>
      <c r="U183" s="11"/>
      <c r="V183" s="11"/>
      <c r="W183" s="11"/>
      <c r="X183" s="11"/>
      <c r="Y183" s="11"/>
      <c r="Z183" s="11"/>
    </row>
    <row r="184" spans="1:26" ht="15.75" customHeight="1" x14ac:dyDescent="0.25">
      <c r="A184" s="11"/>
      <c r="B184" s="30"/>
      <c r="C184" s="30"/>
      <c r="D184" s="11"/>
      <c r="E184" s="74"/>
      <c r="F184" s="72" t="s">
        <v>296</v>
      </c>
      <c r="G184" s="77" t="s">
        <v>335</v>
      </c>
      <c r="H184" s="11"/>
      <c r="I184" s="11"/>
      <c r="J184" s="11"/>
      <c r="K184" s="11"/>
      <c r="L184" s="11"/>
      <c r="M184" s="11"/>
      <c r="N184" s="11"/>
      <c r="O184" s="11"/>
      <c r="P184" s="11"/>
      <c r="Q184" s="11"/>
      <c r="R184" s="11"/>
      <c r="S184" s="11"/>
      <c r="T184" s="11"/>
      <c r="U184" s="11"/>
      <c r="V184" s="11"/>
      <c r="W184" s="11"/>
      <c r="X184" s="11"/>
      <c r="Y184" s="11"/>
      <c r="Z184" s="11"/>
    </row>
    <row r="185" spans="1:26" ht="15.75" customHeight="1" x14ac:dyDescent="0.25">
      <c r="A185" s="11"/>
      <c r="B185" s="30"/>
      <c r="C185" s="30"/>
      <c r="D185" s="11"/>
      <c r="E185" s="88"/>
      <c r="F185" s="74" t="s">
        <v>316</v>
      </c>
      <c r="G185" s="87">
        <f>G183</f>
        <v>81</v>
      </c>
      <c r="H185" s="11"/>
      <c r="I185" s="11"/>
      <c r="J185" s="11"/>
      <c r="K185" s="11"/>
      <c r="L185" s="11"/>
      <c r="M185" s="11"/>
      <c r="N185" s="11"/>
      <c r="O185" s="11"/>
      <c r="P185" s="11"/>
      <c r="Q185" s="11"/>
      <c r="R185" s="11"/>
      <c r="S185" s="11"/>
      <c r="T185" s="11"/>
      <c r="U185" s="11"/>
      <c r="V185" s="11"/>
      <c r="W185" s="11"/>
      <c r="X185" s="11"/>
      <c r="Y185" s="11"/>
      <c r="Z185" s="11"/>
    </row>
    <row r="186" spans="1:26" ht="15.75" customHeight="1" x14ac:dyDescent="0.25">
      <c r="A186" s="11"/>
      <c r="B186" s="30"/>
      <c r="C186" s="30"/>
      <c r="D186" s="11"/>
      <c r="E186" s="88"/>
      <c r="F186" s="74" t="s">
        <v>16</v>
      </c>
      <c r="G186" s="88" t="s">
        <v>336</v>
      </c>
      <c r="H186" s="11"/>
      <c r="I186" s="11"/>
      <c r="J186" s="11"/>
      <c r="K186" s="11"/>
      <c r="L186" s="11"/>
      <c r="M186" s="11"/>
      <c r="N186" s="11"/>
      <c r="O186" s="11"/>
      <c r="P186" s="11"/>
      <c r="Q186" s="11"/>
      <c r="R186" s="11"/>
      <c r="S186" s="11"/>
      <c r="T186" s="11"/>
      <c r="U186" s="11"/>
      <c r="V186" s="11"/>
      <c r="W186" s="11"/>
      <c r="X186" s="11"/>
      <c r="Y186" s="11"/>
      <c r="Z186" s="11"/>
    </row>
    <row r="187" spans="1:26" ht="15.75" customHeight="1" x14ac:dyDescent="0.25">
      <c r="A187" s="11"/>
      <c r="B187" s="30"/>
      <c r="C187" s="30"/>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x14ac:dyDescent="0.25">
      <c r="A188" s="11"/>
      <c r="B188" s="30"/>
      <c r="C188" s="30"/>
      <c r="D188" s="11"/>
      <c r="E188" s="53">
        <v>902</v>
      </c>
      <c r="F188" s="193" t="s">
        <v>337</v>
      </c>
      <c r="G188" s="193" t="s">
        <v>2244</v>
      </c>
      <c r="H188" s="11"/>
      <c r="I188" s="11"/>
      <c r="J188" s="11"/>
      <c r="K188" s="11"/>
      <c r="L188" s="11"/>
      <c r="M188" s="11"/>
      <c r="N188" s="11"/>
      <c r="O188" s="11"/>
      <c r="P188" s="11"/>
      <c r="Q188" s="11"/>
      <c r="R188" s="11"/>
      <c r="S188" s="11"/>
      <c r="T188" s="11"/>
      <c r="U188" s="11"/>
      <c r="V188" s="11"/>
      <c r="W188" s="11"/>
      <c r="X188" s="11"/>
      <c r="Y188" s="11"/>
      <c r="Z188" s="11"/>
    </row>
    <row r="189" spans="1:26" ht="30" x14ac:dyDescent="0.25">
      <c r="A189" s="11"/>
      <c r="B189" s="30"/>
      <c r="C189" s="30"/>
      <c r="D189" s="11"/>
      <c r="E189" s="199">
        <v>1</v>
      </c>
      <c r="F189" s="200" t="s">
        <v>2232</v>
      </c>
      <c r="G189" s="201">
        <v>12</v>
      </c>
      <c r="H189" s="11"/>
      <c r="I189" s="11"/>
      <c r="J189" s="11"/>
      <c r="K189" s="11"/>
      <c r="L189" s="11"/>
      <c r="M189" s="11"/>
      <c r="N189" s="11"/>
      <c r="O189" s="11"/>
      <c r="P189" s="11"/>
      <c r="Q189" s="11"/>
      <c r="R189" s="11"/>
      <c r="S189" s="11"/>
      <c r="T189" s="11"/>
      <c r="U189" s="11"/>
      <c r="V189" s="11"/>
      <c r="W189" s="11"/>
      <c r="X189" s="11"/>
      <c r="Y189" s="11"/>
      <c r="Z189" s="11"/>
    </row>
    <row r="190" spans="1:26" ht="15.75" customHeight="1" x14ac:dyDescent="0.25">
      <c r="A190" s="11"/>
      <c r="B190" s="30"/>
      <c r="C190" s="30"/>
      <c r="D190" s="11"/>
      <c r="E190" s="202"/>
      <c r="F190" s="203" t="s">
        <v>287</v>
      </c>
      <c r="G190" s="204">
        <f>36*G189</f>
        <v>432</v>
      </c>
      <c r="H190" s="11"/>
      <c r="I190" s="11"/>
      <c r="J190" s="11"/>
      <c r="K190" s="11"/>
      <c r="L190" s="11"/>
      <c r="M190" s="11"/>
      <c r="N190" s="11"/>
      <c r="O190" s="11"/>
      <c r="P190" s="11"/>
      <c r="Q190" s="11"/>
      <c r="R190" s="11"/>
      <c r="S190" s="11"/>
      <c r="T190" s="11"/>
      <c r="U190" s="11"/>
      <c r="V190" s="11"/>
      <c r="W190" s="11"/>
      <c r="X190" s="11"/>
      <c r="Y190" s="11"/>
      <c r="Z190" s="11"/>
    </row>
    <row r="191" spans="1:26" ht="15.75" customHeight="1" x14ac:dyDescent="0.25">
      <c r="A191" s="11"/>
      <c r="B191" s="30"/>
      <c r="C191" s="30"/>
      <c r="D191" s="11"/>
      <c r="E191" s="202"/>
      <c r="F191" s="203" t="s">
        <v>296</v>
      </c>
      <c r="G191" s="205" t="s">
        <v>2242</v>
      </c>
      <c r="H191" s="11"/>
      <c r="I191" s="11"/>
      <c r="J191" s="11"/>
      <c r="K191" s="11"/>
      <c r="L191" s="11"/>
      <c r="M191" s="11"/>
      <c r="N191" s="11"/>
      <c r="O191" s="11"/>
      <c r="P191" s="11"/>
      <c r="Q191" s="11"/>
      <c r="R191" s="11"/>
      <c r="S191" s="11"/>
      <c r="T191" s="11"/>
      <c r="U191" s="11"/>
      <c r="V191" s="11"/>
      <c r="W191" s="11"/>
      <c r="X191" s="11"/>
      <c r="Y191" s="11"/>
      <c r="Z191" s="11"/>
    </row>
    <row r="192" spans="1:26" ht="30" x14ac:dyDescent="0.25">
      <c r="A192" s="11"/>
      <c r="B192" s="30"/>
      <c r="C192" s="30"/>
      <c r="D192" s="11"/>
      <c r="E192" s="206">
        <v>2</v>
      </c>
      <c r="F192" s="207" t="s">
        <v>2238</v>
      </c>
      <c r="G192" s="201">
        <v>12</v>
      </c>
      <c r="H192" s="198"/>
      <c r="I192" s="11"/>
      <c r="J192" s="11"/>
      <c r="K192" s="11"/>
      <c r="L192" s="11"/>
      <c r="M192" s="11"/>
      <c r="N192" s="11"/>
      <c r="O192" s="11"/>
      <c r="P192" s="11"/>
      <c r="Q192" s="11"/>
      <c r="R192" s="11"/>
      <c r="S192" s="11"/>
      <c r="T192" s="11"/>
      <c r="U192" s="11"/>
      <c r="V192" s="11"/>
      <c r="W192" s="11"/>
      <c r="X192" s="11"/>
      <c r="Y192" s="11"/>
      <c r="Z192" s="11"/>
    </row>
    <row r="193" spans="1:26" ht="15.75" customHeight="1" x14ac:dyDescent="0.25">
      <c r="A193" s="11"/>
      <c r="B193" s="30"/>
      <c r="C193" s="30"/>
      <c r="D193" s="11"/>
      <c r="E193" s="208"/>
      <c r="F193" s="209" t="s">
        <v>287</v>
      </c>
      <c r="G193" s="204">
        <v>1</v>
      </c>
      <c r="H193" s="11"/>
      <c r="I193" s="11"/>
      <c r="J193" s="11"/>
      <c r="K193" s="11"/>
      <c r="L193" s="11"/>
      <c r="M193" s="11"/>
      <c r="N193" s="11"/>
      <c r="O193" s="11"/>
      <c r="P193" s="11"/>
      <c r="Q193" s="11"/>
      <c r="R193" s="11"/>
      <c r="S193" s="11"/>
      <c r="T193" s="11"/>
      <c r="U193" s="11"/>
      <c r="V193" s="11"/>
      <c r="W193" s="11"/>
      <c r="X193" s="11"/>
      <c r="Y193" s="11"/>
      <c r="Z193" s="11"/>
    </row>
    <row r="194" spans="1:26" ht="15.75" customHeight="1" x14ac:dyDescent="0.25">
      <c r="A194" s="11"/>
      <c r="B194" s="30"/>
      <c r="C194" s="30"/>
      <c r="D194" s="11"/>
      <c r="E194" s="208"/>
      <c r="F194" s="209" t="s">
        <v>296</v>
      </c>
      <c r="G194" s="210" t="s">
        <v>2241</v>
      </c>
      <c r="H194" s="11"/>
      <c r="I194" s="11"/>
      <c r="J194" s="11"/>
      <c r="K194" s="11"/>
      <c r="L194" s="11"/>
      <c r="M194" s="11"/>
      <c r="N194" s="11"/>
      <c r="O194" s="11"/>
      <c r="P194" s="11"/>
      <c r="Q194" s="11"/>
      <c r="R194" s="11"/>
      <c r="S194" s="11"/>
      <c r="T194" s="11"/>
      <c r="U194" s="11"/>
      <c r="V194" s="11"/>
      <c r="W194" s="11"/>
      <c r="X194" s="11"/>
      <c r="Y194" s="11"/>
      <c r="Z194" s="11"/>
    </row>
    <row r="195" spans="1:26" ht="15.75" customHeight="1" x14ac:dyDescent="0.25">
      <c r="A195" s="11"/>
      <c r="B195" s="30"/>
      <c r="C195" s="30"/>
      <c r="D195" s="11"/>
      <c r="E195" s="199"/>
      <c r="F195" s="202" t="s">
        <v>316</v>
      </c>
      <c r="G195" s="211">
        <f>G193+G190</f>
        <v>433</v>
      </c>
      <c r="H195" s="11"/>
      <c r="I195" s="11"/>
      <c r="J195" s="11"/>
      <c r="K195" s="11"/>
      <c r="L195" s="11"/>
      <c r="M195" s="11"/>
      <c r="N195" s="11"/>
      <c r="O195" s="11"/>
      <c r="P195" s="11"/>
      <c r="Q195" s="11"/>
      <c r="R195" s="11"/>
      <c r="S195" s="11"/>
      <c r="T195" s="11"/>
      <c r="U195" s="11"/>
      <c r="V195" s="11"/>
      <c r="W195" s="11"/>
      <c r="X195" s="11"/>
      <c r="Y195" s="11"/>
      <c r="Z195" s="11"/>
    </row>
    <row r="196" spans="1:26" x14ac:dyDescent="0.25">
      <c r="A196" s="11"/>
      <c r="B196" s="30"/>
      <c r="C196" s="30"/>
      <c r="D196" s="11"/>
      <c r="E196" s="199"/>
      <c r="F196" s="202" t="s">
        <v>16</v>
      </c>
      <c r="G196" s="212" t="s">
        <v>2243</v>
      </c>
      <c r="H196" s="11"/>
      <c r="I196" s="11"/>
      <c r="J196" s="11"/>
      <c r="K196" s="11"/>
      <c r="L196" s="11"/>
      <c r="M196" s="11"/>
      <c r="N196" s="11"/>
      <c r="O196" s="11"/>
      <c r="P196" s="11"/>
      <c r="Q196" s="11"/>
      <c r="R196" s="11"/>
      <c r="S196" s="11"/>
      <c r="T196" s="11"/>
      <c r="U196" s="11"/>
      <c r="V196" s="11"/>
      <c r="W196" s="11"/>
      <c r="X196" s="11"/>
      <c r="Y196" s="11"/>
      <c r="Z196" s="11"/>
    </row>
    <row r="197" spans="1:26" ht="15.75" customHeight="1" x14ac:dyDescent="0.25">
      <c r="A197" s="11"/>
      <c r="B197" s="30"/>
      <c r="C197" s="30"/>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x14ac:dyDescent="0.25">
      <c r="A198" s="11"/>
      <c r="B198" s="30"/>
      <c r="C198" s="30"/>
      <c r="D198" s="11"/>
      <c r="E198" s="53">
        <v>907</v>
      </c>
      <c r="F198" s="193" t="s">
        <v>327</v>
      </c>
      <c r="G198" s="193" t="s">
        <v>2244</v>
      </c>
      <c r="H198" s="11"/>
      <c r="I198" s="11"/>
      <c r="J198" s="11"/>
      <c r="K198" s="11"/>
      <c r="L198" s="11"/>
      <c r="M198" s="11"/>
      <c r="N198" s="11"/>
      <c r="O198" s="11"/>
      <c r="P198" s="11"/>
      <c r="Q198" s="11"/>
      <c r="R198" s="11"/>
      <c r="S198" s="11"/>
      <c r="T198" s="11"/>
      <c r="U198" s="11"/>
      <c r="V198" s="11"/>
      <c r="W198" s="11"/>
      <c r="X198" s="11"/>
      <c r="Y198" s="11"/>
      <c r="Z198" s="11"/>
    </row>
    <row r="199" spans="1:26" ht="30" x14ac:dyDescent="0.25">
      <c r="A199" s="11"/>
      <c r="B199" s="30"/>
      <c r="C199" s="30"/>
      <c r="D199" s="11"/>
      <c r="E199" s="88">
        <v>1</v>
      </c>
      <c r="F199" s="192" t="s">
        <v>2234</v>
      </c>
      <c r="G199" s="9">
        <v>125</v>
      </c>
      <c r="H199" s="11"/>
      <c r="I199" s="11"/>
      <c r="J199" s="11"/>
      <c r="K199" s="11"/>
      <c r="L199" s="11"/>
      <c r="M199" s="11"/>
      <c r="N199" s="11"/>
      <c r="O199" s="11"/>
      <c r="P199" s="11"/>
      <c r="Q199" s="11"/>
      <c r="R199" s="11"/>
      <c r="S199" s="11"/>
      <c r="T199" s="11"/>
      <c r="U199" s="11"/>
      <c r="V199" s="11"/>
      <c r="W199" s="11"/>
      <c r="X199" s="11"/>
      <c r="Y199" s="11"/>
      <c r="Z199" s="11"/>
    </row>
    <row r="200" spans="1:26" ht="15.75" customHeight="1" x14ac:dyDescent="0.25">
      <c r="A200" s="11"/>
      <c r="B200" s="30"/>
      <c r="C200" s="30"/>
      <c r="D200" s="11"/>
      <c r="E200" s="74"/>
      <c r="F200" s="72" t="s">
        <v>287</v>
      </c>
      <c r="G200" s="73">
        <v>512</v>
      </c>
      <c r="H200" s="11"/>
      <c r="I200" s="11"/>
      <c r="J200" s="11"/>
      <c r="K200" s="11"/>
      <c r="L200" s="11"/>
      <c r="M200" s="11"/>
      <c r="N200" s="11"/>
      <c r="O200" s="11"/>
      <c r="P200" s="11"/>
      <c r="Q200" s="11"/>
      <c r="R200" s="11"/>
      <c r="S200" s="11"/>
      <c r="T200" s="11"/>
      <c r="U200" s="11"/>
      <c r="V200" s="11"/>
      <c r="W200" s="11"/>
      <c r="X200" s="11"/>
      <c r="Y200" s="11"/>
      <c r="Z200" s="11"/>
    </row>
    <row r="201" spans="1:26" ht="15.75" customHeight="1" x14ac:dyDescent="0.25">
      <c r="A201" s="11"/>
      <c r="B201" s="30"/>
      <c r="C201" s="30"/>
      <c r="D201" s="11"/>
      <c r="E201" s="74"/>
      <c r="F201" s="72" t="s">
        <v>296</v>
      </c>
      <c r="G201" s="77" t="s">
        <v>2249</v>
      </c>
      <c r="H201" s="11"/>
      <c r="I201" s="11"/>
      <c r="J201" s="11"/>
      <c r="K201" s="11"/>
      <c r="L201" s="11"/>
      <c r="M201" s="11"/>
      <c r="N201" s="11"/>
      <c r="O201" s="11"/>
      <c r="P201" s="11"/>
      <c r="Q201" s="11"/>
      <c r="R201" s="11"/>
      <c r="S201" s="11"/>
      <c r="T201" s="11"/>
      <c r="U201" s="11"/>
      <c r="V201" s="11"/>
      <c r="W201" s="11"/>
      <c r="X201" s="11"/>
      <c r="Y201" s="11"/>
      <c r="Z201" s="11"/>
    </row>
    <row r="202" spans="1:26" ht="15.75" customHeight="1" x14ac:dyDescent="0.25">
      <c r="A202" s="11"/>
      <c r="B202" s="30"/>
      <c r="C202" s="30"/>
      <c r="D202" s="11"/>
      <c r="E202" s="88"/>
      <c r="F202" s="74" t="s">
        <v>316</v>
      </c>
      <c r="G202" s="87">
        <f>G200</f>
        <v>512</v>
      </c>
      <c r="H202" s="11"/>
      <c r="I202" s="11"/>
      <c r="J202" s="11"/>
      <c r="K202" s="11"/>
      <c r="L202" s="11"/>
      <c r="M202" s="11"/>
      <c r="N202" s="11"/>
      <c r="O202" s="11"/>
      <c r="P202" s="11"/>
      <c r="Q202" s="11"/>
      <c r="R202" s="11"/>
      <c r="S202" s="11"/>
      <c r="T202" s="11"/>
      <c r="U202" s="11"/>
      <c r="V202" s="11"/>
      <c r="W202" s="11"/>
      <c r="X202" s="11"/>
      <c r="Y202" s="11"/>
      <c r="Z202" s="11"/>
    </row>
    <row r="203" spans="1:26" ht="15.75" customHeight="1" x14ac:dyDescent="0.25">
      <c r="A203" s="11"/>
      <c r="B203" s="30"/>
      <c r="C203" s="30"/>
      <c r="D203" s="11"/>
      <c r="E203" s="88"/>
      <c r="F203" s="74" t="s">
        <v>16</v>
      </c>
      <c r="G203" s="88">
        <v>13</v>
      </c>
      <c r="H203" s="11"/>
      <c r="I203" s="11"/>
      <c r="J203" s="11"/>
      <c r="K203" s="11"/>
      <c r="L203" s="11"/>
      <c r="M203" s="11"/>
      <c r="N203" s="11"/>
      <c r="O203" s="11"/>
      <c r="P203" s="11"/>
      <c r="Q203" s="11"/>
      <c r="R203" s="11"/>
      <c r="S203" s="11"/>
      <c r="T203" s="11"/>
      <c r="U203" s="11"/>
      <c r="V203" s="11"/>
      <c r="W203" s="11"/>
      <c r="X203" s="11"/>
      <c r="Y203" s="11"/>
      <c r="Z203" s="11"/>
    </row>
    <row r="204" spans="1:26" ht="15.75" customHeight="1" x14ac:dyDescent="0.25">
      <c r="A204" s="11"/>
      <c r="B204" s="30"/>
      <c r="C204" s="30"/>
      <c r="D204" s="11"/>
      <c r="E204" s="11"/>
      <c r="F204" s="11" t="s">
        <v>2272</v>
      </c>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x14ac:dyDescent="0.25">
      <c r="A205" s="11"/>
      <c r="B205" s="30"/>
      <c r="C205" s="30"/>
      <c r="D205" s="11"/>
      <c r="E205" s="53">
        <v>917</v>
      </c>
      <c r="F205" s="193" t="s">
        <v>207</v>
      </c>
      <c r="G205" s="53" t="s">
        <v>272</v>
      </c>
      <c r="H205" s="11"/>
      <c r="I205" s="11"/>
      <c r="J205" s="11"/>
      <c r="K205" s="11"/>
      <c r="L205" s="11"/>
      <c r="M205" s="11"/>
      <c r="N205" s="11"/>
      <c r="O205" s="11"/>
      <c r="P205" s="11"/>
      <c r="Q205" s="11"/>
      <c r="R205" s="11"/>
      <c r="S205" s="11"/>
      <c r="T205" s="11"/>
      <c r="U205" s="11"/>
      <c r="V205" s="11"/>
      <c r="W205" s="11"/>
      <c r="X205" s="11"/>
      <c r="Y205" s="11"/>
      <c r="Z205" s="11"/>
    </row>
    <row r="206" spans="1:26" x14ac:dyDescent="0.25">
      <c r="A206" s="11"/>
      <c r="B206" s="30"/>
      <c r="C206" s="30"/>
      <c r="D206" s="11"/>
      <c r="E206" s="88">
        <v>1</v>
      </c>
      <c r="F206" s="215" t="s">
        <v>295</v>
      </c>
      <c r="G206" s="216">
        <v>5</v>
      </c>
      <c r="H206" s="11"/>
      <c r="I206" s="11"/>
      <c r="J206" s="11"/>
      <c r="K206" s="11"/>
      <c r="L206" s="11"/>
      <c r="M206" s="11"/>
      <c r="N206" s="11"/>
      <c r="O206" s="11"/>
      <c r="P206" s="11"/>
      <c r="Q206" s="11"/>
      <c r="R206" s="11"/>
      <c r="S206" s="11"/>
      <c r="T206" s="11"/>
      <c r="U206" s="11"/>
      <c r="V206" s="11"/>
      <c r="W206" s="11"/>
      <c r="X206" s="11"/>
      <c r="Y206" s="11"/>
      <c r="Z206" s="11"/>
    </row>
    <row r="207" spans="1:26" ht="15.75" customHeight="1" x14ac:dyDescent="0.25">
      <c r="A207" s="11"/>
      <c r="B207" s="30"/>
      <c r="C207" s="30"/>
      <c r="D207" s="11"/>
      <c r="E207" s="74"/>
      <c r="F207" s="72" t="s">
        <v>287</v>
      </c>
      <c r="G207" s="73">
        <v>0.6</v>
      </c>
      <c r="H207" s="11"/>
      <c r="I207" s="11"/>
      <c r="J207" s="11"/>
      <c r="K207" s="11"/>
      <c r="L207" s="11"/>
      <c r="M207" s="11"/>
      <c r="N207" s="11"/>
      <c r="O207" s="11"/>
      <c r="P207" s="11"/>
      <c r="Q207" s="11"/>
      <c r="R207" s="11"/>
      <c r="S207" s="11"/>
      <c r="T207" s="11"/>
      <c r="U207" s="11"/>
      <c r="V207" s="11"/>
      <c r="W207" s="11"/>
      <c r="X207" s="11"/>
      <c r="Y207" s="11"/>
      <c r="Z207" s="11"/>
    </row>
    <row r="208" spans="1:26" ht="15.75" customHeight="1" x14ac:dyDescent="0.25">
      <c r="A208" s="11"/>
      <c r="B208" s="30"/>
      <c r="C208" s="30"/>
      <c r="D208" s="11"/>
      <c r="E208" s="74"/>
      <c r="F208" s="72" t="s">
        <v>296</v>
      </c>
      <c r="G208" s="77" t="s">
        <v>289</v>
      </c>
      <c r="H208" s="11"/>
      <c r="I208" s="11"/>
      <c r="J208" s="11"/>
      <c r="K208" s="11"/>
      <c r="L208" s="11"/>
      <c r="M208" s="11"/>
      <c r="N208" s="11"/>
      <c r="O208" s="11"/>
      <c r="P208" s="11"/>
      <c r="Q208" s="11"/>
      <c r="R208" s="11"/>
      <c r="S208" s="11"/>
      <c r="T208" s="11"/>
      <c r="U208" s="11"/>
      <c r="V208" s="11"/>
      <c r="W208" s="11"/>
      <c r="X208" s="11"/>
      <c r="Y208" s="11"/>
      <c r="Z208" s="11"/>
    </row>
    <row r="209" spans="1:26" ht="15.75" customHeight="1" x14ac:dyDescent="0.25">
      <c r="A209" s="11"/>
      <c r="B209" s="30"/>
      <c r="C209" s="30"/>
      <c r="D209" s="11"/>
      <c r="E209" s="88"/>
      <c r="F209" s="74" t="s">
        <v>316</v>
      </c>
      <c r="G209" s="87">
        <f>G207</f>
        <v>0.6</v>
      </c>
      <c r="H209" s="11"/>
      <c r="I209" s="11"/>
      <c r="J209" s="11"/>
      <c r="K209" s="11"/>
      <c r="L209" s="11"/>
      <c r="M209" s="11"/>
      <c r="N209" s="11"/>
      <c r="O209" s="11"/>
      <c r="P209" s="11"/>
      <c r="Q209" s="11"/>
      <c r="R209" s="11"/>
      <c r="S209" s="11"/>
      <c r="T209" s="11"/>
      <c r="U209" s="11"/>
      <c r="V209" s="11"/>
      <c r="W209" s="11"/>
      <c r="X209" s="11"/>
      <c r="Y209" s="11"/>
      <c r="Z209" s="11"/>
    </row>
    <row r="210" spans="1:26" ht="15.75" customHeight="1" x14ac:dyDescent="0.25">
      <c r="A210" s="11"/>
      <c r="B210" s="30"/>
      <c r="C210" s="30"/>
      <c r="D210" s="11"/>
      <c r="E210" s="88"/>
      <c r="F210" s="74" t="s">
        <v>16</v>
      </c>
      <c r="G210" s="88">
        <v>1</v>
      </c>
      <c r="H210" s="11"/>
      <c r="I210" s="11"/>
      <c r="J210" s="11"/>
      <c r="K210" s="11"/>
      <c r="L210" s="11"/>
      <c r="M210" s="11"/>
      <c r="N210" s="11"/>
      <c r="O210" s="11"/>
      <c r="P210" s="11"/>
      <c r="Q210" s="11"/>
      <c r="R210" s="11"/>
      <c r="S210" s="11"/>
      <c r="T210" s="11"/>
      <c r="U210" s="11"/>
      <c r="V210" s="11"/>
      <c r="W210" s="11"/>
      <c r="X210" s="11"/>
      <c r="Y210" s="11"/>
      <c r="Z210" s="11"/>
    </row>
    <row r="211" spans="1:26" ht="15.75" customHeight="1" x14ac:dyDescent="0.25">
      <c r="A211" s="11"/>
      <c r="B211" s="30"/>
      <c r="C211" s="30"/>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x14ac:dyDescent="0.25">
      <c r="A212" s="11"/>
      <c r="B212" s="30"/>
      <c r="C212" s="30"/>
      <c r="D212" s="11"/>
      <c r="E212" s="53">
        <v>916</v>
      </c>
      <c r="F212" s="193" t="s">
        <v>207</v>
      </c>
      <c r="G212" s="53" t="s">
        <v>272</v>
      </c>
      <c r="H212" s="11"/>
      <c r="I212" s="11"/>
      <c r="J212" s="11"/>
      <c r="K212" s="11"/>
      <c r="L212" s="11"/>
      <c r="M212" s="11"/>
      <c r="N212" s="11"/>
      <c r="O212" s="11"/>
      <c r="P212" s="11"/>
      <c r="Q212" s="11"/>
      <c r="R212" s="11"/>
      <c r="S212" s="11"/>
      <c r="T212" s="11"/>
      <c r="U212" s="11"/>
      <c r="V212" s="11"/>
      <c r="W212" s="11"/>
      <c r="X212" s="11"/>
      <c r="Y212" s="11"/>
      <c r="Z212" s="11"/>
    </row>
    <row r="213" spans="1:26" x14ac:dyDescent="0.25">
      <c r="A213" s="11"/>
      <c r="B213" s="30"/>
      <c r="C213" s="30"/>
      <c r="D213" s="11"/>
      <c r="E213" s="88">
        <v>1</v>
      </c>
      <c r="F213" s="192" t="s">
        <v>2267</v>
      </c>
      <c r="G213" s="9">
        <v>2</v>
      </c>
      <c r="H213" s="11"/>
      <c r="I213" s="11"/>
      <c r="J213" s="11"/>
      <c r="K213" s="11"/>
      <c r="L213" s="11"/>
      <c r="M213" s="11"/>
      <c r="N213" s="11"/>
      <c r="O213" s="11"/>
      <c r="P213" s="11"/>
      <c r="Q213" s="11"/>
      <c r="R213" s="11"/>
      <c r="S213" s="11"/>
      <c r="T213" s="11"/>
      <c r="U213" s="11"/>
      <c r="V213" s="11"/>
      <c r="W213" s="11"/>
      <c r="X213" s="11"/>
      <c r="Y213" s="11"/>
      <c r="Z213" s="11"/>
    </row>
    <row r="214" spans="1:26" ht="15.75" customHeight="1" x14ac:dyDescent="0.25">
      <c r="A214" s="11"/>
      <c r="B214" s="30"/>
      <c r="C214" s="30"/>
      <c r="D214" s="11"/>
      <c r="E214" s="74"/>
      <c r="F214" s="72" t="s">
        <v>287</v>
      </c>
      <c r="G214" s="73">
        <f>0.4*G213</f>
        <v>0.8</v>
      </c>
      <c r="H214" s="11"/>
      <c r="I214" s="11"/>
      <c r="J214" s="11"/>
      <c r="K214" s="11"/>
      <c r="L214" s="11"/>
      <c r="M214" s="11"/>
      <c r="N214" s="11"/>
      <c r="O214" s="11"/>
      <c r="P214" s="11"/>
      <c r="Q214" s="11"/>
      <c r="R214" s="11"/>
      <c r="S214" s="11"/>
      <c r="T214" s="11"/>
      <c r="U214" s="11"/>
      <c r="V214" s="11"/>
      <c r="W214" s="11"/>
      <c r="X214" s="11"/>
      <c r="Y214" s="11"/>
      <c r="Z214" s="11"/>
    </row>
    <row r="215" spans="1:26" ht="15.75" customHeight="1" x14ac:dyDescent="0.25">
      <c r="A215" s="11"/>
      <c r="B215" s="30"/>
      <c r="C215" s="30"/>
      <c r="D215" s="11"/>
      <c r="E215" s="74"/>
      <c r="F215" s="72" t="s">
        <v>296</v>
      </c>
      <c r="G215" s="77" t="s">
        <v>2241</v>
      </c>
      <c r="H215" s="11"/>
      <c r="I215" s="11"/>
      <c r="J215" s="11"/>
      <c r="K215" s="11"/>
      <c r="L215" s="11"/>
      <c r="M215" s="11"/>
      <c r="N215" s="11"/>
      <c r="O215" s="11"/>
      <c r="P215" s="11"/>
      <c r="Q215" s="11"/>
      <c r="R215" s="11"/>
      <c r="S215" s="11"/>
      <c r="T215" s="11"/>
      <c r="U215" s="11"/>
      <c r="V215" s="11"/>
      <c r="W215" s="11"/>
      <c r="X215" s="11"/>
      <c r="Y215" s="11"/>
      <c r="Z215" s="11"/>
    </row>
    <row r="216" spans="1:26" ht="15.75" customHeight="1" x14ac:dyDescent="0.25">
      <c r="A216" s="11"/>
      <c r="B216" s="30"/>
      <c r="C216" s="30"/>
      <c r="D216" s="11"/>
      <c r="E216" s="88"/>
      <c r="F216" s="74" t="s">
        <v>316</v>
      </c>
      <c r="G216" s="87">
        <f>G214</f>
        <v>0.8</v>
      </c>
      <c r="H216" s="11"/>
      <c r="I216" s="11"/>
      <c r="J216" s="11"/>
      <c r="K216" s="11"/>
      <c r="L216" s="11"/>
      <c r="M216" s="11"/>
      <c r="N216" s="11"/>
      <c r="O216" s="11"/>
      <c r="P216" s="11"/>
      <c r="Q216" s="11"/>
      <c r="R216" s="11"/>
      <c r="S216" s="11"/>
      <c r="T216" s="11"/>
      <c r="U216" s="11"/>
      <c r="V216" s="11"/>
      <c r="W216" s="11"/>
      <c r="X216" s="11"/>
      <c r="Y216" s="11"/>
      <c r="Z216" s="11"/>
    </row>
    <row r="217" spans="1:26" ht="15.75" customHeight="1" x14ac:dyDescent="0.25">
      <c r="A217" s="11"/>
      <c r="B217" s="30"/>
      <c r="C217" s="30"/>
      <c r="D217" s="11"/>
      <c r="E217" s="88"/>
      <c r="F217" s="74" t="s">
        <v>16</v>
      </c>
      <c r="G217" s="88">
        <v>1</v>
      </c>
      <c r="H217" s="11"/>
      <c r="I217" s="11"/>
      <c r="J217" s="11"/>
      <c r="K217" s="11"/>
      <c r="L217" s="11"/>
      <c r="M217" s="11"/>
      <c r="N217" s="11"/>
      <c r="O217" s="11"/>
      <c r="P217" s="11"/>
      <c r="Q217" s="11"/>
      <c r="R217" s="11"/>
      <c r="S217" s="11"/>
      <c r="T217" s="11"/>
      <c r="U217" s="11"/>
      <c r="V217" s="11"/>
      <c r="W217" s="11"/>
      <c r="X217" s="11"/>
      <c r="Y217" s="11"/>
      <c r="Z217" s="11"/>
    </row>
    <row r="218" spans="1:26" ht="15.75" customHeight="1" x14ac:dyDescent="0.25">
      <c r="A218" s="11"/>
      <c r="B218" s="30"/>
      <c r="C218" s="30"/>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x14ac:dyDescent="0.25">
      <c r="A219" s="11"/>
      <c r="B219" s="30"/>
      <c r="C219" s="30"/>
      <c r="D219" s="11"/>
      <c r="E219" s="53">
        <v>915</v>
      </c>
      <c r="F219" s="193" t="s">
        <v>2264</v>
      </c>
      <c r="G219" s="53" t="s">
        <v>272</v>
      </c>
      <c r="H219" s="11"/>
      <c r="I219" s="11"/>
      <c r="J219" s="11"/>
      <c r="K219" s="11"/>
      <c r="L219" s="11"/>
      <c r="M219" s="11"/>
      <c r="N219" s="11"/>
      <c r="O219" s="11"/>
      <c r="P219" s="11"/>
      <c r="Q219" s="11"/>
      <c r="R219" s="11"/>
      <c r="S219" s="11"/>
      <c r="T219" s="11"/>
      <c r="U219" s="11"/>
      <c r="V219" s="11"/>
      <c r="W219" s="11"/>
      <c r="X219" s="11"/>
      <c r="Y219" s="11"/>
      <c r="Z219" s="11"/>
    </row>
    <row r="220" spans="1:26" ht="30" x14ac:dyDescent="0.25">
      <c r="A220" s="11"/>
      <c r="B220" s="30"/>
      <c r="C220" s="30"/>
      <c r="D220" s="11"/>
      <c r="E220" s="88">
        <v>1</v>
      </c>
      <c r="F220" s="192" t="s">
        <v>2265</v>
      </c>
      <c r="G220" s="9">
        <v>2</v>
      </c>
      <c r="H220" s="11"/>
      <c r="I220" s="11"/>
      <c r="J220" s="11"/>
      <c r="K220" s="11"/>
      <c r="L220" s="11"/>
      <c r="M220" s="11"/>
      <c r="N220" s="11"/>
      <c r="O220" s="11"/>
      <c r="P220" s="11"/>
      <c r="Q220" s="11"/>
      <c r="R220" s="11"/>
      <c r="S220" s="11"/>
      <c r="T220" s="11"/>
      <c r="U220" s="11"/>
      <c r="V220" s="11"/>
      <c r="W220" s="11"/>
      <c r="X220" s="11"/>
      <c r="Y220" s="11"/>
      <c r="Z220" s="11"/>
    </row>
    <row r="221" spans="1:26" ht="15.75" customHeight="1" x14ac:dyDescent="0.25">
      <c r="A221" s="11"/>
      <c r="B221" s="30"/>
      <c r="C221" s="30"/>
      <c r="D221" s="11"/>
      <c r="E221" s="74"/>
      <c r="F221" s="72" t="s">
        <v>287</v>
      </c>
      <c r="G221" s="73">
        <v>45</v>
      </c>
      <c r="H221" s="11"/>
      <c r="I221" s="11"/>
      <c r="J221" s="11"/>
      <c r="K221" s="11"/>
      <c r="L221" s="11"/>
      <c r="M221" s="11"/>
      <c r="N221" s="11"/>
      <c r="O221" s="11"/>
      <c r="P221" s="11"/>
      <c r="Q221" s="11"/>
      <c r="R221" s="11"/>
      <c r="S221" s="11"/>
      <c r="T221" s="11"/>
      <c r="U221" s="11"/>
      <c r="V221" s="11"/>
      <c r="W221" s="11"/>
      <c r="X221" s="11"/>
      <c r="Y221" s="11"/>
      <c r="Z221" s="11"/>
    </row>
    <row r="222" spans="1:26" ht="15.75" customHeight="1" x14ac:dyDescent="0.25">
      <c r="A222" s="11"/>
      <c r="B222" s="30"/>
      <c r="C222" s="30"/>
      <c r="D222" s="11"/>
      <c r="E222" s="74"/>
      <c r="F222" s="72" t="s">
        <v>296</v>
      </c>
      <c r="G222" s="77" t="s">
        <v>2241</v>
      </c>
      <c r="H222" s="11"/>
      <c r="I222" s="11"/>
      <c r="J222" s="11"/>
      <c r="K222" s="11"/>
      <c r="L222" s="11"/>
      <c r="M222" s="11"/>
      <c r="N222" s="11"/>
      <c r="O222" s="11"/>
      <c r="P222" s="11"/>
      <c r="Q222" s="11"/>
      <c r="R222" s="11"/>
      <c r="S222" s="11"/>
      <c r="T222" s="11"/>
      <c r="U222" s="11"/>
      <c r="V222" s="11"/>
      <c r="W222" s="11"/>
      <c r="X222" s="11"/>
      <c r="Y222" s="11"/>
      <c r="Z222" s="11"/>
    </row>
    <row r="223" spans="1:26" ht="15.75" customHeight="1" x14ac:dyDescent="0.25">
      <c r="A223" s="11"/>
      <c r="B223" s="30"/>
      <c r="C223" s="30"/>
      <c r="D223" s="11"/>
      <c r="E223" s="88"/>
      <c r="F223" s="74" t="s">
        <v>316</v>
      </c>
      <c r="G223" s="87">
        <f>G221</f>
        <v>45</v>
      </c>
      <c r="H223" s="11"/>
      <c r="I223" s="11"/>
      <c r="J223" s="11"/>
      <c r="K223" s="11"/>
      <c r="L223" s="11"/>
      <c r="M223" s="11"/>
      <c r="N223" s="11"/>
      <c r="O223" s="11"/>
      <c r="P223" s="11"/>
      <c r="Q223" s="11"/>
      <c r="R223" s="11"/>
      <c r="S223" s="11"/>
      <c r="T223" s="11"/>
      <c r="U223" s="11"/>
      <c r="V223" s="11"/>
      <c r="W223" s="11"/>
      <c r="X223" s="11"/>
      <c r="Y223" s="11"/>
      <c r="Z223" s="11"/>
    </row>
    <row r="224" spans="1:26" ht="15.75" customHeight="1" x14ac:dyDescent="0.25">
      <c r="A224" s="11"/>
      <c r="B224" s="30"/>
      <c r="C224" s="30"/>
      <c r="D224" s="11"/>
      <c r="E224" s="88"/>
      <c r="F224" s="74" t="s">
        <v>16</v>
      </c>
      <c r="G224" s="88">
        <v>1</v>
      </c>
      <c r="H224" s="11"/>
      <c r="I224" s="11"/>
      <c r="J224" s="11"/>
      <c r="K224" s="11"/>
      <c r="L224" s="11"/>
      <c r="M224" s="11"/>
      <c r="N224" s="11"/>
      <c r="O224" s="11"/>
      <c r="P224" s="11"/>
      <c r="Q224" s="11"/>
      <c r="R224" s="11"/>
      <c r="S224" s="11"/>
      <c r="T224" s="11"/>
      <c r="U224" s="11"/>
      <c r="V224" s="11"/>
      <c r="W224" s="11"/>
      <c r="X224" s="11"/>
      <c r="Y224" s="11"/>
      <c r="Z224" s="11"/>
    </row>
    <row r="225" spans="1:26" ht="15.75" customHeight="1" x14ac:dyDescent="0.25">
      <c r="A225" s="11"/>
      <c r="B225" s="30"/>
      <c r="C225" s="30"/>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x14ac:dyDescent="0.25">
      <c r="A226" s="11"/>
      <c r="B226" s="30"/>
      <c r="C226" s="30"/>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x14ac:dyDescent="0.25">
      <c r="A227" s="11"/>
      <c r="B227" s="30"/>
      <c r="C227" s="30"/>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x14ac:dyDescent="0.25">
      <c r="A228" s="11"/>
      <c r="B228" s="30"/>
      <c r="C228" s="30"/>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x14ac:dyDescent="0.25">
      <c r="A229" s="11"/>
      <c r="B229" s="30"/>
      <c r="C229" s="30"/>
      <c r="D229" s="11"/>
      <c r="E229" s="11"/>
      <c r="F229" s="217" t="s">
        <v>2565</v>
      </c>
      <c r="G229" s="213">
        <v>4</v>
      </c>
      <c r="H229" s="218">
        <f>4*G229</f>
        <v>16</v>
      </c>
      <c r="I229" s="11"/>
      <c r="J229" s="11"/>
      <c r="K229" s="11"/>
      <c r="L229" s="11"/>
      <c r="M229" s="11"/>
      <c r="N229" s="11"/>
      <c r="O229" s="11"/>
      <c r="P229" s="11"/>
      <c r="Q229" s="11"/>
      <c r="R229" s="11"/>
      <c r="S229" s="11"/>
      <c r="T229" s="11"/>
      <c r="U229" s="11"/>
      <c r="V229" s="11"/>
      <c r="W229" s="11"/>
      <c r="X229" s="11"/>
      <c r="Y229" s="11"/>
      <c r="Z229" s="11"/>
    </row>
    <row r="230" spans="1:26" ht="15.75" customHeight="1" x14ac:dyDescent="0.25">
      <c r="A230" s="11"/>
      <c r="B230" s="30"/>
      <c r="C230" s="30"/>
      <c r="D230" s="11"/>
      <c r="E230" s="11"/>
      <c r="F230" s="217" t="s">
        <v>2566</v>
      </c>
      <c r="G230" s="213">
        <v>1</v>
      </c>
      <c r="H230" s="218">
        <v>2.5</v>
      </c>
      <c r="I230" s="11"/>
      <c r="J230" s="11"/>
      <c r="K230" s="11"/>
      <c r="L230" s="11"/>
      <c r="M230" s="11"/>
      <c r="N230" s="11"/>
      <c r="O230" s="11"/>
      <c r="P230" s="11"/>
      <c r="Q230" s="11"/>
      <c r="R230" s="11"/>
      <c r="S230" s="11"/>
      <c r="T230" s="11"/>
      <c r="U230" s="11"/>
      <c r="V230" s="11"/>
      <c r="W230" s="11"/>
      <c r="X230" s="11"/>
      <c r="Y230" s="11"/>
      <c r="Z230" s="11"/>
    </row>
    <row r="231" spans="1:26" ht="15.75" customHeight="1" x14ac:dyDescent="0.25">
      <c r="A231" s="11"/>
      <c r="B231" s="30"/>
      <c r="C231" s="30"/>
      <c r="D231" s="11"/>
      <c r="E231" s="11"/>
      <c r="F231" s="217" t="s">
        <v>2567</v>
      </c>
      <c r="G231" s="213">
        <v>2</v>
      </c>
      <c r="H231" s="218">
        <v>1</v>
      </c>
      <c r="I231" s="11"/>
      <c r="J231" s="11"/>
      <c r="K231" s="11"/>
      <c r="L231" s="11"/>
      <c r="M231" s="11"/>
      <c r="N231" s="11"/>
      <c r="O231" s="11"/>
      <c r="P231" s="11"/>
      <c r="Q231" s="11"/>
      <c r="R231" s="11"/>
      <c r="S231" s="11"/>
      <c r="T231" s="11"/>
      <c r="U231" s="11"/>
      <c r="V231" s="11"/>
      <c r="W231" s="11"/>
      <c r="X231" s="11"/>
      <c r="Y231" s="11"/>
      <c r="Z231" s="11"/>
    </row>
    <row r="232" spans="1:26" ht="15.75" customHeight="1" x14ac:dyDescent="0.25">
      <c r="A232" s="11"/>
      <c r="B232" s="30"/>
      <c r="C232" s="30"/>
      <c r="D232" s="11"/>
      <c r="E232" s="11"/>
      <c r="F232" s="217" t="s">
        <v>2568</v>
      </c>
      <c r="G232" s="213">
        <v>1</v>
      </c>
      <c r="H232" s="218">
        <f>5.5</f>
        <v>5.5</v>
      </c>
      <c r="I232" s="11"/>
      <c r="J232" s="11"/>
      <c r="K232" s="11"/>
      <c r="L232" s="11"/>
      <c r="M232" s="11"/>
      <c r="N232" s="11"/>
      <c r="O232" s="11"/>
      <c r="P232" s="11"/>
      <c r="Q232" s="11"/>
      <c r="R232" s="11"/>
      <c r="S232" s="11"/>
      <c r="T232" s="11"/>
      <c r="U232" s="11"/>
      <c r="V232" s="11"/>
      <c r="W232" s="11"/>
      <c r="X232" s="11"/>
      <c r="Y232" s="11"/>
      <c r="Z232" s="11"/>
    </row>
    <row r="233" spans="1:26" ht="15.75" customHeight="1" x14ac:dyDescent="0.25">
      <c r="A233" s="11"/>
      <c r="B233" s="30"/>
      <c r="C233" s="30"/>
      <c r="D233" s="11"/>
      <c r="E233" s="11"/>
      <c r="F233" s="217" t="s">
        <v>2570</v>
      </c>
      <c r="G233" s="213">
        <v>4</v>
      </c>
      <c r="H233" s="218">
        <f>9*G233</f>
        <v>36</v>
      </c>
      <c r="I233" s="11"/>
      <c r="J233" s="11"/>
      <c r="K233" s="11"/>
      <c r="L233" s="11"/>
      <c r="M233" s="11"/>
      <c r="N233" s="11"/>
      <c r="O233" s="11"/>
      <c r="P233" s="11"/>
      <c r="Q233" s="11"/>
      <c r="R233" s="11"/>
      <c r="S233" s="11"/>
      <c r="T233" s="11"/>
      <c r="U233" s="11"/>
      <c r="V233" s="11"/>
      <c r="W233" s="11"/>
      <c r="X233" s="11"/>
      <c r="Y233" s="11"/>
      <c r="Z233" s="11"/>
    </row>
    <row r="234" spans="1:26" ht="15.75" customHeight="1" x14ac:dyDescent="0.25">
      <c r="A234" s="11"/>
      <c r="B234" s="30"/>
      <c r="C234" s="30"/>
      <c r="D234" s="11"/>
      <c r="E234" s="11"/>
      <c r="F234" s="217" t="s">
        <v>2569</v>
      </c>
      <c r="G234" s="213">
        <v>2</v>
      </c>
      <c r="H234" s="218">
        <f>1.5*G234</f>
        <v>3</v>
      </c>
      <c r="I234" s="11"/>
      <c r="J234" s="11"/>
      <c r="K234" s="11"/>
      <c r="L234" s="11"/>
      <c r="M234" s="11"/>
      <c r="N234" s="11"/>
      <c r="O234" s="11"/>
      <c r="P234" s="11"/>
      <c r="Q234" s="11"/>
      <c r="R234" s="11"/>
      <c r="S234" s="11"/>
      <c r="T234" s="11"/>
      <c r="U234" s="11"/>
      <c r="V234" s="11"/>
      <c r="W234" s="11"/>
      <c r="X234" s="11"/>
      <c r="Y234" s="11"/>
      <c r="Z234" s="11"/>
    </row>
    <row r="235" spans="1:26" ht="15.75" customHeight="1" x14ac:dyDescent="0.25">
      <c r="A235" s="11"/>
      <c r="B235" s="30"/>
      <c r="C235" s="30"/>
      <c r="D235" s="11"/>
      <c r="E235" s="11"/>
      <c r="F235" s="11" t="s">
        <v>2574</v>
      </c>
      <c r="G235" s="11"/>
      <c r="H235" s="11">
        <f>SUM(H229:H234)</f>
        <v>64</v>
      </c>
      <c r="I235" s="11"/>
      <c r="J235" s="11"/>
      <c r="K235" s="11"/>
      <c r="L235" s="11"/>
      <c r="M235" s="11"/>
      <c r="N235" s="11"/>
      <c r="O235" s="11"/>
      <c r="P235" s="11"/>
      <c r="Q235" s="11"/>
      <c r="R235" s="11"/>
      <c r="S235" s="11"/>
      <c r="T235" s="11"/>
      <c r="U235" s="11"/>
      <c r="V235" s="11"/>
      <c r="W235" s="11"/>
      <c r="X235" s="11"/>
      <c r="Y235" s="11"/>
      <c r="Z235" s="11"/>
    </row>
    <row r="236" spans="1:26" ht="15.75" customHeight="1" x14ac:dyDescent="0.25">
      <c r="A236" s="11"/>
      <c r="B236" s="30"/>
      <c r="C236" s="30"/>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x14ac:dyDescent="0.25">
      <c r="A237" s="11"/>
      <c r="B237" s="30"/>
      <c r="C237" s="30"/>
      <c r="D237" s="11"/>
      <c r="E237" s="11">
        <v>1232</v>
      </c>
      <c r="F237" s="11"/>
      <c r="G237" s="11"/>
      <c r="H237" s="11"/>
      <c r="I237" s="11"/>
      <c r="J237" s="11"/>
      <c r="K237" s="11"/>
      <c r="L237" s="11"/>
      <c r="M237" s="11"/>
      <c r="N237" s="11"/>
      <c r="O237" s="11"/>
      <c r="P237" s="11"/>
      <c r="Q237" s="11"/>
      <c r="R237" s="11"/>
      <c r="S237" s="11"/>
      <c r="T237" s="11"/>
      <c r="U237" s="11"/>
      <c r="V237" s="11"/>
      <c r="W237" s="11"/>
      <c r="X237" s="11"/>
      <c r="Y237" s="11"/>
      <c r="Z237" s="11"/>
    </row>
    <row r="238" spans="1:26" ht="30" x14ac:dyDescent="0.25">
      <c r="A238" s="11"/>
      <c r="B238" s="30"/>
      <c r="C238" s="30"/>
      <c r="D238" s="11"/>
      <c r="E238" s="246">
        <v>1232</v>
      </c>
      <c r="F238" s="247" t="s">
        <v>2887</v>
      </c>
      <c r="G238" s="248" t="s">
        <v>2914</v>
      </c>
      <c r="H238" s="249" t="s">
        <v>17</v>
      </c>
      <c r="I238" s="246" t="s">
        <v>2900</v>
      </c>
      <c r="J238" s="245"/>
      <c r="K238" s="11"/>
      <c r="L238" s="11"/>
      <c r="M238" s="11"/>
      <c r="N238" s="11"/>
      <c r="O238" s="11"/>
      <c r="P238" s="11"/>
      <c r="Q238" s="11"/>
      <c r="R238" s="11"/>
      <c r="S238" s="11"/>
      <c r="T238" s="11"/>
      <c r="U238" s="11"/>
      <c r="V238" s="11"/>
      <c r="W238" s="11"/>
      <c r="X238" s="11"/>
      <c r="Y238" s="11"/>
    </row>
    <row r="239" spans="1:26" ht="15.75" customHeight="1" x14ac:dyDescent="0.25">
      <c r="A239" s="11"/>
      <c r="B239" s="30"/>
      <c r="C239" s="30"/>
      <c r="D239" s="11"/>
      <c r="E239" s="218">
        <v>1</v>
      </c>
      <c r="F239" s="250" t="s">
        <v>2888</v>
      </c>
      <c r="G239" s="218">
        <v>60</v>
      </c>
      <c r="H239" s="218" t="s">
        <v>19</v>
      </c>
      <c r="I239" s="218" t="s">
        <v>2901</v>
      </c>
      <c r="J239" s="244">
        <v>3</v>
      </c>
      <c r="K239" s="11"/>
      <c r="L239" s="11"/>
      <c r="M239" s="11"/>
      <c r="N239" s="11"/>
      <c r="O239" s="11"/>
      <c r="P239" s="11"/>
      <c r="Q239" s="11"/>
      <c r="R239" s="11"/>
      <c r="S239" s="11"/>
      <c r="T239" s="11"/>
      <c r="U239" s="11"/>
      <c r="V239" s="11"/>
      <c r="W239" s="11"/>
      <c r="X239" s="11"/>
      <c r="Y239" s="11"/>
    </row>
    <row r="240" spans="1:26" ht="15.75" customHeight="1" x14ac:dyDescent="0.25">
      <c r="A240" s="11"/>
      <c r="B240" s="30"/>
      <c r="C240" s="30"/>
      <c r="D240" s="11"/>
      <c r="E240" s="218">
        <v>2</v>
      </c>
      <c r="F240" s="250" t="s">
        <v>2889</v>
      </c>
      <c r="G240" s="218">
        <v>60</v>
      </c>
      <c r="H240" s="218" t="s">
        <v>19</v>
      </c>
      <c r="I240" s="218" t="s">
        <v>2902</v>
      </c>
      <c r="J240" s="244">
        <v>4.8</v>
      </c>
      <c r="K240" s="11"/>
      <c r="L240" s="11"/>
      <c r="M240" s="11"/>
      <c r="N240" s="11"/>
      <c r="O240" s="11"/>
      <c r="P240" s="11"/>
      <c r="Q240" s="11"/>
      <c r="R240" s="11"/>
      <c r="S240" s="11"/>
      <c r="T240" s="11"/>
      <c r="U240" s="11"/>
      <c r="V240" s="11"/>
      <c r="W240" s="11"/>
      <c r="X240" s="11"/>
      <c r="Y240" s="11"/>
    </row>
    <row r="241" spans="1:26" ht="15.75" customHeight="1" x14ac:dyDescent="0.25">
      <c r="A241" s="11"/>
      <c r="B241" s="30"/>
      <c r="C241" s="30"/>
      <c r="D241" s="11"/>
      <c r="E241" s="218">
        <v>3</v>
      </c>
      <c r="F241" s="250" t="s">
        <v>2890</v>
      </c>
      <c r="G241" s="218">
        <v>10</v>
      </c>
      <c r="H241" s="218" t="s">
        <v>19</v>
      </c>
      <c r="I241" s="218" t="s">
        <v>2903</v>
      </c>
      <c r="J241" s="244">
        <v>1.3</v>
      </c>
      <c r="K241" s="11"/>
      <c r="L241" s="11"/>
      <c r="M241" s="11"/>
      <c r="N241" s="11"/>
      <c r="O241" s="11"/>
      <c r="P241" s="11"/>
      <c r="Q241" s="11"/>
      <c r="R241" s="11"/>
      <c r="S241" s="11"/>
      <c r="T241" s="11"/>
      <c r="U241" s="11"/>
      <c r="V241" s="11"/>
      <c r="W241" s="11"/>
      <c r="X241" s="11"/>
      <c r="Y241" s="11"/>
    </row>
    <row r="242" spans="1:26" ht="15.75" customHeight="1" x14ac:dyDescent="0.25">
      <c r="A242" s="11"/>
      <c r="B242" s="30"/>
      <c r="C242" s="30"/>
      <c r="D242" s="11"/>
      <c r="E242" s="218">
        <v>4</v>
      </c>
      <c r="F242" s="250" t="s">
        <v>339</v>
      </c>
      <c r="G242" s="218">
        <v>10</v>
      </c>
      <c r="H242" s="218" t="s">
        <v>19</v>
      </c>
      <c r="I242" s="218" t="s">
        <v>2904</v>
      </c>
      <c r="J242" s="244">
        <v>0.4</v>
      </c>
      <c r="K242" s="11"/>
      <c r="L242" s="11"/>
      <c r="M242" s="11"/>
      <c r="N242" s="11"/>
      <c r="O242" s="11"/>
      <c r="P242" s="11"/>
      <c r="Q242" s="11"/>
      <c r="R242" s="11"/>
      <c r="S242" s="11"/>
      <c r="T242" s="11"/>
      <c r="U242" s="11"/>
      <c r="V242" s="11"/>
      <c r="W242" s="11"/>
      <c r="X242" s="11"/>
      <c r="Y242" s="11"/>
    </row>
    <row r="243" spans="1:26" ht="15.75" customHeight="1" x14ac:dyDescent="0.25">
      <c r="A243" s="11"/>
      <c r="B243" s="30"/>
      <c r="C243" s="30"/>
      <c r="D243" s="11"/>
      <c r="E243" s="218">
        <v>5</v>
      </c>
      <c r="F243" s="250" t="s">
        <v>2891</v>
      </c>
      <c r="G243" s="218">
        <v>40</v>
      </c>
      <c r="H243" s="218" t="s">
        <v>19</v>
      </c>
      <c r="I243" s="218" t="s">
        <v>2905</v>
      </c>
      <c r="J243" s="244">
        <v>1.6</v>
      </c>
      <c r="K243" s="11"/>
      <c r="L243" s="11"/>
      <c r="M243" s="11"/>
      <c r="N243" s="11"/>
      <c r="O243" s="11"/>
      <c r="P243" s="11"/>
      <c r="Q243" s="11"/>
      <c r="R243" s="11"/>
      <c r="S243" s="11"/>
      <c r="T243" s="11"/>
      <c r="U243" s="11"/>
      <c r="V243" s="11"/>
      <c r="W243" s="11"/>
      <c r="X243" s="11"/>
      <c r="Y243" s="11"/>
    </row>
    <row r="244" spans="1:26" ht="15.75" customHeight="1" x14ac:dyDescent="0.25">
      <c r="A244" s="11"/>
      <c r="B244" s="30"/>
      <c r="C244" s="30"/>
      <c r="D244" s="11"/>
      <c r="E244" s="218">
        <v>6</v>
      </c>
      <c r="F244" s="250" t="s">
        <v>2892</v>
      </c>
      <c r="G244" s="218">
        <v>40</v>
      </c>
      <c r="H244" s="218" t="s">
        <v>19</v>
      </c>
      <c r="I244" s="218" t="s">
        <v>2906</v>
      </c>
      <c r="J244" s="244">
        <v>2.8</v>
      </c>
      <c r="K244" s="11"/>
      <c r="L244" s="11"/>
      <c r="M244" s="11"/>
      <c r="N244" s="11"/>
      <c r="O244" s="11"/>
      <c r="P244" s="11"/>
      <c r="Q244" s="11"/>
      <c r="R244" s="11"/>
      <c r="S244" s="11"/>
      <c r="T244" s="11"/>
      <c r="U244" s="11"/>
      <c r="V244" s="11"/>
      <c r="W244" s="11"/>
      <c r="X244" s="11"/>
      <c r="Y244" s="11"/>
    </row>
    <row r="245" spans="1:26" ht="15.75" customHeight="1" x14ac:dyDescent="0.25">
      <c r="A245" s="11"/>
      <c r="B245" s="30"/>
      <c r="C245" s="30"/>
      <c r="D245" s="11"/>
      <c r="E245" s="218">
        <v>7</v>
      </c>
      <c r="F245" s="250" t="s">
        <v>2893</v>
      </c>
      <c r="G245" s="218">
        <v>172</v>
      </c>
      <c r="H245" s="218" t="s">
        <v>19</v>
      </c>
      <c r="I245" s="218" t="s">
        <v>2907</v>
      </c>
      <c r="J245" s="244">
        <v>22.36</v>
      </c>
      <c r="K245" s="11"/>
      <c r="L245" s="11"/>
      <c r="M245" s="11"/>
      <c r="N245" s="11"/>
      <c r="O245" s="11"/>
      <c r="P245" s="11"/>
      <c r="Q245" s="11"/>
      <c r="R245" s="11"/>
      <c r="S245" s="11"/>
      <c r="T245" s="11"/>
      <c r="U245" s="11"/>
      <c r="V245" s="11"/>
      <c r="W245" s="11"/>
      <c r="X245" s="11"/>
      <c r="Y245" s="11"/>
    </row>
    <row r="246" spans="1:26" ht="15.75" customHeight="1" x14ac:dyDescent="0.25">
      <c r="A246" s="11"/>
      <c r="B246" s="30"/>
      <c r="C246" s="30"/>
      <c r="D246" s="11"/>
      <c r="E246" s="218">
        <v>8</v>
      </c>
      <c r="F246" s="250" t="s">
        <v>2894</v>
      </c>
      <c r="G246" s="218">
        <v>74</v>
      </c>
      <c r="H246" s="218" t="s">
        <v>19</v>
      </c>
      <c r="I246" s="218" t="s">
        <v>2908</v>
      </c>
      <c r="J246" s="244">
        <v>11.1</v>
      </c>
      <c r="K246" s="11"/>
      <c r="L246" s="11"/>
      <c r="M246" s="11"/>
      <c r="N246" s="11"/>
      <c r="O246" s="11"/>
      <c r="P246" s="11"/>
      <c r="Q246" s="11"/>
      <c r="R246" s="11"/>
      <c r="S246" s="11"/>
      <c r="T246" s="11"/>
      <c r="U246" s="11"/>
      <c r="V246" s="11"/>
      <c r="W246" s="11"/>
      <c r="X246" s="11"/>
      <c r="Y246" s="11"/>
    </row>
    <row r="247" spans="1:26" ht="15.75" customHeight="1" x14ac:dyDescent="0.25">
      <c r="A247" s="11"/>
      <c r="B247" s="30"/>
      <c r="C247" s="30"/>
      <c r="D247" s="11"/>
      <c r="E247" s="218">
        <v>9</v>
      </c>
      <c r="F247" s="250" t="s">
        <v>2890</v>
      </c>
      <c r="G247" s="218">
        <v>48</v>
      </c>
      <c r="H247" s="218" t="s">
        <v>19</v>
      </c>
      <c r="I247" s="218" t="s">
        <v>2902</v>
      </c>
      <c r="J247" s="244">
        <v>4.8</v>
      </c>
      <c r="K247" s="11"/>
      <c r="L247" s="11"/>
      <c r="M247" s="11"/>
      <c r="N247" s="11"/>
      <c r="O247" s="11"/>
      <c r="P247" s="11"/>
      <c r="Q247" s="11"/>
      <c r="R247" s="11"/>
      <c r="S247" s="11"/>
      <c r="T247" s="11"/>
      <c r="U247" s="11"/>
      <c r="V247" s="11"/>
      <c r="W247" s="11"/>
      <c r="X247" s="11"/>
      <c r="Y247" s="11"/>
    </row>
    <row r="248" spans="1:26" ht="15.75" customHeight="1" x14ac:dyDescent="0.25">
      <c r="A248" s="11"/>
      <c r="B248" s="30"/>
      <c r="C248" s="30"/>
      <c r="D248" s="11"/>
      <c r="E248" s="218">
        <v>10</v>
      </c>
      <c r="F248" s="250" t="s">
        <v>2895</v>
      </c>
      <c r="G248" s="218">
        <v>72</v>
      </c>
      <c r="H248" s="218" t="s">
        <v>19</v>
      </c>
      <c r="I248" s="218" t="s">
        <v>2909</v>
      </c>
      <c r="J248" s="244">
        <v>54</v>
      </c>
      <c r="K248" s="11"/>
      <c r="L248" s="11"/>
      <c r="M248" s="11"/>
      <c r="N248" s="11"/>
      <c r="O248" s="11"/>
      <c r="P248" s="11"/>
      <c r="Q248" s="11"/>
      <c r="R248" s="11"/>
      <c r="S248" s="11"/>
      <c r="T248" s="11"/>
      <c r="U248" s="11"/>
      <c r="V248" s="11"/>
      <c r="W248" s="11"/>
      <c r="X248" s="11"/>
      <c r="Y248" s="11"/>
    </row>
    <row r="249" spans="1:26" ht="15.75" customHeight="1" x14ac:dyDescent="0.25">
      <c r="A249" s="11"/>
      <c r="B249" s="30"/>
      <c r="C249" s="30"/>
      <c r="D249" s="11"/>
      <c r="E249" s="218">
        <v>11</v>
      </c>
      <c r="F249" s="250" t="s">
        <v>2888</v>
      </c>
      <c r="G249" s="218">
        <v>32</v>
      </c>
      <c r="H249" s="218" t="s">
        <v>19</v>
      </c>
      <c r="I249" s="218" t="s">
        <v>2910</v>
      </c>
      <c r="J249" s="244">
        <v>1.216</v>
      </c>
      <c r="K249" s="11"/>
      <c r="L249" s="11"/>
      <c r="M249" s="11"/>
      <c r="N249" s="11"/>
      <c r="O249" s="11"/>
      <c r="P249" s="11"/>
      <c r="Q249" s="11"/>
      <c r="R249" s="11"/>
      <c r="S249" s="11"/>
      <c r="T249" s="11"/>
      <c r="U249" s="11"/>
      <c r="V249" s="11"/>
      <c r="W249" s="11"/>
      <c r="X249" s="11"/>
      <c r="Y249" s="11"/>
    </row>
    <row r="250" spans="1:26" ht="15.75" customHeight="1" x14ac:dyDescent="0.25">
      <c r="A250" s="11"/>
      <c r="B250" s="30"/>
      <c r="C250" s="30"/>
      <c r="D250" s="11"/>
      <c r="E250" s="218">
        <v>12</v>
      </c>
      <c r="F250" s="250" t="s">
        <v>2891</v>
      </c>
      <c r="G250" s="218">
        <v>250</v>
      </c>
      <c r="H250" s="218" t="s">
        <v>19</v>
      </c>
      <c r="I250" s="218" t="s">
        <v>2911</v>
      </c>
      <c r="J250" s="244">
        <v>8.75</v>
      </c>
      <c r="K250" s="11"/>
      <c r="L250" s="11"/>
      <c r="M250" s="11"/>
      <c r="N250" s="11"/>
      <c r="O250" s="11"/>
      <c r="P250" s="11"/>
      <c r="Q250" s="11"/>
      <c r="R250" s="11"/>
      <c r="S250" s="11"/>
      <c r="T250" s="11"/>
      <c r="U250" s="11"/>
      <c r="V250" s="11"/>
      <c r="W250" s="11"/>
      <c r="X250" s="11"/>
      <c r="Y250" s="11"/>
    </row>
    <row r="251" spans="1:26" ht="15.75" customHeight="1" x14ac:dyDescent="0.25">
      <c r="A251" s="11"/>
      <c r="B251" s="30"/>
      <c r="C251" s="30"/>
      <c r="D251" s="11"/>
      <c r="E251" s="218">
        <v>13</v>
      </c>
      <c r="F251" s="250" t="s">
        <v>2896</v>
      </c>
      <c r="G251" s="218">
        <v>4</v>
      </c>
      <c r="H251" s="218" t="s">
        <v>19</v>
      </c>
      <c r="I251" s="218" t="s">
        <v>2912</v>
      </c>
      <c r="J251" s="244">
        <v>0.12</v>
      </c>
      <c r="K251" s="11"/>
      <c r="L251" s="11"/>
      <c r="M251" s="11"/>
      <c r="N251" s="11"/>
      <c r="O251" s="11"/>
      <c r="P251" s="11"/>
      <c r="Q251" s="11"/>
      <c r="R251" s="11"/>
      <c r="S251" s="11"/>
      <c r="T251" s="11"/>
      <c r="U251" s="11"/>
      <c r="V251" s="11"/>
      <c r="W251" s="11"/>
      <c r="X251" s="11"/>
      <c r="Y251" s="11"/>
    </row>
    <row r="252" spans="1:26" ht="15.75" customHeight="1" x14ac:dyDescent="0.25">
      <c r="A252" s="11"/>
      <c r="B252" s="30"/>
      <c r="C252" s="30"/>
      <c r="D252" s="11"/>
      <c r="E252" s="340" t="s">
        <v>2913</v>
      </c>
      <c r="F252" s="341"/>
      <c r="G252" s="341"/>
      <c r="H252" s="342"/>
      <c r="I252" s="218">
        <v>116.246</v>
      </c>
      <c r="J252" s="244">
        <v>116.246</v>
      </c>
      <c r="K252" s="11">
        <f>SUM(J239:J251)</f>
        <v>116.246</v>
      </c>
      <c r="L252" s="11"/>
      <c r="M252" s="11"/>
      <c r="N252" s="11"/>
      <c r="O252" s="11"/>
      <c r="P252" s="11"/>
      <c r="Q252" s="11"/>
      <c r="R252" s="11"/>
      <c r="S252" s="11"/>
      <c r="T252" s="11"/>
      <c r="U252" s="11"/>
      <c r="V252" s="11"/>
      <c r="W252" s="11"/>
      <c r="X252" s="11"/>
      <c r="Y252" s="11"/>
      <c r="Z252" s="11"/>
    </row>
    <row r="253" spans="1:26" ht="15.75" customHeight="1" x14ac:dyDescent="0.25">
      <c r="A253" s="11"/>
      <c r="B253" s="30"/>
      <c r="C253" s="30"/>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x14ac:dyDescent="0.25">
      <c r="A254" s="11"/>
      <c r="B254" s="30"/>
      <c r="C254" s="30"/>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x14ac:dyDescent="0.25">
      <c r="A255" s="11"/>
      <c r="B255" s="30"/>
      <c r="C255" s="30"/>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x14ac:dyDescent="0.25">
      <c r="A256" s="11"/>
      <c r="B256" s="30"/>
      <c r="C256" s="30"/>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x14ac:dyDescent="0.25">
      <c r="A257" s="11"/>
      <c r="B257" s="30"/>
      <c r="C257" s="30"/>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x14ac:dyDescent="0.25">
      <c r="A258" s="11"/>
      <c r="B258" s="30"/>
      <c r="C258" s="30"/>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x14ac:dyDescent="0.25">
      <c r="A259" s="11"/>
      <c r="B259" s="30"/>
      <c r="C259" s="30"/>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x14ac:dyDescent="0.25">
      <c r="A260" s="11"/>
      <c r="B260" s="30"/>
      <c r="C260" s="30"/>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x14ac:dyDescent="0.25">
      <c r="A261" s="11"/>
      <c r="B261" s="30"/>
      <c r="C261" s="30"/>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x14ac:dyDescent="0.25">
      <c r="A262" s="11"/>
      <c r="B262" s="30"/>
      <c r="C262" s="30"/>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x14ac:dyDescent="0.25">
      <c r="A263" s="11"/>
      <c r="B263" s="30"/>
      <c r="C263" s="30"/>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x14ac:dyDescent="0.25">
      <c r="A264" s="11"/>
      <c r="B264" s="30"/>
      <c r="C264" s="30"/>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x14ac:dyDescent="0.25">
      <c r="A265" s="11"/>
      <c r="B265" s="30"/>
      <c r="C265" s="30"/>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x14ac:dyDescent="0.25">
      <c r="A266" s="11"/>
      <c r="B266" s="30"/>
      <c r="C266" s="30"/>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x14ac:dyDescent="0.25">
      <c r="A267" s="11"/>
      <c r="B267" s="260" t="s">
        <v>4</v>
      </c>
      <c r="C267" s="261" t="s">
        <v>226</v>
      </c>
      <c r="D267" s="261" t="s">
        <v>227</v>
      </c>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x14ac:dyDescent="0.25">
      <c r="A268" s="11"/>
      <c r="B268" s="262" t="s">
        <v>2298</v>
      </c>
      <c r="C268" s="263" t="s">
        <v>2300</v>
      </c>
      <c r="D268" s="263" t="s">
        <v>2374</v>
      </c>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x14ac:dyDescent="0.25">
      <c r="A269" s="11"/>
      <c r="B269" s="264" t="s">
        <v>2623</v>
      </c>
      <c r="C269" s="265" t="s">
        <v>2624</v>
      </c>
      <c r="D269" s="265" t="s">
        <v>2625</v>
      </c>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x14ac:dyDescent="0.25">
      <c r="A270" s="11"/>
      <c r="B270" s="266" t="s">
        <v>2833</v>
      </c>
      <c r="C270" s="265" t="s">
        <v>2624</v>
      </c>
      <c r="D270" s="265" t="s">
        <v>2834</v>
      </c>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x14ac:dyDescent="0.25">
      <c r="A271" s="11"/>
      <c r="B271" s="266" t="s">
        <v>2987</v>
      </c>
      <c r="C271" s="265" t="s">
        <v>2985</v>
      </c>
      <c r="D271" s="265" t="s">
        <v>2986</v>
      </c>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x14ac:dyDescent="0.25">
      <c r="A272" s="11"/>
      <c r="B272" s="30"/>
      <c r="C272" s="30"/>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x14ac:dyDescent="0.25">
      <c r="A273" s="11"/>
      <c r="B273" s="30"/>
      <c r="C273" s="30"/>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x14ac:dyDescent="0.25">
      <c r="A274" s="11"/>
      <c r="B274" s="30"/>
      <c r="C274" s="30"/>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x14ac:dyDescent="0.25">
      <c r="A275" s="11"/>
      <c r="B275" s="30"/>
      <c r="C275" s="30"/>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x14ac:dyDescent="0.25">
      <c r="A276" s="11"/>
      <c r="B276" s="30"/>
      <c r="C276" s="30"/>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x14ac:dyDescent="0.25">
      <c r="A277" s="11"/>
      <c r="B277" s="30"/>
      <c r="C277" s="30"/>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x14ac:dyDescent="0.25">
      <c r="A278" s="11"/>
      <c r="B278" s="30"/>
      <c r="C278" s="30"/>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x14ac:dyDescent="0.25">
      <c r="A279" s="11"/>
      <c r="B279" s="30"/>
      <c r="C279" s="30"/>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x14ac:dyDescent="0.25">
      <c r="A280" s="11"/>
      <c r="B280" s="30"/>
      <c r="C280" s="30"/>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x14ac:dyDescent="0.25">
      <c r="A281" s="11"/>
      <c r="B281" s="30"/>
      <c r="C281" s="30"/>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x14ac:dyDescent="0.25">
      <c r="A282" s="11"/>
      <c r="B282" s="30"/>
      <c r="C282" s="30"/>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x14ac:dyDescent="0.25">
      <c r="A283" s="11"/>
      <c r="B283" s="30"/>
      <c r="C283" s="30"/>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x14ac:dyDescent="0.25">
      <c r="A284" s="11"/>
      <c r="B284" s="30"/>
      <c r="C284" s="30"/>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x14ac:dyDescent="0.25">
      <c r="A285" s="11"/>
      <c r="B285" s="30"/>
      <c r="C285" s="30"/>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x14ac:dyDescent="0.25">
      <c r="A286" s="11"/>
      <c r="B286" s="30"/>
      <c r="C286" s="30"/>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x14ac:dyDescent="0.25">
      <c r="A287" s="11"/>
      <c r="B287" s="30"/>
      <c r="C287" s="30"/>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x14ac:dyDescent="0.25">
      <c r="A288" s="11"/>
      <c r="B288" s="30"/>
      <c r="C288" s="30"/>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x14ac:dyDescent="0.25">
      <c r="A289" s="11"/>
      <c r="B289" s="30"/>
      <c r="C289" s="30"/>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x14ac:dyDescent="0.25">
      <c r="A290" s="11"/>
      <c r="B290" s="30"/>
      <c r="C290" s="30"/>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x14ac:dyDescent="0.25">
      <c r="A291" s="11"/>
      <c r="B291" s="30"/>
      <c r="C291" s="30"/>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x14ac:dyDescent="0.25">
      <c r="A292" s="11"/>
      <c r="B292" s="30"/>
      <c r="C292" s="30"/>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x14ac:dyDescent="0.25">
      <c r="A293" s="11"/>
      <c r="B293" s="30"/>
      <c r="C293" s="30"/>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x14ac:dyDescent="0.25">
      <c r="A294" s="11"/>
      <c r="B294" s="30"/>
      <c r="C294" s="30"/>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x14ac:dyDescent="0.25">
      <c r="A295" s="11"/>
      <c r="B295" s="30"/>
      <c r="C295" s="30"/>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x14ac:dyDescent="0.25">
      <c r="A296" s="11"/>
      <c r="B296" s="30"/>
      <c r="C296" s="30"/>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x14ac:dyDescent="0.25">
      <c r="A297" s="11"/>
      <c r="B297" s="30"/>
      <c r="C297" s="30"/>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x14ac:dyDescent="0.25">
      <c r="A298" s="11"/>
      <c r="B298" s="30"/>
      <c r="C298" s="30"/>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x14ac:dyDescent="0.25">
      <c r="A299" s="11"/>
      <c r="B299" s="30"/>
      <c r="C299" s="30"/>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x14ac:dyDescent="0.25">
      <c r="A300" s="11"/>
      <c r="B300" s="30"/>
      <c r="C300" s="30"/>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x14ac:dyDescent="0.25">
      <c r="A301" s="11"/>
      <c r="B301" s="30"/>
      <c r="C301" s="30"/>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x14ac:dyDescent="0.25">
      <c r="A302" s="11"/>
      <c r="B302" s="30"/>
      <c r="C302" s="30"/>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x14ac:dyDescent="0.25">
      <c r="A303" s="11"/>
      <c r="B303" s="30"/>
      <c r="C303" s="30"/>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x14ac:dyDescent="0.25">
      <c r="A304" s="11"/>
      <c r="B304" s="30"/>
      <c r="C304" s="30"/>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x14ac:dyDescent="0.25">
      <c r="A305" s="11"/>
      <c r="B305" s="30"/>
      <c r="C305" s="30"/>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x14ac:dyDescent="0.25">
      <c r="A306" s="11"/>
      <c r="B306" s="30"/>
      <c r="C306" s="30"/>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x14ac:dyDescent="0.25">
      <c r="A307" s="11"/>
      <c r="B307" s="30"/>
      <c r="C307" s="30"/>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x14ac:dyDescent="0.25">
      <c r="A308" s="11"/>
      <c r="B308" s="30"/>
      <c r="C308" s="30"/>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x14ac:dyDescent="0.25">
      <c r="A309" s="11"/>
      <c r="B309" s="30"/>
      <c r="C309" s="30"/>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x14ac:dyDescent="0.25">
      <c r="A310" s="11"/>
      <c r="B310" s="30"/>
      <c r="C310" s="30"/>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x14ac:dyDescent="0.25">
      <c r="A311" s="11"/>
      <c r="B311" s="30"/>
      <c r="C311" s="30"/>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x14ac:dyDescent="0.25">
      <c r="A312" s="11"/>
      <c r="B312" s="30"/>
      <c r="C312" s="30"/>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x14ac:dyDescent="0.25">
      <c r="A313" s="11"/>
      <c r="B313" s="30"/>
      <c r="C313" s="30"/>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x14ac:dyDescent="0.25">
      <c r="A314" s="11"/>
      <c r="B314" s="30"/>
      <c r="C314" s="30"/>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x14ac:dyDescent="0.25">
      <c r="A315" s="11"/>
      <c r="B315" s="30"/>
      <c r="C315" s="30"/>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x14ac:dyDescent="0.25">
      <c r="A316" s="11"/>
      <c r="B316" s="30"/>
      <c r="C316" s="30"/>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x14ac:dyDescent="0.25">
      <c r="A317" s="11"/>
      <c r="B317" s="30"/>
      <c r="C317" s="30"/>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x14ac:dyDescent="0.25">
      <c r="A318" s="11"/>
      <c r="B318" s="30"/>
      <c r="C318" s="30"/>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x14ac:dyDescent="0.25">
      <c r="A319" s="11"/>
      <c r="B319" s="30"/>
      <c r="C319" s="30"/>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x14ac:dyDescent="0.25">
      <c r="A320" s="11"/>
      <c r="B320" s="30"/>
      <c r="C320" s="30"/>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x14ac:dyDescent="0.25">
      <c r="A321" s="11"/>
      <c r="B321" s="30"/>
      <c r="C321" s="30"/>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x14ac:dyDescent="0.25">
      <c r="A322" s="11"/>
      <c r="B322" s="30"/>
      <c r="C322" s="30"/>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x14ac:dyDescent="0.25">
      <c r="A323" s="11"/>
      <c r="B323" s="30"/>
      <c r="C323" s="30"/>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x14ac:dyDescent="0.25">
      <c r="A324" s="11"/>
      <c r="B324" s="30"/>
      <c r="C324" s="30"/>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x14ac:dyDescent="0.25">
      <c r="A325" s="11"/>
      <c r="B325" s="30"/>
      <c r="C325" s="30"/>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x14ac:dyDescent="0.25">
      <c r="A326" s="11"/>
      <c r="B326" s="30"/>
      <c r="C326" s="30"/>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x14ac:dyDescent="0.25">
      <c r="A327" s="11"/>
      <c r="B327" s="30"/>
      <c r="C327" s="30"/>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x14ac:dyDescent="0.25">
      <c r="A328" s="11"/>
      <c r="B328" s="30"/>
      <c r="C328" s="30"/>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x14ac:dyDescent="0.25">
      <c r="A329" s="11"/>
      <c r="B329" s="30"/>
      <c r="C329" s="30"/>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x14ac:dyDescent="0.25">
      <c r="A330" s="11"/>
      <c r="B330" s="30"/>
      <c r="C330" s="30"/>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x14ac:dyDescent="0.25">
      <c r="A331" s="11"/>
      <c r="B331" s="30"/>
      <c r="C331" s="30"/>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x14ac:dyDescent="0.25">
      <c r="A332" s="11"/>
      <c r="B332" s="30"/>
      <c r="C332" s="30"/>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x14ac:dyDescent="0.25">
      <c r="A333" s="11"/>
      <c r="B333" s="30"/>
      <c r="C333" s="30"/>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x14ac:dyDescent="0.25">
      <c r="A334" s="11"/>
      <c r="B334" s="30"/>
      <c r="C334" s="30"/>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x14ac:dyDescent="0.25">
      <c r="A335" s="11"/>
      <c r="B335" s="30"/>
      <c r="C335" s="30"/>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x14ac:dyDescent="0.25">
      <c r="A336" s="11"/>
      <c r="B336" s="30"/>
      <c r="C336" s="30"/>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x14ac:dyDescent="0.25">
      <c r="A337" s="11"/>
      <c r="B337" s="30"/>
      <c r="C337" s="30"/>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x14ac:dyDescent="0.25">
      <c r="A338" s="11"/>
      <c r="B338" s="30"/>
      <c r="C338" s="30"/>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x14ac:dyDescent="0.25">
      <c r="A339" s="11"/>
      <c r="B339" s="30"/>
      <c r="C339" s="30"/>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x14ac:dyDescent="0.25">
      <c r="A340" s="11"/>
      <c r="B340" s="30"/>
      <c r="C340" s="30"/>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x14ac:dyDescent="0.25">
      <c r="A341" s="11"/>
      <c r="B341" s="30"/>
      <c r="C341" s="30"/>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x14ac:dyDescent="0.25">
      <c r="A342" s="11"/>
      <c r="B342" s="30"/>
      <c r="C342" s="30"/>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x14ac:dyDescent="0.25">
      <c r="A343" s="11"/>
      <c r="B343" s="30"/>
      <c r="C343" s="30"/>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x14ac:dyDescent="0.25">
      <c r="A344" s="11"/>
      <c r="B344" s="30"/>
      <c r="C344" s="30"/>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x14ac:dyDescent="0.25">
      <c r="A345" s="11"/>
      <c r="B345" s="30"/>
      <c r="C345" s="30"/>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x14ac:dyDescent="0.25">
      <c r="A346" s="11"/>
      <c r="B346" s="30"/>
      <c r="C346" s="30"/>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x14ac:dyDescent="0.25">
      <c r="A347" s="11"/>
      <c r="B347" s="30"/>
      <c r="C347" s="30"/>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x14ac:dyDescent="0.25">
      <c r="A348" s="11"/>
      <c r="B348" s="30"/>
      <c r="C348" s="30"/>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x14ac:dyDescent="0.25">
      <c r="A349" s="11"/>
      <c r="B349" s="30"/>
      <c r="C349" s="30"/>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x14ac:dyDescent="0.25">
      <c r="A350" s="11"/>
      <c r="B350" s="30"/>
      <c r="C350" s="30"/>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x14ac:dyDescent="0.25">
      <c r="A351" s="11"/>
      <c r="B351" s="30"/>
      <c r="C351" s="30"/>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x14ac:dyDescent="0.25">
      <c r="A352" s="11"/>
      <c r="B352" s="30"/>
      <c r="C352" s="30"/>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x14ac:dyDescent="0.25">
      <c r="A353" s="11"/>
      <c r="B353" s="30"/>
      <c r="C353" s="30"/>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x14ac:dyDescent="0.25">
      <c r="A354" s="11"/>
      <c r="B354" s="30"/>
      <c r="C354" s="30"/>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x14ac:dyDescent="0.25">
      <c r="A355" s="11"/>
      <c r="B355" s="30"/>
      <c r="C355" s="30"/>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x14ac:dyDescent="0.25">
      <c r="A356" s="11"/>
      <c r="B356" s="30"/>
      <c r="C356" s="30"/>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x14ac:dyDescent="0.25">
      <c r="A357" s="11"/>
      <c r="B357" s="30"/>
      <c r="C357" s="30"/>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x14ac:dyDescent="0.25">
      <c r="A358" s="11"/>
      <c r="B358" s="30"/>
      <c r="C358" s="30"/>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x14ac:dyDescent="0.25">
      <c r="A359" s="11"/>
      <c r="B359" s="30"/>
      <c r="C359" s="30"/>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x14ac:dyDescent="0.25">
      <c r="A360" s="11"/>
      <c r="B360" s="30"/>
      <c r="C360" s="30"/>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x14ac:dyDescent="0.25">
      <c r="A361" s="11"/>
      <c r="B361" s="30"/>
      <c r="C361" s="30"/>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x14ac:dyDescent="0.25">
      <c r="A362" s="11"/>
      <c r="B362" s="30"/>
      <c r="C362" s="30"/>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x14ac:dyDescent="0.25">
      <c r="A363" s="11"/>
      <c r="B363" s="30"/>
      <c r="C363" s="30"/>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x14ac:dyDescent="0.25">
      <c r="A364" s="11"/>
      <c r="B364" s="30"/>
      <c r="C364" s="30"/>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x14ac:dyDescent="0.25">
      <c r="A365" s="11"/>
      <c r="B365" s="30"/>
      <c r="C365" s="30"/>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x14ac:dyDescent="0.25">
      <c r="A366" s="11"/>
      <c r="B366" s="30"/>
      <c r="C366" s="30"/>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x14ac:dyDescent="0.25">
      <c r="A367" s="11"/>
      <c r="B367" s="30"/>
      <c r="C367" s="30"/>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x14ac:dyDescent="0.25">
      <c r="A368" s="11"/>
      <c r="B368" s="30"/>
      <c r="C368" s="30"/>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x14ac:dyDescent="0.25">
      <c r="A369" s="11"/>
      <c r="B369" s="30"/>
      <c r="C369" s="30"/>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x14ac:dyDescent="0.25">
      <c r="A370" s="11"/>
      <c r="B370" s="30"/>
      <c r="C370" s="30"/>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x14ac:dyDescent="0.25">
      <c r="A371" s="11"/>
      <c r="B371" s="30"/>
      <c r="C371" s="30"/>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x14ac:dyDescent="0.25">
      <c r="A372" s="11"/>
      <c r="B372" s="30"/>
      <c r="C372" s="30"/>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x14ac:dyDescent="0.25">
      <c r="A373" s="11"/>
      <c r="B373" s="30"/>
      <c r="C373" s="30"/>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x14ac:dyDescent="0.25">
      <c r="A374" s="11"/>
      <c r="B374" s="30"/>
      <c r="C374" s="30"/>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x14ac:dyDescent="0.25">
      <c r="A375" s="11"/>
      <c r="B375" s="30"/>
      <c r="C375" s="30"/>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x14ac:dyDescent="0.25">
      <c r="A376" s="11"/>
      <c r="B376" s="30"/>
      <c r="C376" s="30"/>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x14ac:dyDescent="0.25">
      <c r="A377" s="11"/>
      <c r="B377" s="30"/>
      <c r="C377" s="30"/>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x14ac:dyDescent="0.25">
      <c r="A378" s="11"/>
      <c r="B378" s="30"/>
      <c r="C378" s="30"/>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x14ac:dyDescent="0.25">
      <c r="A379" s="11"/>
      <c r="B379" s="30"/>
      <c r="C379" s="30"/>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x14ac:dyDescent="0.25">
      <c r="A380" s="11"/>
      <c r="B380" s="30"/>
      <c r="C380" s="30"/>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x14ac:dyDescent="0.25">
      <c r="A381" s="11"/>
      <c r="B381" s="30"/>
      <c r="C381" s="30"/>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x14ac:dyDescent="0.25">
      <c r="A382" s="11"/>
      <c r="B382" s="30"/>
      <c r="C382" s="30"/>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x14ac:dyDescent="0.25">
      <c r="A383" s="11"/>
      <c r="B383" s="30"/>
      <c r="C383" s="30"/>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x14ac:dyDescent="0.25">
      <c r="A384" s="11"/>
      <c r="B384" s="30"/>
      <c r="C384" s="30"/>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x14ac:dyDescent="0.25">
      <c r="A385" s="11"/>
      <c r="B385" s="30"/>
      <c r="C385" s="30"/>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x14ac:dyDescent="0.25">
      <c r="A386" s="11"/>
      <c r="B386" s="30"/>
      <c r="C386" s="30"/>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x14ac:dyDescent="0.25">
      <c r="A387" s="11"/>
      <c r="B387" s="30"/>
      <c r="C387" s="30"/>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x14ac:dyDescent="0.25">
      <c r="A388" s="11"/>
      <c r="B388" s="30"/>
      <c r="C388" s="30"/>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x14ac:dyDescent="0.25">
      <c r="A389" s="11"/>
      <c r="B389" s="30"/>
      <c r="C389" s="30"/>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x14ac:dyDescent="0.25">
      <c r="A390" s="11"/>
      <c r="B390" s="30"/>
      <c r="C390" s="30"/>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x14ac:dyDescent="0.25">
      <c r="A391" s="11"/>
      <c r="B391" s="30"/>
      <c r="C391" s="30"/>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x14ac:dyDescent="0.25">
      <c r="A392" s="11"/>
      <c r="B392" s="30"/>
      <c r="C392" s="30"/>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x14ac:dyDescent="0.25">
      <c r="A393" s="11"/>
      <c r="B393" s="30"/>
      <c r="C393" s="30"/>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x14ac:dyDescent="0.25">
      <c r="A394" s="11"/>
      <c r="B394" s="30"/>
      <c r="C394" s="30"/>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x14ac:dyDescent="0.25">
      <c r="A395" s="11"/>
      <c r="B395" s="30"/>
      <c r="C395" s="30"/>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x14ac:dyDescent="0.25">
      <c r="A396" s="11"/>
      <c r="B396" s="30"/>
      <c r="C396" s="30"/>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x14ac:dyDescent="0.25">
      <c r="A397" s="11"/>
      <c r="B397" s="30"/>
      <c r="C397" s="30"/>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x14ac:dyDescent="0.25">
      <c r="A398" s="11"/>
      <c r="B398" s="30"/>
      <c r="C398" s="30"/>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x14ac:dyDescent="0.25">
      <c r="A399" s="11"/>
      <c r="B399" s="30"/>
      <c r="C399" s="30"/>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x14ac:dyDescent="0.25">
      <c r="A400" s="11"/>
      <c r="B400" s="30"/>
      <c r="C400" s="30"/>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x14ac:dyDescent="0.25">
      <c r="A401" s="11"/>
      <c r="B401" s="30"/>
      <c r="C401" s="30"/>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x14ac:dyDescent="0.25">
      <c r="A402" s="11"/>
      <c r="B402" s="30"/>
      <c r="C402" s="30"/>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x14ac:dyDescent="0.25">
      <c r="A403" s="11"/>
      <c r="B403" s="30"/>
      <c r="C403" s="30"/>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x14ac:dyDescent="0.25">
      <c r="A404" s="11"/>
      <c r="B404" s="30"/>
      <c r="C404" s="30"/>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x14ac:dyDescent="0.25">
      <c r="A405" s="11"/>
      <c r="B405" s="30"/>
      <c r="C405" s="30"/>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x14ac:dyDescent="0.25">
      <c r="A406" s="11"/>
      <c r="B406" s="30"/>
      <c r="C406" s="30"/>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x14ac:dyDescent="0.25">
      <c r="A407" s="11"/>
      <c r="B407" s="30"/>
      <c r="C407" s="30"/>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x14ac:dyDescent="0.25">
      <c r="A408" s="11"/>
      <c r="B408" s="30"/>
      <c r="C408" s="30"/>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x14ac:dyDescent="0.25">
      <c r="A409" s="11"/>
      <c r="B409" s="30"/>
      <c r="C409" s="30"/>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x14ac:dyDescent="0.25">
      <c r="A410" s="11"/>
      <c r="B410" s="30"/>
      <c r="C410" s="30"/>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x14ac:dyDescent="0.25">
      <c r="A411" s="11"/>
      <c r="B411" s="30"/>
      <c r="C411" s="30"/>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x14ac:dyDescent="0.25">
      <c r="A412" s="11"/>
      <c r="B412" s="30"/>
      <c r="C412" s="30"/>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x14ac:dyDescent="0.25">
      <c r="A413" s="11"/>
      <c r="B413" s="30"/>
      <c r="C413" s="30"/>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x14ac:dyDescent="0.25">
      <c r="A414" s="11"/>
      <c r="B414" s="30"/>
      <c r="C414" s="30"/>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x14ac:dyDescent="0.25">
      <c r="A415" s="11"/>
      <c r="B415" s="30"/>
      <c r="C415" s="30"/>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x14ac:dyDescent="0.25">
      <c r="A416" s="11"/>
      <c r="B416" s="30"/>
      <c r="C416" s="30"/>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x14ac:dyDescent="0.25">
      <c r="A417" s="11"/>
      <c r="B417" s="30"/>
      <c r="C417" s="30"/>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x14ac:dyDescent="0.25">
      <c r="A418" s="11"/>
      <c r="B418" s="30"/>
      <c r="C418" s="30"/>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x14ac:dyDescent="0.25">
      <c r="A419" s="11"/>
      <c r="B419" s="30"/>
      <c r="C419" s="30"/>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x14ac:dyDescent="0.25">
      <c r="A420" s="11"/>
      <c r="B420" s="30"/>
      <c r="C420" s="30"/>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x14ac:dyDescent="0.25">
      <c r="A421" s="11"/>
      <c r="B421" s="30"/>
      <c r="C421" s="30"/>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x14ac:dyDescent="0.25">
      <c r="A422" s="11"/>
      <c r="B422" s="30"/>
      <c r="C422" s="30"/>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x14ac:dyDescent="0.25">
      <c r="A423" s="11"/>
      <c r="B423" s="30"/>
      <c r="C423" s="30"/>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x14ac:dyDescent="0.25">
      <c r="A424" s="11"/>
      <c r="B424" s="30"/>
      <c r="C424" s="30"/>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x14ac:dyDescent="0.25">
      <c r="A425" s="11"/>
      <c r="B425" s="30"/>
      <c r="C425" s="30"/>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x14ac:dyDescent="0.25">
      <c r="A426" s="11"/>
      <c r="B426" s="30"/>
      <c r="C426" s="30"/>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x14ac:dyDescent="0.25">
      <c r="A427" s="11"/>
      <c r="B427" s="30"/>
      <c r="C427" s="30"/>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x14ac:dyDescent="0.25">
      <c r="A428" s="11"/>
      <c r="B428" s="30"/>
      <c r="C428" s="30"/>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x14ac:dyDescent="0.25">
      <c r="A429" s="11"/>
      <c r="B429" s="30"/>
      <c r="C429" s="30"/>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x14ac:dyDescent="0.25">
      <c r="A430" s="11"/>
      <c r="B430" s="30"/>
      <c r="C430" s="30"/>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x14ac:dyDescent="0.25">
      <c r="A431" s="11"/>
      <c r="B431" s="30"/>
      <c r="C431" s="30"/>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x14ac:dyDescent="0.25">
      <c r="A432" s="11"/>
      <c r="B432" s="30"/>
      <c r="C432" s="30"/>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x14ac:dyDescent="0.25">
      <c r="A433" s="11"/>
      <c r="B433" s="30"/>
      <c r="C433" s="30"/>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x14ac:dyDescent="0.25">
      <c r="A434" s="11"/>
      <c r="B434" s="30"/>
      <c r="C434" s="30"/>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x14ac:dyDescent="0.25">
      <c r="A435" s="11"/>
      <c r="B435" s="30"/>
      <c r="C435" s="30"/>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x14ac:dyDescent="0.25">
      <c r="A436" s="11"/>
      <c r="B436" s="30"/>
      <c r="C436" s="30"/>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x14ac:dyDescent="0.25">
      <c r="A437" s="11"/>
      <c r="B437" s="30"/>
      <c r="C437" s="30"/>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x14ac:dyDescent="0.25">
      <c r="A438" s="11"/>
      <c r="B438" s="30"/>
      <c r="C438" s="30"/>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x14ac:dyDescent="0.25">
      <c r="A439" s="11"/>
      <c r="B439" s="30"/>
      <c r="C439" s="30"/>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x14ac:dyDescent="0.25">
      <c r="A440" s="11"/>
      <c r="B440" s="30"/>
      <c r="C440" s="30"/>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x14ac:dyDescent="0.25">
      <c r="A441" s="11"/>
      <c r="B441" s="30"/>
      <c r="C441" s="30"/>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x14ac:dyDescent="0.25">
      <c r="A442" s="11"/>
      <c r="B442" s="30"/>
      <c r="C442" s="30"/>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x14ac:dyDescent="0.25">
      <c r="A443" s="11"/>
      <c r="B443" s="30"/>
      <c r="C443" s="30"/>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x14ac:dyDescent="0.25">
      <c r="A444" s="11"/>
      <c r="B444" s="30"/>
      <c r="C444" s="30"/>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x14ac:dyDescent="0.25">
      <c r="A445" s="11"/>
      <c r="B445" s="30"/>
      <c r="C445" s="30"/>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x14ac:dyDescent="0.25">
      <c r="A446" s="11"/>
      <c r="B446" s="30"/>
      <c r="C446" s="30"/>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x14ac:dyDescent="0.25">
      <c r="A447" s="11"/>
      <c r="B447" s="30"/>
      <c r="C447" s="30"/>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x14ac:dyDescent="0.25">
      <c r="A448" s="11"/>
      <c r="B448" s="30"/>
      <c r="C448" s="30"/>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x14ac:dyDescent="0.25">
      <c r="A449" s="11"/>
      <c r="B449" s="30"/>
      <c r="C449" s="30"/>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x14ac:dyDescent="0.25">
      <c r="A450" s="11"/>
      <c r="B450" s="30"/>
      <c r="C450" s="30"/>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x14ac:dyDescent="0.25">
      <c r="A451" s="11"/>
      <c r="B451" s="30"/>
      <c r="C451" s="30"/>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x14ac:dyDescent="0.25">
      <c r="A452" s="11"/>
      <c r="B452" s="30"/>
      <c r="C452" s="30"/>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x14ac:dyDescent="0.25">
      <c r="A453" s="11"/>
      <c r="B453" s="30"/>
      <c r="C453" s="30"/>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x14ac:dyDescent="0.25">
      <c r="A454" s="11"/>
      <c r="B454" s="30"/>
      <c r="C454" s="30"/>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x14ac:dyDescent="0.25">
      <c r="A455" s="11"/>
      <c r="B455" s="30"/>
      <c r="C455" s="30"/>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x14ac:dyDescent="0.25">
      <c r="A456" s="11"/>
      <c r="B456" s="30"/>
      <c r="C456" s="30"/>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x14ac:dyDescent="0.25">
      <c r="A457" s="11"/>
      <c r="B457" s="30"/>
      <c r="C457" s="30"/>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x14ac:dyDescent="0.25">
      <c r="A458" s="11"/>
      <c r="B458" s="30"/>
      <c r="C458" s="30"/>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x14ac:dyDescent="0.25">
      <c r="A459" s="11"/>
      <c r="B459" s="30"/>
      <c r="C459" s="30"/>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x14ac:dyDescent="0.25">
      <c r="A460" s="11"/>
      <c r="B460" s="30"/>
      <c r="C460" s="30"/>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x14ac:dyDescent="0.25">
      <c r="A461" s="11"/>
      <c r="B461" s="30"/>
      <c r="C461" s="30"/>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x14ac:dyDescent="0.25">
      <c r="A462" s="11"/>
      <c r="B462" s="30"/>
      <c r="C462" s="30"/>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x14ac:dyDescent="0.25">
      <c r="A463" s="11"/>
      <c r="B463" s="30"/>
      <c r="C463" s="30"/>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x14ac:dyDescent="0.25">
      <c r="A464" s="11"/>
      <c r="B464" s="30"/>
      <c r="C464" s="30"/>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x14ac:dyDescent="0.25">
      <c r="A465" s="11"/>
      <c r="B465" s="30"/>
      <c r="C465" s="30"/>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x14ac:dyDescent="0.25">
      <c r="A466" s="11"/>
      <c r="B466" s="30"/>
      <c r="C466" s="30"/>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x14ac:dyDescent="0.25">
      <c r="A467" s="11"/>
      <c r="B467" s="30"/>
      <c r="C467" s="30"/>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x14ac:dyDescent="0.25">
      <c r="A468" s="11"/>
      <c r="B468" s="30"/>
      <c r="C468" s="30"/>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x14ac:dyDescent="0.25">
      <c r="A469" s="11"/>
      <c r="B469" s="30"/>
      <c r="C469" s="30"/>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x14ac:dyDescent="0.25">
      <c r="A470" s="11"/>
      <c r="B470" s="30"/>
      <c r="C470" s="30"/>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x14ac:dyDescent="0.25">
      <c r="A471" s="11"/>
      <c r="B471" s="30"/>
      <c r="C471" s="30"/>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x14ac:dyDescent="0.25">
      <c r="A472" s="11"/>
      <c r="B472" s="30"/>
      <c r="C472" s="30"/>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x14ac:dyDescent="0.25">
      <c r="A473" s="11"/>
      <c r="B473" s="30"/>
      <c r="C473" s="30"/>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x14ac:dyDescent="0.25">
      <c r="A474" s="11"/>
      <c r="B474" s="30"/>
      <c r="C474" s="30"/>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x14ac:dyDescent="0.25">
      <c r="A475" s="11"/>
      <c r="B475" s="30"/>
      <c r="C475" s="30"/>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x14ac:dyDescent="0.25">
      <c r="A476" s="11"/>
      <c r="B476" s="30"/>
      <c r="C476" s="30"/>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x14ac:dyDescent="0.25">
      <c r="A477" s="11"/>
      <c r="B477" s="30"/>
      <c r="C477" s="30"/>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x14ac:dyDescent="0.25">
      <c r="A478" s="11"/>
      <c r="B478" s="30"/>
      <c r="C478" s="30"/>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x14ac:dyDescent="0.25">
      <c r="A479" s="11"/>
      <c r="B479" s="30"/>
      <c r="C479" s="30"/>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x14ac:dyDescent="0.25">
      <c r="A480" s="11"/>
      <c r="B480" s="30"/>
      <c r="C480" s="30"/>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x14ac:dyDescent="0.25">
      <c r="A481" s="11"/>
      <c r="B481" s="30"/>
      <c r="C481" s="30"/>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x14ac:dyDescent="0.25">
      <c r="A482" s="11"/>
      <c r="B482" s="30"/>
      <c r="C482" s="30"/>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x14ac:dyDescent="0.25">
      <c r="A483" s="11"/>
      <c r="B483" s="30"/>
      <c r="C483" s="30"/>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x14ac:dyDescent="0.25">
      <c r="A484" s="11"/>
      <c r="B484" s="30"/>
      <c r="C484" s="30"/>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x14ac:dyDescent="0.25">
      <c r="A485" s="11"/>
      <c r="B485" s="30"/>
      <c r="C485" s="30"/>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x14ac:dyDescent="0.25">
      <c r="A486" s="11"/>
      <c r="B486" s="30"/>
      <c r="C486" s="30"/>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x14ac:dyDescent="0.25">
      <c r="A487" s="11"/>
      <c r="B487" s="30"/>
      <c r="C487" s="30"/>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x14ac:dyDescent="0.25">
      <c r="A488" s="11"/>
      <c r="B488" s="30"/>
      <c r="C488" s="30"/>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x14ac:dyDescent="0.25">
      <c r="A489" s="11"/>
      <c r="B489" s="30"/>
      <c r="C489" s="30"/>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x14ac:dyDescent="0.25">
      <c r="A490" s="11"/>
      <c r="B490" s="30"/>
      <c r="C490" s="30"/>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x14ac:dyDescent="0.25">
      <c r="A491" s="11"/>
      <c r="B491" s="30"/>
      <c r="C491" s="30"/>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x14ac:dyDescent="0.25">
      <c r="A492" s="11"/>
      <c r="B492" s="30"/>
      <c r="C492" s="30"/>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x14ac:dyDescent="0.25">
      <c r="A493" s="11"/>
      <c r="B493" s="30"/>
      <c r="C493" s="30"/>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x14ac:dyDescent="0.25">
      <c r="A494" s="11"/>
      <c r="B494" s="30"/>
      <c r="C494" s="30"/>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x14ac:dyDescent="0.25">
      <c r="A495" s="11"/>
      <c r="B495" s="30"/>
      <c r="C495" s="30"/>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x14ac:dyDescent="0.25">
      <c r="A496" s="11"/>
      <c r="B496" s="30"/>
      <c r="C496" s="30"/>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x14ac:dyDescent="0.25">
      <c r="A497" s="11"/>
      <c r="B497" s="30"/>
      <c r="C497" s="30"/>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x14ac:dyDescent="0.25">
      <c r="A498" s="11"/>
      <c r="B498" s="30"/>
      <c r="C498" s="30"/>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x14ac:dyDescent="0.25">
      <c r="A499" s="11"/>
      <c r="B499" s="30"/>
      <c r="C499" s="30"/>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x14ac:dyDescent="0.25">
      <c r="A500" s="11"/>
      <c r="B500" s="30"/>
      <c r="C500" s="30"/>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x14ac:dyDescent="0.25">
      <c r="A501" s="11"/>
      <c r="B501" s="30"/>
      <c r="C501" s="30"/>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x14ac:dyDescent="0.25">
      <c r="A502" s="11"/>
      <c r="B502" s="30"/>
      <c r="C502" s="30"/>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x14ac:dyDescent="0.25">
      <c r="A503" s="11"/>
      <c r="B503" s="30"/>
      <c r="C503" s="30"/>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x14ac:dyDescent="0.25">
      <c r="A504" s="11"/>
      <c r="B504" s="30"/>
      <c r="C504" s="30"/>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x14ac:dyDescent="0.25">
      <c r="A505" s="11"/>
      <c r="B505" s="30"/>
      <c r="C505" s="30"/>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x14ac:dyDescent="0.25">
      <c r="A506" s="11"/>
      <c r="B506" s="30"/>
      <c r="C506" s="30"/>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x14ac:dyDescent="0.25">
      <c r="A507" s="11"/>
      <c r="B507" s="30"/>
      <c r="C507" s="30"/>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x14ac:dyDescent="0.25">
      <c r="A508" s="11"/>
      <c r="B508" s="30"/>
      <c r="C508" s="30"/>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x14ac:dyDescent="0.25">
      <c r="A509" s="11"/>
      <c r="B509" s="30"/>
      <c r="C509" s="30"/>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x14ac:dyDescent="0.25">
      <c r="A510" s="11"/>
      <c r="B510" s="30"/>
      <c r="C510" s="30"/>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x14ac:dyDescent="0.25">
      <c r="A511" s="11"/>
      <c r="B511" s="30"/>
      <c r="C511" s="30"/>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x14ac:dyDescent="0.25">
      <c r="A512" s="11"/>
      <c r="B512" s="30"/>
      <c r="C512" s="30"/>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x14ac:dyDescent="0.25">
      <c r="A513" s="11"/>
      <c r="B513" s="30"/>
      <c r="C513" s="30"/>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x14ac:dyDescent="0.25">
      <c r="A514" s="11"/>
      <c r="B514" s="30"/>
      <c r="C514" s="30"/>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x14ac:dyDescent="0.25">
      <c r="A515" s="11"/>
      <c r="B515" s="30"/>
      <c r="C515" s="30"/>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x14ac:dyDescent="0.25">
      <c r="A516" s="11"/>
      <c r="B516" s="30"/>
      <c r="C516" s="30"/>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x14ac:dyDescent="0.25">
      <c r="A517" s="11"/>
      <c r="B517" s="30"/>
      <c r="C517" s="30"/>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x14ac:dyDescent="0.25">
      <c r="A518" s="11"/>
      <c r="B518" s="30"/>
      <c r="C518" s="30"/>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x14ac:dyDescent="0.25">
      <c r="A519" s="11"/>
      <c r="B519" s="30"/>
      <c r="C519" s="30"/>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x14ac:dyDescent="0.25">
      <c r="A520" s="11"/>
      <c r="B520" s="30"/>
      <c r="C520" s="30"/>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x14ac:dyDescent="0.25">
      <c r="A521" s="11"/>
      <c r="B521" s="30"/>
      <c r="C521" s="30"/>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x14ac:dyDescent="0.25">
      <c r="A522" s="11"/>
      <c r="B522" s="30"/>
      <c r="C522" s="30"/>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x14ac:dyDescent="0.25">
      <c r="A523" s="11"/>
      <c r="B523" s="30"/>
      <c r="C523" s="30"/>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x14ac:dyDescent="0.25">
      <c r="A524" s="11"/>
      <c r="B524" s="30"/>
      <c r="C524" s="30"/>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x14ac:dyDescent="0.25">
      <c r="A525" s="11"/>
      <c r="B525" s="30"/>
      <c r="C525" s="30"/>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x14ac:dyDescent="0.25">
      <c r="A526" s="11"/>
      <c r="B526" s="30"/>
      <c r="C526" s="30"/>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x14ac:dyDescent="0.25">
      <c r="A527" s="11"/>
      <c r="B527" s="30"/>
      <c r="C527" s="30"/>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x14ac:dyDescent="0.25">
      <c r="A528" s="11"/>
      <c r="B528" s="30"/>
      <c r="C528" s="30"/>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x14ac:dyDescent="0.25">
      <c r="A529" s="11"/>
      <c r="B529" s="30"/>
      <c r="C529" s="30"/>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x14ac:dyDescent="0.25">
      <c r="A530" s="11"/>
      <c r="B530" s="30"/>
      <c r="C530" s="30"/>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x14ac:dyDescent="0.25">
      <c r="A531" s="11"/>
      <c r="B531" s="30"/>
      <c r="C531" s="30"/>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x14ac:dyDescent="0.25">
      <c r="A532" s="11"/>
      <c r="B532" s="30"/>
      <c r="C532" s="30"/>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x14ac:dyDescent="0.25">
      <c r="A533" s="11"/>
      <c r="B533" s="30"/>
      <c r="C533" s="30"/>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x14ac:dyDescent="0.25">
      <c r="A534" s="11"/>
      <c r="B534" s="30"/>
      <c r="C534" s="30"/>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x14ac:dyDescent="0.25">
      <c r="A535" s="11"/>
      <c r="B535" s="30"/>
      <c r="C535" s="30"/>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x14ac:dyDescent="0.25">
      <c r="A536" s="11"/>
      <c r="B536" s="30"/>
      <c r="C536" s="30"/>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x14ac:dyDescent="0.25">
      <c r="A537" s="11"/>
      <c r="B537" s="30"/>
      <c r="C537" s="30"/>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x14ac:dyDescent="0.25">
      <c r="A538" s="11"/>
      <c r="B538" s="30"/>
      <c r="C538" s="30"/>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x14ac:dyDescent="0.25">
      <c r="A539" s="11"/>
      <c r="B539" s="30"/>
      <c r="C539" s="30"/>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x14ac:dyDescent="0.25">
      <c r="A540" s="11"/>
      <c r="B540" s="30"/>
      <c r="C540" s="30"/>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x14ac:dyDescent="0.25">
      <c r="A541" s="11"/>
      <c r="B541" s="30"/>
      <c r="C541" s="30"/>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x14ac:dyDescent="0.25">
      <c r="A542" s="11"/>
      <c r="B542" s="30"/>
      <c r="C542" s="30"/>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x14ac:dyDescent="0.25">
      <c r="A543" s="11"/>
      <c r="B543" s="30"/>
      <c r="C543" s="30"/>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x14ac:dyDescent="0.25">
      <c r="A544" s="11"/>
      <c r="B544" s="30"/>
      <c r="C544" s="30"/>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x14ac:dyDescent="0.25">
      <c r="A545" s="11"/>
      <c r="B545" s="30"/>
      <c r="C545" s="30"/>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x14ac:dyDescent="0.25">
      <c r="A546" s="11"/>
      <c r="B546" s="30"/>
      <c r="C546" s="30"/>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x14ac:dyDescent="0.25">
      <c r="A547" s="11"/>
      <c r="B547" s="30"/>
      <c r="C547" s="30"/>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x14ac:dyDescent="0.25">
      <c r="A548" s="11"/>
      <c r="B548" s="30"/>
      <c r="C548" s="30"/>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x14ac:dyDescent="0.25">
      <c r="A549" s="11"/>
      <c r="B549" s="30"/>
      <c r="C549" s="30"/>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x14ac:dyDescent="0.25">
      <c r="A550" s="11"/>
      <c r="B550" s="30"/>
      <c r="C550" s="30"/>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x14ac:dyDescent="0.25">
      <c r="A551" s="11"/>
      <c r="B551" s="30"/>
      <c r="C551" s="30"/>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x14ac:dyDescent="0.25">
      <c r="A552" s="11"/>
      <c r="B552" s="30"/>
      <c r="C552" s="30"/>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x14ac:dyDescent="0.25">
      <c r="A553" s="11"/>
      <c r="B553" s="30"/>
      <c r="C553" s="30"/>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x14ac:dyDescent="0.25">
      <c r="A554" s="11"/>
      <c r="B554" s="30"/>
      <c r="C554" s="30"/>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x14ac:dyDescent="0.25">
      <c r="A555" s="11"/>
      <c r="B555" s="30"/>
      <c r="C555" s="30"/>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x14ac:dyDescent="0.25">
      <c r="A556" s="11"/>
      <c r="B556" s="30"/>
      <c r="C556" s="30"/>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x14ac:dyDescent="0.25">
      <c r="A557" s="11"/>
      <c r="B557" s="30"/>
      <c r="C557" s="30"/>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x14ac:dyDescent="0.25">
      <c r="A558" s="11"/>
      <c r="B558" s="30"/>
      <c r="C558" s="30"/>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x14ac:dyDescent="0.25">
      <c r="A559" s="11"/>
      <c r="B559" s="30"/>
      <c r="C559" s="30"/>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x14ac:dyDescent="0.25">
      <c r="A560" s="11"/>
      <c r="B560" s="30"/>
      <c r="C560" s="30"/>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x14ac:dyDescent="0.25">
      <c r="A561" s="11"/>
      <c r="B561" s="30"/>
      <c r="C561" s="30"/>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x14ac:dyDescent="0.25">
      <c r="A562" s="11"/>
      <c r="B562" s="30"/>
      <c r="C562" s="30"/>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x14ac:dyDescent="0.25">
      <c r="A563" s="11"/>
      <c r="B563" s="30"/>
      <c r="C563" s="30"/>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x14ac:dyDescent="0.25">
      <c r="A564" s="11"/>
      <c r="B564" s="30"/>
      <c r="C564" s="30"/>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x14ac:dyDescent="0.25">
      <c r="A565" s="11"/>
      <c r="B565" s="30"/>
      <c r="C565" s="30"/>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x14ac:dyDescent="0.25">
      <c r="A566" s="11"/>
      <c r="B566" s="30"/>
      <c r="C566" s="30"/>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x14ac:dyDescent="0.25">
      <c r="A567" s="11"/>
      <c r="B567" s="30"/>
      <c r="C567" s="30"/>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x14ac:dyDescent="0.25">
      <c r="A568" s="11"/>
      <c r="B568" s="30"/>
      <c r="C568" s="30"/>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x14ac:dyDescent="0.25">
      <c r="A569" s="11"/>
      <c r="B569" s="30"/>
      <c r="C569" s="30"/>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x14ac:dyDescent="0.25">
      <c r="A570" s="11"/>
      <c r="B570" s="30"/>
      <c r="C570" s="30"/>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x14ac:dyDescent="0.25">
      <c r="A571" s="11"/>
      <c r="B571" s="30"/>
      <c r="C571" s="30"/>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x14ac:dyDescent="0.25">
      <c r="A572" s="11"/>
      <c r="B572" s="30"/>
      <c r="C572" s="30"/>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x14ac:dyDescent="0.25">
      <c r="A573" s="11"/>
      <c r="B573" s="30"/>
      <c r="C573" s="30"/>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x14ac:dyDescent="0.25">
      <c r="A574" s="11"/>
      <c r="B574" s="30"/>
      <c r="C574" s="30"/>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x14ac:dyDescent="0.25">
      <c r="A575" s="11"/>
      <c r="B575" s="30"/>
      <c r="C575" s="30"/>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x14ac:dyDescent="0.25">
      <c r="A576" s="11"/>
      <c r="B576" s="30"/>
      <c r="C576" s="30"/>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x14ac:dyDescent="0.25">
      <c r="A577" s="11"/>
      <c r="B577" s="30"/>
      <c r="C577" s="30"/>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x14ac:dyDescent="0.25">
      <c r="A578" s="11"/>
      <c r="B578" s="30"/>
      <c r="C578" s="30"/>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x14ac:dyDescent="0.25">
      <c r="A579" s="11"/>
      <c r="B579" s="30"/>
      <c r="C579" s="30"/>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x14ac:dyDescent="0.25">
      <c r="A580" s="11"/>
      <c r="B580" s="30"/>
      <c r="C580" s="30"/>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x14ac:dyDescent="0.25">
      <c r="A581" s="11"/>
      <c r="B581" s="30"/>
      <c r="C581" s="30"/>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x14ac:dyDescent="0.25">
      <c r="A582" s="11"/>
      <c r="B582" s="30"/>
      <c r="C582" s="30"/>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x14ac:dyDescent="0.25">
      <c r="A583" s="11"/>
      <c r="B583" s="30"/>
      <c r="C583" s="30"/>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x14ac:dyDescent="0.25">
      <c r="A584" s="11"/>
      <c r="B584" s="30"/>
      <c r="C584" s="30"/>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x14ac:dyDescent="0.25">
      <c r="A585" s="11"/>
      <c r="B585" s="30"/>
      <c r="C585" s="30"/>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x14ac:dyDescent="0.25">
      <c r="A586" s="11"/>
      <c r="B586" s="30"/>
      <c r="C586" s="30"/>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x14ac:dyDescent="0.25">
      <c r="A587" s="11"/>
      <c r="B587" s="30"/>
      <c r="C587" s="30"/>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x14ac:dyDescent="0.25">
      <c r="A588" s="11"/>
      <c r="B588" s="30"/>
      <c r="C588" s="30"/>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x14ac:dyDescent="0.25">
      <c r="A589" s="11"/>
      <c r="B589" s="30"/>
      <c r="C589" s="30"/>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x14ac:dyDescent="0.25">
      <c r="A590" s="11"/>
      <c r="B590" s="30"/>
      <c r="C590" s="30"/>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x14ac:dyDescent="0.25">
      <c r="A591" s="11"/>
      <c r="B591" s="30"/>
      <c r="C591" s="30"/>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x14ac:dyDescent="0.25">
      <c r="A592" s="11"/>
      <c r="B592" s="30"/>
      <c r="C592" s="30"/>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x14ac:dyDescent="0.25">
      <c r="A593" s="11"/>
      <c r="B593" s="30"/>
      <c r="C593" s="30"/>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x14ac:dyDescent="0.25">
      <c r="A594" s="11"/>
      <c r="B594" s="30"/>
      <c r="C594" s="30"/>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x14ac:dyDescent="0.25">
      <c r="A595" s="11"/>
      <c r="B595" s="30"/>
      <c r="C595" s="30"/>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x14ac:dyDescent="0.25">
      <c r="A596" s="11"/>
      <c r="B596" s="30"/>
      <c r="C596" s="30"/>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x14ac:dyDescent="0.25">
      <c r="A597" s="11"/>
      <c r="B597" s="30"/>
      <c r="C597" s="30"/>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x14ac:dyDescent="0.25">
      <c r="A598" s="11"/>
      <c r="B598" s="30"/>
      <c r="C598" s="30"/>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x14ac:dyDescent="0.25">
      <c r="A599" s="11"/>
      <c r="B599" s="30"/>
      <c r="C599" s="30"/>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x14ac:dyDescent="0.25">
      <c r="A600" s="11"/>
      <c r="B600" s="30"/>
      <c r="C600" s="30"/>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x14ac:dyDescent="0.25">
      <c r="A601" s="11"/>
      <c r="B601" s="30"/>
      <c r="C601" s="30"/>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x14ac:dyDescent="0.25">
      <c r="A602" s="11"/>
      <c r="B602" s="30"/>
      <c r="C602" s="30"/>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x14ac:dyDescent="0.25">
      <c r="A603" s="11"/>
      <c r="B603" s="30"/>
      <c r="C603" s="30"/>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x14ac:dyDescent="0.25">
      <c r="A604" s="11"/>
      <c r="B604" s="30"/>
      <c r="C604" s="30"/>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x14ac:dyDescent="0.25">
      <c r="A605" s="11"/>
      <c r="B605" s="30"/>
      <c r="C605" s="30"/>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x14ac:dyDescent="0.25">
      <c r="A606" s="11"/>
      <c r="B606" s="30"/>
      <c r="C606" s="30"/>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x14ac:dyDescent="0.25">
      <c r="A607" s="11"/>
      <c r="B607" s="30"/>
      <c r="C607" s="30"/>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x14ac:dyDescent="0.25">
      <c r="A608" s="11"/>
      <c r="B608" s="30"/>
      <c r="C608" s="30"/>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x14ac:dyDescent="0.25">
      <c r="A609" s="11"/>
      <c r="B609" s="30"/>
      <c r="C609" s="30"/>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x14ac:dyDescent="0.25">
      <c r="A610" s="11"/>
      <c r="B610" s="30"/>
      <c r="C610" s="30"/>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x14ac:dyDescent="0.25">
      <c r="A611" s="11"/>
      <c r="B611" s="30"/>
      <c r="C611" s="30"/>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x14ac:dyDescent="0.25">
      <c r="A612" s="11"/>
      <c r="B612" s="30"/>
      <c r="C612" s="30"/>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x14ac:dyDescent="0.25">
      <c r="A613" s="11"/>
      <c r="B613" s="30"/>
      <c r="C613" s="30"/>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x14ac:dyDescent="0.25">
      <c r="A614" s="11"/>
      <c r="B614" s="30"/>
      <c r="C614" s="30"/>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x14ac:dyDescent="0.25">
      <c r="A615" s="11"/>
      <c r="B615" s="30"/>
      <c r="C615" s="30"/>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x14ac:dyDescent="0.25">
      <c r="A616" s="11"/>
      <c r="B616" s="30"/>
      <c r="C616" s="30"/>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x14ac:dyDescent="0.25">
      <c r="A617" s="11"/>
      <c r="B617" s="30"/>
      <c r="C617" s="30"/>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x14ac:dyDescent="0.25">
      <c r="A618" s="11"/>
      <c r="B618" s="30"/>
      <c r="C618" s="30"/>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x14ac:dyDescent="0.25">
      <c r="A619" s="11"/>
      <c r="B619" s="30"/>
      <c r="C619" s="30"/>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x14ac:dyDescent="0.25">
      <c r="A620" s="11"/>
      <c r="B620" s="30"/>
      <c r="C620" s="30"/>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x14ac:dyDescent="0.25">
      <c r="A621" s="11"/>
      <c r="B621" s="30"/>
      <c r="C621" s="30"/>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x14ac:dyDescent="0.25">
      <c r="A622" s="11"/>
      <c r="B622" s="30"/>
      <c r="C622" s="30"/>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x14ac:dyDescent="0.25">
      <c r="A623" s="11"/>
      <c r="B623" s="30"/>
      <c r="C623" s="30"/>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x14ac:dyDescent="0.25">
      <c r="A624" s="11"/>
      <c r="B624" s="30"/>
      <c r="C624" s="30"/>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x14ac:dyDescent="0.25">
      <c r="A625" s="11"/>
      <c r="B625" s="30"/>
      <c r="C625" s="30"/>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x14ac:dyDescent="0.25">
      <c r="A626" s="11"/>
      <c r="B626" s="30"/>
      <c r="C626" s="30"/>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x14ac:dyDescent="0.25">
      <c r="A627" s="11"/>
      <c r="B627" s="30"/>
      <c r="C627" s="30"/>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x14ac:dyDescent="0.25">
      <c r="A628" s="11"/>
      <c r="B628" s="30"/>
      <c r="C628" s="30"/>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x14ac:dyDescent="0.25">
      <c r="A629" s="11"/>
      <c r="B629" s="30"/>
      <c r="C629" s="30"/>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x14ac:dyDescent="0.25">
      <c r="A630" s="11"/>
      <c r="B630" s="30"/>
      <c r="C630" s="30"/>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x14ac:dyDescent="0.25">
      <c r="A631" s="11"/>
      <c r="B631" s="30"/>
      <c r="C631" s="30"/>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x14ac:dyDescent="0.25">
      <c r="A632" s="11"/>
      <c r="B632" s="30"/>
      <c r="C632" s="30"/>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x14ac:dyDescent="0.25">
      <c r="A633" s="11"/>
      <c r="B633" s="30"/>
      <c r="C633" s="30"/>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x14ac:dyDescent="0.25">
      <c r="A634" s="11"/>
      <c r="B634" s="30"/>
      <c r="C634" s="30"/>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x14ac:dyDescent="0.25">
      <c r="A635" s="11"/>
      <c r="B635" s="30"/>
      <c r="C635" s="30"/>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x14ac:dyDescent="0.25">
      <c r="A636" s="11"/>
      <c r="B636" s="30"/>
      <c r="C636" s="30"/>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x14ac:dyDescent="0.25">
      <c r="A637" s="11"/>
      <c r="B637" s="30"/>
      <c r="C637" s="30"/>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x14ac:dyDescent="0.25">
      <c r="A638" s="11"/>
      <c r="B638" s="30"/>
      <c r="C638" s="30"/>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x14ac:dyDescent="0.25">
      <c r="A639" s="11"/>
      <c r="B639" s="30"/>
      <c r="C639" s="30"/>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x14ac:dyDescent="0.25">
      <c r="A640" s="11"/>
      <c r="B640" s="30"/>
      <c r="C640" s="30"/>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x14ac:dyDescent="0.25">
      <c r="A641" s="11"/>
      <c r="B641" s="30"/>
      <c r="C641" s="30"/>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x14ac:dyDescent="0.25">
      <c r="A642" s="11"/>
      <c r="B642" s="30"/>
      <c r="C642" s="30"/>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x14ac:dyDescent="0.25">
      <c r="A643" s="11"/>
      <c r="B643" s="30"/>
      <c r="C643" s="30"/>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x14ac:dyDescent="0.25">
      <c r="A644" s="11"/>
      <c r="B644" s="30"/>
      <c r="C644" s="30"/>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x14ac:dyDescent="0.25">
      <c r="A645" s="11"/>
      <c r="B645" s="30"/>
      <c r="C645" s="30"/>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x14ac:dyDescent="0.25">
      <c r="A646" s="11"/>
      <c r="B646" s="30"/>
      <c r="C646" s="30"/>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x14ac:dyDescent="0.25">
      <c r="A647" s="11"/>
      <c r="B647" s="30"/>
      <c r="C647" s="30"/>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x14ac:dyDescent="0.25">
      <c r="A648" s="11"/>
      <c r="B648" s="30"/>
      <c r="C648" s="30"/>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x14ac:dyDescent="0.25">
      <c r="A649" s="11"/>
      <c r="B649" s="30"/>
      <c r="C649" s="30"/>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x14ac:dyDescent="0.25">
      <c r="A650" s="11"/>
      <c r="B650" s="30"/>
      <c r="C650" s="30"/>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x14ac:dyDescent="0.25">
      <c r="A651" s="11"/>
      <c r="B651" s="30"/>
      <c r="C651" s="30"/>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x14ac:dyDescent="0.25">
      <c r="A652" s="11"/>
      <c r="B652" s="30"/>
      <c r="C652" s="30"/>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x14ac:dyDescent="0.25">
      <c r="A653" s="11"/>
      <c r="B653" s="30"/>
      <c r="C653" s="30"/>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x14ac:dyDescent="0.25">
      <c r="A654" s="11"/>
      <c r="B654" s="30"/>
      <c r="C654" s="30"/>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x14ac:dyDescent="0.25">
      <c r="A655" s="11"/>
      <c r="B655" s="30"/>
      <c r="C655" s="30"/>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x14ac:dyDescent="0.25">
      <c r="A656" s="11"/>
      <c r="B656" s="30"/>
      <c r="C656" s="30"/>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x14ac:dyDescent="0.25">
      <c r="A657" s="11"/>
      <c r="B657" s="30"/>
      <c r="C657" s="30"/>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x14ac:dyDescent="0.25">
      <c r="A658" s="11"/>
      <c r="B658" s="30"/>
      <c r="C658" s="30"/>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x14ac:dyDescent="0.25">
      <c r="A659" s="11"/>
      <c r="B659" s="30"/>
      <c r="C659" s="30"/>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x14ac:dyDescent="0.25">
      <c r="A660" s="11"/>
      <c r="B660" s="30"/>
      <c r="C660" s="30"/>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x14ac:dyDescent="0.25">
      <c r="A661" s="11"/>
      <c r="B661" s="30"/>
      <c r="C661" s="30"/>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x14ac:dyDescent="0.25">
      <c r="A662" s="11"/>
      <c r="B662" s="30"/>
      <c r="C662" s="30"/>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x14ac:dyDescent="0.25">
      <c r="A663" s="11"/>
      <c r="B663" s="30"/>
      <c r="C663" s="30"/>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x14ac:dyDescent="0.25">
      <c r="A664" s="11"/>
      <c r="B664" s="30"/>
      <c r="C664" s="30"/>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x14ac:dyDescent="0.25">
      <c r="A665" s="11"/>
      <c r="B665" s="30"/>
      <c r="C665" s="30"/>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x14ac:dyDescent="0.25">
      <c r="A666" s="11"/>
      <c r="B666" s="30"/>
      <c r="C666" s="30"/>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x14ac:dyDescent="0.25">
      <c r="A667" s="11"/>
      <c r="B667" s="30"/>
      <c r="C667" s="30"/>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x14ac:dyDescent="0.25">
      <c r="A668" s="11"/>
      <c r="B668" s="30"/>
      <c r="C668" s="30"/>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x14ac:dyDescent="0.25">
      <c r="A669" s="11"/>
      <c r="B669" s="30"/>
      <c r="C669" s="30"/>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x14ac:dyDescent="0.25">
      <c r="A670" s="11"/>
      <c r="B670" s="30"/>
      <c r="C670" s="30"/>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x14ac:dyDescent="0.25">
      <c r="A671" s="11"/>
      <c r="B671" s="30"/>
      <c r="C671" s="30"/>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x14ac:dyDescent="0.25">
      <c r="A672" s="11"/>
      <c r="B672" s="30"/>
      <c r="C672" s="30"/>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x14ac:dyDescent="0.25">
      <c r="A673" s="11"/>
      <c r="B673" s="30"/>
      <c r="C673" s="30"/>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x14ac:dyDescent="0.25">
      <c r="A674" s="11"/>
      <c r="B674" s="30"/>
      <c r="C674" s="30"/>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x14ac:dyDescent="0.25">
      <c r="A675" s="11"/>
      <c r="B675" s="30"/>
      <c r="C675" s="30"/>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x14ac:dyDescent="0.25">
      <c r="A676" s="11"/>
      <c r="B676" s="30"/>
      <c r="C676" s="30"/>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x14ac:dyDescent="0.25">
      <c r="A677" s="11"/>
      <c r="B677" s="30"/>
      <c r="C677" s="30"/>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x14ac:dyDescent="0.25">
      <c r="A678" s="11"/>
      <c r="B678" s="30"/>
      <c r="C678" s="30"/>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x14ac:dyDescent="0.25">
      <c r="A679" s="11"/>
      <c r="B679" s="30"/>
      <c r="C679" s="30"/>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x14ac:dyDescent="0.25">
      <c r="A680" s="11"/>
      <c r="B680" s="30"/>
      <c r="C680" s="30"/>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x14ac:dyDescent="0.25">
      <c r="A681" s="11"/>
      <c r="B681" s="30"/>
      <c r="C681" s="30"/>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x14ac:dyDescent="0.25">
      <c r="A682" s="11"/>
      <c r="B682" s="30"/>
      <c r="C682" s="30"/>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x14ac:dyDescent="0.25">
      <c r="A683" s="11"/>
      <c r="B683" s="30"/>
      <c r="C683" s="30"/>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x14ac:dyDescent="0.25">
      <c r="A684" s="11"/>
      <c r="B684" s="30"/>
      <c r="C684" s="30"/>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x14ac:dyDescent="0.25">
      <c r="A685" s="11"/>
      <c r="B685" s="30"/>
      <c r="C685" s="30"/>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x14ac:dyDescent="0.25">
      <c r="A686" s="11"/>
      <c r="B686" s="30"/>
      <c r="C686" s="30"/>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x14ac:dyDescent="0.25">
      <c r="A687" s="11"/>
      <c r="B687" s="30"/>
      <c r="C687" s="30"/>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x14ac:dyDescent="0.25">
      <c r="A688" s="11"/>
      <c r="B688" s="30"/>
      <c r="C688" s="30"/>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x14ac:dyDescent="0.25">
      <c r="A689" s="11"/>
      <c r="B689" s="30"/>
      <c r="C689" s="30"/>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x14ac:dyDescent="0.25">
      <c r="A690" s="11"/>
      <c r="B690" s="30"/>
      <c r="C690" s="30"/>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x14ac:dyDescent="0.25">
      <c r="A691" s="11"/>
      <c r="B691" s="30"/>
      <c r="C691" s="30"/>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x14ac:dyDescent="0.25">
      <c r="A692" s="11"/>
      <c r="B692" s="30"/>
      <c r="C692" s="30"/>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x14ac:dyDescent="0.25">
      <c r="A693" s="11"/>
      <c r="B693" s="30"/>
      <c r="C693" s="30"/>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x14ac:dyDescent="0.25">
      <c r="A694" s="11"/>
      <c r="B694" s="30"/>
      <c r="C694" s="30"/>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x14ac:dyDescent="0.25">
      <c r="A695" s="11"/>
      <c r="B695" s="30"/>
      <c r="C695" s="30"/>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x14ac:dyDescent="0.25">
      <c r="A696" s="11"/>
      <c r="B696" s="30"/>
      <c r="C696" s="30"/>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x14ac:dyDescent="0.25">
      <c r="A697" s="11"/>
      <c r="B697" s="30"/>
      <c r="C697" s="30"/>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x14ac:dyDescent="0.25">
      <c r="A698" s="11"/>
      <c r="B698" s="30"/>
      <c r="C698" s="30"/>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x14ac:dyDescent="0.25">
      <c r="A699" s="11"/>
      <c r="B699" s="30"/>
      <c r="C699" s="30"/>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x14ac:dyDescent="0.25">
      <c r="A700" s="11"/>
      <c r="B700" s="30"/>
      <c r="C700" s="30"/>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x14ac:dyDescent="0.25">
      <c r="A701" s="11"/>
      <c r="B701" s="30"/>
      <c r="C701" s="30"/>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x14ac:dyDescent="0.25">
      <c r="A702" s="11"/>
      <c r="B702" s="30"/>
      <c r="C702" s="30"/>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x14ac:dyDescent="0.25">
      <c r="A703" s="11"/>
      <c r="B703" s="30"/>
      <c r="C703" s="30"/>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x14ac:dyDescent="0.25">
      <c r="A704" s="11"/>
      <c r="B704" s="30"/>
      <c r="C704" s="30"/>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x14ac:dyDescent="0.25">
      <c r="A705" s="11"/>
      <c r="B705" s="30"/>
      <c r="C705" s="30"/>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x14ac:dyDescent="0.25">
      <c r="A706" s="11"/>
      <c r="B706" s="30"/>
      <c r="C706" s="30"/>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x14ac:dyDescent="0.25">
      <c r="A707" s="11"/>
      <c r="B707" s="30"/>
      <c r="C707" s="30"/>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x14ac:dyDescent="0.25">
      <c r="A708" s="11"/>
      <c r="B708" s="30"/>
      <c r="C708" s="30"/>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x14ac:dyDescent="0.25">
      <c r="A709" s="11"/>
      <c r="B709" s="30"/>
      <c r="C709" s="30"/>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x14ac:dyDescent="0.25">
      <c r="A710" s="11"/>
      <c r="B710" s="30"/>
      <c r="C710" s="30"/>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x14ac:dyDescent="0.25">
      <c r="A711" s="11"/>
      <c r="B711" s="30"/>
      <c r="C711" s="30"/>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x14ac:dyDescent="0.25">
      <c r="A712" s="11"/>
      <c r="B712" s="30"/>
      <c r="C712" s="30"/>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x14ac:dyDescent="0.25">
      <c r="A713" s="11"/>
      <c r="B713" s="30"/>
      <c r="C713" s="30"/>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x14ac:dyDescent="0.25">
      <c r="A714" s="11"/>
      <c r="B714" s="30"/>
      <c r="C714" s="30"/>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x14ac:dyDescent="0.25">
      <c r="A715" s="11"/>
      <c r="B715" s="30"/>
      <c r="C715" s="30"/>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x14ac:dyDescent="0.25">
      <c r="A716" s="11"/>
      <c r="B716" s="30"/>
      <c r="C716" s="30"/>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x14ac:dyDescent="0.25">
      <c r="A717" s="11"/>
      <c r="B717" s="30"/>
      <c r="C717" s="30"/>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x14ac:dyDescent="0.25">
      <c r="A718" s="11"/>
      <c r="B718" s="30"/>
      <c r="C718" s="30"/>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x14ac:dyDescent="0.25">
      <c r="A719" s="11"/>
      <c r="B719" s="30"/>
      <c r="C719" s="30"/>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x14ac:dyDescent="0.25">
      <c r="A720" s="11"/>
      <c r="B720" s="30"/>
      <c r="C720" s="30"/>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x14ac:dyDescent="0.25">
      <c r="A721" s="11"/>
      <c r="B721" s="30"/>
      <c r="C721" s="30"/>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x14ac:dyDescent="0.25">
      <c r="A722" s="11"/>
      <c r="B722" s="30"/>
      <c r="C722" s="30"/>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x14ac:dyDescent="0.25">
      <c r="A723" s="11"/>
      <c r="B723" s="30"/>
      <c r="C723" s="30"/>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x14ac:dyDescent="0.25">
      <c r="A724" s="11"/>
      <c r="B724" s="30"/>
      <c r="C724" s="30"/>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x14ac:dyDescent="0.25">
      <c r="A725" s="11"/>
      <c r="B725" s="30"/>
      <c r="C725" s="30"/>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x14ac:dyDescent="0.25">
      <c r="A726" s="11"/>
      <c r="B726" s="30"/>
      <c r="C726" s="30"/>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x14ac:dyDescent="0.25">
      <c r="A727" s="11"/>
      <c r="B727" s="30"/>
      <c r="C727" s="30"/>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x14ac:dyDescent="0.25">
      <c r="A728" s="11"/>
      <c r="B728" s="30"/>
      <c r="C728" s="30"/>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x14ac:dyDescent="0.25">
      <c r="A729" s="11"/>
      <c r="B729" s="30"/>
      <c r="C729" s="30"/>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x14ac:dyDescent="0.25">
      <c r="A730" s="11"/>
      <c r="B730" s="30"/>
      <c r="C730" s="30"/>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x14ac:dyDescent="0.25">
      <c r="A731" s="11"/>
      <c r="B731" s="30"/>
      <c r="C731" s="30"/>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x14ac:dyDescent="0.25">
      <c r="A732" s="11"/>
      <c r="B732" s="30"/>
      <c r="C732" s="30"/>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x14ac:dyDescent="0.25">
      <c r="A733" s="11"/>
      <c r="B733" s="30"/>
      <c r="C733" s="30"/>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x14ac:dyDescent="0.25">
      <c r="A734" s="11"/>
      <c r="B734" s="30"/>
      <c r="C734" s="30"/>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x14ac:dyDescent="0.25">
      <c r="A735" s="11"/>
      <c r="B735" s="30"/>
      <c r="C735" s="30"/>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x14ac:dyDescent="0.25">
      <c r="A736" s="11"/>
      <c r="B736" s="30"/>
      <c r="C736" s="30"/>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x14ac:dyDescent="0.25">
      <c r="A737" s="11"/>
      <c r="B737" s="30"/>
      <c r="C737" s="30"/>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x14ac:dyDescent="0.25">
      <c r="A738" s="11"/>
      <c r="B738" s="30"/>
      <c r="C738" s="30"/>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x14ac:dyDescent="0.25">
      <c r="A739" s="11"/>
      <c r="B739" s="30"/>
      <c r="C739" s="30"/>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x14ac:dyDescent="0.25">
      <c r="A740" s="11"/>
      <c r="B740" s="30"/>
      <c r="C740" s="30"/>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x14ac:dyDescent="0.25">
      <c r="A741" s="11"/>
      <c r="B741" s="30"/>
      <c r="C741" s="30"/>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x14ac:dyDescent="0.25">
      <c r="A742" s="11"/>
      <c r="B742" s="30"/>
      <c r="C742" s="30"/>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x14ac:dyDescent="0.25">
      <c r="A743" s="11"/>
      <c r="B743" s="30"/>
      <c r="C743" s="30"/>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x14ac:dyDescent="0.25">
      <c r="A744" s="11"/>
      <c r="B744" s="30"/>
      <c r="C744" s="30"/>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x14ac:dyDescent="0.25">
      <c r="A745" s="11"/>
      <c r="B745" s="30"/>
      <c r="C745" s="30"/>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x14ac:dyDescent="0.25">
      <c r="A746" s="11"/>
      <c r="B746" s="30"/>
      <c r="C746" s="30"/>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x14ac:dyDescent="0.25">
      <c r="A747" s="11"/>
      <c r="B747" s="30"/>
      <c r="C747" s="30"/>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x14ac:dyDescent="0.25">
      <c r="A748" s="11"/>
      <c r="B748" s="30"/>
      <c r="C748" s="30"/>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x14ac:dyDescent="0.25">
      <c r="A749" s="11"/>
      <c r="B749" s="30"/>
      <c r="C749" s="30"/>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x14ac:dyDescent="0.25">
      <c r="A750" s="11"/>
      <c r="B750" s="30"/>
      <c r="C750" s="30"/>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x14ac:dyDescent="0.25">
      <c r="A751" s="11"/>
      <c r="B751" s="30"/>
      <c r="C751" s="30"/>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x14ac:dyDescent="0.25">
      <c r="A752" s="11"/>
      <c r="B752" s="30"/>
      <c r="C752" s="30"/>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x14ac:dyDescent="0.25">
      <c r="A753" s="11"/>
      <c r="B753" s="30"/>
      <c r="C753" s="30"/>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x14ac:dyDescent="0.25">
      <c r="A754" s="11"/>
      <c r="B754" s="30"/>
      <c r="C754" s="30"/>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x14ac:dyDescent="0.25">
      <c r="A755" s="11"/>
      <c r="B755" s="30"/>
      <c r="C755" s="30"/>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x14ac:dyDescent="0.25">
      <c r="A756" s="11"/>
      <c r="B756" s="30"/>
      <c r="C756" s="30"/>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x14ac:dyDescent="0.25">
      <c r="A757" s="11"/>
      <c r="B757" s="30"/>
      <c r="C757" s="30"/>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x14ac:dyDescent="0.25">
      <c r="A758" s="11"/>
      <c r="B758" s="30"/>
      <c r="C758" s="30"/>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x14ac:dyDescent="0.25">
      <c r="A759" s="11"/>
      <c r="B759" s="30"/>
      <c r="C759" s="30"/>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x14ac:dyDescent="0.25">
      <c r="A760" s="11"/>
      <c r="B760" s="30"/>
      <c r="C760" s="30"/>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x14ac:dyDescent="0.25">
      <c r="A761" s="11"/>
      <c r="B761" s="30"/>
      <c r="C761" s="30"/>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x14ac:dyDescent="0.25">
      <c r="A762" s="11"/>
      <c r="B762" s="30"/>
      <c r="C762" s="30"/>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x14ac:dyDescent="0.25">
      <c r="A763" s="11"/>
      <c r="B763" s="30"/>
      <c r="C763" s="30"/>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x14ac:dyDescent="0.25">
      <c r="A764" s="11"/>
      <c r="B764" s="30"/>
      <c r="C764" s="30"/>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x14ac:dyDescent="0.25">
      <c r="A765" s="11"/>
      <c r="B765" s="30"/>
      <c r="C765" s="30"/>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x14ac:dyDescent="0.25">
      <c r="A766" s="11"/>
      <c r="B766" s="30"/>
      <c r="C766" s="30"/>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x14ac:dyDescent="0.25">
      <c r="A767" s="11"/>
      <c r="B767" s="30"/>
      <c r="C767" s="30"/>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x14ac:dyDescent="0.25">
      <c r="A768" s="11"/>
      <c r="B768" s="30"/>
      <c r="C768" s="30"/>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x14ac:dyDescent="0.25">
      <c r="A769" s="11"/>
      <c r="B769" s="30"/>
      <c r="C769" s="30"/>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x14ac:dyDescent="0.25">
      <c r="A770" s="11"/>
      <c r="B770" s="30"/>
      <c r="C770" s="30"/>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x14ac:dyDescent="0.25">
      <c r="A771" s="11"/>
      <c r="B771" s="30"/>
      <c r="C771" s="30"/>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x14ac:dyDescent="0.25">
      <c r="A772" s="11"/>
      <c r="B772" s="30"/>
      <c r="C772" s="30"/>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x14ac:dyDescent="0.25">
      <c r="A773" s="11"/>
      <c r="B773" s="30"/>
      <c r="C773" s="30"/>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x14ac:dyDescent="0.25">
      <c r="A774" s="11"/>
      <c r="B774" s="30"/>
      <c r="C774" s="30"/>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x14ac:dyDescent="0.25">
      <c r="A775" s="11"/>
      <c r="B775" s="30"/>
      <c r="C775" s="30"/>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x14ac:dyDescent="0.25">
      <c r="A776" s="11"/>
      <c r="B776" s="30"/>
      <c r="C776" s="30"/>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x14ac:dyDescent="0.25">
      <c r="A777" s="11"/>
      <c r="B777" s="30"/>
      <c r="C777" s="30"/>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x14ac:dyDescent="0.25">
      <c r="A778" s="11"/>
      <c r="B778" s="30"/>
      <c r="C778" s="30"/>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x14ac:dyDescent="0.25">
      <c r="A779" s="11"/>
      <c r="B779" s="30"/>
      <c r="C779" s="30"/>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x14ac:dyDescent="0.25">
      <c r="A780" s="11"/>
      <c r="B780" s="30"/>
      <c r="C780" s="30"/>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x14ac:dyDescent="0.25">
      <c r="A781" s="11"/>
      <c r="B781" s="30"/>
      <c r="C781" s="30"/>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x14ac:dyDescent="0.25">
      <c r="A782" s="11"/>
      <c r="B782" s="30"/>
      <c r="C782" s="30"/>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x14ac:dyDescent="0.25">
      <c r="A783" s="11"/>
      <c r="B783" s="30"/>
      <c r="C783" s="30"/>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x14ac:dyDescent="0.25">
      <c r="A784" s="11"/>
      <c r="B784" s="30"/>
      <c r="C784" s="30"/>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x14ac:dyDescent="0.25">
      <c r="A785" s="11"/>
      <c r="B785" s="30"/>
      <c r="C785" s="30"/>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x14ac:dyDescent="0.25">
      <c r="A786" s="11"/>
      <c r="B786" s="30"/>
      <c r="C786" s="30"/>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x14ac:dyDescent="0.25">
      <c r="A787" s="11"/>
      <c r="B787" s="30"/>
      <c r="C787" s="30"/>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x14ac:dyDescent="0.25">
      <c r="A788" s="11"/>
      <c r="B788" s="30"/>
      <c r="C788" s="30"/>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x14ac:dyDescent="0.25">
      <c r="A789" s="11"/>
      <c r="B789" s="30"/>
      <c r="C789" s="30"/>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x14ac:dyDescent="0.25">
      <c r="A790" s="11"/>
      <c r="B790" s="30"/>
      <c r="C790" s="30"/>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x14ac:dyDescent="0.25">
      <c r="A791" s="11"/>
      <c r="B791" s="30"/>
      <c r="C791" s="30"/>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x14ac:dyDescent="0.25">
      <c r="A792" s="11"/>
      <c r="B792" s="30"/>
      <c r="C792" s="30"/>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x14ac:dyDescent="0.25">
      <c r="A793" s="11"/>
      <c r="B793" s="30"/>
      <c r="C793" s="30"/>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x14ac:dyDescent="0.25">
      <c r="A794" s="11"/>
      <c r="B794" s="30"/>
      <c r="C794" s="30"/>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x14ac:dyDescent="0.25">
      <c r="A795" s="11"/>
      <c r="B795" s="30"/>
      <c r="C795" s="30"/>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x14ac:dyDescent="0.25">
      <c r="A796" s="11"/>
      <c r="B796" s="30"/>
      <c r="C796" s="30"/>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x14ac:dyDescent="0.25">
      <c r="A797" s="11"/>
      <c r="B797" s="30"/>
      <c r="C797" s="30"/>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x14ac:dyDescent="0.25">
      <c r="A798" s="11"/>
      <c r="B798" s="30"/>
      <c r="C798" s="30"/>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x14ac:dyDescent="0.25">
      <c r="A799" s="11"/>
      <c r="B799" s="30"/>
      <c r="C799" s="30"/>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x14ac:dyDescent="0.25">
      <c r="A800" s="11"/>
      <c r="B800" s="30"/>
      <c r="C800" s="30"/>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x14ac:dyDescent="0.25">
      <c r="A801" s="11"/>
      <c r="B801" s="30"/>
      <c r="C801" s="30"/>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x14ac:dyDescent="0.25">
      <c r="A802" s="11"/>
      <c r="B802" s="30"/>
      <c r="C802" s="30"/>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x14ac:dyDescent="0.25">
      <c r="A803" s="11"/>
      <c r="B803" s="30"/>
      <c r="C803" s="30"/>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x14ac:dyDescent="0.25">
      <c r="A804" s="11"/>
      <c r="B804" s="30"/>
      <c r="C804" s="30"/>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x14ac:dyDescent="0.25">
      <c r="A805" s="11"/>
      <c r="B805" s="30"/>
      <c r="C805" s="30"/>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x14ac:dyDescent="0.25">
      <c r="A806" s="11"/>
      <c r="B806" s="30"/>
      <c r="C806" s="30"/>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x14ac:dyDescent="0.25">
      <c r="A807" s="11"/>
      <c r="B807" s="30"/>
      <c r="C807" s="30"/>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x14ac:dyDescent="0.25">
      <c r="A808" s="11"/>
      <c r="B808" s="30"/>
      <c r="C808" s="30"/>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x14ac:dyDescent="0.25">
      <c r="A809" s="11"/>
      <c r="B809" s="30"/>
      <c r="C809" s="30"/>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x14ac:dyDescent="0.25">
      <c r="A810" s="11"/>
      <c r="B810" s="30"/>
      <c r="C810" s="30"/>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x14ac:dyDescent="0.25">
      <c r="A811" s="11"/>
      <c r="B811" s="30"/>
      <c r="C811" s="30"/>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x14ac:dyDescent="0.25">
      <c r="A812" s="11"/>
      <c r="B812" s="30"/>
      <c r="C812" s="30"/>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x14ac:dyDescent="0.25">
      <c r="A813" s="11"/>
      <c r="B813" s="30"/>
      <c r="C813" s="30"/>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x14ac:dyDescent="0.25">
      <c r="A814" s="11"/>
      <c r="B814" s="30"/>
      <c r="C814" s="30"/>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x14ac:dyDescent="0.25">
      <c r="A815" s="11"/>
      <c r="B815" s="30"/>
      <c r="C815" s="30"/>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x14ac:dyDescent="0.25">
      <c r="A816" s="11"/>
      <c r="B816" s="30"/>
      <c r="C816" s="30"/>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x14ac:dyDescent="0.25">
      <c r="A817" s="11"/>
      <c r="B817" s="30"/>
      <c r="C817" s="30"/>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x14ac:dyDescent="0.25">
      <c r="A818" s="11"/>
      <c r="B818" s="30"/>
      <c r="C818" s="30"/>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x14ac:dyDescent="0.25">
      <c r="A819" s="11"/>
      <c r="B819" s="30"/>
      <c r="C819" s="30"/>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x14ac:dyDescent="0.25">
      <c r="A820" s="11"/>
      <c r="B820" s="30"/>
      <c r="C820" s="30"/>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x14ac:dyDescent="0.25">
      <c r="A821" s="11"/>
      <c r="B821" s="30"/>
      <c r="C821" s="30"/>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x14ac:dyDescent="0.25">
      <c r="A822" s="11"/>
      <c r="B822" s="30"/>
      <c r="C822" s="30"/>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x14ac:dyDescent="0.25">
      <c r="A823" s="11"/>
      <c r="B823" s="30"/>
      <c r="C823" s="30"/>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x14ac:dyDescent="0.25">
      <c r="A824" s="11"/>
      <c r="B824" s="30"/>
      <c r="C824" s="30"/>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x14ac:dyDescent="0.25">
      <c r="A825" s="11"/>
      <c r="B825" s="30"/>
      <c r="C825" s="30"/>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x14ac:dyDescent="0.25">
      <c r="A826" s="11"/>
      <c r="B826" s="30"/>
      <c r="C826" s="30"/>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x14ac:dyDescent="0.25">
      <c r="A827" s="11"/>
      <c r="B827" s="30"/>
      <c r="C827" s="30"/>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x14ac:dyDescent="0.25">
      <c r="A828" s="11"/>
      <c r="B828" s="30"/>
      <c r="C828" s="30"/>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x14ac:dyDescent="0.25">
      <c r="A829" s="11"/>
      <c r="B829" s="30"/>
      <c r="C829" s="30"/>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x14ac:dyDescent="0.25">
      <c r="A830" s="11"/>
      <c r="B830" s="30"/>
      <c r="C830" s="30"/>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x14ac:dyDescent="0.25">
      <c r="A831" s="11"/>
      <c r="B831" s="30"/>
      <c r="C831" s="30"/>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x14ac:dyDescent="0.25">
      <c r="A832" s="11"/>
      <c r="B832" s="30"/>
      <c r="C832" s="30"/>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x14ac:dyDescent="0.25">
      <c r="A833" s="11"/>
      <c r="B833" s="30"/>
      <c r="C833" s="30"/>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x14ac:dyDescent="0.25">
      <c r="A834" s="11"/>
      <c r="B834" s="30"/>
      <c r="C834" s="30"/>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x14ac:dyDescent="0.25">
      <c r="A835" s="11"/>
      <c r="B835" s="30"/>
      <c r="C835" s="30"/>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x14ac:dyDescent="0.25">
      <c r="A836" s="11"/>
      <c r="B836" s="30"/>
      <c r="C836" s="30"/>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x14ac:dyDescent="0.25">
      <c r="A837" s="11"/>
      <c r="B837" s="30"/>
      <c r="C837" s="30"/>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x14ac:dyDescent="0.25">
      <c r="A838" s="11"/>
      <c r="B838" s="30"/>
      <c r="C838" s="30"/>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x14ac:dyDescent="0.25">
      <c r="A839" s="11"/>
      <c r="B839" s="30"/>
      <c r="C839" s="30"/>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x14ac:dyDescent="0.25">
      <c r="A840" s="11"/>
      <c r="B840" s="30"/>
      <c r="C840" s="30"/>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x14ac:dyDescent="0.25">
      <c r="A841" s="11"/>
      <c r="B841" s="30"/>
      <c r="C841" s="30"/>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x14ac:dyDescent="0.25">
      <c r="A842" s="11"/>
      <c r="B842" s="30"/>
      <c r="C842" s="30"/>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x14ac:dyDescent="0.25">
      <c r="A843" s="11"/>
      <c r="B843" s="30"/>
      <c r="C843" s="30"/>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x14ac:dyDescent="0.25">
      <c r="A844" s="11"/>
      <c r="B844" s="30"/>
      <c r="C844" s="30"/>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x14ac:dyDescent="0.25">
      <c r="A845" s="11"/>
      <c r="B845" s="30"/>
      <c r="C845" s="30"/>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x14ac:dyDescent="0.25">
      <c r="A846" s="11"/>
      <c r="B846" s="30"/>
      <c r="C846" s="30"/>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x14ac:dyDescent="0.25">
      <c r="A847" s="11"/>
      <c r="B847" s="30"/>
      <c r="C847" s="30"/>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x14ac:dyDescent="0.25">
      <c r="A848" s="11"/>
      <c r="B848" s="30"/>
      <c r="C848" s="30"/>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x14ac:dyDescent="0.25">
      <c r="A849" s="11"/>
      <c r="B849" s="30"/>
      <c r="C849" s="30"/>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x14ac:dyDescent="0.25">
      <c r="A850" s="11"/>
      <c r="B850" s="30"/>
      <c r="C850" s="30"/>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x14ac:dyDescent="0.25">
      <c r="A851" s="11"/>
      <c r="B851" s="30"/>
      <c r="C851" s="30"/>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x14ac:dyDescent="0.25">
      <c r="A852" s="11"/>
      <c r="B852" s="30"/>
      <c r="C852" s="30"/>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x14ac:dyDescent="0.25">
      <c r="A853" s="11"/>
      <c r="B853" s="30"/>
      <c r="C853" s="30"/>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x14ac:dyDescent="0.25">
      <c r="A854" s="11"/>
      <c r="B854" s="30"/>
      <c r="C854" s="30"/>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x14ac:dyDescent="0.25">
      <c r="A855" s="11"/>
      <c r="B855" s="30"/>
      <c r="C855" s="30"/>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x14ac:dyDescent="0.25">
      <c r="A856" s="11"/>
      <c r="B856" s="30"/>
      <c r="C856" s="30"/>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x14ac:dyDescent="0.25">
      <c r="A857" s="11"/>
      <c r="B857" s="30"/>
      <c r="C857" s="30"/>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x14ac:dyDescent="0.25">
      <c r="A858" s="11"/>
      <c r="B858" s="30"/>
      <c r="C858" s="30"/>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x14ac:dyDescent="0.25">
      <c r="A859" s="11"/>
      <c r="B859" s="30"/>
      <c r="C859" s="30"/>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x14ac:dyDescent="0.25">
      <c r="A860" s="11"/>
      <c r="B860" s="30"/>
      <c r="C860" s="30"/>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x14ac:dyDescent="0.25">
      <c r="A861" s="11"/>
      <c r="B861" s="30"/>
      <c r="C861" s="30"/>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x14ac:dyDescent="0.25">
      <c r="A862" s="11"/>
      <c r="B862" s="30"/>
      <c r="C862" s="30"/>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x14ac:dyDescent="0.25">
      <c r="A863" s="11"/>
      <c r="B863" s="30"/>
      <c r="C863" s="30"/>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x14ac:dyDescent="0.25">
      <c r="A864" s="11"/>
      <c r="B864" s="30"/>
      <c r="C864" s="30"/>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x14ac:dyDescent="0.25">
      <c r="A865" s="11"/>
      <c r="B865" s="30"/>
      <c r="C865" s="30"/>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x14ac:dyDescent="0.25">
      <c r="A866" s="11"/>
      <c r="B866" s="30"/>
      <c r="C866" s="30"/>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x14ac:dyDescent="0.25">
      <c r="A867" s="11"/>
      <c r="B867" s="30"/>
      <c r="C867" s="30"/>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x14ac:dyDescent="0.25">
      <c r="A868" s="11"/>
      <c r="B868" s="30"/>
      <c r="C868" s="30"/>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x14ac:dyDescent="0.25">
      <c r="A869" s="11"/>
      <c r="B869" s="30"/>
      <c r="C869" s="30"/>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x14ac:dyDescent="0.25">
      <c r="A870" s="11"/>
      <c r="B870" s="30"/>
      <c r="C870" s="30"/>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x14ac:dyDescent="0.25">
      <c r="A871" s="11"/>
      <c r="B871" s="30"/>
      <c r="C871" s="30"/>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x14ac:dyDescent="0.25">
      <c r="A872" s="11"/>
      <c r="B872" s="30"/>
      <c r="C872" s="30"/>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x14ac:dyDescent="0.25">
      <c r="A873" s="11"/>
      <c r="B873" s="30"/>
      <c r="C873" s="30"/>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x14ac:dyDescent="0.25">
      <c r="A874" s="11"/>
      <c r="B874" s="30"/>
      <c r="C874" s="30"/>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x14ac:dyDescent="0.25">
      <c r="A875" s="11"/>
      <c r="B875" s="30"/>
      <c r="C875" s="30"/>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x14ac:dyDescent="0.25">
      <c r="A876" s="11"/>
      <c r="B876" s="30"/>
      <c r="C876" s="30"/>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x14ac:dyDescent="0.25">
      <c r="A877" s="11"/>
      <c r="B877" s="30"/>
      <c r="C877" s="30"/>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x14ac:dyDescent="0.25">
      <c r="A878" s="11"/>
      <c r="B878" s="30"/>
      <c r="C878" s="30"/>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x14ac:dyDescent="0.25">
      <c r="A879" s="11"/>
      <c r="B879" s="30"/>
      <c r="C879" s="30"/>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x14ac:dyDescent="0.25">
      <c r="A880" s="11"/>
      <c r="B880" s="30"/>
      <c r="C880" s="30"/>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x14ac:dyDescent="0.25">
      <c r="A881" s="11"/>
      <c r="B881" s="30"/>
      <c r="C881" s="30"/>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x14ac:dyDescent="0.25">
      <c r="A882" s="11"/>
      <c r="B882" s="30"/>
      <c r="C882" s="30"/>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x14ac:dyDescent="0.25">
      <c r="A883" s="11"/>
      <c r="B883" s="30"/>
      <c r="C883" s="30"/>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x14ac:dyDescent="0.25">
      <c r="A884" s="11"/>
      <c r="B884" s="30"/>
      <c r="C884" s="30"/>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x14ac:dyDescent="0.25">
      <c r="A885" s="11"/>
      <c r="B885" s="30"/>
      <c r="C885" s="30"/>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x14ac:dyDescent="0.25">
      <c r="A886" s="11"/>
      <c r="B886" s="30"/>
      <c r="C886" s="30"/>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x14ac:dyDescent="0.25">
      <c r="A887" s="11"/>
      <c r="B887" s="30"/>
      <c r="C887" s="30"/>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x14ac:dyDescent="0.25">
      <c r="A888" s="11"/>
      <c r="B888" s="30"/>
      <c r="C888" s="30"/>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x14ac:dyDescent="0.25">
      <c r="A889" s="11"/>
      <c r="B889" s="30"/>
      <c r="C889" s="30"/>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x14ac:dyDescent="0.25">
      <c r="A890" s="11"/>
      <c r="B890" s="30"/>
      <c r="C890" s="30"/>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x14ac:dyDescent="0.25">
      <c r="A891" s="11"/>
      <c r="B891" s="30"/>
      <c r="C891" s="30"/>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x14ac:dyDescent="0.25">
      <c r="A892" s="11"/>
      <c r="B892" s="30"/>
      <c r="C892" s="30"/>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x14ac:dyDescent="0.25">
      <c r="A893" s="11"/>
      <c r="B893" s="30"/>
      <c r="C893" s="30"/>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x14ac:dyDescent="0.25">
      <c r="A894" s="11"/>
      <c r="B894" s="30"/>
      <c r="C894" s="30"/>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x14ac:dyDescent="0.25">
      <c r="A895" s="11"/>
      <c r="B895" s="30"/>
      <c r="C895" s="30"/>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x14ac:dyDescent="0.25">
      <c r="A896" s="11"/>
      <c r="B896" s="30"/>
      <c r="C896" s="30"/>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x14ac:dyDescent="0.25">
      <c r="A897" s="11"/>
      <c r="B897" s="30"/>
      <c r="C897" s="30"/>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x14ac:dyDescent="0.25">
      <c r="A898" s="11"/>
      <c r="B898" s="30"/>
      <c r="C898" s="30"/>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x14ac:dyDescent="0.25">
      <c r="A899" s="11"/>
      <c r="B899" s="30"/>
      <c r="C899" s="30"/>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x14ac:dyDescent="0.25">
      <c r="A900" s="11"/>
      <c r="B900" s="30"/>
      <c r="C900" s="30"/>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x14ac:dyDescent="0.25">
      <c r="A901" s="11"/>
      <c r="B901" s="30"/>
      <c r="C901" s="30"/>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x14ac:dyDescent="0.25">
      <c r="A902" s="11"/>
      <c r="B902" s="30"/>
      <c r="C902" s="30"/>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x14ac:dyDescent="0.25">
      <c r="A903" s="11"/>
      <c r="B903" s="30"/>
      <c r="C903" s="30"/>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x14ac:dyDescent="0.25">
      <c r="A904" s="11"/>
      <c r="B904" s="30"/>
      <c r="C904" s="30"/>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x14ac:dyDescent="0.25">
      <c r="A905" s="11"/>
      <c r="B905" s="30"/>
      <c r="C905" s="30"/>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x14ac:dyDescent="0.25">
      <c r="A906" s="11"/>
      <c r="B906" s="30"/>
      <c r="C906" s="30"/>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x14ac:dyDescent="0.25">
      <c r="A907" s="11"/>
      <c r="B907" s="30"/>
      <c r="C907" s="30"/>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x14ac:dyDescent="0.25">
      <c r="A908" s="11"/>
      <c r="B908" s="30"/>
      <c r="C908" s="30"/>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x14ac:dyDescent="0.25">
      <c r="A909" s="11"/>
      <c r="B909" s="30"/>
      <c r="C909" s="30"/>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x14ac:dyDescent="0.25">
      <c r="A910" s="11"/>
      <c r="B910" s="30"/>
      <c r="C910" s="30"/>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x14ac:dyDescent="0.25">
      <c r="A911" s="11"/>
      <c r="B911" s="30"/>
      <c r="C911" s="30"/>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x14ac:dyDescent="0.25">
      <c r="A912" s="11"/>
      <c r="B912" s="30"/>
      <c r="C912" s="30"/>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x14ac:dyDescent="0.25">
      <c r="A913" s="11"/>
      <c r="B913" s="30"/>
      <c r="C913" s="30"/>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x14ac:dyDescent="0.25">
      <c r="A914" s="11"/>
      <c r="B914" s="30"/>
      <c r="C914" s="30"/>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x14ac:dyDescent="0.25">
      <c r="A915" s="11"/>
      <c r="B915" s="30"/>
      <c r="C915" s="30"/>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x14ac:dyDescent="0.25">
      <c r="A916" s="11"/>
      <c r="B916" s="30"/>
      <c r="C916" s="30"/>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x14ac:dyDescent="0.25">
      <c r="A917" s="11"/>
      <c r="B917" s="30"/>
      <c r="C917" s="30"/>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x14ac:dyDescent="0.25">
      <c r="A918" s="11"/>
      <c r="B918" s="30"/>
      <c r="C918" s="30"/>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x14ac:dyDescent="0.25">
      <c r="A919" s="11"/>
      <c r="B919" s="30"/>
      <c r="C919" s="30"/>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x14ac:dyDescent="0.25">
      <c r="A920" s="11"/>
      <c r="B920" s="30"/>
      <c r="C920" s="30"/>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x14ac:dyDescent="0.25">
      <c r="A921" s="11"/>
      <c r="B921" s="30"/>
      <c r="C921" s="30"/>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x14ac:dyDescent="0.25">
      <c r="A922" s="11"/>
      <c r="B922" s="30"/>
      <c r="C922" s="30"/>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x14ac:dyDescent="0.25">
      <c r="A923" s="11"/>
      <c r="B923" s="30"/>
      <c r="C923" s="30"/>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x14ac:dyDescent="0.25">
      <c r="A924" s="11"/>
      <c r="B924" s="30"/>
      <c r="C924" s="30"/>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x14ac:dyDescent="0.25">
      <c r="A925" s="11"/>
      <c r="B925" s="30"/>
      <c r="C925" s="30"/>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x14ac:dyDescent="0.25">
      <c r="A926" s="11"/>
      <c r="B926" s="30"/>
      <c r="C926" s="30"/>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x14ac:dyDescent="0.25">
      <c r="A927" s="11"/>
      <c r="B927" s="30"/>
      <c r="C927" s="30"/>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x14ac:dyDescent="0.25">
      <c r="A928" s="11"/>
      <c r="B928" s="30"/>
      <c r="C928" s="30"/>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x14ac:dyDescent="0.25">
      <c r="A929" s="11"/>
      <c r="B929" s="30"/>
      <c r="C929" s="30"/>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x14ac:dyDescent="0.25">
      <c r="A930" s="11"/>
      <c r="B930" s="30"/>
      <c r="C930" s="30"/>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x14ac:dyDescent="0.25">
      <c r="A931" s="11"/>
      <c r="B931" s="30"/>
      <c r="C931" s="30"/>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x14ac:dyDescent="0.25">
      <c r="A932" s="11"/>
      <c r="B932" s="30"/>
      <c r="C932" s="30"/>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x14ac:dyDescent="0.25">
      <c r="A933" s="11"/>
      <c r="B933" s="30"/>
      <c r="C933" s="30"/>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x14ac:dyDescent="0.25">
      <c r="A934" s="11"/>
      <c r="B934" s="30"/>
      <c r="C934" s="30"/>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x14ac:dyDescent="0.25">
      <c r="A935" s="11"/>
      <c r="B935" s="30"/>
      <c r="C935" s="30"/>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x14ac:dyDescent="0.25">
      <c r="A936" s="11"/>
      <c r="B936" s="30"/>
      <c r="C936" s="30"/>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x14ac:dyDescent="0.25">
      <c r="A937" s="11"/>
      <c r="B937" s="30"/>
      <c r="C937" s="30"/>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x14ac:dyDescent="0.25">
      <c r="A938" s="11"/>
      <c r="B938" s="30"/>
      <c r="C938" s="30"/>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x14ac:dyDescent="0.25">
      <c r="A939" s="11"/>
      <c r="B939" s="30"/>
      <c r="C939" s="30"/>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x14ac:dyDescent="0.25">
      <c r="A940" s="11"/>
      <c r="B940" s="30"/>
      <c r="C940" s="30"/>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x14ac:dyDescent="0.25">
      <c r="A941" s="11"/>
      <c r="B941" s="30"/>
      <c r="C941" s="30"/>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x14ac:dyDescent="0.25">
      <c r="A942" s="11"/>
      <c r="B942" s="30"/>
      <c r="C942" s="30"/>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x14ac:dyDescent="0.25">
      <c r="A943" s="11"/>
      <c r="B943" s="30"/>
      <c r="C943" s="30"/>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x14ac:dyDescent="0.25">
      <c r="A944" s="11"/>
      <c r="B944" s="30"/>
      <c r="C944" s="30"/>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x14ac:dyDescent="0.25">
      <c r="A945" s="11"/>
      <c r="B945" s="30"/>
      <c r="C945" s="30"/>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x14ac:dyDescent="0.25">
      <c r="A946" s="11"/>
      <c r="B946" s="30"/>
      <c r="C946" s="30"/>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x14ac:dyDescent="0.25">
      <c r="A947" s="11"/>
      <c r="B947" s="30"/>
      <c r="C947" s="30"/>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x14ac:dyDescent="0.25">
      <c r="A948" s="11"/>
      <c r="B948" s="30"/>
      <c r="C948" s="30"/>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x14ac:dyDescent="0.25">
      <c r="A949" s="11"/>
      <c r="B949" s="30"/>
      <c r="C949" s="30"/>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x14ac:dyDescent="0.25">
      <c r="A950" s="11"/>
      <c r="B950" s="30"/>
      <c r="C950" s="30"/>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x14ac:dyDescent="0.25">
      <c r="A951" s="11"/>
      <c r="B951" s="30"/>
      <c r="C951" s="30"/>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x14ac:dyDescent="0.25">
      <c r="A952" s="11"/>
      <c r="B952" s="30"/>
      <c r="C952" s="30"/>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x14ac:dyDescent="0.25">
      <c r="A953" s="11"/>
      <c r="B953" s="30"/>
      <c r="C953" s="30"/>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x14ac:dyDescent="0.25">
      <c r="A954" s="11"/>
      <c r="B954" s="30"/>
      <c r="C954" s="30"/>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x14ac:dyDescent="0.25">
      <c r="A955" s="11"/>
      <c r="B955" s="30"/>
      <c r="C955" s="30"/>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x14ac:dyDescent="0.25">
      <c r="A956" s="11"/>
      <c r="B956" s="30"/>
      <c r="C956" s="30"/>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x14ac:dyDescent="0.25">
      <c r="A957" s="11"/>
      <c r="B957" s="30"/>
      <c r="C957" s="30"/>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x14ac:dyDescent="0.25">
      <c r="A958" s="11"/>
      <c r="B958" s="30"/>
      <c r="C958" s="30"/>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x14ac:dyDescent="0.25">
      <c r="A959" s="11"/>
      <c r="B959" s="30"/>
      <c r="C959" s="30"/>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x14ac:dyDescent="0.25">
      <c r="A960" s="11"/>
      <c r="B960" s="30"/>
      <c r="C960" s="30"/>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x14ac:dyDescent="0.25">
      <c r="A961" s="11"/>
      <c r="B961" s="30"/>
      <c r="C961" s="30"/>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x14ac:dyDescent="0.25">
      <c r="A962" s="11"/>
      <c r="B962" s="30"/>
      <c r="C962" s="30"/>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x14ac:dyDescent="0.25">
      <c r="A963" s="11"/>
      <c r="B963" s="30"/>
      <c r="C963" s="30"/>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x14ac:dyDescent="0.25">
      <c r="A964" s="11"/>
      <c r="B964" s="30"/>
      <c r="C964" s="30"/>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x14ac:dyDescent="0.25">
      <c r="A965" s="11"/>
      <c r="B965" s="30"/>
      <c r="C965" s="30"/>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x14ac:dyDescent="0.25">
      <c r="A966" s="11"/>
      <c r="B966" s="30"/>
      <c r="C966" s="30"/>
      <c r="D966" s="11"/>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x14ac:dyDescent="0.25">
      <c r="A967" s="11"/>
      <c r="B967" s="30"/>
      <c r="C967" s="30"/>
      <c r="D967" s="11"/>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x14ac:dyDescent="0.25">
      <c r="A968" s="11"/>
      <c r="B968" s="30"/>
      <c r="C968" s="30"/>
      <c r="D968" s="11"/>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x14ac:dyDescent="0.25">
      <c r="A969" s="11"/>
      <c r="B969" s="30"/>
      <c r="C969" s="30"/>
      <c r="D969" s="11"/>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x14ac:dyDescent="0.25">
      <c r="A970" s="11"/>
      <c r="B970" s="30"/>
      <c r="C970" s="30"/>
      <c r="D970" s="11"/>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x14ac:dyDescent="0.25">
      <c r="A971" s="11"/>
      <c r="B971" s="30"/>
      <c r="C971" s="30"/>
      <c r="D971" s="11"/>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x14ac:dyDescent="0.25">
      <c r="A972" s="11"/>
      <c r="B972" s="30"/>
      <c r="C972" s="30"/>
      <c r="D972" s="11"/>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x14ac:dyDescent="0.25">
      <c r="A973" s="11"/>
      <c r="B973" s="30"/>
      <c r="C973" s="30"/>
      <c r="D973" s="11"/>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x14ac:dyDescent="0.25">
      <c r="A974" s="11"/>
      <c r="B974" s="30"/>
      <c r="C974" s="30"/>
      <c r="D974" s="11"/>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x14ac:dyDescent="0.25">
      <c r="A975" s="11"/>
      <c r="B975" s="30"/>
      <c r="C975" s="30"/>
      <c r="D975" s="11"/>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x14ac:dyDescent="0.25">
      <c r="A976" s="11"/>
      <c r="B976" s="30"/>
      <c r="C976" s="30"/>
      <c r="D976" s="11"/>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x14ac:dyDescent="0.25">
      <c r="A977" s="11"/>
      <c r="B977" s="30"/>
      <c r="C977" s="30"/>
      <c r="D977" s="11"/>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x14ac:dyDescent="0.25">
      <c r="A978" s="11"/>
      <c r="B978" s="30"/>
      <c r="C978" s="30"/>
      <c r="D978" s="11"/>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x14ac:dyDescent="0.25">
      <c r="A979" s="11"/>
      <c r="B979" s="30"/>
      <c r="C979" s="30"/>
      <c r="D979" s="11"/>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x14ac:dyDescent="0.25">
      <c r="A980" s="11"/>
      <c r="B980" s="30"/>
      <c r="C980" s="30"/>
      <c r="D980" s="11"/>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x14ac:dyDescent="0.25">
      <c r="A981" s="11"/>
      <c r="B981" s="30"/>
      <c r="C981" s="30"/>
      <c r="D981" s="11"/>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x14ac:dyDescent="0.25">
      <c r="A982" s="11"/>
      <c r="B982" s="30"/>
      <c r="C982" s="30"/>
      <c r="D982" s="11"/>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x14ac:dyDescent="0.25">
      <c r="A983" s="11"/>
      <c r="B983" s="30"/>
      <c r="C983" s="30"/>
      <c r="D983" s="11"/>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x14ac:dyDescent="0.25">
      <c r="A984" s="11"/>
      <c r="B984" s="30"/>
      <c r="C984" s="30"/>
      <c r="D984" s="11"/>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x14ac:dyDescent="0.25">
      <c r="A985" s="11"/>
      <c r="B985" s="30"/>
      <c r="C985" s="30"/>
      <c r="D985" s="11"/>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x14ac:dyDescent="0.25">
      <c r="A986" s="11"/>
      <c r="B986" s="30"/>
      <c r="C986" s="30"/>
      <c r="D986" s="11"/>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x14ac:dyDescent="0.25">
      <c r="A987" s="11"/>
      <c r="B987" s="30"/>
      <c r="C987" s="30"/>
      <c r="D987" s="11"/>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x14ac:dyDescent="0.25">
      <c r="A988" s="11"/>
      <c r="B988" s="30"/>
      <c r="C988" s="30"/>
      <c r="D988" s="11"/>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x14ac:dyDescent="0.25">
      <c r="A989" s="11"/>
      <c r="B989" s="30"/>
      <c r="C989" s="30"/>
      <c r="D989" s="11"/>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x14ac:dyDescent="0.25">
      <c r="A990" s="11"/>
      <c r="B990" s="30"/>
      <c r="C990" s="30"/>
      <c r="D990" s="11"/>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x14ac:dyDescent="0.25">
      <c r="A991" s="11"/>
      <c r="B991" s="30"/>
      <c r="C991" s="30"/>
      <c r="D991" s="11"/>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x14ac:dyDescent="0.25">
      <c r="A992" s="11"/>
      <c r="B992" s="30"/>
      <c r="C992" s="30"/>
      <c r="D992" s="11"/>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x14ac:dyDescent="0.25">
      <c r="A993" s="11"/>
      <c r="B993" s="30"/>
      <c r="C993" s="30"/>
      <c r="D993" s="11"/>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x14ac:dyDescent="0.25">
      <c r="A994" s="11"/>
      <c r="B994" s="30"/>
      <c r="C994" s="30"/>
      <c r="D994" s="11"/>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x14ac:dyDescent="0.25">
      <c r="A995" s="11"/>
      <c r="B995" s="30"/>
      <c r="C995" s="30"/>
      <c r="D995" s="11"/>
      <c r="E995" s="11"/>
      <c r="F995" s="11"/>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x14ac:dyDescent="0.25">
      <c r="A996" s="11"/>
      <c r="B996" s="30"/>
      <c r="C996" s="30"/>
      <c r="D996" s="11"/>
      <c r="E996" s="11"/>
      <c r="F996" s="11"/>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x14ac:dyDescent="0.25">
      <c r="A997" s="11"/>
      <c r="B997" s="30"/>
      <c r="C997" s="30"/>
      <c r="D997" s="11"/>
      <c r="E997" s="11"/>
      <c r="F997" s="11"/>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x14ac:dyDescent="0.25">
      <c r="A998" s="11"/>
      <c r="B998" s="30"/>
      <c r="C998" s="30"/>
      <c r="D998" s="11"/>
      <c r="E998" s="11"/>
      <c r="F998" s="11"/>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x14ac:dyDescent="0.25">
      <c r="A999" s="11"/>
      <c r="B999" s="30"/>
      <c r="C999" s="30"/>
      <c r="D999" s="11"/>
      <c r="E999" s="11"/>
      <c r="F999" s="11"/>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x14ac:dyDescent="0.25">
      <c r="A1000" s="11"/>
      <c r="B1000" s="30"/>
      <c r="C1000" s="30"/>
      <c r="D1000" s="11"/>
      <c r="E1000" s="11"/>
      <c r="F1000" s="11"/>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15.75" customHeight="1" x14ac:dyDescent="0.25">
      <c r="A1001" s="11"/>
      <c r="B1001" s="30"/>
      <c r="C1001" s="30"/>
      <c r="D1001" s="11"/>
      <c r="E1001" s="11"/>
      <c r="F1001" s="11"/>
      <c r="G1001" s="11"/>
      <c r="H1001" s="11"/>
      <c r="L1001" s="11"/>
      <c r="M1001" s="11"/>
      <c r="N1001" s="11"/>
      <c r="O1001" s="11"/>
      <c r="P1001" s="11"/>
      <c r="Q1001" s="11"/>
      <c r="R1001" s="11"/>
      <c r="S1001" s="11"/>
      <c r="T1001" s="11"/>
      <c r="U1001" s="11"/>
      <c r="V1001" s="11"/>
      <c r="W1001" s="11"/>
      <c r="X1001" s="11"/>
      <c r="Y1001" s="11"/>
      <c r="Z1001" s="11"/>
    </row>
    <row r="1002" spans="1:26" ht="15.75" customHeight="1" x14ac:dyDescent="0.25">
      <c r="A1002" s="11"/>
      <c r="B1002" s="30"/>
      <c r="C1002" s="30"/>
      <c r="D1002" s="11"/>
      <c r="E1002" s="11"/>
      <c r="F1002" s="11"/>
      <c r="G1002" s="11"/>
      <c r="H1002" s="11"/>
      <c r="L1002" s="11"/>
      <c r="M1002" s="11"/>
      <c r="N1002" s="11"/>
      <c r="O1002" s="11"/>
      <c r="P1002" s="11"/>
      <c r="Q1002" s="11"/>
      <c r="R1002" s="11"/>
      <c r="S1002" s="11"/>
      <c r="T1002" s="11"/>
      <c r="U1002" s="11"/>
      <c r="V1002" s="11"/>
      <c r="W1002" s="11"/>
      <c r="X1002" s="11"/>
      <c r="Y1002" s="11"/>
      <c r="Z1002" s="11"/>
    </row>
    <row r="1003" spans="1:26" ht="15.75" customHeight="1" x14ac:dyDescent="0.25">
      <c r="A1003" s="11"/>
      <c r="B1003" s="30"/>
      <c r="C1003" s="30"/>
      <c r="D1003" s="11"/>
      <c r="E1003" s="11"/>
      <c r="F1003" s="11"/>
      <c r="G1003" s="11"/>
      <c r="H1003" s="11"/>
      <c r="L1003" s="11"/>
      <c r="M1003" s="11"/>
      <c r="N1003" s="11"/>
      <c r="O1003" s="11"/>
      <c r="P1003" s="11"/>
      <c r="Q1003" s="11"/>
      <c r="R1003" s="11"/>
      <c r="S1003" s="11"/>
      <c r="T1003" s="11"/>
      <c r="U1003" s="11"/>
      <c r="V1003" s="11"/>
      <c r="W1003" s="11"/>
      <c r="X1003" s="11"/>
      <c r="Y1003" s="11"/>
      <c r="Z1003" s="11"/>
    </row>
    <row r="1004" spans="1:26" ht="15" customHeight="1" x14ac:dyDescent="0.25">
      <c r="E1004" s="11"/>
      <c r="F1004" s="11"/>
      <c r="G1004" s="11"/>
    </row>
    <row r="1005" spans="1:26" ht="15" customHeight="1" x14ac:dyDescent="0.25">
      <c r="E1005" s="11"/>
      <c r="F1005" s="11"/>
      <c r="G1005" s="11"/>
    </row>
    <row r="1006" spans="1:26" ht="15" customHeight="1" x14ac:dyDescent="0.25">
      <c r="E1006" s="11"/>
      <c r="F1006" s="11"/>
      <c r="G1006" s="11"/>
    </row>
  </sheetData>
  <mergeCells count="4">
    <mergeCell ref="E83:F83"/>
    <mergeCell ref="E84:F84"/>
    <mergeCell ref="H125:H140"/>
    <mergeCell ref="E252:H252"/>
  </mergeCells>
  <conditionalFormatting sqref="E89:E92 E95 E98 E101 E104 E107 E110">
    <cfRule type="cellIs" dxfId="33" priority="8" operator="notEqual">
      <formula>""</formula>
    </cfRule>
  </conditionalFormatting>
  <conditionalFormatting sqref="E93:E94">
    <cfRule type="cellIs" dxfId="32" priority="9" operator="notEqual">
      <formula>""</formula>
    </cfRule>
  </conditionalFormatting>
  <conditionalFormatting sqref="E96:E97">
    <cfRule type="cellIs" dxfId="31" priority="10" operator="notEqual">
      <formula>""</formula>
    </cfRule>
  </conditionalFormatting>
  <conditionalFormatting sqref="E99:E100">
    <cfRule type="cellIs" dxfId="30" priority="11" operator="notEqual">
      <formula>""</formula>
    </cfRule>
  </conditionalFormatting>
  <conditionalFormatting sqref="E102:E103">
    <cfRule type="cellIs" dxfId="29" priority="12" operator="notEqual">
      <formula>""</formula>
    </cfRule>
  </conditionalFormatting>
  <conditionalFormatting sqref="E105:E106">
    <cfRule type="cellIs" dxfId="28" priority="13" operator="notEqual">
      <formula>""</formula>
    </cfRule>
  </conditionalFormatting>
  <conditionalFormatting sqref="E108:E109">
    <cfRule type="cellIs" dxfId="27" priority="14" operator="notEqual">
      <formula>""</formula>
    </cfRule>
  </conditionalFormatting>
  <conditionalFormatting sqref="E111:E112">
    <cfRule type="cellIs" dxfId="26" priority="15" operator="notEqual">
      <formula>""</formula>
    </cfRule>
  </conditionalFormatting>
  <conditionalFormatting sqref="E114:E115">
    <cfRule type="cellIs" dxfId="25" priority="16" operator="notEqual">
      <formula>""</formula>
    </cfRule>
  </conditionalFormatting>
  <conditionalFormatting sqref="E117:E118">
    <cfRule type="cellIs" dxfId="24" priority="17" operator="notEqual">
      <formula>""</formula>
    </cfRule>
  </conditionalFormatting>
  <conditionalFormatting sqref="I90:I91">
    <cfRule type="cellIs" dxfId="23" priority="18" operator="notEqual">
      <formula>""</formula>
    </cfRule>
  </conditionalFormatting>
  <conditionalFormatting sqref="I93:I94">
    <cfRule type="cellIs" dxfId="22" priority="19" operator="notEqual">
      <formula>""</formula>
    </cfRule>
  </conditionalFormatting>
  <conditionalFormatting sqref="I96:I97">
    <cfRule type="cellIs" dxfId="21" priority="20" operator="notEqual">
      <formula>""</formula>
    </cfRule>
  </conditionalFormatting>
  <conditionalFormatting sqref="I99:I100">
    <cfRule type="cellIs" dxfId="20" priority="21" operator="notEqual">
      <formula>""</formula>
    </cfRule>
  </conditionalFormatting>
  <conditionalFormatting sqref="I102:I103 E127:E128 I127:I128 I140:I141 E156:E157 E163:E164 E170:E171">
    <cfRule type="cellIs" dxfId="19" priority="22" operator="notEqual">
      <formula>""</formula>
    </cfRule>
  </conditionalFormatting>
  <conditionalFormatting sqref="I105:I106">
    <cfRule type="cellIs" dxfId="18" priority="23" operator="notEqual">
      <formula>""</formula>
    </cfRule>
  </conditionalFormatting>
  <conditionalFormatting sqref="I108:I109">
    <cfRule type="cellIs" dxfId="17" priority="24" operator="notEqual">
      <formula>""</formula>
    </cfRule>
  </conditionalFormatting>
  <conditionalFormatting sqref="I111:I112">
    <cfRule type="cellIs" dxfId="16" priority="25" operator="notEqual">
      <formula>""</formula>
    </cfRule>
  </conditionalFormatting>
  <conditionalFormatting sqref="I114:I115">
    <cfRule type="cellIs" dxfId="15" priority="26" operator="notEqual">
      <formula>""</formula>
    </cfRule>
  </conditionalFormatting>
  <conditionalFormatting sqref="I156:I157">
    <cfRule type="cellIs" dxfId="14" priority="7" operator="notEqual">
      <formula>""</formula>
    </cfRule>
  </conditionalFormatting>
  <conditionalFormatting sqref="E183:E184">
    <cfRule type="cellIs" dxfId="13" priority="6" operator="notEqual">
      <formula>""</formula>
    </cfRule>
  </conditionalFormatting>
  <conditionalFormatting sqref="E190:E191">
    <cfRule type="cellIs" dxfId="12" priority="5" operator="notEqual">
      <formula>""</formula>
    </cfRule>
  </conditionalFormatting>
  <conditionalFormatting sqref="E200:E201">
    <cfRule type="cellIs" dxfId="11" priority="4" operator="notEqual">
      <formula>""</formula>
    </cfRule>
  </conditionalFormatting>
  <conditionalFormatting sqref="E207:E208">
    <cfRule type="cellIs" dxfId="10" priority="3" operator="notEqual">
      <formula>""</formula>
    </cfRule>
  </conditionalFormatting>
  <conditionalFormatting sqref="E214:E215">
    <cfRule type="cellIs" dxfId="9" priority="2" operator="notEqual">
      <formula>""</formula>
    </cfRule>
  </conditionalFormatting>
  <conditionalFormatting sqref="E221:E222">
    <cfRule type="cellIs" dxfId="8" priority="1" operator="notEqual">
      <formula>""</formula>
    </cfRule>
  </conditionalFormatting>
  <pageMargins left="0.7" right="0.7" top="0.75" bottom="0.75" header="0" footer="0"/>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5684"/>
  <sheetViews>
    <sheetView topLeftCell="A4915" workbookViewId="0">
      <selection activeCell="G4936" sqref="G4936"/>
    </sheetView>
  </sheetViews>
  <sheetFormatPr defaultColWidth="14.42578125" defaultRowHeight="15" customHeight="1" x14ac:dyDescent="0.25"/>
  <cols>
    <col min="1" max="1" width="4.42578125" customWidth="1"/>
    <col min="2" max="2" width="54.140625" customWidth="1"/>
    <col min="3" max="3" width="7.85546875" customWidth="1"/>
    <col min="4" max="4" width="9.140625" customWidth="1"/>
    <col min="5" max="5" width="15.5703125" customWidth="1"/>
    <col min="6" max="6" width="18.28515625" customWidth="1"/>
    <col min="7" max="7" width="32.5703125" customWidth="1"/>
    <col min="8" max="8" width="11.5703125" customWidth="1"/>
    <col min="9" max="9" width="2.85546875" customWidth="1"/>
    <col min="10" max="10" width="15.5703125" customWidth="1"/>
    <col min="11" max="11" width="18.28515625" customWidth="1"/>
    <col min="12" max="12" width="28.7109375" customWidth="1"/>
    <col min="13" max="13" width="20.5703125" customWidth="1"/>
    <col min="14" max="14" width="9.5703125" hidden="1" customWidth="1"/>
  </cols>
  <sheetData>
    <row r="1" spans="1:14" x14ac:dyDescent="0.25">
      <c r="A1" s="31" t="s">
        <v>14</v>
      </c>
      <c r="B1" s="31" t="s">
        <v>234</v>
      </c>
      <c r="C1" s="31" t="s">
        <v>16</v>
      </c>
      <c r="D1" s="31" t="s">
        <v>17</v>
      </c>
      <c r="E1" s="31" t="s">
        <v>235</v>
      </c>
      <c r="F1" s="31" t="s">
        <v>236</v>
      </c>
      <c r="G1" s="25"/>
      <c r="H1" s="11"/>
      <c r="I1" s="21"/>
      <c r="J1" s="21"/>
      <c r="K1" s="21"/>
      <c r="L1" s="21"/>
      <c r="M1" s="21"/>
      <c r="N1" s="21"/>
    </row>
    <row r="2" spans="1:14" x14ac:dyDescent="0.25">
      <c r="A2" s="7">
        <v>1</v>
      </c>
      <c r="B2" s="35" t="s">
        <v>341</v>
      </c>
      <c r="C2" s="7">
        <v>3</v>
      </c>
      <c r="D2" s="7" t="s">
        <v>19</v>
      </c>
      <c r="E2" s="104">
        <v>634500</v>
      </c>
      <c r="F2" s="104">
        <f>E2*C2</f>
        <v>1903500</v>
      </c>
      <c r="G2" s="25"/>
      <c r="H2" s="11"/>
      <c r="I2" s="21"/>
      <c r="J2" s="21"/>
      <c r="K2" s="21"/>
      <c r="L2" s="21"/>
      <c r="M2" s="21"/>
      <c r="N2" s="21"/>
    </row>
    <row r="3" spans="1:14" x14ac:dyDescent="0.25">
      <c r="A3" s="7"/>
      <c r="B3" s="343" t="s">
        <v>342</v>
      </c>
      <c r="C3" s="344"/>
      <c r="D3" s="344"/>
      <c r="E3" s="334"/>
      <c r="F3" s="104">
        <f>F2</f>
        <v>1903500</v>
      </c>
      <c r="G3" s="25"/>
      <c r="H3" s="11"/>
      <c r="I3" s="21"/>
      <c r="J3" s="21"/>
      <c r="K3" s="21"/>
      <c r="L3" s="21"/>
      <c r="M3" s="21"/>
      <c r="N3" s="21"/>
    </row>
    <row r="4" spans="1:14" x14ac:dyDescent="0.25">
      <c r="A4" s="7"/>
      <c r="B4" s="343" t="s">
        <v>343</v>
      </c>
      <c r="C4" s="344"/>
      <c r="D4" s="344"/>
      <c r="E4" s="334"/>
      <c r="F4" s="104">
        <v>209385</v>
      </c>
      <c r="G4" s="25"/>
      <c r="H4" s="11"/>
      <c r="I4" s="21"/>
      <c r="J4" s="21"/>
      <c r="K4" s="21"/>
      <c r="L4" s="21"/>
      <c r="M4" s="21"/>
      <c r="N4" s="21"/>
    </row>
    <row r="5" spans="1:14" x14ac:dyDescent="0.25">
      <c r="A5" s="7"/>
      <c r="B5" s="345" t="s">
        <v>344</v>
      </c>
      <c r="C5" s="344"/>
      <c r="D5" s="344"/>
      <c r="E5" s="334"/>
      <c r="F5" s="107">
        <f>SUM(F3:F4)</f>
        <v>2112885</v>
      </c>
      <c r="G5" s="25"/>
      <c r="H5" s="11"/>
      <c r="I5" s="21"/>
      <c r="J5" s="21"/>
      <c r="K5" s="21"/>
      <c r="L5" s="21"/>
      <c r="M5" s="21"/>
      <c r="N5" s="21"/>
    </row>
    <row r="6" spans="1:14" x14ac:dyDescent="0.25">
      <c r="A6" s="21"/>
      <c r="B6" s="21"/>
      <c r="C6" s="11"/>
      <c r="D6" s="11"/>
      <c r="E6" s="21"/>
      <c r="F6" s="21"/>
      <c r="G6" s="25"/>
      <c r="H6" s="11"/>
      <c r="I6" s="21"/>
      <c r="J6" s="21"/>
      <c r="K6" s="21"/>
      <c r="L6" s="21"/>
      <c r="M6" s="21"/>
      <c r="N6" s="21"/>
    </row>
    <row r="7" spans="1:14" x14ac:dyDescent="0.25">
      <c r="A7" s="31" t="s">
        <v>14</v>
      </c>
      <c r="B7" s="31" t="s">
        <v>234</v>
      </c>
      <c r="C7" s="31" t="s">
        <v>16</v>
      </c>
      <c r="D7" s="31" t="s">
        <v>17</v>
      </c>
      <c r="E7" s="31" t="s">
        <v>235</v>
      </c>
      <c r="F7" s="31" t="s">
        <v>236</v>
      </c>
      <c r="G7" s="25"/>
      <c r="H7" s="11"/>
      <c r="I7" s="21"/>
      <c r="J7" s="21"/>
      <c r="K7" s="21"/>
      <c r="L7" s="21"/>
      <c r="M7" s="21"/>
      <c r="N7" s="21"/>
    </row>
    <row r="8" spans="1:14" ht="30" x14ac:dyDescent="0.25">
      <c r="A8" s="7">
        <v>1</v>
      </c>
      <c r="B8" s="41" t="s">
        <v>345</v>
      </c>
      <c r="C8" s="7">
        <v>1</v>
      </c>
      <c r="D8" s="7" t="s">
        <v>243</v>
      </c>
      <c r="E8" s="104">
        <v>1490000</v>
      </c>
      <c r="F8" s="104">
        <f>E8*C8</f>
        <v>1490000</v>
      </c>
      <c r="G8" s="25"/>
      <c r="H8" s="11"/>
      <c r="I8" s="21"/>
      <c r="J8" s="21"/>
      <c r="K8" s="21"/>
      <c r="L8" s="21"/>
      <c r="M8" s="21"/>
      <c r="N8" s="21"/>
    </row>
    <row r="9" spans="1:14" x14ac:dyDescent="0.25">
      <c r="A9" s="7"/>
      <c r="B9" s="343" t="s">
        <v>342</v>
      </c>
      <c r="C9" s="344"/>
      <c r="D9" s="344"/>
      <c r="E9" s="334"/>
      <c r="F9" s="104">
        <f>F8</f>
        <v>1490000</v>
      </c>
      <c r="G9" s="25"/>
      <c r="H9" s="11"/>
      <c r="I9" s="21"/>
      <c r="J9" s="21"/>
      <c r="K9" s="21"/>
      <c r="L9" s="21"/>
      <c r="M9" s="21"/>
      <c r="N9" s="21"/>
    </row>
    <row r="10" spans="1:14" x14ac:dyDescent="0.25">
      <c r="A10" s="7"/>
      <c r="B10" s="343" t="s">
        <v>343</v>
      </c>
      <c r="C10" s="344"/>
      <c r="D10" s="344"/>
      <c r="E10" s="334"/>
      <c r="F10" s="104">
        <v>163900</v>
      </c>
      <c r="G10" s="25"/>
      <c r="H10" s="11"/>
      <c r="I10" s="21"/>
      <c r="J10" s="21"/>
      <c r="K10" s="21"/>
      <c r="L10" s="21"/>
      <c r="M10" s="21"/>
      <c r="N10" s="21"/>
    </row>
    <row r="11" spans="1:14" x14ac:dyDescent="0.25">
      <c r="A11" s="7"/>
      <c r="B11" s="345" t="s">
        <v>344</v>
      </c>
      <c r="C11" s="344"/>
      <c r="D11" s="344"/>
      <c r="E11" s="334"/>
      <c r="F11" s="107">
        <f>SUM(F9:F10)</f>
        <v>1653900</v>
      </c>
      <c r="G11" s="25"/>
      <c r="H11" s="11"/>
      <c r="I11" s="21"/>
      <c r="J11" s="21"/>
      <c r="K11" s="21"/>
      <c r="L11" s="21"/>
      <c r="M11" s="21"/>
      <c r="N11" s="21"/>
    </row>
    <row r="12" spans="1:14" x14ac:dyDescent="0.25">
      <c r="A12" s="21"/>
      <c r="B12" s="21"/>
      <c r="C12" s="11"/>
      <c r="D12" s="11"/>
      <c r="E12" s="21"/>
      <c r="F12" s="21"/>
      <c r="G12" s="25"/>
      <c r="H12" s="11"/>
      <c r="I12" s="21"/>
      <c r="J12" s="21"/>
      <c r="K12" s="21"/>
      <c r="L12" s="21"/>
      <c r="M12" s="21"/>
      <c r="N12" s="21"/>
    </row>
    <row r="13" spans="1:14" x14ac:dyDescent="0.25">
      <c r="A13" s="31" t="s">
        <v>14</v>
      </c>
      <c r="B13" s="31" t="s">
        <v>234</v>
      </c>
      <c r="C13" s="31" t="s">
        <v>16</v>
      </c>
      <c r="D13" s="31" t="s">
        <v>17</v>
      </c>
      <c r="E13" s="31" t="s">
        <v>235</v>
      </c>
      <c r="F13" s="31" t="s">
        <v>236</v>
      </c>
      <c r="G13" s="25"/>
      <c r="H13" s="11"/>
      <c r="I13" s="21"/>
      <c r="J13" s="21"/>
      <c r="K13" s="21"/>
      <c r="L13" s="21"/>
      <c r="M13" s="21"/>
      <c r="N13" s="21"/>
    </row>
    <row r="14" spans="1:14" x14ac:dyDescent="0.25">
      <c r="A14" s="7">
        <v>1</v>
      </c>
      <c r="B14" s="35" t="s">
        <v>346</v>
      </c>
      <c r="C14" s="7">
        <v>5</v>
      </c>
      <c r="D14" s="7" t="s">
        <v>347</v>
      </c>
      <c r="E14" s="104">
        <v>378100</v>
      </c>
      <c r="F14" s="104">
        <f>E14*C14</f>
        <v>1890500</v>
      </c>
      <c r="G14" s="25"/>
      <c r="H14" s="11"/>
      <c r="I14" s="21"/>
      <c r="J14" s="21"/>
      <c r="K14" s="21"/>
      <c r="L14" s="21"/>
      <c r="M14" s="21"/>
      <c r="N14" s="21"/>
    </row>
    <row r="15" spans="1:14" x14ac:dyDescent="0.25">
      <c r="A15" s="7"/>
      <c r="B15" s="343" t="s">
        <v>342</v>
      </c>
      <c r="C15" s="344"/>
      <c r="D15" s="344"/>
      <c r="E15" s="334"/>
      <c r="F15" s="104">
        <f>F14</f>
        <v>1890500</v>
      </c>
      <c r="G15" s="25"/>
      <c r="H15" s="11"/>
      <c r="I15" s="21"/>
      <c r="J15" s="21"/>
      <c r="K15" s="21"/>
      <c r="L15" s="21"/>
      <c r="M15" s="21"/>
      <c r="N15" s="21"/>
    </row>
    <row r="16" spans="1:14" x14ac:dyDescent="0.25">
      <c r="A16" s="7"/>
      <c r="B16" s="343" t="s">
        <v>343</v>
      </c>
      <c r="C16" s="344"/>
      <c r="D16" s="344"/>
      <c r="E16" s="334"/>
      <c r="F16" s="104">
        <v>189050</v>
      </c>
      <c r="G16" s="25"/>
      <c r="H16" s="11"/>
      <c r="I16" s="21"/>
      <c r="J16" s="21"/>
      <c r="K16" s="21"/>
      <c r="L16" s="21"/>
      <c r="M16" s="21"/>
      <c r="N16" s="21"/>
    </row>
    <row r="17" spans="1:14" x14ac:dyDescent="0.25">
      <c r="A17" s="7"/>
      <c r="B17" s="345" t="s">
        <v>344</v>
      </c>
      <c r="C17" s="344"/>
      <c r="D17" s="344"/>
      <c r="E17" s="334"/>
      <c r="F17" s="107">
        <f>SUM(F15:F16)</f>
        <v>2079550</v>
      </c>
      <c r="G17" s="25"/>
      <c r="H17" s="11"/>
      <c r="I17" s="21"/>
      <c r="J17" s="21"/>
      <c r="K17" s="21"/>
      <c r="L17" s="21"/>
      <c r="M17" s="21"/>
      <c r="N17" s="21"/>
    </row>
    <row r="18" spans="1:14" x14ac:dyDescent="0.25">
      <c r="A18" s="21"/>
      <c r="B18" s="21"/>
      <c r="C18" s="11"/>
      <c r="D18" s="11"/>
      <c r="E18" s="21"/>
      <c r="F18" s="21"/>
      <c r="G18" s="25"/>
      <c r="H18" s="11"/>
      <c r="I18" s="21"/>
      <c r="J18" s="21"/>
      <c r="K18" s="21"/>
      <c r="L18" s="21"/>
      <c r="M18" s="21"/>
      <c r="N18" s="21"/>
    </row>
    <row r="19" spans="1:14" x14ac:dyDescent="0.25">
      <c r="A19" s="31" t="s">
        <v>14</v>
      </c>
      <c r="B19" s="31" t="s">
        <v>234</v>
      </c>
      <c r="C19" s="31" t="s">
        <v>16</v>
      </c>
      <c r="D19" s="31" t="s">
        <v>17</v>
      </c>
      <c r="E19" s="31" t="s">
        <v>235</v>
      </c>
      <c r="F19" s="31" t="s">
        <v>236</v>
      </c>
      <c r="G19" s="25"/>
      <c r="H19" s="11"/>
      <c r="I19" s="21"/>
      <c r="J19" s="21"/>
      <c r="K19" s="21"/>
      <c r="L19" s="21"/>
      <c r="M19" s="21"/>
      <c r="N19" s="21"/>
    </row>
    <row r="20" spans="1:14" ht="30" x14ac:dyDescent="0.25">
      <c r="A20" s="7">
        <v>1</v>
      </c>
      <c r="B20" s="41" t="s">
        <v>348</v>
      </c>
      <c r="C20" s="7">
        <v>1</v>
      </c>
      <c r="D20" s="7" t="s">
        <v>347</v>
      </c>
      <c r="E20" s="104">
        <v>320160</v>
      </c>
      <c r="F20" s="104">
        <f>E20*C20</f>
        <v>320160</v>
      </c>
      <c r="G20" s="25"/>
      <c r="H20" s="11"/>
      <c r="I20" s="21"/>
      <c r="J20" s="21"/>
      <c r="K20" s="21"/>
      <c r="L20" s="21"/>
      <c r="M20" s="21"/>
      <c r="N20" s="21"/>
    </row>
    <row r="21" spans="1:14" ht="15.75" customHeight="1" x14ac:dyDescent="0.25">
      <c r="A21" s="7">
        <v>2</v>
      </c>
      <c r="B21" s="41" t="s">
        <v>349</v>
      </c>
      <c r="C21" s="7">
        <v>5</v>
      </c>
      <c r="D21" s="7" t="s">
        <v>347</v>
      </c>
      <c r="E21" s="104">
        <v>326600</v>
      </c>
      <c r="F21" s="104">
        <f>E21*C21</f>
        <v>1633000</v>
      </c>
      <c r="G21" s="25"/>
      <c r="H21" s="11"/>
      <c r="I21" s="21"/>
      <c r="J21" s="21"/>
      <c r="K21" s="21"/>
      <c r="L21" s="21"/>
      <c r="M21" s="21"/>
      <c r="N21" s="21"/>
    </row>
    <row r="22" spans="1:14" ht="15.75" customHeight="1" x14ac:dyDescent="0.25">
      <c r="A22" s="7"/>
      <c r="B22" s="343" t="s">
        <v>342</v>
      </c>
      <c r="C22" s="344"/>
      <c r="D22" s="344"/>
      <c r="E22" s="334"/>
      <c r="F22" s="104">
        <f>SUM(F20:F21)</f>
        <v>1953160</v>
      </c>
      <c r="G22" s="25"/>
      <c r="H22" s="11"/>
      <c r="I22" s="21"/>
      <c r="J22" s="21"/>
      <c r="K22" s="21"/>
      <c r="L22" s="21"/>
      <c r="M22" s="21"/>
      <c r="N22" s="21"/>
    </row>
    <row r="23" spans="1:14" ht="15.75" customHeight="1" x14ac:dyDescent="0.25">
      <c r="A23" s="7"/>
      <c r="B23" s="343" t="s">
        <v>343</v>
      </c>
      <c r="C23" s="344"/>
      <c r="D23" s="344"/>
      <c r="E23" s="334"/>
      <c r="F23" s="104">
        <v>214847.6</v>
      </c>
      <c r="G23" s="25"/>
      <c r="H23" s="11"/>
      <c r="I23" s="21"/>
      <c r="J23" s="21"/>
      <c r="K23" s="21"/>
      <c r="L23" s="21"/>
      <c r="M23" s="21"/>
      <c r="N23" s="21"/>
    </row>
    <row r="24" spans="1:14" ht="15.75" customHeight="1" x14ac:dyDescent="0.25">
      <c r="A24" s="7"/>
      <c r="B24" s="345" t="s">
        <v>350</v>
      </c>
      <c r="C24" s="344"/>
      <c r="D24" s="344"/>
      <c r="E24" s="334"/>
      <c r="F24" s="107">
        <f>SUM(F22:F23)</f>
        <v>2168007.6</v>
      </c>
      <c r="G24" s="25"/>
      <c r="H24" s="11"/>
      <c r="I24" s="21"/>
      <c r="J24" s="21"/>
      <c r="K24" s="21"/>
      <c r="L24" s="21"/>
      <c r="M24" s="21"/>
      <c r="N24" s="21"/>
    </row>
    <row r="25" spans="1:14" ht="15.75" customHeight="1" x14ac:dyDescent="0.25">
      <c r="A25" s="21"/>
      <c r="B25" s="21"/>
      <c r="C25" s="11"/>
      <c r="D25" s="11"/>
      <c r="E25" s="21"/>
      <c r="F25" s="21"/>
      <c r="G25" s="25"/>
      <c r="H25" s="11"/>
      <c r="I25" s="21"/>
      <c r="J25" s="21"/>
      <c r="K25" s="21"/>
      <c r="L25" s="21"/>
      <c r="M25" s="21"/>
      <c r="N25" s="21"/>
    </row>
    <row r="26" spans="1:14" ht="15.75" customHeight="1" x14ac:dyDescent="0.25">
      <c r="A26" s="31" t="s">
        <v>351</v>
      </c>
      <c r="B26" s="31" t="s">
        <v>234</v>
      </c>
      <c r="C26" s="31" t="s">
        <v>16</v>
      </c>
      <c r="D26" s="31" t="s">
        <v>17</v>
      </c>
      <c r="E26" s="31" t="s">
        <v>235</v>
      </c>
      <c r="F26" s="31" t="s">
        <v>236</v>
      </c>
      <c r="G26" s="25"/>
      <c r="H26" s="11"/>
      <c r="I26" s="21"/>
      <c r="J26" s="21"/>
      <c r="K26" s="21"/>
      <c r="L26" s="21"/>
      <c r="M26" s="21"/>
      <c r="N26" s="21"/>
    </row>
    <row r="27" spans="1:14" ht="15.75" customHeight="1" x14ac:dyDescent="0.25">
      <c r="A27" s="7">
        <v>1</v>
      </c>
      <c r="B27" s="35" t="s">
        <v>352</v>
      </c>
      <c r="C27" s="7">
        <v>10</v>
      </c>
      <c r="D27" s="7" t="s">
        <v>353</v>
      </c>
      <c r="E27" s="104">
        <v>1840</v>
      </c>
      <c r="F27" s="104">
        <f>E27*C27</f>
        <v>18400</v>
      </c>
      <c r="G27" s="25"/>
      <c r="H27" s="11"/>
      <c r="I27" s="21"/>
      <c r="J27" s="21"/>
      <c r="K27" s="21"/>
      <c r="L27" s="21"/>
      <c r="M27" s="21"/>
      <c r="N27" s="21"/>
    </row>
    <row r="28" spans="1:14" ht="15.75" customHeight="1" x14ac:dyDescent="0.25">
      <c r="A28" s="7">
        <v>2</v>
      </c>
      <c r="B28" s="35" t="s">
        <v>354</v>
      </c>
      <c r="C28" s="7">
        <v>5</v>
      </c>
      <c r="D28" s="7" t="s">
        <v>355</v>
      </c>
      <c r="E28" s="104">
        <v>5980</v>
      </c>
      <c r="F28" s="104">
        <f>E28*C28</f>
        <v>29900</v>
      </c>
      <c r="G28" s="25"/>
      <c r="H28" s="11"/>
      <c r="I28" s="21"/>
      <c r="J28" s="21"/>
      <c r="K28" s="21"/>
      <c r="L28" s="21"/>
      <c r="M28" s="21"/>
      <c r="N28" s="21"/>
    </row>
    <row r="29" spans="1:14" ht="15.75" customHeight="1" x14ac:dyDescent="0.25">
      <c r="A29" s="7">
        <v>3</v>
      </c>
      <c r="B29" s="41" t="s">
        <v>356</v>
      </c>
      <c r="C29" s="7">
        <v>5</v>
      </c>
      <c r="D29" s="7" t="s">
        <v>355</v>
      </c>
      <c r="E29" s="104">
        <v>6900</v>
      </c>
      <c r="F29" s="104">
        <f>E29*C29</f>
        <v>34500</v>
      </c>
      <c r="G29" s="25"/>
      <c r="H29" s="11"/>
      <c r="I29" s="21"/>
      <c r="J29" s="21"/>
      <c r="K29" s="21"/>
      <c r="L29" s="21"/>
      <c r="M29" s="21"/>
      <c r="N29" s="21"/>
    </row>
    <row r="30" spans="1:14" ht="15.75" customHeight="1" x14ac:dyDescent="0.25">
      <c r="A30" s="7"/>
      <c r="B30" s="343" t="s">
        <v>342</v>
      </c>
      <c r="C30" s="344"/>
      <c r="D30" s="344"/>
      <c r="E30" s="334"/>
      <c r="F30" s="104">
        <f>SUM(F27:F29)</f>
        <v>82800</v>
      </c>
      <c r="G30" s="25"/>
      <c r="H30" s="11"/>
      <c r="I30" s="21"/>
      <c r="J30" s="21"/>
      <c r="K30" s="21"/>
      <c r="L30" s="21"/>
      <c r="M30" s="21"/>
      <c r="N30" s="21"/>
    </row>
    <row r="31" spans="1:14" ht="15.75" customHeight="1" x14ac:dyDescent="0.25">
      <c r="A31" s="7"/>
      <c r="B31" s="343" t="s">
        <v>343</v>
      </c>
      <c r="C31" s="344"/>
      <c r="D31" s="344"/>
      <c r="E31" s="334"/>
      <c r="F31" s="104">
        <v>9108</v>
      </c>
      <c r="G31" s="25"/>
      <c r="H31" s="11"/>
      <c r="I31" s="21"/>
      <c r="J31" s="21"/>
      <c r="K31" s="21"/>
      <c r="L31" s="21"/>
      <c r="M31" s="21"/>
      <c r="N31" s="21"/>
    </row>
    <row r="32" spans="1:14" ht="15.75" customHeight="1" x14ac:dyDescent="0.25">
      <c r="A32" s="7"/>
      <c r="B32" s="345" t="s">
        <v>344</v>
      </c>
      <c r="C32" s="344"/>
      <c r="D32" s="344"/>
      <c r="E32" s="334"/>
      <c r="F32" s="107">
        <f>SUM(F30:F31)</f>
        <v>91908</v>
      </c>
      <c r="G32" s="25"/>
      <c r="H32" s="11"/>
      <c r="I32" s="21"/>
      <c r="J32" s="21"/>
      <c r="K32" s="21"/>
      <c r="L32" s="21"/>
      <c r="M32" s="21"/>
      <c r="N32" s="21"/>
    </row>
    <row r="33" spans="1:14" ht="15.75" customHeight="1" x14ac:dyDescent="0.25">
      <c r="A33" s="21"/>
      <c r="B33" s="21"/>
      <c r="C33" s="11"/>
      <c r="D33" s="11"/>
      <c r="E33" s="21"/>
      <c r="F33" s="21"/>
      <c r="G33" s="25"/>
      <c r="H33" s="11"/>
      <c r="I33" s="21"/>
      <c r="J33" s="21"/>
      <c r="K33" s="21"/>
      <c r="L33" s="21"/>
      <c r="M33" s="21"/>
      <c r="N33" s="21"/>
    </row>
    <row r="34" spans="1:14" ht="15.75" customHeight="1" x14ac:dyDescent="0.25">
      <c r="A34" s="31" t="s">
        <v>14</v>
      </c>
      <c r="B34" s="31" t="s">
        <v>15</v>
      </c>
      <c r="C34" s="31" t="s">
        <v>16</v>
      </c>
      <c r="D34" s="31" t="s">
        <v>357</v>
      </c>
      <c r="E34" s="31" t="s">
        <v>235</v>
      </c>
      <c r="F34" s="31" t="s">
        <v>236</v>
      </c>
      <c r="G34" s="25"/>
      <c r="H34" s="11"/>
      <c r="I34" s="21"/>
      <c r="J34" s="21"/>
      <c r="K34" s="21"/>
      <c r="L34" s="21"/>
      <c r="M34" s="21"/>
      <c r="N34" s="21"/>
    </row>
    <row r="35" spans="1:14" ht="15.75" customHeight="1" x14ac:dyDescent="0.25">
      <c r="A35" s="7">
        <v>1</v>
      </c>
      <c r="B35" s="35" t="s">
        <v>358</v>
      </c>
      <c r="C35" s="7">
        <v>50</v>
      </c>
      <c r="D35" s="7" t="s">
        <v>19</v>
      </c>
      <c r="E35" s="104">
        <v>920</v>
      </c>
      <c r="F35" s="104">
        <f>E35*C35</f>
        <v>46000</v>
      </c>
      <c r="G35" s="25"/>
      <c r="H35" s="11"/>
      <c r="I35" s="21"/>
      <c r="J35" s="21"/>
      <c r="K35" s="21"/>
      <c r="L35" s="21"/>
      <c r="M35" s="21"/>
      <c r="N35" s="21"/>
    </row>
    <row r="36" spans="1:14" ht="15.75" customHeight="1" x14ac:dyDescent="0.25">
      <c r="A36" s="7">
        <v>2</v>
      </c>
      <c r="B36" s="35" t="s">
        <v>359</v>
      </c>
      <c r="C36" s="7">
        <v>50</v>
      </c>
      <c r="D36" s="7" t="s">
        <v>19</v>
      </c>
      <c r="E36" s="104">
        <v>6440</v>
      </c>
      <c r="F36" s="104">
        <f>E36*C36</f>
        <v>322000</v>
      </c>
      <c r="G36" s="25"/>
      <c r="H36" s="11"/>
      <c r="I36" s="21"/>
      <c r="J36" s="21"/>
      <c r="K36" s="21"/>
      <c r="L36" s="21"/>
      <c r="M36" s="21"/>
      <c r="N36" s="21"/>
    </row>
    <row r="37" spans="1:14" ht="15.75" customHeight="1" x14ac:dyDescent="0.25">
      <c r="A37" s="7">
        <v>3</v>
      </c>
      <c r="B37" s="35" t="s">
        <v>360</v>
      </c>
      <c r="C37" s="7">
        <v>50</v>
      </c>
      <c r="D37" s="7" t="s">
        <v>19</v>
      </c>
      <c r="E37" s="104">
        <v>6900</v>
      </c>
      <c r="F37" s="104">
        <f>E37*C37</f>
        <v>345000</v>
      </c>
      <c r="G37" s="25"/>
      <c r="H37" s="11"/>
      <c r="I37" s="21"/>
      <c r="J37" s="21"/>
      <c r="K37" s="21"/>
      <c r="L37" s="21"/>
      <c r="M37" s="21"/>
      <c r="N37" s="21"/>
    </row>
    <row r="38" spans="1:14" ht="15.75" customHeight="1" x14ac:dyDescent="0.25">
      <c r="A38" s="7">
        <v>4</v>
      </c>
      <c r="B38" s="35" t="s">
        <v>361</v>
      </c>
      <c r="C38" s="7">
        <v>50</v>
      </c>
      <c r="D38" s="7" t="s">
        <v>19</v>
      </c>
      <c r="E38" s="104">
        <v>11040</v>
      </c>
      <c r="F38" s="104">
        <f>E38*C38</f>
        <v>552000</v>
      </c>
      <c r="G38" s="25"/>
      <c r="H38" s="11"/>
      <c r="I38" s="21"/>
      <c r="J38" s="21"/>
      <c r="K38" s="21"/>
      <c r="L38" s="21"/>
      <c r="M38" s="21"/>
      <c r="N38" s="21"/>
    </row>
    <row r="39" spans="1:14" ht="15.75" customHeight="1" x14ac:dyDescent="0.25">
      <c r="A39" s="7"/>
      <c r="B39" s="343" t="s">
        <v>342</v>
      </c>
      <c r="C39" s="344"/>
      <c r="D39" s="344"/>
      <c r="E39" s="334"/>
      <c r="F39" s="104">
        <f>SUM(F35:F38)</f>
        <v>1265000</v>
      </c>
      <c r="G39" s="25"/>
      <c r="H39" s="11"/>
      <c r="I39" s="21"/>
      <c r="J39" s="21"/>
      <c r="K39" s="21"/>
      <c r="L39" s="21"/>
      <c r="M39" s="21"/>
      <c r="N39" s="21"/>
    </row>
    <row r="40" spans="1:14" ht="15.75" customHeight="1" x14ac:dyDescent="0.25">
      <c r="A40" s="7"/>
      <c r="B40" s="343" t="s">
        <v>343</v>
      </c>
      <c r="C40" s="344"/>
      <c r="D40" s="344"/>
      <c r="E40" s="334"/>
      <c r="F40" s="104">
        <v>139150</v>
      </c>
      <c r="G40" s="25"/>
      <c r="H40" s="11"/>
      <c r="I40" s="21"/>
      <c r="J40" s="21"/>
      <c r="K40" s="21"/>
      <c r="L40" s="21"/>
      <c r="M40" s="21"/>
      <c r="N40" s="21"/>
    </row>
    <row r="41" spans="1:14" ht="15.75" customHeight="1" x14ac:dyDescent="0.25">
      <c r="A41" s="7"/>
      <c r="B41" s="345" t="s">
        <v>350</v>
      </c>
      <c r="C41" s="344"/>
      <c r="D41" s="344"/>
      <c r="E41" s="334"/>
      <c r="F41" s="107">
        <f>SUM(F39:F40)</f>
        <v>1404150</v>
      </c>
      <c r="G41" s="25"/>
      <c r="H41" s="11"/>
      <c r="I41" s="21"/>
      <c r="J41" s="21"/>
      <c r="K41" s="21"/>
      <c r="L41" s="21"/>
      <c r="M41" s="21"/>
      <c r="N41" s="21"/>
    </row>
    <row r="42" spans="1:14" ht="15.75" customHeight="1" x14ac:dyDescent="0.25">
      <c r="A42" s="21"/>
      <c r="B42" s="21"/>
      <c r="C42" s="11"/>
      <c r="D42" s="11"/>
      <c r="E42" s="21"/>
      <c r="F42" s="21"/>
      <c r="G42" s="25"/>
      <c r="H42" s="11"/>
      <c r="I42" s="21"/>
      <c r="J42" s="21"/>
      <c r="K42" s="21"/>
      <c r="L42" s="21"/>
      <c r="M42" s="21"/>
      <c r="N42" s="21"/>
    </row>
    <row r="43" spans="1:14" ht="15.75" customHeight="1" x14ac:dyDescent="0.25">
      <c r="A43" s="31" t="s">
        <v>14</v>
      </c>
      <c r="B43" s="31" t="s">
        <v>15</v>
      </c>
      <c r="C43" s="31" t="s">
        <v>16</v>
      </c>
      <c r="D43" s="31" t="s">
        <v>357</v>
      </c>
      <c r="E43" s="31" t="s">
        <v>235</v>
      </c>
      <c r="F43" s="31" t="s">
        <v>236</v>
      </c>
      <c r="G43" s="25"/>
      <c r="H43" s="11"/>
      <c r="I43" s="21"/>
      <c r="J43" s="21"/>
      <c r="K43" s="21"/>
      <c r="L43" s="21"/>
      <c r="M43" s="21"/>
      <c r="N43" s="21"/>
    </row>
    <row r="44" spans="1:14" ht="15.75" customHeight="1" x14ac:dyDescent="0.25">
      <c r="A44" s="7">
        <v>1</v>
      </c>
      <c r="B44" s="35" t="s">
        <v>362</v>
      </c>
      <c r="C44" s="7">
        <v>12</v>
      </c>
      <c r="D44" s="7" t="s">
        <v>363</v>
      </c>
      <c r="E44" s="104">
        <v>15500</v>
      </c>
      <c r="F44" s="104">
        <f>E44*C44</f>
        <v>186000</v>
      </c>
      <c r="G44" s="25"/>
      <c r="H44" s="11"/>
      <c r="I44" s="21"/>
      <c r="J44" s="21"/>
      <c r="K44" s="21"/>
      <c r="L44" s="21"/>
      <c r="M44" s="21"/>
      <c r="N44" s="21"/>
    </row>
    <row r="45" spans="1:14" ht="15.75" customHeight="1" x14ac:dyDescent="0.25">
      <c r="A45" s="7">
        <v>2</v>
      </c>
      <c r="B45" s="35" t="s">
        <v>364</v>
      </c>
      <c r="C45" s="7">
        <v>10</v>
      </c>
      <c r="D45" s="7" t="s">
        <v>363</v>
      </c>
      <c r="E45" s="104">
        <v>32500</v>
      </c>
      <c r="F45" s="104">
        <f>E45*C45</f>
        <v>325000</v>
      </c>
      <c r="G45" s="25"/>
      <c r="H45" s="11"/>
      <c r="I45" s="21"/>
      <c r="J45" s="21"/>
      <c r="K45" s="21"/>
      <c r="L45" s="21"/>
      <c r="M45" s="21"/>
      <c r="N45" s="21"/>
    </row>
    <row r="46" spans="1:14" ht="15.75" customHeight="1" x14ac:dyDescent="0.25">
      <c r="A46" s="7">
        <v>3</v>
      </c>
      <c r="B46" s="35" t="s">
        <v>365</v>
      </c>
      <c r="C46" s="7">
        <v>5</v>
      </c>
      <c r="D46" s="7" t="s">
        <v>363</v>
      </c>
      <c r="E46" s="104">
        <v>13500</v>
      </c>
      <c r="F46" s="104">
        <f>E46*C46</f>
        <v>67500</v>
      </c>
      <c r="G46" s="25"/>
      <c r="H46" s="11"/>
      <c r="I46" s="21"/>
      <c r="J46" s="21"/>
      <c r="K46" s="21"/>
      <c r="L46" s="21"/>
      <c r="M46" s="21"/>
      <c r="N46" s="21"/>
    </row>
    <row r="47" spans="1:14" ht="15.75" customHeight="1" x14ac:dyDescent="0.25">
      <c r="A47" s="7">
        <v>4</v>
      </c>
      <c r="B47" s="35" t="s">
        <v>366</v>
      </c>
      <c r="C47" s="7">
        <v>10</v>
      </c>
      <c r="D47" s="7" t="s">
        <v>363</v>
      </c>
      <c r="E47" s="104">
        <v>9800</v>
      </c>
      <c r="F47" s="104">
        <f>E47*C47</f>
        <v>98000</v>
      </c>
      <c r="G47" s="25"/>
      <c r="H47" s="11"/>
      <c r="I47" s="21"/>
      <c r="J47" s="21"/>
      <c r="K47" s="21"/>
      <c r="L47" s="21"/>
      <c r="M47" s="21"/>
      <c r="N47" s="21"/>
    </row>
    <row r="48" spans="1:14" ht="15.75" customHeight="1" x14ac:dyDescent="0.25">
      <c r="A48" s="7">
        <v>5</v>
      </c>
      <c r="B48" s="35" t="s">
        <v>367</v>
      </c>
      <c r="C48" s="7">
        <v>10</v>
      </c>
      <c r="D48" s="7" t="s">
        <v>353</v>
      </c>
      <c r="E48" s="104">
        <v>35000</v>
      </c>
      <c r="F48" s="104">
        <f>E48*C48</f>
        <v>350000</v>
      </c>
      <c r="G48" s="25"/>
      <c r="H48" s="11"/>
      <c r="I48" s="21"/>
      <c r="J48" s="21"/>
      <c r="K48" s="21"/>
      <c r="L48" s="21"/>
      <c r="M48" s="21"/>
      <c r="N48" s="21"/>
    </row>
    <row r="49" spans="1:14" ht="15.75" customHeight="1" x14ac:dyDescent="0.25">
      <c r="A49" s="7"/>
      <c r="B49" s="343" t="s">
        <v>342</v>
      </c>
      <c r="C49" s="344"/>
      <c r="D49" s="344"/>
      <c r="E49" s="334"/>
      <c r="F49" s="104">
        <f>SUM(F44:F48)</f>
        <v>1026500</v>
      </c>
      <c r="G49" s="25"/>
      <c r="H49" s="11"/>
      <c r="I49" s="21"/>
      <c r="J49" s="21"/>
      <c r="K49" s="21"/>
      <c r="L49" s="21"/>
      <c r="M49" s="21"/>
      <c r="N49" s="21"/>
    </row>
    <row r="50" spans="1:14" ht="15.75" customHeight="1" x14ac:dyDescent="0.25">
      <c r="A50" s="7"/>
      <c r="B50" s="343" t="s">
        <v>343</v>
      </c>
      <c r="C50" s="344"/>
      <c r="D50" s="344"/>
      <c r="E50" s="334"/>
      <c r="F50" s="104">
        <v>112915</v>
      </c>
      <c r="G50" s="25"/>
      <c r="H50" s="11"/>
      <c r="I50" s="21"/>
      <c r="J50" s="21"/>
      <c r="K50" s="21"/>
      <c r="L50" s="21"/>
      <c r="M50" s="21"/>
      <c r="N50" s="21"/>
    </row>
    <row r="51" spans="1:14" ht="15.75" customHeight="1" x14ac:dyDescent="0.25">
      <c r="A51" s="35"/>
      <c r="B51" s="345" t="s">
        <v>368</v>
      </c>
      <c r="C51" s="344"/>
      <c r="D51" s="344"/>
      <c r="E51" s="334"/>
      <c r="F51" s="107">
        <f>SUM(F49:F50)</f>
        <v>1139415</v>
      </c>
      <c r="G51" s="25"/>
      <c r="H51" s="11"/>
      <c r="I51" s="21"/>
      <c r="J51" s="21"/>
      <c r="K51" s="21"/>
      <c r="L51" s="21"/>
      <c r="M51" s="21"/>
      <c r="N51" s="21"/>
    </row>
    <row r="52" spans="1:14" ht="15.75" customHeight="1" x14ac:dyDescent="0.25">
      <c r="A52" s="21"/>
      <c r="B52" s="21"/>
      <c r="C52" s="11"/>
      <c r="D52" s="11"/>
      <c r="E52" s="21"/>
      <c r="F52" s="21"/>
      <c r="G52" s="25"/>
      <c r="H52" s="11"/>
      <c r="I52" s="21"/>
      <c r="J52" s="21"/>
      <c r="K52" s="21"/>
      <c r="L52" s="21"/>
      <c r="M52" s="21"/>
      <c r="N52" s="21"/>
    </row>
    <row r="53" spans="1:14" ht="15.75" customHeight="1" x14ac:dyDescent="0.25">
      <c r="A53" s="31" t="s">
        <v>14</v>
      </c>
      <c r="B53" s="31" t="s">
        <v>234</v>
      </c>
      <c r="C53" s="31" t="s">
        <v>16</v>
      </c>
      <c r="D53" s="31" t="s">
        <v>17</v>
      </c>
      <c r="E53" s="31" t="s">
        <v>235</v>
      </c>
      <c r="F53" s="31" t="s">
        <v>236</v>
      </c>
      <c r="G53" s="25"/>
      <c r="H53" s="11"/>
      <c r="I53" s="21"/>
      <c r="J53" s="21"/>
      <c r="K53" s="21"/>
      <c r="L53" s="21"/>
      <c r="M53" s="21"/>
      <c r="N53" s="21"/>
    </row>
    <row r="54" spans="1:14" ht="15.75" customHeight="1" x14ac:dyDescent="0.25">
      <c r="A54" s="7">
        <v>1</v>
      </c>
      <c r="B54" s="41" t="s">
        <v>369</v>
      </c>
      <c r="C54" s="7">
        <v>50</v>
      </c>
      <c r="D54" s="7" t="s">
        <v>370</v>
      </c>
      <c r="E54" s="104">
        <v>17000</v>
      </c>
      <c r="F54" s="104">
        <f>E54*C54</f>
        <v>850000</v>
      </c>
      <c r="G54" s="25"/>
      <c r="H54" s="11"/>
      <c r="I54" s="21"/>
      <c r="J54" s="21"/>
      <c r="K54" s="21"/>
      <c r="L54" s="21"/>
      <c r="M54" s="21"/>
      <c r="N54" s="21"/>
    </row>
    <row r="55" spans="1:14" ht="15.75" customHeight="1" x14ac:dyDescent="0.25">
      <c r="A55" s="7"/>
      <c r="B55" s="343" t="s">
        <v>342</v>
      </c>
      <c r="C55" s="344"/>
      <c r="D55" s="344"/>
      <c r="E55" s="334"/>
      <c r="F55" s="104">
        <f>F54</f>
        <v>850000</v>
      </c>
      <c r="G55" s="25"/>
      <c r="H55" s="11"/>
      <c r="I55" s="21"/>
      <c r="J55" s="21"/>
      <c r="K55" s="21"/>
      <c r="L55" s="21"/>
      <c r="M55" s="21"/>
      <c r="N55" s="21"/>
    </row>
    <row r="56" spans="1:14" ht="15.75" customHeight="1" x14ac:dyDescent="0.25">
      <c r="A56" s="7"/>
      <c r="B56" s="343" t="s">
        <v>343</v>
      </c>
      <c r="C56" s="344"/>
      <c r="D56" s="344"/>
      <c r="E56" s="334"/>
      <c r="F56" s="104">
        <v>93500</v>
      </c>
      <c r="G56" s="25"/>
      <c r="H56" s="11"/>
      <c r="I56" s="21"/>
      <c r="J56" s="21"/>
      <c r="K56" s="21"/>
      <c r="L56" s="21"/>
      <c r="M56" s="21"/>
      <c r="N56" s="21"/>
    </row>
    <row r="57" spans="1:14" ht="15.75" customHeight="1" x14ac:dyDescent="0.25">
      <c r="A57" s="7"/>
      <c r="B57" s="345" t="s">
        <v>344</v>
      </c>
      <c r="C57" s="344"/>
      <c r="D57" s="344"/>
      <c r="E57" s="334"/>
      <c r="F57" s="107">
        <f>SUM(F55:F56)</f>
        <v>943500</v>
      </c>
      <c r="G57" s="25"/>
      <c r="H57" s="11"/>
      <c r="I57" s="21"/>
      <c r="J57" s="21"/>
      <c r="K57" s="21"/>
      <c r="L57" s="21"/>
      <c r="M57" s="21"/>
      <c r="N57" s="21"/>
    </row>
    <row r="58" spans="1:14" ht="15.75" customHeight="1" x14ac:dyDescent="0.25">
      <c r="A58" s="21"/>
      <c r="B58" s="21"/>
      <c r="C58" s="11"/>
      <c r="D58" s="11"/>
      <c r="E58" s="21"/>
      <c r="F58" s="21"/>
      <c r="G58" s="25"/>
      <c r="H58" s="11"/>
      <c r="I58" s="21"/>
      <c r="J58" s="21"/>
      <c r="K58" s="21"/>
      <c r="L58" s="21"/>
      <c r="M58" s="21"/>
      <c r="N58" s="21"/>
    </row>
    <row r="59" spans="1:14" ht="15.75" customHeight="1" x14ac:dyDescent="0.25">
      <c r="A59" s="31" t="s">
        <v>14</v>
      </c>
      <c r="B59" s="31" t="s">
        <v>234</v>
      </c>
      <c r="C59" s="31" t="s">
        <v>16</v>
      </c>
      <c r="D59" s="31" t="s">
        <v>17</v>
      </c>
      <c r="E59" s="31" t="s">
        <v>235</v>
      </c>
      <c r="F59" s="31" t="s">
        <v>236</v>
      </c>
      <c r="G59" s="25"/>
      <c r="H59" s="11"/>
      <c r="I59" s="21"/>
      <c r="J59" s="21"/>
      <c r="K59" s="21"/>
      <c r="L59" s="21"/>
      <c r="M59" s="21"/>
      <c r="N59" s="21"/>
    </row>
    <row r="60" spans="1:14" ht="15.75" customHeight="1" x14ac:dyDescent="0.25">
      <c r="A60" s="7">
        <v>1</v>
      </c>
      <c r="B60" s="41" t="s">
        <v>371</v>
      </c>
      <c r="C60" s="7">
        <v>2</v>
      </c>
      <c r="D60" s="7" t="s">
        <v>372</v>
      </c>
      <c r="E60" s="104">
        <v>15500</v>
      </c>
      <c r="F60" s="104">
        <f>E60*C60</f>
        <v>31000</v>
      </c>
      <c r="G60" s="25"/>
      <c r="H60" s="11"/>
      <c r="I60" s="21"/>
      <c r="J60" s="21"/>
      <c r="K60" s="21"/>
      <c r="L60" s="21"/>
      <c r="M60" s="21"/>
      <c r="N60" s="21"/>
    </row>
    <row r="61" spans="1:14" ht="15.75" customHeight="1" x14ac:dyDescent="0.25">
      <c r="A61" s="7"/>
      <c r="B61" s="343" t="s">
        <v>342</v>
      </c>
      <c r="C61" s="344"/>
      <c r="D61" s="344"/>
      <c r="E61" s="334"/>
      <c r="F61" s="104">
        <f>F60</f>
        <v>31000</v>
      </c>
      <c r="G61" s="25"/>
      <c r="H61" s="11"/>
      <c r="I61" s="21"/>
      <c r="J61" s="21"/>
      <c r="K61" s="21"/>
      <c r="L61" s="21"/>
      <c r="M61" s="21"/>
      <c r="N61" s="21"/>
    </row>
    <row r="62" spans="1:14" ht="15.75" customHeight="1" x14ac:dyDescent="0.25">
      <c r="A62" s="7"/>
      <c r="B62" s="343" t="s">
        <v>343</v>
      </c>
      <c r="C62" s="344"/>
      <c r="D62" s="344"/>
      <c r="E62" s="334"/>
      <c r="F62" s="104">
        <v>3410</v>
      </c>
      <c r="G62" s="25"/>
      <c r="H62" s="11"/>
      <c r="I62" s="21"/>
      <c r="J62" s="21"/>
      <c r="K62" s="21"/>
      <c r="L62" s="21"/>
      <c r="M62" s="21"/>
      <c r="N62" s="21"/>
    </row>
    <row r="63" spans="1:14" ht="15.75" customHeight="1" x14ac:dyDescent="0.25">
      <c r="A63" s="7"/>
      <c r="B63" s="345" t="s">
        <v>344</v>
      </c>
      <c r="C63" s="344"/>
      <c r="D63" s="344"/>
      <c r="E63" s="334"/>
      <c r="F63" s="107">
        <f>SUM(F61:F62)</f>
        <v>34410</v>
      </c>
      <c r="G63" s="25"/>
      <c r="H63" s="11"/>
      <c r="I63" s="21"/>
      <c r="J63" s="21"/>
      <c r="K63" s="21"/>
      <c r="L63" s="21"/>
      <c r="M63" s="21"/>
      <c r="N63" s="21"/>
    </row>
    <row r="64" spans="1:14" ht="15.75" customHeight="1" x14ac:dyDescent="0.25">
      <c r="A64" s="21"/>
      <c r="B64" s="21"/>
      <c r="C64" s="11"/>
      <c r="D64" s="11"/>
      <c r="E64" s="21"/>
      <c r="F64" s="21"/>
      <c r="G64" s="25"/>
      <c r="H64" s="11"/>
      <c r="I64" s="21"/>
      <c r="J64" s="21"/>
      <c r="K64" s="21"/>
      <c r="L64" s="21"/>
      <c r="M64" s="21"/>
      <c r="N64" s="21"/>
    </row>
    <row r="65" spans="1:14" ht="15.75" customHeight="1" x14ac:dyDescent="0.25">
      <c r="A65" s="31" t="s">
        <v>14</v>
      </c>
      <c r="B65" s="31" t="s">
        <v>234</v>
      </c>
      <c r="C65" s="31" t="s">
        <v>16</v>
      </c>
      <c r="D65" s="31" t="s">
        <v>17</v>
      </c>
      <c r="E65" s="31" t="s">
        <v>235</v>
      </c>
      <c r="F65" s="31" t="s">
        <v>236</v>
      </c>
      <c r="G65" s="25"/>
      <c r="H65" s="11"/>
      <c r="I65" s="21"/>
      <c r="J65" s="21"/>
      <c r="K65" s="21"/>
      <c r="L65" s="21"/>
      <c r="M65" s="21"/>
      <c r="N65" s="21"/>
    </row>
    <row r="66" spans="1:14" ht="15.75" customHeight="1" x14ac:dyDescent="0.25">
      <c r="A66" s="7">
        <v>1</v>
      </c>
      <c r="B66" s="41" t="s">
        <v>373</v>
      </c>
      <c r="C66" s="7">
        <v>5</v>
      </c>
      <c r="D66" s="7" t="s">
        <v>372</v>
      </c>
      <c r="E66" s="104">
        <v>18700</v>
      </c>
      <c r="F66" s="104">
        <f>E66*C66</f>
        <v>93500</v>
      </c>
      <c r="G66" s="25"/>
      <c r="H66" s="11"/>
      <c r="I66" s="21"/>
      <c r="J66" s="21"/>
      <c r="K66" s="21"/>
      <c r="L66" s="21"/>
      <c r="M66" s="21"/>
      <c r="N66" s="21"/>
    </row>
    <row r="67" spans="1:14" ht="15.75" customHeight="1" x14ac:dyDescent="0.25">
      <c r="A67" s="7"/>
      <c r="B67" s="343" t="s">
        <v>342</v>
      </c>
      <c r="C67" s="344"/>
      <c r="D67" s="344"/>
      <c r="E67" s="334"/>
      <c r="F67" s="104">
        <f>F66</f>
        <v>93500</v>
      </c>
      <c r="G67" s="25"/>
      <c r="H67" s="11"/>
      <c r="I67" s="21"/>
      <c r="J67" s="21"/>
      <c r="K67" s="21"/>
      <c r="L67" s="21"/>
      <c r="M67" s="21"/>
      <c r="N67" s="21"/>
    </row>
    <row r="68" spans="1:14" ht="15.75" customHeight="1" x14ac:dyDescent="0.25">
      <c r="A68" s="7"/>
      <c r="B68" s="343" t="s">
        <v>343</v>
      </c>
      <c r="C68" s="344"/>
      <c r="D68" s="344"/>
      <c r="E68" s="334"/>
      <c r="F68" s="104">
        <v>10285</v>
      </c>
      <c r="G68" s="25"/>
      <c r="H68" s="11"/>
      <c r="I68" s="21"/>
      <c r="J68" s="21"/>
      <c r="K68" s="21"/>
      <c r="L68" s="21"/>
      <c r="M68" s="21"/>
      <c r="N68" s="21"/>
    </row>
    <row r="69" spans="1:14" ht="15.75" customHeight="1" x14ac:dyDescent="0.25">
      <c r="A69" s="7"/>
      <c r="B69" s="345" t="s">
        <v>344</v>
      </c>
      <c r="C69" s="344"/>
      <c r="D69" s="344"/>
      <c r="E69" s="334"/>
      <c r="F69" s="107">
        <f>SUM(F67:F68)</f>
        <v>103785</v>
      </c>
      <c r="G69" s="25"/>
      <c r="H69" s="11"/>
      <c r="I69" s="21"/>
      <c r="J69" s="21"/>
      <c r="K69" s="21"/>
      <c r="L69" s="21"/>
      <c r="M69" s="21"/>
      <c r="N69" s="21"/>
    </row>
    <row r="70" spans="1:14" ht="15.75" customHeight="1" x14ac:dyDescent="0.25">
      <c r="A70" s="21"/>
      <c r="B70" s="21"/>
      <c r="C70" s="11"/>
      <c r="D70" s="11"/>
      <c r="E70" s="21"/>
      <c r="F70" s="21"/>
      <c r="G70" s="25"/>
      <c r="H70" s="11"/>
      <c r="I70" s="21"/>
      <c r="J70" s="21"/>
      <c r="K70" s="21"/>
      <c r="L70" s="21"/>
      <c r="M70" s="21"/>
      <c r="N70" s="21"/>
    </row>
    <row r="71" spans="1:14" ht="15.75" customHeight="1" x14ac:dyDescent="0.25">
      <c r="A71" s="31" t="s">
        <v>351</v>
      </c>
      <c r="B71" s="31" t="s">
        <v>234</v>
      </c>
      <c r="C71" s="31" t="s">
        <v>16</v>
      </c>
      <c r="D71" s="31" t="s">
        <v>17</v>
      </c>
      <c r="E71" s="31" t="s">
        <v>235</v>
      </c>
      <c r="F71" s="31" t="s">
        <v>236</v>
      </c>
      <c r="G71" s="25"/>
      <c r="H71" s="11"/>
      <c r="I71" s="21"/>
      <c r="J71" s="21"/>
      <c r="K71" s="21"/>
      <c r="L71" s="21"/>
      <c r="M71" s="21"/>
      <c r="N71" s="21"/>
    </row>
    <row r="72" spans="1:14" ht="15.75" customHeight="1" x14ac:dyDescent="0.25">
      <c r="A72" s="7">
        <v>1</v>
      </c>
      <c r="B72" s="35" t="s">
        <v>374</v>
      </c>
      <c r="C72" s="7">
        <v>7</v>
      </c>
      <c r="D72" s="7" t="s">
        <v>19</v>
      </c>
      <c r="E72" s="104">
        <v>90000</v>
      </c>
      <c r="F72" s="104">
        <f>E72*C72</f>
        <v>630000</v>
      </c>
      <c r="G72" s="25"/>
      <c r="H72" s="11"/>
      <c r="I72" s="21"/>
      <c r="J72" s="21"/>
      <c r="K72" s="21"/>
      <c r="L72" s="21"/>
      <c r="M72" s="21"/>
      <c r="N72" s="21"/>
    </row>
    <row r="73" spans="1:14" ht="15.75" customHeight="1" x14ac:dyDescent="0.25">
      <c r="A73" s="7">
        <v>2</v>
      </c>
      <c r="B73" s="35" t="s">
        <v>375</v>
      </c>
      <c r="C73" s="7">
        <v>20</v>
      </c>
      <c r="D73" s="7" t="s">
        <v>370</v>
      </c>
      <c r="E73" s="104">
        <v>3000</v>
      </c>
      <c r="F73" s="104">
        <f>E73*C73</f>
        <v>60000</v>
      </c>
      <c r="G73" s="25"/>
      <c r="H73" s="11"/>
      <c r="I73" s="21"/>
      <c r="J73" s="21"/>
      <c r="K73" s="21"/>
      <c r="L73" s="21"/>
      <c r="M73" s="21"/>
      <c r="N73" s="21"/>
    </row>
    <row r="74" spans="1:14" ht="15.75" customHeight="1" x14ac:dyDescent="0.25">
      <c r="A74" s="7">
        <v>3</v>
      </c>
      <c r="B74" s="41" t="s">
        <v>376</v>
      </c>
      <c r="C74" s="7">
        <v>5</v>
      </c>
      <c r="D74" s="7" t="s">
        <v>19</v>
      </c>
      <c r="E74" s="104">
        <v>10000</v>
      </c>
      <c r="F74" s="104">
        <f>E74*C74</f>
        <v>50000</v>
      </c>
      <c r="G74" s="25"/>
      <c r="H74" s="11"/>
      <c r="I74" s="21"/>
      <c r="J74" s="21"/>
      <c r="K74" s="21"/>
      <c r="L74" s="21"/>
      <c r="M74" s="21"/>
      <c r="N74" s="21"/>
    </row>
    <row r="75" spans="1:14" ht="15.75" customHeight="1" x14ac:dyDescent="0.25">
      <c r="A75" s="7"/>
      <c r="B75" s="343" t="s">
        <v>342</v>
      </c>
      <c r="C75" s="344"/>
      <c r="D75" s="344"/>
      <c r="E75" s="334"/>
      <c r="F75" s="104">
        <f>SUM(F72:F74)</f>
        <v>740000</v>
      </c>
      <c r="G75" s="25"/>
      <c r="H75" s="11"/>
      <c r="I75" s="21"/>
      <c r="J75" s="21"/>
      <c r="K75" s="21"/>
      <c r="L75" s="21"/>
      <c r="M75" s="21"/>
      <c r="N75" s="21"/>
    </row>
    <row r="76" spans="1:14" ht="15.75" customHeight="1" x14ac:dyDescent="0.25">
      <c r="A76" s="7"/>
      <c r="B76" s="343" t="s">
        <v>343</v>
      </c>
      <c r="C76" s="344"/>
      <c r="D76" s="344"/>
      <c r="E76" s="334"/>
      <c r="F76" s="104">
        <v>81400</v>
      </c>
      <c r="G76" s="25"/>
      <c r="H76" s="11"/>
      <c r="I76" s="21"/>
      <c r="J76" s="21"/>
      <c r="K76" s="21"/>
      <c r="L76" s="21"/>
      <c r="M76" s="21"/>
      <c r="N76" s="21"/>
    </row>
    <row r="77" spans="1:14" ht="15.75" customHeight="1" x14ac:dyDescent="0.25">
      <c r="A77" s="7"/>
      <c r="B77" s="345" t="s">
        <v>344</v>
      </c>
      <c r="C77" s="344"/>
      <c r="D77" s="344"/>
      <c r="E77" s="334"/>
      <c r="F77" s="107">
        <f>SUM(F75:F76)</f>
        <v>821400</v>
      </c>
      <c r="G77" s="25"/>
      <c r="H77" s="11"/>
      <c r="I77" s="21"/>
      <c r="J77" s="21"/>
      <c r="K77" s="21"/>
      <c r="L77" s="21"/>
      <c r="M77" s="21"/>
      <c r="N77" s="21"/>
    </row>
    <row r="78" spans="1:14" ht="15.75" customHeight="1" x14ac:dyDescent="0.25">
      <c r="A78" s="21"/>
      <c r="B78" s="21"/>
      <c r="C78" s="11"/>
      <c r="D78" s="11"/>
      <c r="E78" s="21"/>
      <c r="F78" s="21"/>
      <c r="G78" s="25"/>
      <c r="H78" s="11"/>
      <c r="I78" s="21"/>
      <c r="J78" s="21"/>
      <c r="K78" s="21"/>
      <c r="L78" s="21"/>
      <c r="M78" s="21"/>
      <c r="N78" s="21"/>
    </row>
    <row r="79" spans="1:14" ht="15.75" customHeight="1" x14ac:dyDescent="0.25">
      <c r="A79" s="31" t="s">
        <v>14</v>
      </c>
      <c r="B79" s="31" t="s">
        <v>234</v>
      </c>
      <c r="C79" s="31" t="s">
        <v>16</v>
      </c>
      <c r="D79" s="31" t="s">
        <v>17</v>
      </c>
      <c r="E79" s="31" t="s">
        <v>235</v>
      </c>
      <c r="F79" s="31" t="s">
        <v>236</v>
      </c>
      <c r="G79" s="25"/>
      <c r="H79" s="11"/>
      <c r="I79" s="21"/>
      <c r="J79" s="21"/>
      <c r="K79" s="21"/>
      <c r="L79" s="21"/>
      <c r="M79" s="21"/>
      <c r="N79" s="21"/>
    </row>
    <row r="80" spans="1:14" ht="15.75" customHeight="1" x14ac:dyDescent="0.25">
      <c r="A80" s="7">
        <v>1</v>
      </c>
      <c r="B80" s="41" t="s">
        <v>377</v>
      </c>
      <c r="C80" s="7">
        <v>1</v>
      </c>
      <c r="D80" s="7" t="s">
        <v>19</v>
      </c>
      <c r="E80" s="104">
        <v>456000</v>
      </c>
      <c r="F80" s="104">
        <f>E80*C80</f>
        <v>456000</v>
      </c>
      <c r="G80" s="25"/>
      <c r="H80" s="11"/>
      <c r="I80" s="21"/>
      <c r="J80" s="21"/>
      <c r="K80" s="21"/>
      <c r="L80" s="21"/>
      <c r="M80" s="21"/>
      <c r="N80" s="21"/>
    </row>
    <row r="81" spans="1:14" ht="15.75" customHeight="1" x14ac:dyDescent="0.25">
      <c r="A81" s="7"/>
      <c r="B81" s="343" t="s">
        <v>342</v>
      </c>
      <c r="C81" s="344"/>
      <c r="D81" s="344"/>
      <c r="E81" s="334"/>
      <c r="F81" s="104">
        <f>F80</f>
        <v>456000</v>
      </c>
      <c r="G81" s="25"/>
      <c r="H81" s="11"/>
      <c r="I81" s="21"/>
      <c r="J81" s="21"/>
      <c r="K81" s="21"/>
      <c r="L81" s="21"/>
      <c r="M81" s="21"/>
      <c r="N81" s="21"/>
    </row>
    <row r="82" spans="1:14" ht="15.75" customHeight="1" x14ac:dyDescent="0.25">
      <c r="A82" s="7"/>
      <c r="B82" s="343" t="s">
        <v>343</v>
      </c>
      <c r="C82" s="344"/>
      <c r="D82" s="344"/>
      <c r="E82" s="334"/>
      <c r="F82" s="104">
        <v>50160</v>
      </c>
      <c r="G82" s="25"/>
      <c r="H82" s="11"/>
      <c r="I82" s="21"/>
      <c r="J82" s="21"/>
      <c r="K82" s="21"/>
      <c r="L82" s="21"/>
      <c r="M82" s="21"/>
      <c r="N82" s="21"/>
    </row>
    <row r="83" spans="1:14" ht="15.75" customHeight="1" x14ac:dyDescent="0.25">
      <c r="A83" s="7"/>
      <c r="B83" s="345" t="s">
        <v>344</v>
      </c>
      <c r="C83" s="344"/>
      <c r="D83" s="344"/>
      <c r="E83" s="334"/>
      <c r="F83" s="107">
        <f>SUM(F81:F82)</f>
        <v>506160</v>
      </c>
      <c r="G83" s="25"/>
      <c r="H83" s="11"/>
      <c r="I83" s="21"/>
      <c r="J83" s="21"/>
      <c r="K83" s="21"/>
      <c r="L83" s="21"/>
      <c r="M83" s="21"/>
      <c r="N83" s="21"/>
    </row>
    <row r="84" spans="1:14" ht="15.75" customHeight="1" x14ac:dyDescent="0.25">
      <c r="A84" s="21"/>
      <c r="B84" s="21"/>
      <c r="C84" s="11"/>
      <c r="D84" s="11"/>
      <c r="E84" s="21"/>
      <c r="F84" s="21"/>
      <c r="G84" s="25"/>
      <c r="H84" s="11"/>
      <c r="I84" s="21"/>
      <c r="J84" s="21"/>
      <c r="K84" s="21"/>
      <c r="L84" s="21"/>
      <c r="M84" s="21"/>
      <c r="N84" s="21"/>
    </row>
    <row r="85" spans="1:14" ht="15.75" customHeight="1" x14ac:dyDescent="0.25">
      <c r="A85" s="31" t="s">
        <v>14</v>
      </c>
      <c r="B85" s="31" t="s">
        <v>234</v>
      </c>
      <c r="C85" s="31" t="s">
        <v>16</v>
      </c>
      <c r="D85" s="31" t="s">
        <v>17</v>
      </c>
      <c r="E85" s="31" t="s">
        <v>235</v>
      </c>
      <c r="F85" s="31" t="s">
        <v>236</v>
      </c>
      <c r="G85" s="25"/>
      <c r="H85" s="11"/>
      <c r="I85" s="21"/>
      <c r="J85" s="21"/>
      <c r="K85" s="21"/>
      <c r="L85" s="21"/>
      <c r="M85" s="21"/>
      <c r="N85" s="21"/>
    </row>
    <row r="86" spans="1:14" ht="15.75" customHeight="1" x14ac:dyDescent="0.25">
      <c r="A86" s="7">
        <v>1</v>
      </c>
      <c r="B86" s="41" t="s">
        <v>378</v>
      </c>
      <c r="C86" s="7">
        <v>1</v>
      </c>
      <c r="D86" s="7" t="s">
        <v>19</v>
      </c>
      <c r="E86" s="104">
        <v>2024925</v>
      </c>
      <c r="F86" s="104">
        <f>E86*C86</f>
        <v>2024925</v>
      </c>
      <c r="G86" s="25"/>
      <c r="H86" s="11"/>
      <c r="I86" s="21"/>
      <c r="J86" s="21"/>
      <c r="K86" s="21"/>
      <c r="L86" s="21"/>
      <c r="M86" s="21"/>
      <c r="N86" s="21"/>
    </row>
    <row r="87" spans="1:14" ht="15.75" customHeight="1" x14ac:dyDescent="0.25">
      <c r="A87" s="7"/>
      <c r="B87" s="343" t="s">
        <v>342</v>
      </c>
      <c r="C87" s="344"/>
      <c r="D87" s="344"/>
      <c r="E87" s="334"/>
      <c r="F87" s="104">
        <f>F86</f>
        <v>2024925</v>
      </c>
      <c r="G87" s="25"/>
      <c r="H87" s="11"/>
      <c r="I87" s="21"/>
      <c r="J87" s="21"/>
      <c r="K87" s="21"/>
      <c r="L87" s="21"/>
      <c r="M87" s="21"/>
      <c r="N87" s="21"/>
    </row>
    <row r="88" spans="1:14" ht="15.75" customHeight="1" x14ac:dyDescent="0.25">
      <c r="A88" s="7"/>
      <c r="B88" s="343" t="s">
        <v>343</v>
      </c>
      <c r="C88" s="344"/>
      <c r="D88" s="344"/>
      <c r="E88" s="334"/>
      <c r="F88" s="108">
        <v>222741.75</v>
      </c>
      <c r="G88" s="25"/>
      <c r="H88" s="11"/>
      <c r="I88" s="21"/>
      <c r="J88" s="21"/>
      <c r="K88" s="21"/>
      <c r="L88" s="21"/>
      <c r="M88" s="21"/>
      <c r="N88" s="21"/>
    </row>
    <row r="89" spans="1:14" ht="15.75" customHeight="1" x14ac:dyDescent="0.25">
      <c r="A89" s="7"/>
      <c r="B89" s="345" t="s">
        <v>344</v>
      </c>
      <c r="C89" s="344"/>
      <c r="D89" s="344"/>
      <c r="E89" s="334"/>
      <c r="F89" s="109">
        <f>SUM(F87:F88)</f>
        <v>2247666.75</v>
      </c>
      <c r="G89" s="25"/>
      <c r="H89" s="11"/>
      <c r="I89" s="21"/>
      <c r="J89" s="21"/>
      <c r="K89" s="21"/>
      <c r="L89" s="21"/>
      <c r="M89" s="21"/>
      <c r="N89" s="21"/>
    </row>
    <row r="90" spans="1:14" ht="15.75" customHeight="1" x14ac:dyDescent="0.25">
      <c r="A90" s="21"/>
      <c r="B90" s="21"/>
      <c r="C90" s="11"/>
      <c r="D90" s="11"/>
      <c r="E90" s="21"/>
      <c r="F90" s="21"/>
      <c r="G90" s="25"/>
      <c r="H90" s="11"/>
      <c r="I90" s="21"/>
      <c r="J90" s="21"/>
      <c r="K90" s="21"/>
      <c r="L90" s="21"/>
      <c r="M90" s="21"/>
      <c r="N90" s="21"/>
    </row>
    <row r="91" spans="1:14" ht="15.75" customHeight="1" x14ac:dyDescent="0.25">
      <c r="A91" s="31" t="s">
        <v>14</v>
      </c>
      <c r="B91" s="31" t="s">
        <v>234</v>
      </c>
      <c r="C91" s="31" t="s">
        <v>16</v>
      </c>
      <c r="D91" s="31" t="s">
        <v>17</v>
      </c>
      <c r="E91" s="31" t="s">
        <v>235</v>
      </c>
      <c r="F91" s="31" t="s">
        <v>379</v>
      </c>
      <c r="G91" s="110" t="s">
        <v>236</v>
      </c>
      <c r="H91" s="11"/>
      <c r="I91" s="21"/>
      <c r="J91" s="21"/>
      <c r="K91" s="21"/>
      <c r="L91" s="21"/>
      <c r="M91" s="21"/>
      <c r="N91" s="21"/>
    </row>
    <row r="92" spans="1:14" ht="15.75" customHeight="1" x14ac:dyDescent="0.25">
      <c r="A92" s="7">
        <v>1</v>
      </c>
      <c r="B92" s="41" t="s">
        <v>380</v>
      </c>
      <c r="C92" s="7">
        <v>5</v>
      </c>
      <c r="D92" s="7" t="s">
        <v>381</v>
      </c>
      <c r="E92" s="104">
        <v>1806000</v>
      </c>
      <c r="F92" s="104">
        <v>156000</v>
      </c>
      <c r="G92" s="111">
        <v>8250000</v>
      </c>
      <c r="H92" s="11"/>
      <c r="I92" s="21"/>
      <c r="J92" s="21"/>
      <c r="K92" s="21"/>
      <c r="L92" s="21"/>
      <c r="M92" s="21"/>
      <c r="N92" s="21"/>
    </row>
    <row r="93" spans="1:14" ht="15.75" customHeight="1" x14ac:dyDescent="0.25">
      <c r="A93" s="7"/>
      <c r="B93" s="343" t="s">
        <v>342</v>
      </c>
      <c r="C93" s="344"/>
      <c r="D93" s="344"/>
      <c r="E93" s="344"/>
      <c r="F93" s="334"/>
      <c r="G93" s="111">
        <f>G92</f>
        <v>8250000</v>
      </c>
      <c r="H93" s="11"/>
      <c r="I93" s="21"/>
      <c r="J93" s="21"/>
      <c r="K93" s="21"/>
      <c r="L93" s="21"/>
      <c r="M93" s="21"/>
      <c r="N93" s="21"/>
    </row>
    <row r="94" spans="1:14" ht="15.75" customHeight="1" x14ac:dyDescent="0.25">
      <c r="A94" s="7"/>
      <c r="B94" s="343" t="s">
        <v>343</v>
      </c>
      <c r="C94" s="344"/>
      <c r="D94" s="344"/>
      <c r="E94" s="344"/>
      <c r="F94" s="334"/>
      <c r="G94" s="111">
        <v>907500</v>
      </c>
      <c r="H94" s="11"/>
      <c r="I94" s="21"/>
      <c r="J94" s="21"/>
      <c r="K94" s="21"/>
      <c r="L94" s="21"/>
      <c r="M94" s="21"/>
      <c r="N94" s="21"/>
    </row>
    <row r="95" spans="1:14" ht="15.75" customHeight="1" x14ac:dyDescent="0.25">
      <c r="A95" s="7"/>
      <c r="B95" s="345" t="s">
        <v>344</v>
      </c>
      <c r="C95" s="344"/>
      <c r="D95" s="344"/>
      <c r="E95" s="344"/>
      <c r="F95" s="334"/>
      <c r="G95" s="111">
        <f>SUM(G93:G94)</f>
        <v>9157500</v>
      </c>
      <c r="H95" s="11"/>
      <c r="I95" s="21"/>
      <c r="J95" s="21"/>
      <c r="K95" s="21"/>
      <c r="L95" s="21"/>
      <c r="M95" s="21"/>
      <c r="N95" s="21"/>
    </row>
    <row r="96" spans="1:14" ht="15.75" customHeight="1" x14ac:dyDescent="0.25">
      <c r="A96" s="21"/>
      <c r="B96" s="21"/>
      <c r="C96" s="11"/>
      <c r="D96" s="11"/>
      <c r="E96" s="21"/>
      <c r="F96" s="21"/>
      <c r="G96" s="25"/>
      <c r="H96" s="11"/>
      <c r="I96" s="21"/>
      <c r="J96" s="21"/>
      <c r="K96" s="21"/>
      <c r="L96" s="21"/>
      <c r="M96" s="21"/>
      <c r="N96" s="21"/>
    </row>
    <row r="97" spans="1:14" ht="15.75" customHeight="1" x14ac:dyDescent="0.25">
      <c r="A97" s="31" t="s">
        <v>14</v>
      </c>
      <c r="B97" s="31" t="s">
        <v>234</v>
      </c>
      <c r="C97" s="31" t="s">
        <v>16</v>
      </c>
      <c r="D97" s="31" t="s">
        <v>17</v>
      </c>
      <c r="E97" s="31" t="s">
        <v>235</v>
      </c>
      <c r="F97" s="31" t="s">
        <v>236</v>
      </c>
      <c r="G97" s="25"/>
      <c r="H97" s="11"/>
      <c r="I97" s="21"/>
      <c r="J97" s="21"/>
      <c r="K97" s="21"/>
      <c r="L97" s="21"/>
      <c r="M97" s="21"/>
      <c r="N97" s="21"/>
    </row>
    <row r="98" spans="1:14" ht="15.75" customHeight="1" x14ac:dyDescent="0.25">
      <c r="A98" s="7">
        <v>1</v>
      </c>
      <c r="B98" s="41" t="s">
        <v>382</v>
      </c>
      <c r="C98" s="7">
        <v>1</v>
      </c>
      <c r="D98" s="7" t="s">
        <v>19</v>
      </c>
      <c r="E98" s="104">
        <v>14250</v>
      </c>
      <c r="F98" s="104">
        <f>E98*C98</f>
        <v>14250</v>
      </c>
      <c r="G98" s="25"/>
      <c r="H98" s="11"/>
      <c r="I98" s="21"/>
      <c r="J98" s="21"/>
      <c r="K98" s="21"/>
      <c r="L98" s="21"/>
      <c r="M98" s="21"/>
      <c r="N98" s="21"/>
    </row>
    <row r="99" spans="1:14" ht="15.75" customHeight="1" x14ac:dyDescent="0.25">
      <c r="A99" s="7"/>
      <c r="B99" s="343" t="s">
        <v>342</v>
      </c>
      <c r="C99" s="344"/>
      <c r="D99" s="344"/>
      <c r="E99" s="334"/>
      <c r="F99" s="104">
        <f>F98</f>
        <v>14250</v>
      </c>
      <c r="G99" s="25"/>
      <c r="H99" s="11"/>
      <c r="I99" s="21"/>
      <c r="J99" s="21"/>
      <c r="K99" s="21"/>
      <c r="L99" s="21"/>
      <c r="M99" s="21"/>
      <c r="N99" s="21"/>
    </row>
    <row r="100" spans="1:14" ht="15.75" customHeight="1" x14ac:dyDescent="0.25">
      <c r="A100" s="7"/>
      <c r="B100" s="343" t="s">
        <v>343</v>
      </c>
      <c r="C100" s="344"/>
      <c r="D100" s="344"/>
      <c r="E100" s="334"/>
      <c r="F100" s="108">
        <v>1567.5</v>
      </c>
      <c r="G100" s="25"/>
      <c r="H100" s="11"/>
      <c r="I100" s="21"/>
      <c r="J100" s="21"/>
      <c r="K100" s="21"/>
      <c r="L100" s="21"/>
      <c r="M100" s="21"/>
      <c r="N100" s="21"/>
    </row>
    <row r="101" spans="1:14" ht="15.75" customHeight="1" x14ac:dyDescent="0.25">
      <c r="A101" s="7"/>
      <c r="B101" s="345" t="s">
        <v>344</v>
      </c>
      <c r="C101" s="344"/>
      <c r="D101" s="344"/>
      <c r="E101" s="334"/>
      <c r="F101" s="109">
        <f>SUM(F99:F100)</f>
        <v>15817.5</v>
      </c>
      <c r="G101" s="25"/>
      <c r="H101" s="11"/>
      <c r="I101" s="21"/>
      <c r="J101" s="21"/>
      <c r="K101" s="21"/>
      <c r="L101" s="21"/>
      <c r="M101" s="21"/>
      <c r="N101" s="21"/>
    </row>
    <row r="102" spans="1:14" ht="15.75" customHeight="1" x14ac:dyDescent="0.25">
      <c r="A102" s="21"/>
      <c r="B102" s="21"/>
      <c r="C102" s="11"/>
      <c r="D102" s="11"/>
      <c r="E102" s="21"/>
      <c r="F102" s="21"/>
      <c r="G102" s="25"/>
      <c r="H102" s="11"/>
      <c r="I102" s="21"/>
      <c r="J102" s="21"/>
      <c r="K102" s="21"/>
      <c r="L102" s="21"/>
      <c r="M102" s="21"/>
      <c r="N102" s="21"/>
    </row>
    <row r="103" spans="1:14" ht="15.75" customHeight="1" x14ac:dyDescent="0.25">
      <c r="A103" s="31" t="s">
        <v>14</v>
      </c>
      <c r="B103" s="31" t="s">
        <v>234</v>
      </c>
      <c r="C103" s="31" t="s">
        <v>16</v>
      </c>
      <c r="D103" s="31" t="s">
        <v>17</v>
      </c>
      <c r="E103" s="31" t="s">
        <v>235</v>
      </c>
      <c r="F103" s="31" t="s">
        <v>236</v>
      </c>
      <c r="G103" s="25"/>
      <c r="H103" s="11"/>
      <c r="I103" s="21"/>
      <c r="J103" s="21"/>
      <c r="K103" s="21"/>
      <c r="L103" s="21"/>
      <c r="M103" s="21"/>
      <c r="N103" s="21"/>
    </row>
    <row r="104" spans="1:14" ht="15.75" customHeight="1" x14ac:dyDescent="0.25">
      <c r="A104" s="7">
        <v>1</v>
      </c>
      <c r="B104" s="41" t="s">
        <v>383</v>
      </c>
      <c r="C104" s="7">
        <v>50</v>
      </c>
      <c r="D104" s="7" t="s">
        <v>19</v>
      </c>
      <c r="E104" s="104">
        <v>3325</v>
      </c>
      <c r="F104" s="104">
        <f>E104*C104</f>
        <v>166250</v>
      </c>
      <c r="G104" s="25"/>
      <c r="H104" s="11"/>
      <c r="I104" s="21"/>
      <c r="J104" s="21"/>
      <c r="K104" s="21"/>
      <c r="L104" s="21"/>
      <c r="M104" s="21"/>
      <c r="N104" s="21"/>
    </row>
    <row r="105" spans="1:14" ht="15.75" customHeight="1" x14ac:dyDescent="0.25">
      <c r="A105" s="7"/>
      <c r="B105" s="343" t="s">
        <v>342</v>
      </c>
      <c r="C105" s="344"/>
      <c r="D105" s="344"/>
      <c r="E105" s="334"/>
      <c r="F105" s="104">
        <f>F104</f>
        <v>166250</v>
      </c>
      <c r="G105" s="25"/>
      <c r="H105" s="11"/>
      <c r="I105" s="21"/>
      <c r="J105" s="21"/>
      <c r="K105" s="21"/>
      <c r="L105" s="21"/>
      <c r="M105" s="21"/>
      <c r="N105" s="21"/>
    </row>
    <row r="106" spans="1:14" ht="15.75" customHeight="1" x14ac:dyDescent="0.25">
      <c r="A106" s="7"/>
      <c r="B106" s="343" t="s">
        <v>343</v>
      </c>
      <c r="C106" s="344"/>
      <c r="D106" s="344"/>
      <c r="E106" s="334"/>
      <c r="F106" s="108">
        <v>18287.5</v>
      </c>
      <c r="G106" s="25"/>
      <c r="H106" s="11"/>
      <c r="I106" s="21"/>
      <c r="J106" s="21"/>
      <c r="K106" s="21"/>
      <c r="L106" s="21"/>
      <c r="M106" s="21"/>
      <c r="N106" s="21"/>
    </row>
    <row r="107" spans="1:14" ht="15.75" customHeight="1" x14ac:dyDescent="0.25">
      <c r="A107" s="7"/>
      <c r="B107" s="345" t="s">
        <v>344</v>
      </c>
      <c r="C107" s="344"/>
      <c r="D107" s="344"/>
      <c r="E107" s="334"/>
      <c r="F107" s="109">
        <f>SUM(F105:F106)</f>
        <v>184537.5</v>
      </c>
      <c r="G107" s="25"/>
      <c r="H107" s="11"/>
      <c r="I107" s="21"/>
      <c r="J107" s="21"/>
      <c r="K107" s="21"/>
      <c r="L107" s="21"/>
      <c r="M107" s="21"/>
      <c r="N107" s="21"/>
    </row>
    <row r="108" spans="1:14" ht="15.75" customHeight="1" x14ac:dyDescent="0.25">
      <c r="A108" s="21"/>
      <c r="B108" s="21"/>
      <c r="C108" s="11"/>
      <c r="D108" s="11"/>
      <c r="E108" s="21"/>
      <c r="F108" s="21"/>
      <c r="G108" s="25"/>
      <c r="H108" s="11"/>
      <c r="I108" s="21"/>
      <c r="J108" s="21"/>
      <c r="K108" s="21"/>
      <c r="L108" s="21"/>
      <c r="M108" s="21"/>
      <c r="N108" s="21"/>
    </row>
    <row r="109" spans="1:14" ht="15.75" customHeight="1" x14ac:dyDescent="0.25">
      <c r="A109" s="31" t="s">
        <v>14</v>
      </c>
      <c r="B109" s="31" t="s">
        <v>234</v>
      </c>
      <c r="C109" s="31" t="s">
        <v>16</v>
      </c>
      <c r="D109" s="31" t="s">
        <v>17</v>
      </c>
      <c r="E109" s="31" t="s">
        <v>235</v>
      </c>
      <c r="F109" s="31" t="s">
        <v>236</v>
      </c>
      <c r="G109" s="25"/>
      <c r="H109" s="11"/>
      <c r="I109" s="21"/>
      <c r="J109" s="21"/>
      <c r="K109" s="21"/>
      <c r="L109" s="21"/>
      <c r="M109" s="21"/>
      <c r="N109" s="21"/>
    </row>
    <row r="110" spans="1:14" ht="15.75" customHeight="1" x14ac:dyDescent="0.25">
      <c r="A110" s="7">
        <v>1</v>
      </c>
      <c r="B110" s="41" t="s">
        <v>384</v>
      </c>
      <c r="C110" s="7">
        <v>5</v>
      </c>
      <c r="D110" s="7" t="s">
        <v>19</v>
      </c>
      <c r="E110" s="104">
        <v>1500</v>
      </c>
      <c r="F110" s="104">
        <f>E110*C110</f>
        <v>7500</v>
      </c>
      <c r="G110" s="25"/>
      <c r="H110" s="11"/>
      <c r="I110" s="21"/>
      <c r="J110" s="21"/>
      <c r="K110" s="21"/>
      <c r="L110" s="21"/>
      <c r="M110" s="21"/>
      <c r="N110" s="21"/>
    </row>
    <row r="111" spans="1:14" ht="15.75" customHeight="1" x14ac:dyDescent="0.25">
      <c r="A111" s="7"/>
      <c r="B111" s="343" t="s">
        <v>342</v>
      </c>
      <c r="C111" s="344"/>
      <c r="D111" s="344"/>
      <c r="E111" s="334"/>
      <c r="F111" s="104">
        <f>F110</f>
        <v>7500</v>
      </c>
      <c r="G111" s="25"/>
      <c r="H111" s="11"/>
      <c r="I111" s="21"/>
      <c r="J111" s="21"/>
      <c r="K111" s="21"/>
      <c r="L111" s="21"/>
      <c r="M111" s="21"/>
      <c r="N111" s="21"/>
    </row>
    <row r="112" spans="1:14" ht="15.75" customHeight="1" x14ac:dyDescent="0.25">
      <c r="A112" s="7"/>
      <c r="B112" s="343" t="s">
        <v>343</v>
      </c>
      <c r="C112" s="344"/>
      <c r="D112" s="344"/>
      <c r="E112" s="334"/>
      <c r="F112" s="104">
        <v>825</v>
      </c>
      <c r="G112" s="25"/>
      <c r="H112" s="11"/>
      <c r="I112" s="21"/>
      <c r="J112" s="21"/>
      <c r="K112" s="21"/>
      <c r="L112" s="21"/>
      <c r="M112" s="21"/>
      <c r="N112" s="21"/>
    </row>
    <row r="113" spans="1:14" ht="15.75" customHeight="1" x14ac:dyDescent="0.25">
      <c r="A113" s="7"/>
      <c r="B113" s="345" t="s">
        <v>344</v>
      </c>
      <c r="C113" s="344"/>
      <c r="D113" s="344"/>
      <c r="E113" s="334"/>
      <c r="F113" s="107">
        <f>SUM(F111:F112)</f>
        <v>8325</v>
      </c>
      <c r="G113" s="25"/>
      <c r="H113" s="11"/>
      <c r="I113" s="21"/>
      <c r="J113" s="21"/>
      <c r="K113" s="21"/>
      <c r="L113" s="21"/>
      <c r="M113" s="21"/>
      <c r="N113" s="21"/>
    </row>
    <row r="114" spans="1:14" ht="15.75" customHeight="1" x14ac:dyDescent="0.25">
      <c r="A114" s="21"/>
      <c r="B114" s="21"/>
      <c r="C114" s="11"/>
      <c r="D114" s="11"/>
      <c r="E114" s="21"/>
      <c r="F114" s="21"/>
      <c r="G114" s="25"/>
      <c r="H114" s="11"/>
      <c r="I114" s="21"/>
      <c r="J114" s="21"/>
      <c r="K114" s="21"/>
      <c r="L114" s="21"/>
      <c r="M114" s="21"/>
      <c r="N114" s="21"/>
    </row>
    <row r="115" spans="1:14" ht="15.75" customHeight="1" x14ac:dyDescent="0.25">
      <c r="A115" s="31" t="s">
        <v>14</v>
      </c>
      <c r="B115" s="31" t="s">
        <v>234</v>
      </c>
      <c r="C115" s="31" t="s">
        <v>16</v>
      </c>
      <c r="D115" s="31" t="s">
        <v>17</v>
      </c>
      <c r="E115" s="31" t="s">
        <v>235</v>
      </c>
      <c r="F115" s="31" t="s">
        <v>236</v>
      </c>
      <c r="G115" s="25"/>
      <c r="H115" s="11"/>
      <c r="I115" s="21"/>
      <c r="J115" s="21"/>
      <c r="K115" s="21"/>
      <c r="L115" s="21"/>
      <c r="M115" s="21"/>
      <c r="N115" s="21"/>
    </row>
    <row r="116" spans="1:14" ht="15.75" customHeight="1" x14ac:dyDescent="0.25">
      <c r="A116" s="7">
        <v>1</v>
      </c>
      <c r="B116" s="41" t="s">
        <v>385</v>
      </c>
      <c r="C116" s="7">
        <v>1</v>
      </c>
      <c r="D116" s="7" t="s">
        <v>355</v>
      </c>
      <c r="E116" s="104">
        <v>1567500</v>
      </c>
      <c r="F116" s="104">
        <f>E116*C116</f>
        <v>1567500</v>
      </c>
      <c r="G116" s="25"/>
      <c r="H116" s="11"/>
      <c r="I116" s="21"/>
      <c r="J116" s="21"/>
      <c r="K116" s="21"/>
      <c r="L116" s="21"/>
      <c r="M116" s="21"/>
      <c r="N116" s="21"/>
    </row>
    <row r="117" spans="1:14" ht="15.75" customHeight="1" x14ac:dyDescent="0.25">
      <c r="A117" s="7"/>
      <c r="B117" s="343" t="s">
        <v>342</v>
      </c>
      <c r="C117" s="344"/>
      <c r="D117" s="344"/>
      <c r="E117" s="334"/>
      <c r="F117" s="104">
        <f>F116</f>
        <v>1567500</v>
      </c>
      <c r="G117" s="25"/>
      <c r="H117" s="11"/>
      <c r="I117" s="21"/>
      <c r="J117" s="21"/>
      <c r="K117" s="21"/>
      <c r="L117" s="21"/>
      <c r="M117" s="21"/>
      <c r="N117" s="21"/>
    </row>
    <row r="118" spans="1:14" ht="15.75" customHeight="1" x14ac:dyDescent="0.25">
      <c r="A118" s="7"/>
      <c r="B118" s="343" t="s">
        <v>343</v>
      </c>
      <c r="C118" s="344"/>
      <c r="D118" s="344"/>
      <c r="E118" s="334"/>
      <c r="F118" s="104">
        <v>172425</v>
      </c>
      <c r="G118" s="25"/>
      <c r="H118" s="11"/>
      <c r="I118" s="21"/>
      <c r="J118" s="21"/>
      <c r="K118" s="21"/>
      <c r="L118" s="21"/>
      <c r="M118" s="21"/>
      <c r="N118" s="21"/>
    </row>
    <row r="119" spans="1:14" ht="15.75" customHeight="1" x14ac:dyDescent="0.25">
      <c r="A119" s="7"/>
      <c r="B119" s="345" t="s">
        <v>344</v>
      </c>
      <c r="C119" s="344"/>
      <c r="D119" s="344"/>
      <c r="E119" s="334"/>
      <c r="F119" s="107">
        <f>SUM(F117:F118)</f>
        <v>1739925</v>
      </c>
      <c r="G119" s="25"/>
      <c r="H119" s="11"/>
      <c r="I119" s="21"/>
      <c r="J119" s="21"/>
      <c r="K119" s="21"/>
      <c r="L119" s="21"/>
      <c r="M119" s="21"/>
      <c r="N119" s="21"/>
    </row>
    <row r="120" spans="1:14" ht="15.75" customHeight="1" x14ac:dyDescent="0.25">
      <c r="A120" s="21"/>
      <c r="B120" s="21"/>
      <c r="C120" s="11"/>
      <c r="D120" s="11"/>
      <c r="E120" s="21"/>
      <c r="F120" s="21"/>
      <c r="G120" s="25"/>
      <c r="H120" s="11"/>
      <c r="I120" s="21"/>
      <c r="J120" s="21"/>
      <c r="K120" s="21"/>
      <c r="L120" s="21"/>
      <c r="M120" s="21"/>
      <c r="N120" s="21"/>
    </row>
    <row r="121" spans="1:14" ht="15.75" customHeight="1" x14ac:dyDescent="0.25">
      <c r="A121" s="31" t="s">
        <v>14</v>
      </c>
      <c r="B121" s="31" t="s">
        <v>234</v>
      </c>
      <c r="C121" s="31" t="s">
        <v>16</v>
      </c>
      <c r="D121" s="31" t="s">
        <v>17</v>
      </c>
      <c r="E121" s="31" t="s">
        <v>235</v>
      </c>
      <c r="F121" s="31" t="s">
        <v>236</v>
      </c>
      <c r="G121" s="25"/>
      <c r="H121" s="11"/>
      <c r="I121" s="21"/>
      <c r="J121" s="21"/>
      <c r="K121" s="21"/>
      <c r="L121" s="21"/>
      <c r="M121" s="21"/>
      <c r="N121" s="21"/>
    </row>
    <row r="122" spans="1:14" ht="15.75" customHeight="1" x14ac:dyDescent="0.25">
      <c r="A122" s="7">
        <v>1</v>
      </c>
      <c r="B122" s="41" t="s">
        <v>386</v>
      </c>
      <c r="C122" s="7">
        <v>8</v>
      </c>
      <c r="D122" s="7" t="s">
        <v>251</v>
      </c>
      <c r="E122" s="104">
        <v>190500</v>
      </c>
      <c r="F122" s="104">
        <f>E122*C122</f>
        <v>1524000</v>
      </c>
      <c r="G122" s="25"/>
      <c r="H122" s="11"/>
      <c r="I122" s="21"/>
      <c r="J122" s="21"/>
      <c r="K122" s="21"/>
      <c r="L122" s="21"/>
      <c r="M122" s="21"/>
      <c r="N122" s="21"/>
    </row>
    <row r="123" spans="1:14" ht="15.75" customHeight="1" x14ac:dyDescent="0.25">
      <c r="A123" s="7"/>
      <c r="B123" s="343" t="s">
        <v>342</v>
      </c>
      <c r="C123" s="344"/>
      <c r="D123" s="344"/>
      <c r="E123" s="334"/>
      <c r="F123" s="104">
        <f>F122</f>
        <v>1524000</v>
      </c>
      <c r="G123" s="25"/>
      <c r="H123" s="11"/>
      <c r="I123" s="21"/>
      <c r="J123" s="21"/>
      <c r="K123" s="21"/>
      <c r="L123" s="21"/>
      <c r="M123" s="21"/>
      <c r="N123" s="21"/>
    </row>
    <row r="124" spans="1:14" ht="15.75" customHeight="1" x14ac:dyDescent="0.25">
      <c r="A124" s="7"/>
      <c r="B124" s="343" t="s">
        <v>343</v>
      </c>
      <c r="C124" s="344"/>
      <c r="D124" s="344"/>
      <c r="E124" s="334"/>
      <c r="F124" s="104">
        <v>167640</v>
      </c>
      <c r="G124" s="25"/>
      <c r="H124" s="11"/>
      <c r="I124" s="21"/>
      <c r="J124" s="21"/>
      <c r="K124" s="21"/>
      <c r="L124" s="21"/>
      <c r="M124" s="21"/>
      <c r="N124" s="21"/>
    </row>
    <row r="125" spans="1:14" ht="15.75" customHeight="1" x14ac:dyDescent="0.25">
      <c r="A125" s="7"/>
      <c r="B125" s="345" t="s">
        <v>344</v>
      </c>
      <c r="C125" s="344"/>
      <c r="D125" s="344"/>
      <c r="E125" s="334"/>
      <c r="F125" s="107">
        <f>SUM(F123:F124)</f>
        <v>1691640</v>
      </c>
      <c r="G125" s="25"/>
      <c r="H125" s="11"/>
      <c r="I125" s="21"/>
      <c r="J125" s="21"/>
      <c r="K125" s="21"/>
      <c r="L125" s="21"/>
      <c r="M125" s="21"/>
      <c r="N125" s="21"/>
    </row>
    <row r="126" spans="1:14" ht="15.75" customHeight="1" x14ac:dyDescent="0.25">
      <c r="A126" s="21"/>
      <c r="B126" s="21"/>
      <c r="C126" s="11"/>
      <c r="D126" s="11"/>
      <c r="E126" s="21"/>
      <c r="F126" s="21"/>
      <c r="G126" s="25"/>
      <c r="H126" s="11"/>
      <c r="I126" s="21"/>
      <c r="J126" s="21"/>
      <c r="K126" s="21"/>
      <c r="L126" s="21"/>
      <c r="M126" s="21"/>
      <c r="N126" s="21"/>
    </row>
    <row r="127" spans="1:14" ht="15.75" customHeight="1" x14ac:dyDescent="0.25">
      <c r="A127" s="31" t="s">
        <v>14</v>
      </c>
      <c r="B127" s="31" t="s">
        <v>15</v>
      </c>
      <c r="C127" s="31" t="s">
        <v>16</v>
      </c>
      <c r="D127" s="31" t="s">
        <v>357</v>
      </c>
      <c r="E127" s="31" t="s">
        <v>235</v>
      </c>
      <c r="F127" s="31" t="s">
        <v>236</v>
      </c>
      <c r="G127" s="25"/>
      <c r="H127" s="11"/>
      <c r="I127" s="21"/>
      <c r="J127" s="21"/>
      <c r="K127" s="21"/>
      <c r="L127" s="21"/>
      <c r="M127" s="21"/>
      <c r="N127" s="21"/>
    </row>
    <row r="128" spans="1:14" ht="15.75" customHeight="1" x14ac:dyDescent="0.25">
      <c r="A128" s="7">
        <v>1</v>
      </c>
      <c r="B128" s="41" t="s">
        <v>387</v>
      </c>
      <c r="C128" s="7">
        <v>10</v>
      </c>
      <c r="D128" s="7" t="s">
        <v>19</v>
      </c>
      <c r="E128" s="104">
        <v>152000</v>
      </c>
      <c r="F128" s="104">
        <f>E128*C128</f>
        <v>1520000</v>
      </c>
      <c r="G128" s="25"/>
      <c r="H128" s="11"/>
      <c r="I128" s="21"/>
      <c r="J128" s="21"/>
      <c r="K128" s="21"/>
      <c r="L128" s="21"/>
      <c r="M128" s="21"/>
      <c r="N128" s="21"/>
    </row>
    <row r="129" spans="1:14" ht="15.75" customHeight="1" x14ac:dyDescent="0.25">
      <c r="A129" s="7">
        <v>2</v>
      </c>
      <c r="B129" s="41" t="s">
        <v>388</v>
      </c>
      <c r="C129" s="7">
        <v>10</v>
      </c>
      <c r="D129" s="7" t="s">
        <v>19</v>
      </c>
      <c r="E129" s="104">
        <v>118750</v>
      </c>
      <c r="F129" s="104">
        <f>E129*C129</f>
        <v>1187500</v>
      </c>
      <c r="G129" s="25"/>
      <c r="H129" s="11"/>
      <c r="I129" s="21"/>
      <c r="J129" s="21"/>
      <c r="K129" s="21"/>
      <c r="L129" s="21"/>
      <c r="M129" s="21"/>
      <c r="N129" s="21"/>
    </row>
    <row r="130" spans="1:14" ht="15.75" customHeight="1" x14ac:dyDescent="0.25">
      <c r="A130" s="7">
        <v>3</v>
      </c>
      <c r="B130" s="41" t="s">
        <v>389</v>
      </c>
      <c r="C130" s="7">
        <v>10</v>
      </c>
      <c r="D130" s="7" t="s">
        <v>19</v>
      </c>
      <c r="E130" s="104">
        <v>128250</v>
      </c>
      <c r="F130" s="104">
        <f>E130*C130</f>
        <v>1282500</v>
      </c>
      <c r="G130" s="25"/>
      <c r="H130" s="11"/>
      <c r="I130" s="21"/>
      <c r="J130" s="21"/>
      <c r="K130" s="21"/>
      <c r="L130" s="21"/>
      <c r="M130" s="21"/>
      <c r="N130" s="21"/>
    </row>
    <row r="131" spans="1:14" ht="15.75" customHeight="1" x14ac:dyDescent="0.25">
      <c r="A131" s="7">
        <v>4</v>
      </c>
      <c r="B131" s="41" t="s">
        <v>390</v>
      </c>
      <c r="C131" s="7">
        <v>10</v>
      </c>
      <c r="D131" s="7" t="s">
        <v>19</v>
      </c>
      <c r="E131" s="104">
        <v>142500</v>
      </c>
      <c r="F131" s="104">
        <f>E131*C131</f>
        <v>1425000</v>
      </c>
      <c r="G131" s="25"/>
      <c r="H131" s="11"/>
      <c r="I131" s="21"/>
      <c r="J131" s="21"/>
      <c r="K131" s="21"/>
      <c r="L131" s="21"/>
      <c r="M131" s="21"/>
      <c r="N131" s="21"/>
    </row>
    <row r="132" spans="1:14" ht="15.75" customHeight="1" x14ac:dyDescent="0.25">
      <c r="A132" s="7"/>
      <c r="B132" s="343" t="s">
        <v>342</v>
      </c>
      <c r="C132" s="344"/>
      <c r="D132" s="344"/>
      <c r="E132" s="334"/>
      <c r="F132" s="104">
        <f>SUM(F128:F131)</f>
        <v>5415000</v>
      </c>
      <c r="G132" s="25"/>
      <c r="H132" s="11"/>
      <c r="I132" s="21"/>
      <c r="J132" s="21"/>
      <c r="K132" s="21"/>
      <c r="L132" s="21"/>
      <c r="M132" s="21"/>
      <c r="N132" s="21"/>
    </row>
    <row r="133" spans="1:14" ht="15.75" customHeight="1" x14ac:dyDescent="0.25">
      <c r="A133" s="7"/>
      <c r="B133" s="343" t="s">
        <v>343</v>
      </c>
      <c r="C133" s="344"/>
      <c r="D133" s="344"/>
      <c r="E133" s="334"/>
      <c r="F133" s="104">
        <v>595650</v>
      </c>
      <c r="G133" s="25"/>
      <c r="H133" s="11"/>
      <c r="I133" s="21"/>
      <c r="J133" s="21"/>
      <c r="K133" s="21"/>
      <c r="L133" s="21"/>
      <c r="M133" s="21"/>
      <c r="N133" s="21"/>
    </row>
    <row r="134" spans="1:14" ht="15.75" customHeight="1" x14ac:dyDescent="0.25">
      <c r="A134" s="7"/>
      <c r="B134" s="345" t="s">
        <v>350</v>
      </c>
      <c r="C134" s="344"/>
      <c r="D134" s="344"/>
      <c r="E134" s="334"/>
      <c r="F134" s="107">
        <f>SUM(F132:F133)</f>
        <v>6010650</v>
      </c>
      <c r="G134" s="25"/>
      <c r="H134" s="11"/>
      <c r="I134" s="21"/>
      <c r="J134" s="21"/>
      <c r="K134" s="21"/>
      <c r="L134" s="21"/>
      <c r="M134" s="21"/>
      <c r="N134" s="21"/>
    </row>
    <row r="135" spans="1:14" ht="15.75" customHeight="1" x14ac:dyDescent="0.25">
      <c r="A135" s="21"/>
      <c r="B135" s="21"/>
      <c r="C135" s="11"/>
      <c r="D135" s="11"/>
      <c r="E135" s="21"/>
      <c r="F135" s="21"/>
      <c r="G135" s="25"/>
      <c r="H135" s="11"/>
      <c r="I135" s="21"/>
      <c r="J135" s="21"/>
      <c r="K135" s="21"/>
      <c r="L135" s="21"/>
      <c r="M135" s="21"/>
      <c r="N135" s="21"/>
    </row>
    <row r="136" spans="1:14" ht="15.75" customHeight="1" x14ac:dyDescent="0.25">
      <c r="A136" s="31" t="s">
        <v>14</v>
      </c>
      <c r="B136" s="31" t="s">
        <v>234</v>
      </c>
      <c r="C136" s="31" t="s">
        <v>16</v>
      </c>
      <c r="D136" s="31" t="s">
        <v>17</v>
      </c>
      <c r="E136" s="31" t="s">
        <v>235</v>
      </c>
      <c r="F136" s="31" t="s">
        <v>236</v>
      </c>
      <c r="G136" s="25"/>
      <c r="H136" s="11"/>
      <c r="I136" s="21"/>
      <c r="J136" s="21"/>
      <c r="K136" s="21"/>
      <c r="L136" s="21"/>
      <c r="M136" s="21"/>
      <c r="N136" s="21"/>
    </row>
    <row r="137" spans="1:14" ht="15.75" customHeight="1" x14ac:dyDescent="0.25">
      <c r="A137" s="7">
        <v>1</v>
      </c>
      <c r="B137" s="41" t="s">
        <v>391</v>
      </c>
      <c r="C137" s="7">
        <v>2</v>
      </c>
      <c r="D137" s="7" t="s">
        <v>243</v>
      </c>
      <c r="E137" s="104">
        <v>12300000</v>
      </c>
      <c r="F137" s="104">
        <f>E137*C137</f>
        <v>24600000</v>
      </c>
      <c r="G137" s="25"/>
      <c r="H137" s="11"/>
      <c r="I137" s="21"/>
      <c r="J137" s="21"/>
      <c r="K137" s="21"/>
      <c r="L137" s="21"/>
      <c r="M137" s="21"/>
      <c r="N137" s="21"/>
    </row>
    <row r="138" spans="1:14" ht="15.75" customHeight="1" x14ac:dyDescent="0.25">
      <c r="A138" s="7"/>
      <c r="B138" s="343" t="s">
        <v>342</v>
      </c>
      <c r="C138" s="344"/>
      <c r="D138" s="344"/>
      <c r="E138" s="334"/>
      <c r="F138" s="104">
        <f>F137</f>
        <v>24600000</v>
      </c>
      <c r="G138" s="25"/>
      <c r="H138" s="11"/>
      <c r="I138" s="21"/>
      <c r="J138" s="21"/>
      <c r="K138" s="21"/>
      <c r="L138" s="21"/>
      <c r="M138" s="21"/>
      <c r="N138" s="21"/>
    </row>
    <row r="139" spans="1:14" ht="15.75" customHeight="1" x14ac:dyDescent="0.25">
      <c r="A139" s="7"/>
      <c r="B139" s="343" t="s">
        <v>343</v>
      </c>
      <c r="C139" s="344"/>
      <c r="D139" s="344"/>
      <c r="E139" s="334"/>
      <c r="F139" s="104">
        <v>2706000</v>
      </c>
      <c r="G139" s="25"/>
      <c r="H139" s="11"/>
      <c r="I139" s="21"/>
      <c r="J139" s="21"/>
      <c r="K139" s="21"/>
      <c r="L139" s="21"/>
      <c r="M139" s="21"/>
      <c r="N139" s="21"/>
    </row>
    <row r="140" spans="1:14" ht="15.75" customHeight="1" x14ac:dyDescent="0.25">
      <c r="A140" s="7"/>
      <c r="B140" s="345" t="s">
        <v>344</v>
      </c>
      <c r="C140" s="344"/>
      <c r="D140" s="344"/>
      <c r="E140" s="334"/>
      <c r="F140" s="107">
        <f>SUM(F138:F139)</f>
        <v>27306000</v>
      </c>
      <c r="G140" s="25"/>
      <c r="H140" s="11"/>
      <c r="I140" s="21"/>
      <c r="J140" s="21"/>
      <c r="K140" s="21"/>
      <c r="L140" s="21"/>
      <c r="M140" s="21"/>
      <c r="N140" s="21"/>
    </row>
    <row r="141" spans="1:14" ht="15.75" customHeight="1" x14ac:dyDescent="0.25">
      <c r="A141" s="21"/>
      <c r="B141" s="21"/>
      <c r="C141" s="11"/>
      <c r="D141" s="11"/>
      <c r="E141" s="21"/>
      <c r="F141" s="21"/>
      <c r="G141" s="25"/>
      <c r="H141" s="11"/>
      <c r="I141" s="21"/>
      <c r="J141" s="21"/>
      <c r="K141" s="21"/>
      <c r="L141" s="21"/>
      <c r="M141" s="21"/>
      <c r="N141" s="21"/>
    </row>
    <row r="142" spans="1:14" ht="15.75" customHeight="1" x14ac:dyDescent="0.25">
      <c r="A142" s="31" t="s">
        <v>14</v>
      </c>
      <c r="B142" s="31" t="s">
        <v>234</v>
      </c>
      <c r="C142" s="31" t="s">
        <v>16</v>
      </c>
      <c r="D142" s="31" t="s">
        <v>17</v>
      </c>
      <c r="E142" s="31" t="s">
        <v>235</v>
      </c>
      <c r="F142" s="31" t="s">
        <v>236</v>
      </c>
      <c r="G142" s="25"/>
      <c r="H142" s="11"/>
      <c r="I142" s="21"/>
      <c r="J142" s="21"/>
      <c r="K142" s="21"/>
      <c r="L142" s="21"/>
      <c r="M142" s="21"/>
      <c r="N142" s="21"/>
    </row>
    <row r="143" spans="1:14" ht="15.75" customHeight="1" x14ac:dyDescent="0.25">
      <c r="A143" s="7">
        <v>1</v>
      </c>
      <c r="B143" s="41" t="s">
        <v>392</v>
      </c>
      <c r="C143" s="7">
        <v>3</v>
      </c>
      <c r="D143" s="7" t="s">
        <v>363</v>
      </c>
      <c r="E143" s="104">
        <v>744465</v>
      </c>
      <c r="F143" s="104">
        <f>E143*C143</f>
        <v>2233395</v>
      </c>
      <c r="G143" s="25"/>
      <c r="H143" s="11"/>
      <c r="I143" s="21"/>
      <c r="J143" s="21"/>
      <c r="K143" s="21"/>
      <c r="L143" s="21"/>
      <c r="M143" s="21"/>
      <c r="N143" s="21"/>
    </row>
    <row r="144" spans="1:14" ht="15.75" customHeight="1" x14ac:dyDescent="0.25">
      <c r="A144" s="7"/>
      <c r="B144" s="343" t="s">
        <v>342</v>
      </c>
      <c r="C144" s="344"/>
      <c r="D144" s="344"/>
      <c r="E144" s="334"/>
      <c r="F144" s="104">
        <f>F143</f>
        <v>2233395</v>
      </c>
      <c r="G144" s="25"/>
      <c r="H144" s="11"/>
      <c r="I144" s="21"/>
      <c r="J144" s="21"/>
      <c r="K144" s="21"/>
      <c r="L144" s="21"/>
      <c r="M144" s="21"/>
      <c r="N144" s="21"/>
    </row>
    <row r="145" spans="1:14" ht="15.75" customHeight="1" x14ac:dyDescent="0.25">
      <c r="A145" s="7"/>
      <c r="B145" s="343" t="s">
        <v>343</v>
      </c>
      <c r="C145" s="344"/>
      <c r="D145" s="344"/>
      <c r="E145" s="334"/>
      <c r="F145" s="108">
        <v>245673.45</v>
      </c>
      <c r="G145" s="25"/>
      <c r="H145" s="11"/>
      <c r="I145" s="21"/>
      <c r="J145" s="21"/>
      <c r="K145" s="21"/>
      <c r="L145" s="21"/>
      <c r="M145" s="21"/>
      <c r="N145" s="21"/>
    </row>
    <row r="146" spans="1:14" ht="15.75" customHeight="1" x14ac:dyDescent="0.25">
      <c r="A146" s="7"/>
      <c r="B146" s="345" t="s">
        <v>344</v>
      </c>
      <c r="C146" s="344"/>
      <c r="D146" s="344"/>
      <c r="E146" s="334"/>
      <c r="F146" s="109">
        <f>SUM(F144:F145)</f>
        <v>2479068.4500000002</v>
      </c>
      <c r="G146" s="25"/>
      <c r="H146" s="11"/>
      <c r="I146" s="21"/>
      <c r="J146" s="21"/>
      <c r="K146" s="21"/>
      <c r="L146" s="21"/>
      <c r="M146" s="21"/>
      <c r="N146" s="21"/>
    </row>
    <row r="147" spans="1:14" ht="15.75" customHeight="1" x14ac:dyDescent="0.25">
      <c r="A147" s="21"/>
      <c r="B147" s="21"/>
      <c r="C147" s="11"/>
      <c r="D147" s="11"/>
      <c r="E147" s="21"/>
      <c r="F147" s="21"/>
      <c r="G147" s="25"/>
      <c r="H147" s="11"/>
      <c r="I147" s="21"/>
      <c r="J147" s="21"/>
      <c r="K147" s="21"/>
      <c r="L147" s="21"/>
      <c r="M147" s="21"/>
      <c r="N147" s="21"/>
    </row>
    <row r="148" spans="1:14" ht="15.75" customHeight="1" x14ac:dyDescent="0.25">
      <c r="A148" s="31" t="s">
        <v>14</v>
      </c>
      <c r="B148" s="31" t="s">
        <v>234</v>
      </c>
      <c r="C148" s="31" t="s">
        <v>16</v>
      </c>
      <c r="D148" s="31" t="s">
        <v>17</v>
      </c>
      <c r="E148" s="31" t="s">
        <v>235</v>
      </c>
      <c r="F148" s="31" t="s">
        <v>236</v>
      </c>
      <c r="G148" s="25"/>
      <c r="H148" s="11"/>
      <c r="I148" s="21"/>
      <c r="J148" s="21"/>
      <c r="K148" s="21"/>
      <c r="L148" s="21"/>
      <c r="M148" s="21"/>
      <c r="N148" s="21"/>
    </row>
    <row r="149" spans="1:14" ht="15.75" customHeight="1" x14ac:dyDescent="0.25">
      <c r="A149" s="7">
        <v>1</v>
      </c>
      <c r="B149" s="35" t="s">
        <v>393</v>
      </c>
      <c r="C149" s="7">
        <v>1</v>
      </c>
      <c r="D149" s="7" t="s">
        <v>394</v>
      </c>
      <c r="E149" s="104">
        <v>110000000</v>
      </c>
      <c r="F149" s="104">
        <f>E149*C149</f>
        <v>110000000</v>
      </c>
      <c r="G149" s="25"/>
      <c r="H149" s="11"/>
      <c r="I149" s="21"/>
      <c r="J149" s="21"/>
      <c r="K149" s="21"/>
      <c r="L149" s="21"/>
      <c r="M149" s="21"/>
      <c r="N149" s="21"/>
    </row>
    <row r="150" spans="1:14" ht="15.75" customHeight="1" x14ac:dyDescent="0.25">
      <c r="A150" s="7">
        <v>2</v>
      </c>
      <c r="B150" s="41" t="s">
        <v>395</v>
      </c>
      <c r="C150" s="7">
        <v>1</v>
      </c>
      <c r="D150" s="7" t="s">
        <v>394</v>
      </c>
      <c r="E150" s="104">
        <v>5000000</v>
      </c>
      <c r="F150" s="104">
        <f>E150*C150</f>
        <v>5000000</v>
      </c>
      <c r="G150" s="25"/>
      <c r="H150" s="11"/>
      <c r="I150" s="21"/>
      <c r="J150" s="21"/>
      <c r="K150" s="21"/>
      <c r="L150" s="21"/>
      <c r="M150" s="21"/>
      <c r="N150" s="21"/>
    </row>
    <row r="151" spans="1:14" ht="15.75" customHeight="1" x14ac:dyDescent="0.25">
      <c r="A151" s="7"/>
      <c r="B151" s="343" t="s">
        <v>342</v>
      </c>
      <c r="C151" s="344"/>
      <c r="D151" s="344"/>
      <c r="E151" s="334"/>
      <c r="F151" s="104">
        <f>SUM(F149:F150)</f>
        <v>115000000</v>
      </c>
      <c r="G151" s="25"/>
      <c r="H151" s="11"/>
      <c r="I151" s="21"/>
      <c r="J151" s="21"/>
      <c r="K151" s="21"/>
      <c r="L151" s="21"/>
      <c r="M151" s="21"/>
      <c r="N151" s="21"/>
    </row>
    <row r="152" spans="1:14" ht="15.75" customHeight="1" x14ac:dyDescent="0.25">
      <c r="A152" s="7"/>
      <c r="B152" s="343" t="s">
        <v>343</v>
      </c>
      <c r="C152" s="344"/>
      <c r="D152" s="344"/>
      <c r="E152" s="334"/>
      <c r="F152" s="104">
        <v>12650000</v>
      </c>
      <c r="G152" s="25"/>
      <c r="H152" s="11"/>
      <c r="I152" s="21"/>
      <c r="J152" s="21"/>
      <c r="K152" s="21"/>
      <c r="L152" s="21"/>
      <c r="M152" s="21"/>
      <c r="N152" s="21"/>
    </row>
    <row r="153" spans="1:14" ht="15.75" customHeight="1" x14ac:dyDescent="0.25">
      <c r="A153" s="7"/>
      <c r="B153" s="345" t="s">
        <v>350</v>
      </c>
      <c r="C153" s="344"/>
      <c r="D153" s="344"/>
      <c r="E153" s="334"/>
      <c r="F153" s="107">
        <f>SUM(F151:F152)</f>
        <v>127650000</v>
      </c>
      <c r="G153" s="25"/>
      <c r="H153" s="11"/>
      <c r="I153" s="21"/>
      <c r="J153" s="21"/>
      <c r="K153" s="21"/>
      <c r="L153" s="21"/>
      <c r="M153" s="21"/>
      <c r="N153" s="21"/>
    </row>
    <row r="154" spans="1:14" ht="15.75" customHeight="1" x14ac:dyDescent="0.25">
      <c r="A154" s="21"/>
      <c r="B154" s="21"/>
      <c r="C154" s="11"/>
      <c r="D154" s="11"/>
      <c r="E154" s="21"/>
      <c r="F154" s="21"/>
      <c r="G154" s="25"/>
      <c r="H154" s="11"/>
      <c r="I154" s="21"/>
      <c r="J154" s="21"/>
      <c r="K154" s="21"/>
      <c r="L154" s="21"/>
      <c r="M154" s="21"/>
      <c r="N154" s="21"/>
    </row>
    <row r="155" spans="1:14" ht="15.75" customHeight="1" x14ac:dyDescent="0.25">
      <c r="A155" s="31" t="s">
        <v>14</v>
      </c>
      <c r="B155" s="31" t="s">
        <v>234</v>
      </c>
      <c r="C155" s="31" t="s">
        <v>16</v>
      </c>
      <c r="D155" s="31" t="s">
        <v>17</v>
      </c>
      <c r="E155" s="31" t="s">
        <v>235</v>
      </c>
      <c r="F155" s="31" t="s">
        <v>236</v>
      </c>
      <c r="G155" s="25"/>
      <c r="H155" s="11"/>
      <c r="I155" s="21"/>
      <c r="J155" s="21"/>
      <c r="K155" s="21"/>
      <c r="L155" s="21"/>
      <c r="M155" s="21"/>
      <c r="N155" s="21"/>
    </row>
    <row r="156" spans="1:14" ht="15.75" customHeight="1" x14ac:dyDescent="0.25">
      <c r="A156" s="7">
        <v>1</v>
      </c>
      <c r="B156" s="41" t="s">
        <v>396</v>
      </c>
      <c r="C156" s="7">
        <v>20</v>
      </c>
      <c r="D156" s="7" t="s">
        <v>355</v>
      </c>
      <c r="E156" s="104">
        <v>470000</v>
      </c>
      <c r="F156" s="104">
        <f>E156*C156</f>
        <v>9400000</v>
      </c>
      <c r="G156" s="25"/>
      <c r="H156" s="11"/>
      <c r="I156" s="21"/>
      <c r="J156" s="21"/>
      <c r="K156" s="21"/>
      <c r="L156" s="21"/>
      <c r="M156" s="21"/>
      <c r="N156" s="21"/>
    </row>
    <row r="157" spans="1:14" ht="15.75" customHeight="1" x14ac:dyDescent="0.25">
      <c r="A157" s="7"/>
      <c r="B157" s="343" t="s">
        <v>342</v>
      </c>
      <c r="C157" s="344"/>
      <c r="D157" s="344"/>
      <c r="E157" s="334"/>
      <c r="F157" s="104">
        <f>F156</f>
        <v>9400000</v>
      </c>
      <c r="G157" s="25"/>
      <c r="H157" s="11"/>
      <c r="I157" s="21"/>
      <c r="J157" s="21"/>
      <c r="K157" s="21"/>
      <c r="L157" s="21"/>
      <c r="M157" s="21"/>
      <c r="N157" s="21"/>
    </row>
    <row r="158" spans="1:14" ht="15.75" customHeight="1" x14ac:dyDescent="0.25">
      <c r="A158" s="7"/>
      <c r="B158" s="343" t="s">
        <v>343</v>
      </c>
      <c r="C158" s="344"/>
      <c r="D158" s="344"/>
      <c r="E158" s="334"/>
      <c r="F158" s="104">
        <v>1034000</v>
      </c>
      <c r="G158" s="25"/>
      <c r="H158" s="11"/>
      <c r="I158" s="21"/>
      <c r="J158" s="21"/>
      <c r="K158" s="21"/>
      <c r="L158" s="21"/>
      <c r="M158" s="21"/>
      <c r="N158" s="21"/>
    </row>
    <row r="159" spans="1:14" ht="15.75" customHeight="1" x14ac:dyDescent="0.25">
      <c r="A159" s="7"/>
      <c r="B159" s="345" t="s">
        <v>344</v>
      </c>
      <c r="C159" s="344"/>
      <c r="D159" s="344"/>
      <c r="E159" s="334"/>
      <c r="F159" s="107">
        <f>SUM(F157:F158)</f>
        <v>10434000</v>
      </c>
      <c r="G159" s="25"/>
      <c r="H159" s="11"/>
      <c r="I159" s="21"/>
      <c r="J159" s="21"/>
      <c r="K159" s="21"/>
      <c r="L159" s="21"/>
      <c r="M159" s="21"/>
      <c r="N159" s="21"/>
    </row>
    <row r="160" spans="1:14" ht="15.75" customHeight="1" x14ac:dyDescent="0.25">
      <c r="A160" s="21"/>
      <c r="B160" s="21"/>
      <c r="C160" s="11"/>
      <c r="D160" s="11"/>
      <c r="E160" s="21"/>
      <c r="F160" s="21"/>
      <c r="G160" s="25"/>
      <c r="H160" s="11"/>
      <c r="I160" s="21"/>
      <c r="J160" s="21"/>
      <c r="K160" s="21"/>
      <c r="L160" s="21"/>
      <c r="M160" s="21"/>
      <c r="N160" s="21"/>
    </row>
    <row r="161" spans="1:14" ht="15.75" customHeight="1" x14ac:dyDescent="0.25">
      <c r="A161" s="31" t="s">
        <v>14</v>
      </c>
      <c r="B161" s="31" t="s">
        <v>234</v>
      </c>
      <c r="C161" s="31" t="s">
        <v>16</v>
      </c>
      <c r="D161" s="31" t="s">
        <v>17</v>
      </c>
      <c r="E161" s="31" t="s">
        <v>235</v>
      </c>
      <c r="F161" s="31" t="s">
        <v>236</v>
      </c>
      <c r="G161" s="25"/>
      <c r="H161" s="11"/>
      <c r="I161" s="21"/>
      <c r="J161" s="21"/>
      <c r="K161" s="21"/>
      <c r="L161" s="21"/>
      <c r="M161" s="21"/>
      <c r="N161" s="21"/>
    </row>
    <row r="162" spans="1:14" ht="15.75" customHeight="1" x14ac:dyDescent="0.25">
      <c r="A162" s="7">
        <v>1</v>
      </c>
      <c r="B162" s="35" t="s">
        <v>397</v>
      </c>
      <c r="C162" s="7">
        <v>2</v>
      </c>
      <c r="D162" s="7" t="s">
        <v>370</v>
      </c>
      <c r="E162" s="104">
        <v>168500</v>
      </c>
      <c r="F162" s="104">
        <f>E162*C162</f>
        <v>337000</v>
      </c>
      <c r="G162" s="25"/>
      <c r="H162" s="11"/>
      <c r="I162" s="21"/>
      <c r="J162" s="21"/>
      <c r="K162" s="21"/>
      <c r="L162" s="21"/>
      <c r="M162" s="21"/>
      <c r="N162" s="21"/>
    </row>
    <row r="163" spans="1:14" ht="15.75" customHeight="1" x14ac:dyDescent="0.25">
      <c r="A163" s="7">
        <v>2</v>
      </c>
      <c r="B163" s="41" t="s">
        <v>398</v>
      </c>
      <c r="C163" s="7">
        <v>2</v>
      </c>
      <c r="D163" s="7" t="s">
        <v>363</v>
      </c>
      <c r="E163" s="104">
        <v>84500</v>
      </c>
      <c r="F163" s="104">
        <f>E163*C163</f>
        <v>169000</v>
      </c>
      <c r="G163" s="25"/>
      <c r="H163" s="11"/>
      <c r="I163" s="21"/>
      <c r="J163" s="21"/>
      <c r="K163" s="21"/>
      <c r="L163" s="21"/>
      <c r="M163" s="21"/>
      <c r="N163" s="21"/>
    </row>
    <row r="164" spans="1:14" ht="15.75" customHeight="1" x14ac:dyDescent="0.25">
      <c r="A164" s="7"/>
      <c r="B164" s="343" t="s">
        <v>342</v>
      </c>
      <c r="C164" s="344"/>
      <c r="D164" s="344"/>
      <c r="E164" s="334"/>
      <c r="F164" s="104">
        <f>SUM(F162:F163)</f>
        <v>506000</v>
      </c>
      <c r="G164" s="25"/>
      <c r="H164" s="11"/>
      <c r="I164" s="21"/>
      <c r="J164" s="21"/>
      <c r="K164" s="21"/>
      <c r="L164" s="21"/>
      <c r="M164" s="21"/>
      <c r="N164" s="21"/>
    </row>
    <row r="165" spans="1:14" ht="15.75" customHeight="1" x14ac:dyDescent="0.25">
      <c r="A165" s="7"/>
      <c r="B165" s="343" t="s">
        <v>343</v>
      </c>
      <c r="C165" s="344"/>
      <c r="D165" s="344"/>
      <c r="E165" s="334"/>
      <c r="F165" s="104">
        <v>55660</v>
      </c>
      <c r="G165" s="25"/>
      <c r="H165" s="11"/>
      <c r="I165" s="21"/>
      <c r="J165" s="21"/>
      <c r="K165" s="21"/>
      <c r="L165" s="21"/>
      <c r="M165" s="21"/>
      <c r="N165" s="21"/>
    </row>
    <row r="166" spans="1:14" ht="15.75" customHeight="1" x14ac:dyDescent="0.25">
      <c r="A166" s="7"/>
      <c r="B166" s="345" t="s">
        <v>350</v>
      </c>
      <c r="C166" s="344"/>
      <c r="D166" s="344"/>
      <c r="E166" s="334"/>
      <c r="F166" s="107">
        <f>SUM(F164:F165)</f>
        <v>561660</v>
      </c>
      <c r="G166" s="25"/>
      <c r="H166" s="11"/>
      <c r="I166" s="21"/>
      <c r="J166" s="21"/>
      <c r="K166" s="21"/>
      <c r="L166" s="21"/>
      <c r="M166" s="21"/>
      <c r="N166" s="21"/>
    </row>
    <row r="167" spans="1:14" ht="15.75" customHeight="1" x14ac:dyDescent="0.25">
      <c r="A167" s="21"/>
      <c r="B167" s="21"/>
      <c r="C167" s="11"/>
      <c r="D167" s="11"/>
      <c r="E167" s="21"/>
      <c r="F167" s="21"/>
      <c r="G167" s="25"/>
      <c r="H167" s="11"/>
      <c r="I167" s="21"/>
      <c r="J167" s="21"/>
      <c r="K167" s="21"/>
      <c r="L167" s="21"/>
      <c r="M167" s="21"/>
      <c r="N167" s="21"/>
    </row>
    <row r="168" spans="1:14" ht="15.75" customHeight="1" x14ac:dyDescent="0.25">
      <c r="A168" s="31" t="s">
        <v>14</v>
      </c>
      <c r="B168" s="31" t="s">
        <v>234</v>
      </c>
      <c r="C168" s="31" t="s">
        <v>16</v>
      </c>
      <c r="D168" s="31" t="s">
        <v>17</v>
      </c>
      <c r="E168" s="31" t="s">
        <v>235</v>
      </c>
      <c r="F168" s="31" t="s">
        <v>236</v>
      </c>
      <c r="G168" s="25"/>
      <c r="H168" s="11"/>
      <c r="I168" s="21"/>
      <c r="J168" s="21"/>
      <c r="K168" s="21"/>
      <c r="L168" s="21"/>
      <c r="M168" s="21"/>
      <c r="N168" s="21"/>
    </row>
    <row r="169" spans="1:14" ht="15.75" customHeight="1" x14ac:dyDescent="0.25">
      <c r="A169" s="7">
        <v>1</v>
      </c>
      <c r="B169" s="35" t="s">
        <v>399</v>
      </c>
      <c r="C169" s="7">
        <v>2</v>
      </c>
      <c r="D169" s="7" t="s">
        <v>19</v>
      </c>
      <c r="E169" s="104">
        <v>34300</v>
      </c>
      <c r="F169" s="104">
        <f>E169*C169</f>
        <v>68600</v>
      </c>
      <c r="G169" s="25"/>
      <c r="H169" s="11"/>
      <c r="I169" s="21"/>
      <c r="J169" s="21"/>
      <c r="K169" s="21"/>
      <c r="L169" s="21"/>
      <c r="M169" s="21"/>
      <c r="N169" s="21"/>
    </row>
    <row r="170" spans="1:14" ht="15.75" customHeight="1" x14ac:dyDescent="0.25">
      <c r="A170" s="7">
        <v>2</v>
      </c>
      <c r="B170" s="41" t="s">
        <v>400</v>
      </c>
      <c r="C170" s="7">
        <v>1</v>
      </c>
      <c r="D170" s="7" t="s">
        <v>243</v>
      </c>
      <c r="E170" s="104">
        <v>35000</v>
      </c>
      <c r="F170" s="104">
        <f>E170*C170</f>
        <v>35000</v>
      </c>
      <c r="G170" s="25"/>
      <c r="H170" s="11"/>
      <c r="I170" s="21"/>
      <c r="J170" s="21"/>
      <c r="K170" s="21"/>
      <c r="L170" s="21"/>
      <c r="M170" s="21"/>
      <c r="N170" s="21"/>
    </row>
    <row r="171" spans="1:14" ht="15.75" customHeight="1" x14ac:dyDescent="0.25">
      <c r="A171" s="7"/>
      <c r="B171" s="343" t="s">
        <v>342</v>
      </c>
      <c r="C171" s="344"/>
      <c r="D171" s="344"/>
      <c r="E171" s="334"/>
      <c r="F171" s="104">
        <f>SUM(F169:F170)</f>
        <v>103600</v>
      </c>
      <c r="G171" s="25"/>
      <c r="H171" s="11"/>
      <c r="I171" s="21"/>
      <c r="J171" s="21"/>
      <c r="K171" s="21"/>
      <c r="L171" s="21"/>
      <c r="M171" s="21"/>
      <c r="N171" s="21"/>
    </row>
    <row r="172" spans="1:14" ht="15.75" customHeight="1" x14ac:dyDescent="0.25">
      <c r="A172" s="7"/>
      <c r="B172" s="343" t="s">
        <v>343</v>
      </c>
      <c r="C172" s="344"/>
      <c r="D172" s="344"/>
      <c r="E172" s="334"/>
      <c r="F172" s="104">
        <v>11396</v>
      </c>
      <c r="G172" s="25"/>
      <c r="H172" s="11"/>
      <c r="I172" s="21"/>
      <c r="J172" s="21"/>
      <c r="K172" s="21"/>
      <c r="L172" s="21"/>
      <c r="M172" s="21"/>
      <c r="N172" s="21"/>
    </row>
    <row r="173" spans="1:14" ht="15.75" customHeight="1" x14ac:dyDescent="0.25">
      <c r="A173" s="7"/>
      <c r="B173" s="345" t="s">
        <v>350</v>
      </c>
      <c r="C173" s="344"/>
      <c r="D173" s="344"/>
      <c r="E173" s="334"/>
      <c r="F173" s="107">
        <f>SUM(F171:F172)</f>
        <v>114996</v>
      </c>
      <c r="G173" s="25"/>
      <c r="H173" s="11"/>
      <c r="I173" s="21"/>
      <c r="J173" s="21"/>
      <c r="K173" s="21"/>
      <c r="L173" s="21"/>
      <c r="M173" s="21"/>
      <c r="N173" s="21"/>
    </row>
    <row r="174" spans="1:14" ht="15.75" customHeight="1" x14ac:dyDescent="0.25">
      <c r="A174" s="21"/>
      <c r="B174" s="21"/>
      <c r="C174" s="11"/>
      <c r="D174" s="11"/>
      <c r="E174" s="21"/>
      <c r="F174" s="21"/>
      <c r="G174" s="25"/>
      <c r="H174" s="11"/>
      <c r="I174" s="21"/>
      <c r="J174" s="21"/>
      <c r="K174" s="21"/>
      <c r="L174" s="21"/>
      <c r="M174" s="21"/>
      <c r="N174" s="21"/>
    </row>
    <row r="175" spans="1:14" ht="15.75" customHeight="1" x14ac:dyDescent="0.25">
      <c r="A175" s="31" t="s">
        <v>14</v>
      </c>
      <c r="B175" s="31" t="s">
        <v>234</v>
      </c>
      <c r="C175" s="31" t="s">
        <v>16</v>
      </c>
      <c r="D175" s="31" t="s">
        <v>17</v>
      </c>
      <c r="E175" s="31" t="s">
        <v>235</v>
      </c>
      <c r="F175" s="31" t="s">
        <v>236</v>
      </c>
      <c r="G175" s="25"/>
      <c r="H175" s="11"/>
      <c r="I175" s="21"/>
      <c r="J175" s="21"/>
      <c r="K175" s="21"/>
      <c r="L175" s="21"/>
      <c r="M175" s="21"/>
      <c r="N175" s="21"/>
    </row>
    <row r="176" spans="1:14" ht="15.75" customHeight="1" x14ac:dyDescent="0.25">
      <c r="A176" s="7">
        <v>1</v>
      </c>
      <c r="B176" s="41" t="s">
        <v>401</v>
      </c>
      <c r="C176" s="7">
        <v>300</v>
      </c>
      <c r="D176" s="7" t="s">
        <v>19</v>
      </c>
      <c r="E176" s="104">
        <v>52000</v>
      </c>
      <c r="F176" s="104">
        <f>E176*C176</f>
        <v>15600000</v>
      </c>
      <c r="G176" s="25"/>
      <c r="H176" s="11"/>
      <c r="I176" s="21"/>
      <c r="J176" s="21"/>
      <c r="K176" s="21"/>
      <c r="L176" s="21"/>
      <c r="M176" s="21"/>
      <c r="N176" s="21"/>
    </row>
    <row r="177" spans="1:14" ht="15.75" customHeight="1" x14ac:dyDescent="0.25">
      <c r="A177" s="7"/>
      <c r="B177" s="343" t="s">
        <v>342</v>
      </c>
      <c r="C177" s="344"/>
      <c r="D177" s="344"/>
      <c r="E177" s="334"/>
      <c r="F177" s="104">
        <f>F176</f>
        <v>15600000</v>
      </c>
      <c r="G177" s="25"/>
      <c r="H177" s="11"/>
      <c r="I177" s="21"/>
      <c r="J177" s="21"/>
      <c r="K177" s="21"/>
      <c r="L177" s="21"/>
      <c r="M177" s="21"/>
      <c r="N177" s="21"/>
    </row>
    <row r="178" spans="1:14" ht="15.75" customHeight="1" x14ac:dyDescent="0.25">
      <c r="A178" s="7"/>
      <c r="B178" s="343" t="s">
        <v>343</v>
      </c>
      <c r="C178" s="344"/>
      <c r="D178" s="344"/>
      <c r="E178" s="334"/>
      <c r="F178" s="104">
        <v>1716000</v>
      </c>
      <c r="G178" s="25"/>
      <c r="H178" s="11"/>
      <c r="I178" s="21"/>
      <c r="J178" s="21"/>
      <c r="K178" s="21"/>
      <c r="L178" s="21"/>
      <c r="M178" s="21"/>
      <c r="N178" s="21"/>
    </row>
    <row r="179" spans="1:14" ht="15.75" customHeight="1" x14ac:dyDescent="0.25">
      <c r="A179" s="7"/>
      <c r="B179" s="345" t="s">
        <v>344</v>
      </c>
      <c r="C179" s="344"/>
      <c r="D179" s="344"/>
      <c r="E179" s="334"/>
      <c r="F179" s="107">
        <f>SUM(F177:F178)</f>
        <v>17316000</v>
      </c>
      <c r="G179" s="25"/>
      <c r="H179" s="11"/>
      <c r="I179" s="21"/>
      <c r="J179" s="21"/>
      <c r="K179" s="21"/>
      <c r="L179" s="21"/>
      <c r="M179" s="21"/>
      <c r="N179" s="21"/>
    </row>
    <row r="180" spans="1:14" ht="15.75" customHeight="1" x14ac:dyDescent="0.25">
      <c r="A180" s="21"/>
      <c r="B180" s="21"/>
      <c r="C180" s="11"/>
      <c r="D180" s="11"/>
      <c r="E180" s="21"/>
      <c r="F180" s="21"/>
      <c r="G180" s="25"/>
      <c r="H180" s="11"/>
      <c r="I180" s="21"/>
      <c r="J180" s="21"/>
      <c r="K180" s="21"/>
      <c r="L180" s="21"/>
      <c r="M180" s="21"/>
      <c r="N180" s="21"/>
    </row>
    <row r="181" spans="1:14" ht="15.75" customHeight="1" x14ac:dyDescent="0.25">
      <c r="A181" s="31" t="s">
        <v>351</v>
      </c>
      <c r="B181" s="31" t="s">
        <v>234</v>
      </c>
      <c r="C181" s="31" t="s">
        <v>16</v>
      </c>
      <c r="D181" s="31" t="s">
        <v>17</v>
      </c>
      <c r="E181" s="31" t="s">
        <v>235</v>
      </c>
      <c r="F181" s="31" t="s">
        <v>236</v>
      </c>
      <c r="G181" s="25"/>
      <c r="H181" s="11"/>
      <c r="I181" s="21"/>
      <c r="J181" s="21"/>
      <c r="K181" s="21"/>
      <c r="L181" s="21"/>
      <c r="M181" s="21"/>
      <c r="N181" s="21"/>
    </row>
    <row r="182" spans="1:14" ht="15.75" customHeight="1" x14ac:dyDescent="0.25">
      <c r="A182" s="7">
        <v>1</v>
      </c>
      <c r="B182" s="35" t="s">
        <v>402</v>
      </c>
      <c r="C182" s="7">
        <v>2</v>
      </c>
      <c r="D182" s="7" t="s">
        <v>19</v>
      </c>
      <c r="E182" s="104">
        <v>220875</v>
      </c>
      <c r="F182" s="104">
        <f>E182*C182</f>
        <v>441750</v>
      </c>
      <c r="G182" s="25"/>
      <c r="H182" s="11"/>
      <c r="I182" s="21"/>
      <c r="J182" s="21"/>
      <c r="K182" s="21"/>
      <c r="L182" s="21"/>
      <c r="M182" s="21"/>
      <c r="N182" s="21"/>
    </row>
    <row r="183" spans="1:14" ht="15.75" customHeight="1" x14ac:dyDescent="0.25">
      <c r="A183" s="7">
        <v>2</v>
      </c>
      <c r="B183" s="35" t="s">
        <v>403</v>
      </c>
      <c r="C183" s="7">
        <v>1</v>
      </c>
      <c r="D183" s="7" t="s">
        <v>19</v>
      </c>
      <c r="E183" s="104">
        <v>425125</v>
      </c>
      <c r="F183" s="104">
        <f>E183*C183</f>
        <v>425125</v>
      </c>
      <c r="G183" s="25"/>
      <c r="H183" s="11"/>
      <c r="I183" s="21"/>
      <c r="J183" s="21"/>
      <c r="K183" s="21"/>
      <c r="L183" s="21"/>
      <c r="M183" s="21"/>
      <c r="N183" s="21"/>
    </row>
    <row r="184" spans="1:14" ht="15.75" customHeight="1" x14ac:dyDescent="0.25">
      <c r="A184" s="7">
        <v>3</v>
      </c>
      <c r="B184" s="41" t="s">
        <v>404</v>
      </c>
      <c r="C184" s="7">
        <v>1</v>
      </c>
      <c r="D184" s="7" t="s">
        <v>19</v>
      </c>
      <c r="E184" s="104">
        <v>739575</v>
      </c>
      <c r="F184" s="104">
        <f>E184*C184</f>
        <v>739575</v>
      </c>
      <c r="G184" s="25"/>
      <c r="H184" s="11"/>
      <c r="I184" s="21"/>
      <c r="J184" s="21"/>
      <c r="K184" s="21"/>
      <c r="L184" s="21"/>
      <c r="M184" s="21"/>
      <c r="N184" s="21"/>
    </row>
    <row r="185" spans="1:14" ht="15.75" customHeight="1" x14ac:dyDescent="0.25">
      <c r="A185" s="7"/>
      <c r="B185" s="343" t="s">
        <v>342</v>
      </c>
      <c r="C185" s="344"/>
      <c r="D185" s="344"/>
      <c r="E185" s="334"/>
      <c r="F185" s="104">
        <f>SUM(F182:F184)</f>
        <v>1606450</v>
      </c>
      <c r="G185" s="25"/>
      <c r="H185" s="11"/>
      <c r="I185" s="21"/>
      <c r="J185" s="21"/>
      <c r="K185" s="21"/>
      <c r="L185" s="21"/>
      <c r="M185" s="21"/>
      <c r="N185" s="21"/>
    </row>
    <row r="186" spans="1:14" ht="15.75" customHeight="1" x14ac:dyDescent="0.25">
      <c r="A186" s="7"/>
      <c r="B186" s="343" t="s">
        <v>343</v>
      </c>
      <c r="C186" s="344"/>
      <c r="D186" s="344"/>
      <c r="E186" s="334"/>
      <c r="F186" s="112">
        <v>176709.5</v>
      </c>
      <c r="G186" s="25"/>
      <c r="H186" s="11"/>
      <c r="I186" s="21"/>
      <c r="J186" s="21"/>
      <c r="K186" s="21"/>
      <c r="L186" s="21"/>
      <c r="M186" s="21"/>
      <c r="N186" s="21"/>
    </row>
    <row r="187" spans="1:14" ht="15.75" customHeight="1" x14ac:dyDescent="0.25">
      <c r="A187" s="7"/>
      <c r="B187" s="345" t="s">
        <v>344</v>
      </c>
      <c r="C187" s="344"/>
      <c r="D187" s="344"/>
      <c r="E187" s="334"/>
      <c r="F187" s="113">
        <f>SUM(F185:F186)</f>
        <v>1783159.5</v>
      </c>
      <c r="G187" s="25"/>
      <c r="H187" s="11"/>
      <c r="I187" s="21"/>
      <c r="J187" s="21"/>
      <c r="K187" s="21"/>
      <c r="L187" s="21"/>
      <c r="M187" s="21"/>
      <c r="N187" s="21"/>
    </row>
    <row r="188" spans="1:14" ht="15.75" customHeight="1" x14ac:dyDescent="0.25">
      <c r="A188" s="21"/>
      <c r="B188" s="21"/>
      <c r="C188" s="11"/>
      <c r="D188" s="11"/>
      <c r="E188" s="21"/>
      <c r="F188" s="21"/>
      <c r="G188" s="25"/>
      <c r="H188" s="11"/>
      <c r="I188" s="21"/>
      <c r="J188" s="21"/>
      <c r="K188" s="21"/>
      <c r="L188" s="21"/>
      <c r="M188" s="21"/>
      <c r="N188" s="21"/>
    </row>
    <row r="189" spans="1:14" ht="15.75" customHeight="1" x14ac:dyDescent="0.25">
      <c r="A189" s="31" t="s">
        <v>14</v>
      </c>
      <c r="B189" s="31" t="s">
        <v>234</v>
      </c>
      <c r="C189" s="31" t="s">
        <v>16</v>
      </c>
      <c r="D189" s="31" t="s">
        <v>17</v>
      </c>
      <c r="E189" s="31" t="s">
        <v>235</v>
      </c>
      <c r="F189" s="31" t="s">
        <v>236</v>
      </c>
      <c r="G189" s="25"/>
      <c r="H189" s="11"/>
      <c r="I189" s="21"/>
      <c r="J189" s="21"/>
      <c r="K189" s="21"/>
      <c r="L189" s="21"/>
      <c r="M189" s="21"/>
      <c r="N189" s="21"/>
    </row>
    <row r="190" spans="1:14" ht="15.75" customHeight="1" x14ac:dyDescent="0.25">
      <c r="A190" s="7">
        <v>1</v>
      </c>
      <c r="B190" s="35" t="s">
        <v>405</v>
      </c>
      <c r="C190" s="7">
        <v>5</v>
      </c>
      <c r="D190" s="7" t="s">
        <v>406</v>
      </c>
      <c r="E190" s="104">
        <v>353740</v>
      </c>
      <c r="F190" s="104">
        <f>E190*C190</f>
        <v>1768700</v>
      </c>
      <c r="G190" s="25"/>
      <c r="H190" s="11"/>
      <c r="I190" s="21"/>
      <c r="J190" s="21"/>
      <c r="K190" s="21"/>
      <c r="L190" s="21"/>
      <c r="M190" s="21"/>
      <c r="N190" s="21"/>
    </row>
    <row r="191" spans="1:14" ht="15.75" customHeight="1" x14ac:dyDescent="0.25">
      <c r="A191" s="7">
        <v>2</v>
      </c>
      <c r="B191" s="41" t="s">
        <v>407</v>
      </c>
      <c r="C191" s="7">
        <v>10</v>
      </c>
      <c r="D191" s="7" t="s">
        <v>19</v>
      </c>
      <c r="E191" s="104">
        <v>6325</v>
      </c>
      <c r="F191" s="104">
        <f>E191*C191</f>
        <v>63250</v>
      </c>
      <c r="G191" s="25"/>
      <c r="H191" s="11"/>
      <c r="I191" s="21"/>
      <c r="J191" s="21"/>
      <c r="K191" s="21"/>
      <c r="L191" s="21"/>
      <c r="M191" s="21"/>
      <c r="N191" s="21"/>
    </row>
    <row r="192" spans="1:14" ht="15.75" customHeight="1" x14ac:dyDescent="0.25">
      <c r="A192" s="7"/>
      <c r="B192" s="343" t="s">
        <v>342</v>
      </c>
      <c r="C192" s="344"/>
      <c r="D192" s="344"/>
      <c r="E192" s="334"/>
      <c r="F192" s="104">
        <f>SUM(F190:F191)</f>
        <v>1831950</v>
      </c>
      <c r="G192" s="25"/>
      <c r="H192" s="11"/>
      <c r="I192" s="21"/>
      <c r="J192" s="21"/>
      <c r="K192" s="21"/>
      <c r="L192" s="21"/>
      <c r="M192" s="21"/>
      <c r="N192" s="21"/>
    </row>
    <row r="193" spans="1:14" ht="15.75" customHeight="1" x14ac:dyDescent="0.25">
      <c r="A193" s="7"/>
      <c r="B193" s="343" t="s">
        <v>343</v>
      </c>
      <c r="C193" s="344"/>
      <c r="D193" s="344"/>
      <c r="E193" s="334"/>
      <c r="F193" s="112">
        <v>201514.5</v>
      </c>
      <c r="G193" s="25"/>
      <c r="H193" s="11"/>
      <c r="I193" s="21"/>
      <c r="J193" s="21"/>
      <c r="K193" s="21"/>
      <c r="L193" s="21"/>
      <c r="M193" s="21"/>
      <c r="N193" s="21"/>
    </row>
    <row r="194" spans="1:14" ht="15.75" customHeight="1" x14ac:dyDescent="0.25">
      <c r="A194" s="7"/>
      <c r="B194" s="345" t="s">
        <v>350</v>
      </c>
      <c r="C194" s="344"/>
      <c r="D194" s="344"/>
      <c r="E194" s="334"/>
      <c r="F194" s="113">
        <f>SUM(F192:F193)</f>
        <v>2033464.5</v>
      </c>
      <c r="G194" s="25"/>
      <c r="H194" s="11"/>
      <c r="I194" s="21"/>
      <c r="J194" s="21"/>
      <c r="K194" s="21"/>
      <c r="L194" s="21"/>
      <c r="M194" s="21"/>
      <c r="N194" s="21"/>
    </row>
    <row r="195" spans="1:14" ht="15.75" customHeight="1" x14ac:dyDescent="0.25">
      <c r="A195" s="21"/>
      <c r="B195" s="21"/>
      <c r="C195" s="11"/>
      <c r="D195" s="11"/>
      <c r="E195" s="21"/>
      <c r="F195" s="21"/>
      <c r="G195" s="25"/>
      <c r="H195" s="11"/>
      <c r="I195" s="21"/>
      <c r="J195" s="21"/>
      <c r="K195" s="21"/>
      <c r="L195" s="21"/>
      <c r="M195" s="21"/>
      <c r="N195" s="21"/>
    </row>
    <row r="196" spans="1:14" ht="15.75" customHeight="1" x14ac:dyDescent="0.25">
      <c r="A196" s="31" t="s">
        <v>14</v>
      </c>
      <c r="B196" s="31" t="s">
        <v>15</v>
      </c>
      <c r="C196" s="31" t="s">
        <v>16</v>
      </c>
      <c r="D196" s="31" t="s">
        <v>357</v>
      </c>
      <c r="E196" s="31" t="s">
        <v>235</v>
      </c>
      <c r="F196" s="31" t="s">
        <v>236</v>
      </c>
      <c r="G196" s="25"/>
      <c r="H196" s="11"/>
      <c r="I196" s="21"/>
      <c r="J196" s="21"/>
      <c r="K196" s="21"/>
      <c r="L196" s="21"/>
      <c r="M196" s="21"/>
      <c r="N196" s="21"/>
    </row>
    <row r="197" spans="1:14" ht="15.75" customHeight="1" x14ac:dyDescent="0.25">
      <c r="A197" s="7">
        <v>1</v>
      </c>
      <c r="B197" s="35" t="s">
        <v>405</v>
      </c>
      <c r="C197" s="7">
        <v>20</v>
      </c>
      <c r="D197" s="7" t="s">
        <v>406</v>
      </c>
      <c r="E197" s="104">
        <v>353740</v>
      </c>
      <c r="F197" s="104">
        <f>E197*C197</f>
        <v>7074800</v>
      </c>
      <c r="G197" s="25"/>
      <c r="H197" s="11"/>
      <c r="I197" s="21"/>
      <c r="J197" s="21"/>
      <c r="K197" s="21"/>
      <c r="L197" s="21"/>
      <c r="M197" s="21"/>
      <c r="N197" s="21"/>
    </row>
    <row r="198" spans="1:14" ht="15.75" customHeight="1" x14ac:dyDescent="0.25">
      <c r="A198" s="7">
        <v>2</v>
      </c>
      <c r="B198" s="35" t="s">
        <v>407</v>
      </c>
      <c r="C198" s="7">
        <v>10</v>
      </c>
      <c r="D198" s="7" t="s">
        <v>19</v>
      </c>
      <c r="E198" s="104">
        <v>6325</v>
      </c>
      <c r="F198" s="104">
        <f>E198*C198</f>
        <v>63250</v>
      </c>
      <c r="G198" s="25"/>
      <c r="H198" s="11"/>
      <c r="I198" s="21"/>
      <c r="J198" s="21"/>
      <c r="K198" s="21"/>
      <c r="L198" s="21"/>
      <c r="M198" s="21"/>
      <c r="N198" s="21"/>
    </row>
    <row r="199" spans="1:14" ht="15.75" customHeight="1" x14ac:dyDescent="0.25">
      <c r="A199" s="7">
        <v>3</v>
      </c>
      <c r="B199" s="35" t="s">
        <v>408</v>
      </c>
      <c r="C199" s="7">
        <v>6</v>
      </c>
      <c r="D199" s="7" t="s">
        <v>19</v>
      </c>
      <c r="E199" s="104">
        <v>14375</v>
      </c>
      <c r="F199" s="104">
        <f>E199*C199</f>
        <v>86250</v>
      </c>
      <c r="G199" s="25"/>
      <c r="H199" s="11"/>
      <c r="I199" s="21"/>
      <c r="J199" s="21"/>
      <c r="K199" s="21"/>
      <c r="L199" s="21"/>
      <c r="M199" s="21"/>
      <c r="N199" s="21"/>
    </row>
    <row r="200" spans="1:14" ht="15.75" customHeight="1" x14ac:dyDescent="0.25">
      <c r="A200" s="7">
        <v>4</v>
      </c>
      <c r="B200" s="35" t="s">
        <v>409</v>
      </c>
      <c r="C200" s="7">
        <v>10</v>
      </c>
      <c r="D200" s="7" t="s">
        <v>372</v>
      </c>
      <c r="E200" s="104">
        <v>13524</v>
      </c>
      <c r="F200" s="104">
        <f>E200*C200</f>
        <v>135240</v>
      </c>
      <c r="G200" s="25"/>
      <c r="H200" s="11"/>
      <c r="I200" s="21"/>
      <c r="J200" s="21"/>
      <c r="K200" s="21"/>
      <c r="L200" s="21"/>
      <c r="M200" s="21"/>
      <c r="N200" s="21"/>
    </row>
    <row r="201" spans="1:14" ht="15.75" customHeight="1" x14ac:dyDescent="0.25">
      <c r="A201" s="7">
        <v>5</v>
      </c>
      <c r="B201" s="35" t="s">
        <v>410</v>
      </c>
      <c r="C201" s="7">
        <v>10</v>
      </c>
      <c r="D201" s="7" t="s">
        <v>372</v>
      </c>
      <c r="E201" s="104">
        <v>21620</v>
      </c>
      <c r="F201" s="104">
        <f>E201*C201</f>
        <v>216200</v>
      </c>
      <c r="G201" s="25"/>
      <c r="H201" s="11"/>
      <c r="I201" s="21"/>
      <c r="J201" s="21"/>
      <c r="K201" s="21"/>
      <c r="L201" s="21"/>
      <c r="M201" s="21"/>
      <c r="N201" s="21"/>
    </row>
    <row r="202" spans="1:14" ht="15.75" customHeight="1" x14ac:dyDescent="0.25">
      <c r="A202" s="7"/>
      <c r="B202" s="343" t="s">
        <v>342</v>
      </c>
      <c r="C202" s="344"/>
      <c r="D202" s="344"/>
      <c r="E202" s="334"/>
      <c r="F202" s="104">
        <f>SUM(F197:F201)</f>
        <v>7575740</v>
      </c>
      <c r="G202" s="25"/>
      <c r="H202" s="11"/>
      <c r="I202" s="21"/>
      <c r="J202" s="21"/>
      <c r="K202" s="21"/>
      <c r="L202" s="21"/>
      <c r="M202" s="21"/>
      <c r="N202" s="21"/>
    </row>
    <row r="203" spans="1:14" ht="15.75" customHeight="1" x14ac:dyDescent="0.25">
      <c r="A203" s="7"/>
      <c r="B203" s="343" t="s">
        <v>343</v>
      </c>
      <c r="C203" s="344"/>
      <c r="D203" s="344"/>
      <c r="E203" s="334"/>
      <c r="F203" s="112">
        <v>833331.4</v>
      </c>
      <c r="G203" s="25"/>
      <c r="H203" s="11"/>
      <c r="I203" s="21"/>
      <c r="J203" s="21"/>
      <c r="K203" s="21"/>
      <c r="L203" s="21"/>
      <c r="M203" s="21"/>
      <c r="N203" s="21"/>
    </row>
    <row r="204" spans="1:14" ht="15.75" customHeight="1" x14ac:dyDescent="0.25">
      <c r="A204" s="35"/>
      <c r="B204" s="345" t="s">
        <v>368</v>
      </c>
      <c r="C204" s="344"/>
      <c r="D204" s="344"/>
      <c r="E204" s="334"/>
      <c r="F204" s="113">
        <f>SUM(F202:F203)</f>
        <v>8409071.4000000004</v>
      </c>
      <c r="G204" s="25"/>
      <c r="H204" s="11"/>
      <c r="I204" s="21"/>
      <c r="J204" s="21"/>
      <c r="K204" s="21"/>
      <c r="L204" s="21"/>
      <c r="M204" s="21"/>
      <c r="N204" s="21"/>
    </row>
    <row r="205" spans="1:14" ht="15.75" customHeight="1" x14ac:dyDescent="0.25">
      <c r="A205" s="21"/>
      <c r="B205" s="21"/>
      <c r="C205" s="11"/>
      <c r="D205" s="11"/>
      <c r="E205" s="21"/>
      <c r="F205" s="21"/>
      <c r="G205" s="25"/>
      <c r="H205" s="11"/>
      <c r="I205" s="21"/>
      <c r="J205" s="21"/>
      <c r="K205" s="21"/>
      <c r="L205" s="21"/>
      <c r="M205" s="21"/>
      <c r="N205" s="21"/>
    </row>
    <row r="206" spans="1:14" ht="15.75" customHeight="1" x14ac:dyDescent="0.25">
      <c r="A206" s="31" t="s">
        <v>14</v>
      </c>
      <c r="B206" s="31" t="s">
        <v>234</v>
      </c>
      <c r="C206" s="31" t="s">
        <v>16</v>
      </c>
      <c r="D206" s="31" t="s">
        <v>17</v>
      </c>
      <c r="E206" s="31" t="s">
        <v>235</v>
      </c>
      <c r="F206" s="31" t="s">
        <v>236</v>
      </c>
      <c r="G206" s="25"/>
      <c r="H206" s="11"/>
      <c r="I206" s="21"/>
      <c r="J206" s="21"/>
      <c r="K206" s="21"/>
      <c r="L206" s="21"/>
      <c r="M206" s="21"/>
      <c r="N206" s="21"/>
    </row>
    <row r="207" spans="1:14" ht="15.75" customHeight="1" x14ac:dyDescent="0.25">
      <c r="A207" s="7">
        <v>1</v>
      </c>
      <c r="B207" s="35" t="s">
        <v>411</v>
      </c>
      <c r="C207" s="7">
        <v>1</v>
      </c>
      <c r="D207" s="7" t="s">
        <v>412</v>
      </c>
      <c r="E207" s="104">
        <v>6500000</v>
      </c>
      <c r="F207" s="104">
        <f>E207*C207</f>
        <v>6500000</v>
      </c>
      <c r="G207" s="25"/>
      <c r="H207" s="11"/>
      <c r="I207" s="21"/>
      <c r="J207" s="21"/>
      <c r="K207" s="21"/>
      <c r="L207" s="21"/>
      <c r="M207" s="21"/>
      <c r="N207" s="21"/>
    </row>
    <row r="208" spans="1:14" ht="15.75" customHeight="1" x14ac:dyDescent="0.25">
      <c r="A208" s="7">
        <v>2</v>
      </c>
      <c r="B208" s="41" t="s">
        <v>413</v>
      </c>
      <c r="C208" s="7">
        <v>1</v>
      </c>
      <c r="D208" s="7" t="s">
        <v>247</v>
      </c>
      <c r="E208" s="104">
        <v>3350000</v>
      </c>
      <c r="F208" s="104">
        <f>E208*C208</f>
        <v>3350000</v>
      </c>
      <c r="G208" s="25"/>
      <c r="H208" s="11"/>
      <c r="I208" s="21"/>
      <c r="J208" s="21"/>
      <c r="K208" s="21"/>
      <c r="L208" s="21"/>
      <c r="M208" s="21"/>
      <c r="N208" s="21"/>
    </row>
    <row r="209" spans="1:14" ht="15.75" customHeight="1" x14ac:dyDescent="0.25">
      <c r="A209" s="7"/>
      <c r="B209" s="343" t="s">
        <v>342</v>
      </c>
      <c r="C209" s="344"/>
      <c r="D209" s="344"/>
      <c r="E209" s="334"/>
      <c r="F209" s="104">
        <f>SUM(F207:F208)</f>
        <v>9850000</v>
      </c>
      <c r="G209" s="25"/>
      <c r="H209" s="11"/>
      <c r="I209" s="21"/>
      <c r="J209" s="21"/>
      <c r="K209" s="21"/>
      <c r="L209" s="21"/>
      <c r="M209" s="21"/>
      <c r="N209" s="21"/>
    </row>
    <row r="210" spans="1:14" ht="15.75" customHeight="1" x14ac:dyDescent="0.25">
      <c r="A210" s="7"/>
      <c r="B210" s="343" t="s">
        <v>343</v>
      </c>
      <c r="C210" s="344"/>
      <c r="D210" s="344"/>
      <c r="E210" s="334"/>
      <c r="F210" s="104">
        <v>1083500</v>
      </c>
      <c r="G210" s="25"/>
      <c r="H210" s="11"/>
      <c r="I210" s="21"/>
      <c r="J210" s="21"/>
      <c r="K210" s="21"/>
      <c r="L210" s="21"/>
      <c r="M210" s="21"/>
      <c r="N210" s="21"/>
    </row>
    <row r="211" spans="1:14" ht="15.75" customHeight="1" x14ac:dyDescent="0.25">
      <c r="A211" s="7"/>
      <c r="B211" s="345" t="s">
        <v>350</v>
      </c>
      <c r="C211" s="344"/>
      <c r="D211" s="344"/>
      <c r="E211" s="334"/>
      <c r="F211" s="107">
        <f>SUM(F209:F210)</f>
        <v>10933500</v>
      </c>
      <c r="G211" s="25"/>
      <c r="H211" s="11"/>
      <c r="I211" s="21"/>
      <c r="J211" s="21"/>
      <c r="K211" s="21"/>
      <c r="L211" s="21"/>
      <c r="M211" s="21"/>
      <c r="N211" s="21"/>
    </row>
    <row r="212" spans="1:14" ht="15.75" customHeight="1" x14ac:dyDescent="0.25">
      <c r="A212" s="21"/>
      <c r="B212" s="21"/>
      <c r="C212" s="11"/>
      <c r="D212" s="11"/>
      <c r="E212" s="21"/>
      <c r="F212" s="21"/>
      <c r="G212" s="25"/>
      <c r="H212" s="11"/>
      <c r="I212" s="21"/>
      <c r="J212" s="21"/>
      <c r="K212" s="21"/>
      <c r="L212" s="21"/>
      <c r="M212" s="21"/>
      <c r="N212" s="21"/>
    </row>
    <row r="213" spans="1:14" ht="15.75" customHeight="1" x14ac:dyDescent="0.25">
      <c r="A213" s="31" t="s">
        <v>14</v>
      </c>
      <c r="B213" s="31" t="s">
        <v>234</v>
      </c>
      <c r="C213" s="31" t="s">
        <v>16</v>
      </c>
      <c r="D213" s="31" t="s">
        <v>17</v>
      </c>
      <c r="E213" s="31" t="s">
        <v>235</v>
      </c>
      <c r="F213" s="31" t="s">
        <v>236</v>
      </c>
      <c r="G213" s="25"/>
      <c r="H213" s="11"/>
      <c r="I213" s="21"/>
      <c r="J213" s="21"/>
      <c r="K213" s="21"/>
      <c r="L213" s="21"/>
      <c r="M213" s="21"/>
      <c r="N213" s="21"/>
    </row>
    <row r="214" spans="1:14" ht="15.75" customHeight="1" x14ac:dyDescent="0.25">
      <c r="A214" s="7">
        <v>1</v>
      </c>
      <c r="B214" s="41" t="s">
        <v>414</v>
      </c>
      <c r="C214" s="7">
        <v>4</v>
      </c>
      <c r="D214" s="7" t="s">
        <v>19</v>
      </c>
      <c r="E214" s="104">
        <v>2340000</v>
      </c>
      <c r="F214" s="104">
        <f>E214*C214</f>
        <v>9360000</v>
      </c>
      <c r="G214" s="25"/>
      <c r="H214" s="11"/>
      <c r="I214" s="21"/>
      <c r="J214" s="21"/>
      <c r="K214" s="21"/>
      <c r="L214" s="21"/>
      <c r="M214" s="21"/>
      <c r="N214" s="21"/>
    </row>
    <row r="215" spans="1:14" ht="15.75" customHeight="1" x14ac:dyDescent="0.25">
      <c r="A215" s="7"/>
      <c r="B215" s="343" t="s">
        <v>342</v>
      </c>
      <c r="C215" s="344"/>
      <c r="D215" s="344"/>
      <c r="E215" s="334"/>
      <c r="F215" s="104">
        <f>F214</f>
        <v>9360000</v>
      </c>
      <c r="G215" s="25"/>
      <c r="H215" s="11"/>
      <c r="I215" s="21"/>
      <c r="J215" s="21"/>
      <c r="K215" s="21"/>
      <c r="L215" s="21"/>
      <c r="M215" s="21"/>
      <c r="N215" s="21"/>
    </row>
    <row r="216" spans="1:14" ht="15.75" customHeight="1" x14ac:dyDescent="0.25">
      <c r="A216" s="7"/>
      <c r="B216" s="343" t="s">
        <v>343</v>
      </c>
      <c r="C216" s="344"/>
      <c r="D216" s="344"/>
      <c r="E216" s="334"/>
      <c r="F216" s="104">
        <v>1029600</v>
      </c>
      <c r="G216" s="25"/>
      <c r="H216" s="11"/>
      <c r="I216" s="21"/>
      <c r="J216" s="21"/>
      <c r="K216" s="21"/>
      <c r="L216" s="21"/>
      <c r="M216" s="21"/>
      <c r="N216" s="21"/>
    </row>
    <row r="217" spans="1:14" ht="15.75" customHeight="1" x14ac:dyDescent="0.25">
      <c r="A217" s="7"/>
      <c r="B217" s="345" t="s">
        <v>344</v>
      </c>
      <c r="C217" s="344"/>
      <c r="D217" s="344"/>
      <c r="E217" s="334"/>
      <c r="F217" s="107">
        <f>SUM(F215:F216)</f>
        <v>10389600</v>
      </c>
      <c r="G217" s="25"/>
      <c r="H217" s="11"/>
      <c r="I217" s="21"/>
      <c r="J217" s="21"/>
      <c r="K217" s="21"/>
      <c r="L217" s="21"/>
      <c r="M217" s="21"/>
      <c r="N217" s="21"/>
    </row>
    <row r="218" spans="1:14" ht="15.75" customHeight="1" x14ac:dyDescent="0.25">
      <c r="A218" s="21"/>
      <c r="B218" s="21"/>
      <c r="C218" s="11"/>
      <c r="D218" s="11"/>
      <c r="E218" s="21"/>
      <c r="F218" s="21"/>
      <c r="G218" s="25"/>
      <c r="H218" s="11"/>
      <c r="I218" s="21"/>
      <c r="J218" s="21"/>
      <c r="K218" s="21"/>
      <c r="L218" s="21"/>
      <c r="M218" s="21"/>
      <c r="N218" s="21"/>
    </row>
    <row r="219" spans="1:14" ht="15.75" customHeight="1" x14ac:dyDescent="0.25">
      <c r="A219" s="31" t="s">
        <v>14</v>
      </c>
      <c r="B219" s="31" t="s">
        <v>234</v>
      </c>
      <c r="C219" s="31" t="s">
        <v>16</v>
      </c>
      <c r="D219" s="31" t="s">
        <v>17</v>
      </c>
      <c r="E219" s="31" t="s">
        <v>235</v>
      </c>
      <c r="F219" s="31" t="s">
        <v>236</v>
      </c>
      <c r="G219" s="25"/>
      <c r="H219" s="11"/>
      <c r="I219" s="21"/>
      <c r="J219" s="21"/>
      <c r="K219" s="21"/>
      <c r="L219" s="21"/>
      <c r="M219" s="21"/>
      <c r="N219" s="21"/>
    </row>
    <row r="220" spans="1:14" ht="15.75" customHeight="1" x14ac:dyDescent="0.25">
      <c r="A220" s="7">
        <v>1</v>
      </c>
      <c r="B220" s="41" t="s">
        <v>415</v>
      </c>
      <c r="C220" s="7">
        <v>1</v>
      </c>
      <c r="D220" s="7" t="s">
        <v>19</v>
      </c>
      <c r="E220" s="104">
        <v>30000</v>
      </c>
      <c r="F220" s="104">
        <f>E220*C220</f>
        <v>30000</v>
      </c>
      <c r="G220" s="25"/>
      <c r="H220" s="11"/>
      <c r="I220" s="21"/>
      <c r="J220" s="21"/>
      <c r="K220" s="21"/>
      <c r="L220" s="21"/>
      <c r="M220" s="21"/>
      <c r="N220" s="21"/>
    </row>
    <row r="221" spans="1:14" ht="15.75" customHeight="1" x14ac:dyDescent="0.25">
      <c r="A221" s="7"/>
      <c r="B221" s="343" t="s">
        <v>342</v>
      </c>
      <c r="C221" s="344"/>
      <c r="D221" s="344"/>
      <c r="E221" s="334"/>
      <c r="F221" s="104">
        <f>F220</f>
        <v>30000</v>
      </c>
      <c r="G221" s="25"/>
      <c r="H221" s="11"/>
      <c r="I221" s="21"/>
      <c r="J221" s="21"/>
      <c r="K221" s="21"/>
      <c r="L221" s="21"/>
      <c r="M221" s="21"/>
      <c r="N221" s="21"/>
    </row>
    <row r="222" spans="1:14" ht="15.75" customHeight="1" x14ac:dyDescent="0.25">
      <c r="A222" s="7"/>
      <c r="B222" s="343" t="s">
        <v>343</v>
      </c>
      <c r="C222" s="344"/>
      <c r="D222" s="344"/>
      <c r="E222" s="334"/>
      <c r="F222" s="104">
        <v>3300</v>
      </c>
      <c r="G222" s="25"/>
      <c r="H222" s="11"/>
      <c r="I222" s="21"/>
      <c r="J222" s="21"/>
      <c r="K222" s="21"/>
      <c r="L222" s="21"/>
      <c r="M222" s="21"/>
      <c r="N222" s="21"/>
    </row>
    <row r="223" spans="1:14" ht="15.75" customHeight="1" x14ac:dyDescent="0.25">
      <c r="A223" s="7"/>
      <c r="B223" s="345" t="s">
        <v>344</v>
      </c>
      <c r="C223" s="344"/>
      <c r="D223" s="344"/>
      <c r="E223" s="334"/>
      <c r="F223" s="107">
        <f>SUM(F221:F222)</f>
        <v>33300</v>
      </c>
      <c r="G223" s="25"/>
      <c r="H223" s="11"/>
      <c r="I223" s="21"/>
      <c r="J223" s="21"/>
      <c r="K223" s="21"/>
      <c r="L223" s="21"/>
      <c r="M223" s="21"/>
      <c r="N223" s="21"/>
    </row>
    <row r="224" spans="1:14" ht="15.75" customHeight="1" x14ac:dyDescent="0.25">
      <c r="A224" s="21"/>
      <c r="B224" s="21"/>
      <c r="C224" s="11"/>
      <c r="D224" s="11"/>
      <c r="E224" s="21"/>
      <c r="F224" s="21"/>
      <c r="G224" s="25"/>
      <c r="H224" s="11"/>
      <c r="I224" s="21"/>
      <c r="J224" s="21"/>
      <c r="K224" s="21"/>
      <c r="L224" s="21"/>
      <c r="M224" s="21"/>
      <c r="N224" s="21"/>
    </row>
    <row r="225" spans="1:14" ht="15.75" customHeight="1" x14ac:dyDescent="0.25">
      <c r="A225" s="31" t="s">
        <v>14</v>
      </c>
      <c r="B225" s="31" t="s">
        <v>234</v>
      </c>
      <c r="C225" s="31" t="s">
        <v>16</v>
      </c>
      <c r="D225" s="31" t="s">
        <v>17</v>
      </c>
      <c r="E225" s="31" t="s">
        <v>235</v>
      </c>
      <c r="F225" s="31" t="s">
        <v>236</v>
      </c>
      <c r="G225" s="25"/>
      <c r="H225" s="11"/>
      <c r="I225" s="21"/>
      <c r="J225" s="21"/>
      <c r="K225" s="21"/>
      <c r="L225" s="21"/>
      <c r="M225" s="21"/>
      <c r="N225" s="21"/>
    </row>
    <row r="226" spans="1:14" ht="15.75" customHeight="1" x14ac:dyDescent="0.25">
      <c r="A226" s="7">
        <v>1</v>
      </c>
      <c r="B226" s="41" t="s">
        <v>416</v>
      </c>
      <c r="C226" s="7">
        <v>3</v>
      </c>
      <c r="D226" s="7" t="s">
        <v>251</v>
      </c>
      <c r="E226" s="104">
        <v>94300</v>
      </c>
      <c r="F226" s="104">
        <f>E226*C226</f>
        <v>282900</v>
      </c>
      <c r="G226" s="25"/>
      <c r="H226" s="11"/>
      <c r="I226" s="21"/>
      <c r="J226" s="21"/>
      <c r="K226" s="21"/>
      <c r="L226" s="21"/>
      <c r="M226" s="21"/>
      <c r="N226" s="21"/>
    </row>
    <row r="227" spans="1:14" ht="15.75" customHeight="1" x14ac:dyDescent="0.25">
      <c r="A227" s="7"/>
      <c r="B227" s="343" t="s">
        <v>342</v>
      </c>
      <c r="C227" s="344"/>
      <c r="D227" s="344"/>
      <c r="E227" s="334"/>
      <c r="F227" s="104">
        <f>F226</f>
        <v>282900</v>
      </c>
      <c r="G227" s="25"/>
      <c r="H227" s="11"/>
      <c r="I227" s="21"/>
      <c r="J227" s="21"/>
      <c r="K227" s="21"/>
      <c r="L227" s="21"/>
      <c r="M227" s="21"/>
      <c r="N227" s="21"/>
    </row>
    <row r="228" spans="1:14" ht="15.75" customHeight="1" x14ac:dyDescent="0.25">
      <c r="A228" s="7"/>
      <c r="B228" s="343" t="s">
        <v>343</v>
      </c>
      <c r="C228" s="344"/>
      <c r="D228" s="344"/>
      <c r="E228" s="334"/>
      <c r="F228" s="104">
        <v>31119</v>
      </c>
      <c r="G228" s="25"/>
      <c r="H228" s="11"/>
      <c r="I228" s="21"/>
      <c r="J228" s="21"/>
      <c r="K228" s="21"/>
      <c r="L228" s="21"/>
      <c r="M228" s="21"/>
      <c r="N228" s="21"/>
    </row>
    <row r="229" spans="1:14" ht="15.75" customHeight="1" x14ac:dyDescent="0.25">
      <c r="A229" s="7"/>
      <c r="B229" s="345" t="s">
        <v>344</v>
      </c>
      <c r="C229" s="344"/>
      <c r="D229" s="344"/>
      <c r="E229" s="334"/>
      <c r="F229" s="107">
        <f>SUM(F227:F228)</f>
        <v>314019</v>
      </c>
      <c r="G229" s="25"/>
      <c r="H229" s="11"/>
      <c r="I229" s="21"/>
      <c r="J229" s="21"/>
      <c r="K229" s="21"/>
      <c r="L229" s="21"/>
      <c r="M229" s="21"/>
      <c r="N229" s="21"/>
    </row>
    <row r="230" spans="1:14" ht="15.75" customHeight="1" x14ac:dyDescent="0.25">
      <c r="A230" s="21"/>
      <c r="B230" s="21"/>
      <c r="C230" s="11"/>
      <c r="D230" s="11"/>
      <c r="E230" s="21"/>
      <c r="F230" s="21"/>
      <c r="G230" s="25"/>
      <c r="H230" s="11"/>
      <c r="I230" s="21"/>
      <c r="J230" s="21"/>
      <c r="K230" s="21"/>
      <c r="L230" s="21"/>
      <c r="M230" s="21"/>
      <c r="N230" s="21"/>
    </row>
    <row r="231" spans="1:14" ht="15.75" customHeight="1" x14ac:dyDescent="0.25">
      <c r="A231" s="31" t="s">
        <v>14</v>
      </c>
      <c r="B231" s="31" t="s">
        <v>234</v>
      </c>
      <c r="C231" s="31" t="s">
        <v>16</v>
      </c>
      <c r="D231" s="31" t="s">
        <v>17</v>
      </c>
      <c r="E231" s="31" t="s">
        <v>235</v>
      </c>
      <c r="F231" s="31" t="s">
        <v>236</v>
      </c>
      <c r="G231" s="25"/>
      <c r="H231" s="11"/>
      <c r="I231" s="21"/>
      <c r="J231" s="21"/>
      <c r="K231" s="21"/>
      <c r="L231" s="21"/>
      <c r="M231" s="21"/>
      <c r="N231" s="21"/>
    </row>
    <row r="232" spans="1:14" ht="15.75" customHeight="1" x14ac:dyDescent="0.25">
      <c r="A232" s="7">
        <v>1</v>
      </c>
      <c r="B232" s="35" t="s">
        <v>417</v>
      </c>
      <c r="C232" s="7">
        <v>3</v>
      </c>
      <c r="D232" s="7" t="s">
        <v>19</v>
      </c>
      <c r="E232" s="104">
        <v>30000</v>
      </c>
      <c r="F232" s="104">
        <f>E232*C232</f>
        <v>90000</v>
      </c>
      <c r="G232" s="25"/>
      <c r="H232" s="11"/>
      <c r="I232" s="21"/>
      <c r="J232" s="21"/>
      <c r="K232" s="21"/>
      <c r="L232" s="21"/>
      <c r="M232" s="21"/>
      <c r="N232" s="21"/>
    </row>
    <row r="233" spans="1:14" ht="15.75" customHeight="1" x14ac:dyDescent="0.25">
      <c r="A233" s="7">
        <v>2</v>
      </c>
      <c r="B233" s="41" t="s">
        <v>418</v>
      </c>
      <c r="C233" s="7">
        <v>2</v>
      </c>
      <c r="D233" s="7" t="s">
        <v>19</v>
      </c>
      <c r="E233" s="104">
        <v>715000</v>
      </c>
      <c r="F233" s="104">
        <f>E233*C233</f>
        <v>1430000</v>
      </c>
      <c r="G233" s="25"/>
      <c r="H233" s="11"/>
      <c r="I233" s="21"/>
      <c r="J233" s="21"/>
      <c r="K233" s="21"/>
      <c r="L233" s="21"/>
      <c r="M233" s="21"/>
      <c r="N233" s="21"/>
    </row>
    <row r="234" spans="1:14" ht="15.75" customHeight="1" x14ac:dyDescent="0.25">
      <c r="A234" s="7"/>
      <c r="B234" s="343" t="s">
        <v>342</v>
      </c>
      <c r="C234" s="344"/>
      <c r="D234" s="344"/>
      <c r="E234" s="334"/>
      <c r="F234" s="104">
        <f>SUM(F232:F233)</f>
        <v>1520000</v>
      </c>
      <c r="G234" s="25"/>
      <c r="H234" s="11"/>
      <c r="I234" s="21"/>
      <c r="J234" s="21"/>
      <c r="K234" s="21"/>
      <c r="L234" s="21"/>
      <c r="M234" s="21"/>
      <c r="N234" s="21"/>
    </row>
    <row r="235" spans="1:14" ht="15.75" customHeight="1" x14ac:dyDescent="0.25">
      <c r="A235" s="7"/>
      <c r="B235" s="343" t="s">
        <v>343</v>
      </c>
      <c r="C235" s="344"/>
      <c r="D235" s="344"/>
      <c r="E235" s="334"/>
      <c r="F235" s="104">
        <v>167200</v>
      </c>
      <c r="G235" s="25"/>
      <c r="H235" s="11"/>
      <c r="I235" s="21"/>
      <c r="J235" s="21"/>
      <c r="K235" s="21"/>
      <c r="L235" s="21"/>
      <c r="M235" s="21"/>
      <c r="N235" s="21"/>
    </row>
    <row r="236" spans="1:14" ht="15.75" customHeight="1" x14ac:dyDescent="0.25">
      <c r="A236" s="7"/>
      <c r="B236" s="345" t="s">
        <v>350</v>
      </c>
      <c r="C236" s="344"/>
      <c r="D236" s="344"/>
      <c r="E236" s="334"/>
      <c r="F236" s="107">
        <f>SUM(F234:F235)</f>
        <v>1687200</v>
      </c>
      <c r="G236" s="25"/>
      <c r="H236" s="11"/>
      <c r="I236" s="21"/>
      <c r="J236" s="21"/>
      <c r="K236" s="21"/>
      <c r="L236" s="21"/>
      <c r="M236" s="21"/>
      <c r="N236" s="21"/>
    </row>
    <row r="237" spans="1:14" ht="15.75" customHeight="1" x14ac:dyDescent="0.25">
      <c r="A237" s="21"/>
      <c r="B237" s="21"/>
      <c r="C237" s="11"/>
      <c r="D237" s="11"/>
      <c r="E237" s="21"/>
      <c r="F237" s="21"/>
      <c r="G237" s="25"/>
      <c r="H237" s="11"/>
      <c r="I237" s="21"/>
      <c r="J237" s="21"/>
      <c r="K237" s="21"/>
      <c r="L237" s="21"/>
      <c r="M237" s="21"/>
      <c r="N237" s="21"/>
    </row>
    <row r="238" spans="1:14" ht="15.75" customHeight="1" x14ac:dyDescent="0.25">
      <c r="A238" s="31" t="s">
        <v>14</v>
      </c>
      <c r="B238" s="31" t="s">
        <v>234</v>
      </c>
      <c r="C238" s="31" t="s">
        <v>16</v>
      </c>
      <c r="D238" s="31" t="s">
        <v>17</v>
      </c>
      <c r="E238" s="31" t="s">
        <v>235</v>
      </c>
      <c r="F238" s="31" t="s">
        <v>236</v>
      </c>
      <c r="G238" s="25"/>
      <c r="H238" s="11"/>
      <c r="I238" s="21"/>
      <c r="J238" s="21"/>
      <c r="K238" s="21"/>
      <c r="L238" s="21"/>
      <c r="M238" s="21"/>
      <c r="N238" s="21"/>
    </row>
    <row r="239" spans="1:14" ht="15.75" customHeight="1" x14ac:dyDescent="0.25">
      <c r="A239" s="7">
        <v>1</v>
      </c>
      <c r="B239" s="41" t="s">
        <v>419</v>
      </c>
      <c r="C239" s="7">
        <v>2</v>
      </c>
      <c r="D239" s="7" t="s">
        <v>347</v>
      </c>
      <c r="E239" s="104">
        <v>2550000</v>
      </c>
      <c r="F239" s="104">
        <f>E239*C239</f>
        <v>5100000</v>
      </c>
      <c r="G239" s="25"/>
      <c r="H239" s="11"/>
      <c r="I239" s="21"/>
      <c r="J239" s="21"/>
      <c r="K239" s="21"/>
      <c r="L239" s="21"/>
      <c r="M239" s="21"/>
      <c r="N239" s="21"/>
    </row>
    <row r="240" spans="1:14" ht="15.75" customHeight="1" x14ac:dyDescent="0.25">
      <c r="A240" s="7"/>
      <c r="B240" s="343" t="s">
        <v>342</v>
      </c>
      <c r="C240" s="344"/>
      <c r="D240" s="344"/>
      <c r="E240" s="334"/>
      <c r="F240" s="104">
        <f>F239</f>
        <v>5100000</v>
      </c>
      <c r="G240" s="25"/>
      <c r="H240" s="11"/>
      <c r="I240" s="21"/>
      <c r="J240" s="21"/>
      <c r="K240" s="21"/>
      <c r="L240" s="21"/>
      <c r="M240" s="21"/>
      <c r="N240" s="21"/>
    </row>
    <row r="241" spans="1:14" ht="15.75" customHeight="1" x14ac:dyDescent="0.25">
      <c r="A241" s="7"/>
      <c r="B241" s="343" t="s">
        <v>343</v>
      </c>
      <c r="C241" s="344"/>
      <c r="D241" s="344"/>
      <c r="E241" s="334"/>
      <c r="F241" s="104">
        <v>561000</v>
      </c>
      <c r="G241" s="25"/>
      <c r="H241" s="11"/>
      <c r="I241" s="21"/>
      <c r="J241" s="21"/>
      <c r="K241" s="21"/>
      <c r="L241" s="21"/>
      <c r="M241" s="21"/>
      <c r="N241" s="21"/>
    </row>
    <row r="242" spans="1:14" ht="15.75" customHeight="1" x14ac:dyDescent="0.25">
      <c r="A242" s="7"/>
      <c r="B242" s="345" t="s">
        <v>344</v>
      </c>
      <c r="C242" s="344"/>
      <c r="D242" s="344"/>
      <c r="E242" s="334"/>
      <c r="F242" s="107">
        <f>SUM(F240:F241)</f>
        <v>5661000</v>
      </c>
      <c r="G242" s="25"/>
      <c r="H242" s="11"/>
      <c r="I242" s="21"/>
      <c r="J242" s="21"/>
      <c r="K242" s="21"/>
      <c r="L242" s="21"/>
      <c r="M242" s="21"/>
      <c r="N242" s="21"/>
    </row>
    <row r="243" spans="1:14" ht="15.75" customHeight="1" x14ac:dyDescent="0.25">
      <c r="A243" s="21"/>
      <c r="B243" s="21"/>
      <c r="C243" s="11"/>
      <c r="D243" s="11"/>
      <c r="E243" s="21"/>
      <c r="F243" s="21"/>
      <c r="G243" s="25"/>
      <c r="H243" s="11"/>
      <c r="I243" s="21"/>
      <c r="J243" s="21"/>
      <c r="K243" s="21"/>
      <c r="L243" s="21"/>
      <c r="M243" s="21"/>
      <c r="N243" s="21"/>
    </row>
    <row r="244" spans="1:14" ht="15.75" customHeight="1" x14ac:dyDescent="0.25">
      <c r="A244" s="31" t="s">
        <v>14</v>
      </c>
      <c r="B244" s="31" t="s">
        <v>234</v>
      </c>
      <c r="C244" s="31" t="s">
        <v>16</v>
      </c>
      <c r="D244" s="31" t="s">
        <v>17</v>
      </c>
      <c r="E244" s="31" t="s">
        <v>235</v>
      </c>
      <c r="F244" s="31" t="s">
        <v>236</v>
      </c>
      <c r="G244" s="25"/>
      <c r="H244" s="11"/>
      <c r="I244" s="21"/>
      <c r="J244" s="21"/>
      <c r="K244" s="21"/>
      <c r="L244" s="21"/>
      <c r="M244" s="21"/>
      <c r="N244" s="21"/>
    </row>
    <row r="245" spans="1:14" ht="15.75" customHeight="1" x14ac:dyDescent="0.25">
      <c r="A245" s="7">
        <v>1</v>
      </c>
      <c r="B245" s="35" t="s">
        <v>420</v>
      </c>
      <c r="C245" s="7">
        <v>2</v>
      </c>
      <c r="D245" s="7" t="s">
        <v>406</v>
      </c>
      <c r="E245" s="104">
        <v>392900</v>
      </c>
      <c r="F245" s="104">
        <f>E245*C245</f>
        <v>785800</v>
      </c>
      <c r="G245" s="25"/>
      <c r="H245" s="11"/>
      <c r="I245" s="21"/>
      <c r="J245" s="21"/>
      <c r="K245" s="21"/>
      <c r="L245" s="21"/>
      <c r="M245" s="21"/>
      <c r="N245" s="21"/>
    </row>
    <row r="246" spans="1:14" ht="15.75" customHeight="1" x14ac:dyDescent="0.25">
      <c r="A246" s="7">
        <v>2</v>
      </c>
      <c r="B246" s="35" t="s">
        <v>421</v>
      </c>
      <c r="C246" s="7">
        <v>15</v>
      </c>
      <c r="D246" s="7" t="s">
        <v>19</v>
      </c>
      <c r="E246" s="104">
        <v>418500</v>
      </c>
      <c r="F246" s="104">
        <f>E246*C246</f>
        <v>6277500</v>
      </c>
      <c r="G246" s="25"/>
      <c r="H246" s="11"/>
      <c r="I246" s="21"/>
      <c r="J246" s="21"/>
      <c r="K246" s="21"/>
      <c r="L246" s="21"/>
      <c r="M246" s="21"/>
      <c r="N246" s="21"/>
    </row>
    <row r="247" spans="1:14" ht="15.75" customHeight="1" x14ac:dyDescent="0.25">
      <c r="A247" s="7"/>
      <c r="B247" s="343" t="s">
        <v>342</v>
      </c>
      <c r="C247" s="344"/>
      <c r="D247" s="344"/>
      <c r="E247" s="334"/>
      <c r="F247" s="104">
        <f>SUM(F245:F246)</f>
        <v>7063300</v>
      </c>
      <c r="G247" s="25"/>
      <c r="H247" s="11"/>
      <c r="I247" s="21"/>
      <c r="J247" s="21"/>
      <c r="K247" s="21"/>
      <c r="L247" s="21"/>
      <c r="M247" s="21"/>
      <c r="N247" s="21"/>
    </row>
    <row r="248" spans="1:14" ht="15.75" customHeight="1" x14ac:dyDescent="0.25">
      <c r="A248" s="7"/>
      <c r="B248" s="343" t="s">
        <v>343</v>
      </c>
      <c r="C248" s="344"/>
      <c r="D248" s="344"/>
      <c r="E248" s="334"/>
      <c r="F248" s="104">
        <v>690525</v>
      </c>
      <c r="G248" s="25"/>
      <c r="H248" s="11"/>
      <c r="I248" s="21"/>
      <c r="J248" s="21"/>
      <c r="K248" s="21"/>
      <c r="L248" s="21"/>
      <c r="M248" s="21"/>
      <c r="N248" s="21"/>
    </row>
    <row r="249" spans="1:14" ht="15.75" customHeight="1" x14ac:dyDescent="0.25">
      <c r="A249" s="7"/>
      <c r="B249" s="345" t="s">
        <v>350</v>
      </c>
      <c r="C249" s="344"/>
      <c r="D249" s="344"/>
      <c r="E249" s="334"/>
      <c r="F249" s="104">
        <f>SUM(F247:F248)</f>
        <v>7753825</v>
      </c>
      <c r="G249" s="25"/>
      <c r="H249" s="11"/>
      <c r="I249" s="21"/>
      <c r="J249" s="21"/>
      <c r="K249" s="21"/>
      <c r="L249" s="21"/>
      <c r="M249" s="21"/>
      <c r="N249" s="21"/>
    </row>
    <row r="250" spans="1:14" ht="15.75" customHeight="1" x14ac:dyDescent="0.25">
      <c r="A250" s="21"/>
      <c r="B250" s="21"/>
      <c r="C250" s="11"/>
      <c r="D250" s="11"/>
      <c r="E250" s="21"/>
      <c r="F250" s="21"/>
      <c r="G250" s="25"/>
      <c r="H250" s="11"/>
      <c r="I250" s="21"/>
      <c r="J250" s="21"/>
      <c r="K250" s="21"/>
      <c r="L250" s="21"/>
      <c r="M250" s="21"/>
      <c r="N250" s="21"/>
    </row>
    <row r="251" spans="1:14" ht="15.75" customHeight="1" x14ac:dyDescent="0.25">
      <c r="A251" s="31" t="s">
        <v>351</v>
      </c>
      <c r="B251" s="31" t="s">
        <v>234</v>
      </c>
      <c r="C251" s="31" t="s">
        <v>16</v>
      </c>
      <c r="D251" s="31" t="s">
        <v>17</v>
      </c>
      <c r="E251" s="31" t="s">
        <v>235</v>
      </c>
      <c r="F251" s="31" t="s">
        <v>236</v>
      </c>
      <c r="G251" s="25"/>
      <c r="H251" s="11"/>
      <c r="I251" s="21"/>
      <c r="J251" s="21"/>
      <c r="K251" s="21"/>
      <c r="L251" s="21"/>
      <c r="M251" s="21"/>
      <c r="N251" s="21"/>
    </row>
    <row r="252" spans="1:14" ht="15.75" customHeight="1" x14ac:dyDescent="0.25">
      <c r="A252" s="7">
        <v>1</v>
      </c>
      <c r="B252" s="35" t="s">
        <v>422</v>
      </c>
      <c r="C252" s="7">
        <v>24</v>
      </c>
      <c r="D252" s="7" t="s">
        <v>406</v>
      </c>
      <c r="E252" s="104">
        <v>637500</v>
      </c>
      <c r="F252" s="104">
        <f>E252*C252</f>
        <v>15300000</v>
      </c>
      <c r="G252" s="25"/>
      <c r="H252" s="11"/>
      <c r="I252" s="21"/>
      <c r="J252" s="21"/>
      <c r="K252" s="21"/>
      <c r="L252" s="21"/>
      <c r="M252" s="21"/>
      <c r="N252" s="21"/>
    </row>
    <row r="253" spans="1:14" ht="15.75" customHeight="1" x14ac:dyDescent="0.25">
      <c r="A253" s="7">
        <v>2</v>
      </c>
      <c r="B253" s="35" t="s">
        <v>423</v>
      </c>
      <c r="C253" s="7">
        <v>6</v>
      </c>
      <c r="D253" s="7" t="s">
        <v>406</v>
      </c>
      <c r="E253" s="104">
        <v>235520</v>
      </c>
      <c r="F253" s="104">
        <f>E253*C253</f>
        <v>1413120</v>
      </c>
      <c r="G253" s="25"/>
      <c r="H253" s="11"/>
      <c r="I253" s="21"/>
      <c r="J253" s="21"/>
      <c r="K253" s="21"/>
      <c r="L253" s="21"/>
      <c r="M253" s="21"/>
      <c r="N253" s="21"/>
    </row>
    <row r="254" spans="1:14" ht="15.75" customHeight="1" x14ac:dyDescent="0.25">
      <c r="A254" s="7">
        <v>3</v>
      </c>
      <c r="B254" s="41" t="s">
        <v>424</v>
      </c>
      <c r="C254" s="7">
        <v>3</v>
      </c>
      <c r="D254" s="7" t="s">
        <v>406</v>
      </c>
      <c r="E254" s="104">
        <v>258980</v>
      </c>
      <c r="F254" s="104">
        <f>E254*C254</f>
        <v>776940</v>
      </c>
      <c r="G254" s="25"/>
      <c r="H254" s="11"/>
      <c r="I254" s="21"/>
      <c r="J254" s="21"/>
      <c r="K254" s="21"/>
      <c r="L254" s="21"/>
      <c r="M254" s="21"/>
      <c r="N254" s="21"/>
    </row>
    <row r="255" spans="1:14" ht="15.75" customHeight="1" x14ac:dyDescent="0.25">
      <c r="A255" s="7"/>
      <c r="B255" s="343" t="s">
        <v>342</v>
      </c>
      <c r="C255" s="344"/>
      <c r="D255" s="344"/>
      <c r="E255" s="334"/>
      <c r="F255" s="104">
        <f>SUM(F252:F254)</f>
        <v>17490060</v>
      </c>
      <c r="G255" s="25"/>
      <c r="H255" s="11"/>
      <c r="I255" s="21"/>
      <c r="J255" s="21"/>
      <c r="K255" s="21"/>
      <c r="L255" s="21"/>
      <c r="M255" s="21"/>
      <c r="N255" s="21"/>
    </row>
    <row r="256" spans="1:14" ht="15.75" customHeight="1" x14ac:dyDescent="0.25">
      <c r="A256" s="7"/>
      <c r="B256" s="343" t="s">
        <v>343</v>
      </c>
      <c r="C256" s="344"/>
      <c r="D256" s="344"/>
      <c r="E256" s="334"/>
      <c r="F256" s="112">
        <v>1923906.6</v>
      </c>
      <c r="G256" s="25"/>
      <c r="H256" s="11"/>
      <c r="I256" s="21"/>
      <c r="J256" s="21"/>
      <c r="K256" s="21"/>
      <c r="L256" s="21"/>
      <c r="M256" s="21"/>
      <c r="N256" s="21"/>
    </row>
    <row r="257" spans="1:14" ht="15.75" customHeight="1" x14ac:dyDescent="0.25">
      <c r="A257" s="7"/>
      <c r="B257" s="345" t="s">
        <v>344</v>
      </c>
      <c r="C257" s="344"/>
      <c r="D257" s="344"/>
      <c r="E257" s="334"/>
      <c r="F257" s="113">
        <f>SUM(F255:F256)</f>
        <v>19413966.600000001</v>
      </c>
      <c r="G257" s="25"/>
      <c r="H257" s="11"/>
      <c r="I257" s="21"/>
      <c r="J257" s="21"/>
      <c r="K257" s="21"/>
      <c r="L257" s="21"/>
      <c r="M257" s="21"/>
      <c r="N257" s="21"/>
    </row>
    <row r="258" spans="1:14" ht="15.75" customHeight="1" x14ac:dyDescent="0.25">
      <c r="A258" s="21"/>
      <c r="B258" s="21"/>
      <c r="C258" s="11"/>
      <c r="D258" s="11"/>
      <c r="E258" s="21"/>
      <c r="F258" s="21"/>
      <c r="G258" s="25"/>
      <c r="H258" s="11"/>
      <c r="I258" s="21"/>
      <c r="J258" s="21"/>
      <c r="K258" s="21"/>
      <c r="L258" s="21"/>
      <c r="M258" s="21"/>
      <c r="N258" s="21"/>
    </row>
    <row r="259" spans="1:14" ht="15.75" customHeight="1" x14ac:dyDescent="0.25">
      <c r="A259" s="31" t="s">
        <v>14</v>
      </c>
      <c r="B259" s="31" t="s">
        <v>234</v>
      </c>
      <c r="C259" s="31" t="s">
        <v>16</v>
      </c>
      <c r="D259" s="31" t="s">
        <v>17</v>
      </c>
      <c r="E259" s="31" t="s">
        <v>235</v>
      </c>
      <c r="F259" s="31" t="s">
        <v>236</v>
      </c>
      <c r="G259" s="25"/>
      <c r="H259" s="11"/>
      <c r="I259" s="21"/>
      <c r="J259" s="21"/>
      <c r="K259" s="21"/>
      <c r="L259" s="21"/>
      <c r="M259" s="21"/>
      <c r="N259" s="21"/>
    </row>
    <row r="260" spans="1:14" ht="15.75" customHeight="1" x14ac:dyDescent="0.25">
      <c r="A260" s="7">
        <v>1</v>
      </c>
      <c r="B260" s="41" t="s">
        <v>425</v>
      </c>
      <c r="C260" s="7">
        <v>1</v>
      </c>
      <c r="D260" s="7" t="s">
        <v>426</v>
      </c>
      <c r="E260" s="104">
        <v>150000</v>
      </c>
      <c r="F260" s="104">
        <f>E260*C260</f>
        <v>150000</v>
      </c>
      <c r="G260" s="25"/>
      <c r="H260" s="11"/>
      <c r="I260" s="21"/>
      <c r="J260" s="21"/>
      <c r="K260" s="21"/>
      <c r="L260" s="21"/>
      <c r="M260" s="21"/>
      <c r="N260" s="21"/>
    </row>
    <row r="261" spans="1:14" ht="15.75" customHeight="1" x14ac:dyDescent="0.25">
      <c r="A261" s="7"/>
      <c r="B261" s="343" t="s">
        <v>342</v>
      </c>
      <c r="C261" s="344"/>
      <c r="D261" s="344"/>
      <c r="E261" s="334"/>
      <c r="F261" s="104">
        <f>F260</f>
        <v>150000</v>
      </c>
      <c r="G261" s="25"/>
      <c r="H261" s="11"/>
      <c r="I261" s="21"/>
      <c r="J261" s="21"/>
      <c r="K261" s="21"/>
      <c r="L261" s="21"/>
      <c r="M261" s="21"/>
      <c r="N261" s="21"/>
    </row>
    <row r="262" spans="1:14" ht="15.75" customHeight="1" x14ac:dyDescent="0.25">
      <c r="A262" s="7"/>
      <c r="B262" s="343" t="s">
        <v>343</v>
      </c>
      <c r="C262" s="344"/>
      <c r="D262" s="344"/>
      <c r="E262" s="334"/>
      <c r="F262" s="104">
        <v>16500</v>
      </c>
      <c r="G262" s="25"/>
      <c r="H262" s="11"/>
      <c r="I262" s="21"/>
      <c r="J262" s="21"/>
      <c r="K262" s="21"/>
      <c r="L262" s="21"/>
      <c r="M262" s="21"/>
      <c r="N262" s="21"/>
    </row>
    <row r="263" spans="1:14" ht="15.75" customHeight="1" x14ac:dyDescent="0.25">
      <c r="A263" s="7"/>
      <c r="B263" s="345" t="s">
        <v>344</v>
      </c>
      <c r="C263" s="344"/>
      <c r="D263" s="344"/>
      <c r="E263" s="334"/>
      <c r="F263" s="107">
        <f>SUM(F261:F262)</f>
        <v>166500</v>
      </c>
      <c r="G263" s="25"/>
      <c r="H263" s="11"/>
      <c r="I263" s="21"/>
      <c r="J263" s="21"/>
      <c r="K263" s="21"/>
      <c r="L263" s="21"/>
      <c r="M263" s="21"/>
      <c r="N263" s="21"/>
    </row>
    <row r="264" spans="1:14" ht="15.75" customHeight="1" x14ac:dyDescent="0.25">
      <c r="A264" s="21"/>
      <c r="B264" s="21"/>
      <c r="C264" s="11"/>
      <c r="D264" s="11"/>
      <c r="E264" s="21"/>
      <c r="F264" s="21"/>
      <c r="G264" s="25"/>
      <c r="H264" s="11"/>
      <c r="I264" s="21"/>
      <c r="J264" s="21"/>
      <c r="K264" s="21"/>
      <c r="L264" s="21"/>
      <c r="M264" s="21"/>
      <c r="N264" s="21"/>
    </row>
    <row r="265" spans="1:14" ht="15.75" customHeight="1" x14ac:dyDescent="0.25">
      <c r="A265" s="31" t="s">
        <v>14</v>
      </c>
      <c r="B265" s="31" t="s">
        <v>234</v>
      </c>
      <c r="C265" s="31" t="s">
        <v>16</v>
      </c>
      <c r="D265" s="31" t="s">
        <v>17</v>
      </c>
      <c r="E265" s="31" t="s">
        <v>235</v>
      </c>
      <c r="F265" s="31" t="s">
        <v>236</v>
      </c>
      <c r="G265" s="25"/>
      <c r="H265" s="11"/>
      <c r="I265" s="21"/>
      <c r="J265" s="21"/>
      <c r="K265" s="21"/>
      <c r="L265" s="21"/>
      <c r="M265" s="21"/>
      <c r="N265" s="21"/>
    </row>
    <row r="266" spans="1:14" ht="15.75" customHeight="1" x14ac:dyDescent="0.25">
      <c r="A266" s="7">
        <v>1</v>
      </c>
      <c r="B266" s="41" t="s">
        <v>427</v>
      </c>
      <c r="C266" s="7">
        <v>2</v>
      </c>
      <c r="D266" s="7" t="s">
        <v>363</v>
      </c>
      <c r="E266" s="104">
        <v>812500</v>
      </c>
      <c r="F266" s="104">
        <f>E266*C266</f>
        <v>1625000</v>
      </c>
      <c r="G266" s="25"/>
      <c r="H266" s="11"/>
      <c r="I266" s="21"/>
      <c r="J266" s="21"/>
      <c r="K266" s="21"/>
      <c r="L266" s="21"/>
      <c r="M266" s="21"/>
      <c r="N266" s="21"/>
    </row>
    <row r="267" spans="1:14" ht="15.75" customHeight="1" x14ac:dyDescent="0.25">
      <c r="A267" s="7"/>
      <c r="B267" s="343" t="s">
        <v>342</v>
      </c>
      <c r="C267" s="344"/>
      <c r="D267" s="344"/>
      <c r="E267" s="334"/>
      <c r="F267" s="104">
        <f>F266</f>
        <v>1625000</v>
      </c>
      <c r="G267" s="25"/>
      <c r="H267" s="11"/>
      <c r="I267" s="21"/>
      <c r="J267" s="21"/>
      <c r="K267" s="21"/>
      <c r="L267" s="21"/>
      <c r="M267" s="21"/>
      <c r="N267" s="21"/>
    </row>
    <row r="268" spans="1:14" ht="15.75" customHeight="1" x14ac:dyDescent="0.25">
      <c r="A268" s="7"/>
      <c r="B268" s="343" t="s">
        <v>343</v>
      </c>
      <c r="C268" s="344"/>
      <c r="D268" s="344"/>
      <c r="E268" s="334"/>
      <c r="F268" s="104">
        <v>178750</v>
      </c>
      <c r="G268" s="25"/>
      <c r="H268" s="11"/>
      <c r="I268" s="21"/>
      <c r="J268" s="21"/>
      <c r="K268" s="21"/>
      <c r="L268" s="21"/>
      <c r="M268" s="21"/>
      <c r="N268" s="21"/>
    </row>
    <row r="269" spans="1:14" ht="15.75" customHeight="1" x14ac:dyDescent="0.25">
      <c r="A269" s="7"/>
      <c r="B269" s="345" t="s">
        <v>344</v>
      </c>
      <c r="C269" s="344"/>
      <c r="D269" s="344"/>
      <c r="E269" s="334"/>
      <c r="F269" s="107">
        <f>SUM(F267:F268)</f>
        <v>1803750</v>
      </c>
      <c r="G269" s="25"/>
      <c r="H269" s="11"/>
      <c r="I269" s="21"/>
      <c r="J269" s="21"/>
      <c r="K269" s="21"/>
      <c r="L269" s="21"/>
      <c r="M269" s="21"/>
      <c r="N269" s="21"/>
    </row>
    <row r="270" spans="1:14" ht="15.75" customHeight="1" x14ac:dyDescent="0.25">
      <c r="A270" s="21"/>
      <c r="B270" s="21"/>
      <c r="C270" s="11"/>
      <c r="D270" s="11"/>
      <c r="E270" s="21"/>
      <c r="F270" s="21"/>
      <c r="G270" s="25"/>
      <c r="H270" s="11"/>
      <c r="I270" s="21"/>
      <c r="J270" s="21"/>
      <c r="K270" s="21"/>
      <c r="L270" s="21"/>
      <c r="M270" s="21"/>
      <c r="N270" s="21"/>
    </row>
    <row r="271" spans="1:14" ht="15.75" customHeight="1" x14ac:dyDescent="0.25">
      <c r="A271" s="31" t="s">
        <v>14</v>
      </c>
      <c r="B271" s="31" t="s">
        <v>234</v>
      </c>
      <c r="C271" s="31" t="s">
        <v>16</v>
      </c>
      <c r="D271" s="31" t="s">
        <v>17</v>
      </c>
      <c r="E271" s="31" t="s">
        <v>235</v>
      </c>
      <c r="F271" s="31" t="s">
        <v>236</v>
      </c>
      <c r="G271" s="25"/>
      <c r="H271" s="11"/>
      <c r="I271" s="21"/>
      <c r="J271" s="21"/>
      <c r="K271" s="21"/>
      <c r="L271" s="21"/>
      <c r="M271" s="21"/>
      <c r="N271" s="21"/>
    </row>
    <row r="272" spans="1:14" ht="15.75" customHeight="1" x14ac:dyDescent="0.25">
      <c r="A272" s="7">
        <v>1</v>
      </c>
      <c r="B272" s="41" t="s">
        <v>428</v>
      </c>
      <c r="C272" s="7">
        <v>1</v>
      </c>
      <c r="D272" s="7" t="s">
        <v>243</v>
      </c>
      <c r="E272" s="104">
        <v>178908750</v>
      </c>
      <c r="F272" s="104">
        <f>E272*C272</f>
        <v>178908750</v>
      </c>
      <c r="G272" s="25"/>
      <c r="H272" s="11"/>
      <c r="I272" s="21"/>
      <c r="J272" s="21"/>
      <c r="K272" s="21"/>
      <c r="L272" s="21"/>
      <c r="M272" s="21"/>
      <c r="N272" s="21"/>
    </row>
    <row r="273" spans="1:14" ht="15.75" customHeight="1" x14ac:dyDescent="0.25">
      <c r="A273" s="7"/>
      <c r="B273" s="343" t="s">
        <v>429</v>
      </c>
      <c r="C273" s="344"/>
      <c r="D273" s="344"/>
      <c r="E273" s="334"/>
      <c r="F273" s="104">
        <v>71563500</v>
      </c>
      <c r="G273" s="25"/>
      <c r="H273" s="11"/>
      <c r="I273" s="21"/>
      <c r="J273" s="21"/>
      <c r="K273" s="21"/>
      <c r="L273" s="21"/>
      <c r="M273" s="21"/>
      <c r="N273" s="21"/>
    </row>
    <row r="274" spans="1:14" ht="15.75" customHeight="1" x14ac:dyDescent="0.25">
      <c r="A274" s="7"/>
      <c r="B274" s="343" t="s">
        <v>343</v>
      </c>
      <c r="C274" s="344"/>
      <c r="D274" s="344"/>
      <c r="E274" s="334"/>
      <c r="F274" s="104">
        <v>7871985</v>
      </c>
      <c r="G274" s="25"/>
      <c r="H274" s="11"/>
      <c r="I274" s="21"/>
      <c r="J274" s="21"/>
      <c r="K274" s="21"/>
      <c r="L274" s="21"/>
      <c r="M274" s="21"/>
      <c r="N274" s="21"/>
    </row>
    <row r="275" spans="1:14" ht="15.75" customHeight="1" x14ac:dyDescent="0.25">
      <c r="A275" s="31"/>
      <c r="B275" s="345" t="s">
        <v>344</v>
      </c>
      <c r="C275" s="344"/>
      <c r="D275" s="344"/>
      <c r="E275" s="334"/>
      <c r="F275" s="107">
        <f>SUM(F273:F274)</f>
        <v>79435485</v>
      </c>
      <c r="G275" s="25"/>
      <c r="H275" s="11"/>
      <c r="I275" s="21"/>
      <c r="J275" s="21"/>
      <c r="K275" s="21"/>
      <c r="L275" s="21"/>
      <c r="M275" s="21"/>
      <c r="N275" s="21"/>
    </row>
    <row r="276" spans="1:14" ht="15.75" customHeight="1" x14ac:dyDescent="0.25">
      <c r="A276" s="11"/>
      <c r="B276" s="354"/>
      <c r="C276" s="324"/>
      <c r="D276" s="324"/>
      <c r="E276" s="324"/>
      <c r="F276" s="114"/>
      <c r="G276" s="25"/>
      <c r="H276" s="11"/>
      <c r="I276" s="21"/>
      <c r="J276" s="21"/>
      <c r="K276" s="21"/>
      <c r="L276" s="21"/>
      <c r="M276" s="21"/>
      <c r="N276" s="21"/>
    </row>
    <row r="277" spans="1:14" ht="15.75" customHeight="1" x14ac:dyDescent="0.25">
      <c r="A277" s="31" t="s">
        <v>14</v>
      </c>
      <c r="B277" s="31" t="s">
        <v>234</v>
      </c>
      <c r="C277" s="31" t="s">
        <v>16</v>
      </c>
      <c r="D277" s="31" t="s">
        <v>17</v>
      </c>
      <c r="E277" s="31" t="s">
        <v>235</v>
      </c>
      <c r="F277" s="31" t="s">
        <v>236</v>
      </c>
      <c r="G277" s="25"/>
      <c r="H277" s="11"/>
      <c r="I277" s="21"/>
      <c r="J277" s="21"/>
      <c r="K277" s="21"/>
      <c r="L277" s="21"/>
      <c r="M277" s="21"/>
      <c r="N277" s="21"/>
    </row>
    <row r="278" spans="1:14" ht="15.75" customHeight="1" x14ac:dyDescent="0.25">
      <c r="A278" s="7">
        <v>1</v>
      </c>
      <c r="B278" s="41" t="s">
        <v>430</v>
      </c>
      <c r="C278" s="7">
        <v>2</v>
      </c>
      <c r="D278" s="7" t="s">
        <v>363</v>
      </c>
      <c r="E278" s="104">
        <v>4256000</v>
      </c>
      <c r="F278" s="104">
        <f>E278*C278</f>
        <v>8512000</v>
      </c>
      <c r="G278" s="25"/>
      <c r="H278" s="11"/>
      <c r="I278" s="21"/>
      <c r="J278" s="21"/>
      <c r="K278" s="21"/>
      <c r="L278" s="21"/>
      <c r="M278" s="21"/>
      <c r="N278" s="21"/>
    </row>
    <row r="279" spans="1:14" ht="15.75" customHeight="1" x14ac:dyDescent="0.25">
      <c r="A279" s="7"/>
      <c r="B279" s="343" t="s">
        <v>342</v>
      </c>
      <c r="C279" s="344"/>
      <c r="D279" s="344"/>
      <c r="E279" s="334"/>
      <c r="F279" s="104">
        <f>F278</f>
        <v>8512000</v>
      </c>
      <c r="G279" s="25"/>
      <c r="H279" s="11"/>
      <c r="I279" s="21"/>
      <c r="J279" s="21"/>
      <c r="K279" s="21"/>
      <c r="L279" s="21"/>
      <c r="M279" s="21"/>
      <c r="N279" s="21"/>
    </row>
    <row r="280" spans="1:14" ht="15.75" customHeight="1" x14ac:dyDescent="0.25">
      <c r="A280" s="7"/>
      <c r="B280" s="343" t="s">
        <v>343</v>
      </c>
      <c r="C280" s="344"/>
      <c r="D280" s="344"/>
      <c r="E280" s="334"/>
      <c r="F280" s="104">
        <v>936320</v>
      </c>
      <c r="G280" s="25"/>
      <c r="H280" s="11"/>
      <c r="I280" s="21"/>
      <c r="J280" s="21"/>
      <c r="K280" s="21"/>
      <c r="L280" s="21"/>
      <c r="M280" s="21"/>
      <c r="N280" s="21"/>
    </row>
    <row r="281" spans="1:14" ht="15.75" customHeight="1" x14ac:dyDescent="0.25">
      <c r="A281" s="7"/>
      <c r="B281" s="345" t="s">
        <v>344</v>
      </c>
      <c r="C281" s="344"/>
      <c r="D281" s="344"/>
      <c r="E281" s="334"/>
      <c r="F281" s="107">
        <f>SUM(F279:F280)</f>
        <v>9448320</v>
      </c>
      <c r="G281" s="25"/>
      <c r="H281" s="11"/>
      <c r="I281" s="21"/>
      <c r="J281" s="21"/>
      <c r="K281" s="21"/>
      <c r="L281" s="21"/>
      <c r="M281" s="21"/>
      <c r="N281" s="21"/>
    </row>
    <row r="282" spans="1:14" ht="15.75" customHeight="1" x14ac:dyDescent="0.25">
      <c r="A282" s="21"/>
      <c r="B282" s="21"/>
      <c r="C282" s="11"/>
      <c r="D282" s="11"/>
      <c r="E282" s="21"/>
      <c r="F282" s="21"/>
      <c r="G282" s="25"/>
      <c r="H282" s="11"/>
      <c r="I282" s="21"/>
      <c r="J282" s="21"/>
      <c r="K282" s="21"/>
      <c r="L282" s="21"/>
      <c r="M282" s="21"/>
      <c r="N282" s="21"/>
    </row>
    <row r="283" spans="1:14" ht="15.75" customHeight="1" x14ac:dyDescent="0.25">
      <c r="A283" s="31" t="s">
        <v>14</v>
      </c>
      <c r="B283" s="31" t="s">
        <v>234</v>
      </c>
      <c r="C283" s="31" t="s">
        <v>16</v>
      </c>
      <c r="D283" s="31" t="s">
        <v>17</v>
      </c>
      <c r="E283" s="31" t="s">
        <v>235</v>
      </c>
      <c r="F283" s="31" t="s">
        <v>236</v>
      </c>
      <c r="G283" s="25"/>
      <c r="H283" s="11"/>
      <c r="I283" s="21"/>
      <c r="J283" s="21"/>
      <c r="K283" s="21"/>
      <c r="L283" s="21"/>
      <c r="M283" s="21"/>
      <c r="N283" s="21"/>
    </row>
    <row r="284" spans="1:14" ht="15.75" customHeight="1" x14ac:dyDescent="0.25">
      <c r="A284" s="7">
        <v>1</v>
      </c>
      <c r="B284" s="41" t="s">
        <v>431</v>
      </c>
      <c r="C284" s="7">
        <v>100</v>
      </c>
      <c r="D284" s="7" t="s">
        <v>19</v>
      </c>
      <c r="E284" s="104">
        <v>3500</v>
      </c>
      <c r="F284" s="104">
        <f>E284*C284</f>
        <v>350000</v>
      </c>
      <c r="G284" s="25"/>
      <c r="H284" s="11"/>
      <c r="I284" s="21"/>
      <c r="J284" s="21"/>
      <c r="K284" s="21"/>
      <c r="L284" s="21"/>
      <c r="M284" s="21"/>
      <c r="N284" s="21"/>
    </row>
    <row r="285" spans="1:14" ht="15.75" customHeight="1" x14ac:dyDescent="0.25">
      <c r="A285" s="7">
        <v>2</v>
      </c>
      <c r="B285" s="41" t="s">
        <v>432</v>
      </c>
      <c r="C285" s="7">
        <v>1</v>
      </c>
      <c r="D285" s="7" t="s">
        <v>426</v>
      </c>
      <c r="E285" s="104">
        <v>427000</v>
      </c>
      <c r="F285" s="104">
        <f>E285*C285</f>
        <v>427000</v>
      </c>
      <c r="G285" s="25"/>
      <c r="H285" s="11"/>
      <c r="I285" s="21"/>
      <c r="J285" s="21"/>
      <c r="K285" s="21"/>
      <c r="L285" s="21"/>
      <c r="M285" s="21"/>
      <c r="N285" s="21"/>
    </row>
    <row r="286" spans="1:14" ht="15.75" customHeight="1" x14ac:dyDescent="0.25">
      <c r="A286" s="7"/>
      <c r="B286" s="343" t="s">
        <v>342</v>
      </c>
      <c r="C286" s="344"/>
      <c r="D286" s="344"/>
      <c r="E286" s="334"/>
      <c r="F286" s="104">
        <f>SUM(F284:F285)</f>
        <v>777000</v>
      </c>
      <c r="G286" s="25"/>
      <c r="H286" s="11"/>
      <c r="I286" s="21"/>
      <c r="J286" s="21"/>
      <c r="K286" s="21"/>
      <c r="L286" s="21"/>
      <c r="M286" s="21"/>
      <c r="N286" s="21"/>
    </row>
    <row r="287" spans="1:14" ht="15.75" customHeight="1" x14ac:dyDescent="0.25">
      <c r="A287" s="7"/>
      <c r="B287" s="343" t="s">
        <v>343</v>
      </c>
      <c r="C287" s="344"/>
      <c r="D287" s="344"/>
      <c r="E287" s="334"/>
      <c r="F287" s="104">
        <v>85470</v>
      </c>
      <c r="G287" s="25"/>
      <c r="H287" s="11"/>
      <c r="I287" s="21"/>
      <c r="J287" s="21"/>
      <c r="K287" s="21"/>
      <c r="L287" s="21"/>
      <c r="M287" s="21"/>
      <c r="N287" s="21"/>
    </row>
    <row r="288" spans="1:14" ht="15.75" customHeight="1" x14ac:dyDescent="0.25">
      <c r="A288" s="7"/>
      <c r="B288" s="345" t="s">
        <v>350</v>
      </c>
      <c r="C288" s="344"/>
      <c r="D288" s="344"/>
      <c r="E288" s="334"/>
      <c r="F288" s="104">
        <f>SUM(F286:F287)</f>
        <v>862470</v>
      </c>
      <c r="G288" s="25"/>
      <c r="H288" s="11"/>
      <c r="I288" s="21"/>
      <c r="J288" s="21"/>
      <c r="K288" s="21"/>
      <c r="L288" s="21"/>
      <c r="M288" s="21"/>
      <c r="N288" s="21"/>
    </row>
    <row r="289" spans="1:14" ht="15.75" customHeight="1" x14ac:dyDescent="0.25">
      <c r="A289" s="21"/>
      <c r="B289" s="21"/>
      <c r="C289" s="11"/>
      <c r="D289" s="11"/>
      <c r="E289" s="21"/>
      <c r="F289" s="21"/>
      <c r="G289" s="25"/>
      <c r="H289" s="11"/>
      <c r="I289" s="21"/>
      <c r="J289" s="21"/>
      <c r="K289" s="21"/>
      <c r="L289" s="21"/>
      <c r="M289" s="21"/>
      <c r="N289" s="21"/>
    </row>
    <row r="290" spans="1:14" ht="15.75" customHeight="1" x14ac:dyDescent="0.25">
      <c r="A290" s="31" t="s">
        <v>14</v>
      </c>
      <c r="B290" s="31" t="s">
        <v>234</v>
      </c>
      <c r="C290" s="31" t="s">
        <v>16</v>
      </c>
      <c r="D290" s="31" t="s">
        <v>17</v>
      </c>
      <c r="E290" s="31" t="s">
        <v>235</v>
      </c>
      <c r="F290" s="31" t="s">
        <v>236</v>
      </c>
      <c r="G290" s="25"/>
      <c r="H290" s="11"/>
      <c r="I290" s="21"/>
      <c r="J290" s="21"/>
      <c r="K290" s="21"/>
      <c r="L290" s="21"/>
      <c r="M290" s="21"/>
      <c r="N290" s="21"/>
    </row>
    <row r="291" spans="1:14" ht="15.75" customHeight="1" x14ac:dyDescent="0.25">
      <c r="A291" s="7">
        <v>1</v>
      </c>
      <c r="B291" s="41" t="s">
        <v>433</v>
      </c>
      <c r="C291" s="7">
        <v>20</v>
      </c>
      <c r="D291" s="7" t="s">
        <v>363</v>
      </c>
      <c r="E291" s="104">
        <v>25500</v>
      </c>
      <c r="F291" s="104">
        <f>E291*C291</f>
        <v>510000</v>
      </c>
      <c r="G291" s="25"/>
      <c r="H291" s="11"/>
      <c r="I291" s="21"/>
      <c r="J291" s="21"/>
      <c r="K291" s="21"/>
      <c r="L291" s="21"/>
      <c r="M291" s="21"/>
      <c r="N291" s="21"/>
    </row>
    <row r="292" spans="1:14" ht="15.75" customHeight="1" x14ac:dyDescent="0.25">
      <c r="A292" s="7"/>
      <c r="B292" s="343" t="s">
        <v>342</v>
      </c>
      <c r="C292" s="344"/>
      <c r="D292" s="344"/>
      <c r="E292" s="334"/>
      <c r="F292" s="104">
        <f>F291</f>
        <v>510000</v>
      </c>
      <c r="G292" s="25"/>
      <c r="H292" s="11"/>
      <c r="I292" s="21"/>
      <c r="J292" s="21"/>
      <c r="K292" s="21"/>
      <c r="L292" s="21"/>
      <c r="M292" s="21"/>
      <c r="N292" s="21"/>
    </row>
    <row r="293" spans="1:14" ht="15.75" customHeight="1" x14ac:dyDescent="0.25">
      <c r="A293" s="7"/>
      <c r="B293" s="343" t="s">
        <v>343</v>
      </c>
      <c r="C293" s="344"/>
      <c r="D293" s="344"/>
      <c r="E293" s="334"/>
      <c r="F293" s="104">
        <v>56100</v>
      </c>
      <c r="G293" s="25"/>
      <c r="H293" s="11"/>
      <c r="I293" s="21"/>
      <c r="J293" s="21"/>
      <c r="K293" s="21"/>
      <c r="L293" s="21"/>
      <c r="M293" s="21"/>
      <c r="N293" s="21"/>
    </row>
    <row r="294" spans="1:14" ht="15.75" customHeight="1" x14ac:dyDescent="0.25">
      <c r="A294" s="7"/>
      <c r="B294" s="345" t="s">
        <v>344</v>
      </c>
      <c r="C294" s="344"/>
      <c r="D294" s="344"/>
      <c r="E294" s="334"/>
      <c r="F294" s="107">
        <f>SUM(F292:F293)</f>
        <v>566100</v>
      </c>
      <c r="G294" s="25"/>
      <c r="H294" s="11"/>
      <c r="I294" s="21"/>
      <c r="J294" s="21"/>
      <c r="K294" s="21"/>
      <c r="L294" s="21"/>
      <c r="M294" s="21"/>
      <c r="N294" s="21"/>
    </row>
    <row r="295" spans="1:14" ht="15.75" customHeight="1" x14ac:dyDescent="0.25">
      <c r="A295" s="21"/>
      <c r="B295" s="21"/>
      <c r="C295" s="11"/>
      <c r="D295" s="11"/>
      <c r="E295" s="21"/>
      <c r="F295" s="21"/>
      <c r="G295" s="25"/>
      <c r="H295" s="11"/>
      <c r="I295" s="21"/>
      <c r="J295" s="21"/>
      <c r="K295" s="21"/>
      <c r="L295" s="21"/>
      <c r="M295" s="21"/>
      <c r="N295" s="21"/>
    </row>
    <row r="296" spans="1:14" ht="15.75" customHeight="1" x14ac:dyDescent="0.25">
      <c r="A296" s="31" t="s">
        <v>14</v>
      </c>
      <c r="B296" s="31" t="s">
        <v>234</v>
      </c>
      <c r="C296" s="31" t="s">
        <v>16</v>
      </c>
      <c r="D296" s="31" t="s">
        <v>17</v>
      </c>
      <c r="E296" s="31" t="s">
        <v>235</v>
      </c>
      <c r="F296" s="31" t="s">
        <v>236</v>
      </c>
      <c r="G296" s="25"/>
      <c r="H296" s="11"/>
      <c r="I296" s="21"/>
      <c r="J296" s="21"/>
      <c r="K296" s="21"/>
      <c r="L296" s="21"/>
      <c r="M296" s="21"/>
      <c r="N296" s="21"/>
    </row>
    <row r="297" spans="1:14" ht="15.75" customHeight="1" x14ac:dyDescent="0.25">
      <c r="A297" s="7">
        <v>1</v>
      </c>
      <c r="B297" s="41" t="s">
        <v>434</v>
      </c>
      <c r="C297" s="7">
        <v>4</v>
      </c>
      <c r="D297" s="7" t="s">
        <v>19</v>
      </c>
      <c r="E297" s="104">
        <v>16625000</v>
      </c>
      <c r="F297" s="104">
        <f>E297*C297</f>
        <v>66500000</v>
      </c>
      <c r="G297" s="25"/>
      <c r="H297" s="11"/>
      <c r="I297" s="21"/>
      <c r="J297" s="21"/>
      <c r="K297" s="21"/>
      <c r="L297" s="21"/>
      <c r="M297" s="21"/>
      <c r="N297" s="21"/>
    </row>
    <row r="298" spans="1:14" ht="15.75" customHeight="1" x14ac:dyDescent="0.25">
      <c r="A298" s="7"/>
      <c r="B298" s="343" t="s">
        <v>342</v>
      </c>
      <c r="C298" s="344"/>
      <c r="D298" s="344"/>
      <c r="E298" s="334"/>
      <c r="F298" s="104">
        <f>F297</f>
        <v>66500000</v>
      </c>
      <c r="G298" s="25"/>
      <c r="H298" s="11"/>
      <c r="I298" s="21"/>
      <c r="J298" s="21"/>
      <c r="K298" s="21"/>
      <c r="L298" s="21"/>
      <c r="M298" s="21"/>
      <c r="N298" s="21"/>
    </row>
    <row r="299" spans="1:14" ht="15.75" customHeight="1" x14ac:dyDescent="0.25">
      <c r="A299" s="7"/>
      <c r="B299" s="343" t="s">
        <v>343</v>
      </c>
      <c r="C299" s="344"/>
      <c r="D299" s="344"/>
      <c r="E299" s="334"/>
      <c r="F299" s="104">
        <v>7315000</v>
      </c>
      <c r="G299" s="25"/>
      <c r="H299" s="11"/>
      <c r="I299" s="21"/>
      <c r="J299" s="21"/>
      <c r="K299" s="21"/>
      <c r="L299" s="21"/>
      <c r="M299" s="21"/>
      <c r="N299" s="21"/>
    </row>
    <row r="300" spans="1:14" ht="15.75" customHeight="1" x14ac:dyDescent="0.25">
      <c r="A300" s="7"/>
      <c r="B300" s="345" t="s">
        <v>344</v>
      </c>
      <c r="C300" s="344"/>
      <c r="D300" s="344"/>
      <c r="E300" s="334"/>
      <c r="F300" s="107">
        <f>SUM(F298:F299)</f>
        <v>73815000</v>
      </c>
      <c r="G300" s="25"/>
      <c r="H300" s="11"/>
      <c r="I300" s="21"/>
      <c r="J300" s="21"/>
      <c r="K300" s="21"/>
      <c r="L300" s="21"/>
      <c r="M300" s="21"/>
      <c r="N300" s="21"/>
    </row>
    <row r="301" spans="1:14" ht="15.75" customHeight="1" x14ac:dyDescent="0.25">
      <c r="A301" s="21"/>
      <c r="B301" s="21"/>
      <c r="C301" s="11"/>
      <c r="D301" s="11"/>
      <c r="E301" s="21"/>
      <c r="F301" s="21"/>
      <c r="G301" s="25"/>
      <c r="H301" s="11"/>
      <c r="I301" s="21"/>
      <c r="J301" s="21"/>
      <c r="K301" s="21"/>
      <c r="L301" s="21"/>
      <c r="M301" s="21"/>
      <c r="N301" s="21"/>
    </row>
    <row r="302" spans="1:14" ht="15.75" customHeight="1" x14ac:dyDescent="0.25">
      <c r="A302" s="31" t="s">
        <v>14</v>
      </c>
      <c r="B302" s="31" t="s">
        <v>234</v>
      </c>
      <c r="C302" s="31" t="s">
        <v>16</v>
      </c>
      <c r="D302" s="31" t="s">
        <v>17</v>
      </c>
      <c r="E302" s="31" t="s">
        <v>235</v>
      </c>
      <c r="F302" s="31" t="s">
        <v>236</v>
      </c>
      <c r="G302" s="25"/>
      <c r="H302" s="11"/>
      <c r="I302" s="21"/>
      <c r="J302" s="21"/>
      <c r="K302" s="21"/>
      <c r="L302" s="21"/>
      <c r="M302" s="21"/>
      <c r="N302" s="21"/>
    </row>
    <row r="303" spans="1:14" ht="15.75" customHeight="1" x14ac:dyDescent="0.25">
      <c r="A303" s="7">
        <v>1</v>
      </c>
      <c r="B303" s="41" t="s">
        <v>428</v>
      </c>
      <c r="C303" s="7">
        <v>1</v>
      </c>
      <c r="D303" s="7" t="s">
        <v>243</v>
      </c>
      <c r="E303" s="104">
        <v>178908750</v>
      </c>
      <c r="F303" s="104">
        <f>E303*C303</f>
        <v>178908750</v>
      </c>
      <c r="G303" s="25"/>
      <c r="H303" s="11"/>
      <c r="I303" s="21"/>
      <c r="J303" s="21"/>
      <c r="K303" s="21"/>
      <c r="L303" s="21"/>
      <c r="M303" s="21"/>
      <c r="N303" s="21"/>
    </row>
    <row r="304" spans="1:14" ht="15.75" customHeight="1" x14ac:dyDescent="0.25">
      <c r="A304" s="7"/>
      <c r="B304" s="343" t="s">
        <v>435</v>
      </c>
      <c r="C304" s="344"/>
      <c r="D304" s="344"/>
      <c r="E304" s="334"/>
      <c r="F304" s="104">
        <v>107345250</v>
      </c>
      <c r="G304" s="25"/>
      <c r="H304" s="11"/>
      <c r="I304" s="21"/>
      <c r="J304" s="21"/>
      <c r="K304" s="21"/>
      <c r="L304" s="21"/>
      <c r="M304" s="21"/>
      <c r="N304" s="21"/>
    </row>
    <row r="305" spans="1:14" ht="15.75" customHeight="1" x14ac:dyDescent="0.25">
      <c r="A305" s="7"/>
      <c r="B305" s="343" t="s">
        <v>342</v>
      </c>
      <c r="C305" s="344"/>
      <c r="D305" s="344"/>
      <c r="E305" s="334"/>
      <c r="F305" s="104">
        <f>F304</f>
        <v>107345250</v>
      </c>
      <c r="G305" s="25"/>
      <c r="H305" s="11"/>
      <c r="I305" s="21"/>
      <c r="J305" s="21"/>
      <c r="K305" s="21"/>
      <c r="L305" s="21"/>
      <c r="M305" s="21"/>
      <c r="N305" s="21"/>
    </row>
    <row r="306" spans="1:14" ht="15.75" customHeight="1" x14ac:dyDescent="0.25">
      <c r="A306" s="31"/>
      <c r="B306" s="343" t="s">
        <v>343</v>
      </c>
      <c r="C306" s="344"/>
      <c r="D306" s="344"/>
      <c r="E306" s="334"/>
      <c r="F306" s="104">
        <v>11807977.5</v>
      </c>
      <c r="G306" s="25"/>
      <c r="H306" s="11"/>
      <c r="I306" s="21"/>
      <c r="J306" s="21"/>
      <c r="K306" s="21"/>
      <c r="L306" s="21"/>
      <c r="M306" s="21"/>
      <c r="N306" s="21"/>
    </row>
    <row r="307" spans="1:14" ht="15.75" customHeight="1" x14ac:dyDescent="0.25">
      <c r="A307" s="7"/>
      <c r="B307" s="345" t="s">
        <v>344</v>
      </c>
      <c r="C307" s="344"/>
      <c r="D307" s="344"/>
      <c r="E307" s="334"/>
      <c r="F307" s="107">
        <f>SUM(F305:F306)</f>
        <v>119153227.5</v>
      </c>
      <c r="G307" s="25"/>
      <c r="H307" s="11"/>
      <c r="I307" s="21"/>
      <c r="J307" s="21"/>
      <c r="K307" s="21"/>
      <c r="L307" s="21"/>
      <c r="M307" s="21"/>
      <c r="N307" s="21"/>
    </row>
    <row r="308" spans="1:14" ht="15.75" customHeight="1" x14ac:dyDescent="0.25">
      <c r="A308" s="21"/>
      <c r="B308" s="21"/>
      <c r="C308" s="11"/>
      <c r="D308" s="11"/>
      <c r="E308" s="21"/>
      <c r="F308" s="21"/>
      <c r="G308" s="25"/>
      <c r="H308" s="11"/>
      <c r="I308" s="21"/>
      <c r="J308" s="21"/>
      <c r="K308" s="21"/>
      <c r="L308" s="21"/>
      <c r="M308" s="21"/>
      <c r="N308" s="21"/>
    </row>
    <row r="309" spans="1:14" ht="15.75" customHeight="1" x14ac:dyDescent="0.25">
      <c r="A309" s="31" t="s">
        <v>14</v>
      </c>
      <c r="B309" s="31" t="s">
        <v>234</v>
      </c>
      <c r="C309" s="31" t="s">
        <v>16</v>
      </c>
      <c r="D309" s="31" t="s">
        <v>17</v>
      </c>
      <c r="E309" s="31" t="s">
        <v>235</v>
      </c>
      <c r="F309" s="31" t="s">
        <v>236</v>
      </c>
      <c r="G309" s="25"/>
      <c r="H309" s="11"/>
      <c r="I309" s="21"/>
      <c r="J309" s="21"/>
      <c r="K309" s="21"/>
      <c r="L309" s="21"/>
      <c r="M309" s="21"/>
      <c r="N309" s="21"/>
    </row>
    <row r="310" spans="1:14" ht="15.75" customHeight="1" x14ac:dyDescent="0.25">
      <c r="A310" s="7">
        <v>1</v>
      </c>
      <c r="B310" s="41" t="s">
        <v>436</v>
      </c>
      <c r="C310" s="7">
        <v>3</v>
      </c>
      <c r="D310" s="7" t="s">
        <v>363</v>
      </c>
      <c r="E310" s="104">
        <v>19000</v>
      </c>
      <c r="F310" s="104">
        <f>E310*C310</f>
        <v>57000</v>
      </c>
      <c r="G310" s="25"/>
      <c r="H310" s="11"/>
      <c r="I310" s="21"/>
      <c r="J310" s="21"/>
      <c r="K310" s="21"/>
      <c r="L310" s="21"/>
      <c r="M310" s="21"/>
      <c r="N310" s="21"/>
    </row>
    <row r="311" spans="1:14" ht="15.75" customHeight="1" x14ac:dyDescent="0.25">
      <c r="A311" s="7"/>
      <c r="B311" s="343" t="s">
        <v>342</v>
      </c>
      <c r="C311" s="344"/>
      <c r="D311" s="344"/>
      <c r="E311" s="334"/>
      <c r="F311" s="104">
        <f>F310</f>
        <v>57000</v>
      </c>
      <c r="G311" s="25"/>
      <c r="H311" s="11"/>
      <c r="I311" s="21"/>
      <c r="J311" s="21"/>
      <c r="K311" s="21"/>
      <c r="L311" s="21"/>
      <c r="M311" s="21"/>
      <c r="N311" s="21"/>
    </row>
    <row r="312" spans="1:14" ht="15.75" customHeight="1" x14ac:dyDescent="0.25">
      <c r="A312" s="7"/>
      <c r="B312" s="343" t="s">
        <v>343</v>
      </c>
      <c r="C312" s="344"/>
      <c r="D312" s="344"/>
      <c r="E312" s="334"/>
      <c r="F312" s="104">
        <v>6270</v>
      </c>
      <c r="G312" s="25"/>
      <c r="H312" s="11"/>
      <c r="I312" s="21"/>
      <c r="J312" s="21"/>
      <c r="K312" s="21"/>
      <c r="L312" s="21"/>
      <c r="M312" s="21"/>
      <c r="N312" s="21"/>
    </row>
    <row r="313" spans="1:14" ht="15.75" customHeight="1" x14ac:dyDescent="0.25">
      <c r="A313" s="7"/>
      <c r="B313" s="345" t="s">
        <v>344</v>
      </c>
      <c r="C313" s="344"/>
      <c r="D313" s="344"/>
      <c r="E313" s="334"/>
      <c r="F313" s="107">
        <f>SUM(F311:F312)</f>
        <v>63270</v>
      </c>
      <c r="G313" s="25"/>
      <c r="H313" s="11"/>
      <c r="I313" s="21"/>
      <c r="J313" s="21"/>
      <c r="K313" s="21"/>
      <c r="L313" s="21"/>
      <c r="M313" s="21"/>
      <c r="N313" s="21"/>
    </row>
    <row r="314" spans="1:14" ht="15.75" customHeight="1" x14ac:dyDescent="0.25">
      <c r="A314" s="21"/>
      <c r="B314" s="21"/>
      <c r="C314" s="11"/>
      <c r="D314" s="11"/>
      <c r="E314" s="21"/>
      <c r="F314" s="21"/>
      <c r="G314" s="25"/>
      <c r="H314" s="11"/>
      <c r="I314" s="21"/>
      <c r="J314" s="21"/>
      <c r="K314" s="21"/>
      <c r="L314" s="21"/>
      <c r="M314" s="21"/>
      <c r="N314" s="21"/>
    </row>
    <row r="315" spans="1:14" ht="15.75" customHeight="1" x14ac:dyDescent="0.25">
      <c r="A315" s="31" t="s">
        <v>14</v>
      </c>
      <c r="B315" s="31" t="s">
        <v>15</v>
      </c>
      <c r="C315" s="31" t="s">
        <v>16</v>
      </c>
      <c r="D315" s="31" t="s">
        <v>17</v>
      </c>
      <c r="E315" s="31" t="s">
        <v>235</v>
      </c>
      <c r="F315" s="31" t="s">
        <v>236</v>
      </c>
      <c r="G315" s="25"/>
      <c r="H315" s="11"/>
      <c r="I315" s="21"/>
      <c r="J315" s="21"/>
      <c r="K315" s="21"/>
      <c r="L315" s="21"/>
      <c r="M315" s="21"/>
      <c r="N315" s="21"/>
    </row>
    <row r="316" spans="1:14" ht="15.75" customHeight="1" x14ac:dyDescent="0.25">
      <c r="A316" s="6" t="s">
        <v>437</v>
      </c>
      <c r="B316" s="353" t="s">
        <v>438</v>
      </c>
      <c r="C316" s="344"/>
      <c r="D316" s="344"/>
      <c r="E316" s="334"/>
      <c r="F316" s="115"/>
      <c r="G316" s="25"/>
      <c r="H316" s="11"/>
      <c r="I316" s="21"/>
      <c r="J316" s="21"/>
      <c r="K316" s="21"/>
      <c r="L316" s="21"/>
      <c r="M316" s="21"/>
      <c r="N316" s="21"/>
    </row>
    <row r="317" spans="1:14" ht="15.75" customHeight="1" x14ac:dyDescent="0.25">
      <c r="A317" s="7">
        <v>1</v>
      </c>
      <c r="B317" s="116" t="s">
        <v>439</v>
      </c>
      <c r="C317" s="117">
        <v>12</v>
      </c>
      <c r="D317" s="117" t="s">
        <v>363</v>
      </c>
      <c r="E317" s="104">
        <v>4250</v>
      </c>
      <c r="F317" s="104">
        <f t="shared" ref="F317:F323" si="0">E317*C317</f>
        <v>51000</v>
      </c>
      <c r="G317" s="25"/>
      <c r="H317" s="11"/>
      <c r="I317" s="21"/>
      <c r="J317" s="21"/>
      <c r="K317" s="21"/>
      <c r="L317" s="21"/>
      <c r="M317" s="21"/>
      <c r="N317" s="21"/>
    </row>
    <row r="318" spans="1:14" ht="15.75" customHeight="1" x14ac:dyDescent="0.25">
      <c r="A318" s="7">
        <v>2</v>
      </c>
      <c r="B318" s="116" t="s">
        <v>440</v>
      </c>
      <c r="C318" s="117">
        <v>12</v>
      </c>
      <c r="D318" s="117" t="s">
        <v>363</v>
      </c>
      <c r="E318" s="104">
        <v>3400</v>
      </c>
      <c r="F318" s="104">
        <f t="shared" si="0"/>
        <v>40800</v>
      </c>
      <c r="G318" s="25"/>
      <c r="H318" s="11"/>
      <c r="I318" s="21"/>
      <c r="J318" s="21"/>
      <c r="K318" s="21"/>
      <c r="L318" s="21"/>
      <c r="M318" s="21"/>
      <c r="N318" s="21"/>
    </row>
    <row r="319" spans="1:14" ht="15.75" customHeight="1" x14ac:dyDescent="0.25">
      <c r="A319" s="7">
        <v>3</v>
      </c>
      <c r="B319" s="116" t="s">
        <v>441</v>
      </c>
      <c r="C319" s="117">
        <v>12</v>
      </c>
      <c r="D319" s="117" t="s">
        <v>363</v>
      </c>
      <c r="E319" s="104">
        <v>3000</v>
      </c>
      <c r="F319" s="104">
        <f t="shared" si="0"/>
        <v>36000</v>
      </c>
      <c r="G319" s="25"/>
      <c r="H319" s="11"/>
      <c r="I319" s="21"/>
      <c r="J319" s="21"/>
      <c r="K319" s="21"/>
      <c r="L319" s="21"/>
      <c r="M319" s="21"/>
      <c r="N319" s="21"/>
    </row>
    <row r="320" spans="1:14" ht="15.75" customHeight="1" x14ac:dyDescent="0.25">
      <c r="A320" s="7">
        <v>4</v>
      </c>
      <c r="B320" s="116" t="s">
        <v>442</v>
      </c>
      <c r="C320" s="117">
        <v>6</v>
      </c>
      <c r="D320" s="117" t="s">
        <v>363</v>
      </c>
      <c r="E320" s="104">
        <v>3000</v>
      </c>
      <c r="F320" s="104">
        <f t="shared" si="0"/>
        <v>18000</v>
      </c>
      <c r="G320" s="25"/>
      <c r="H320" s="11"/>
      <c r="I320" s="21"/>
      <c r="J320" s="21"/>
      <c r="K320" s="21"/>
      <c r="L320" s="21"/>
      <c r="M320" s="21"/>
      <c r="N320" s="21"/>
    </row>
    <row r="321" spans="1:14" ht="15.75" customHeight="1" x14ac:dyDescent="0.25">
      <c r="A321" s="7">
        <v>5</v>
      </c>
      <c r="B321" s="116" t="s">
        <v>443</v>
      </c>
      <c r="C321" s="117">
        <v>6</v>
      </c>
      <c r="D321" s="117" t="s">
        <v>363</v>
      </c>
      <c r="E321" s="104">
        <v>2550</v>
      </c>
      <c r="F321" s="104">
        <f t="shared" si="0"/>
        <v>15300</v>
      </c>
      <c r="G321" s="25"/>
      <c r="H321" s="11"/>
      <c r="I321" s="21"/>
      <c r="J321" s="21"/>
      <c r="K321" s="21"/>
      <c r="L321" s="21"/>
      <c r="M321" s="21"/>
      <c r="N321" s="21"/>
    </row>
    <row r="322" spans="1:14" ht="15.75" customHeight="1" x14ac:dyDescent="0.25">
      <c r="A322" s="7">
        <v>6</v>
      </c>
      <c r="B322" s="116" t="s">
        <v>444</v>
      </c>
      <c r="C322" s="117">
        <v>6</v>
      </c>
      <c r="D322" s="117" t="s">
        <v>363</v>
      </c>
      <c r="E322" s="104">
        <v>4250</v>
      </c>
      <c r="F322" s="104">
        <f t="shared" si="0"/>
        <v>25500</v>
      </c>
      <c r="G322" s="25"/>
      <c r="H322" s="11"/>
      <c r="I322" s="21"/>
      <c r="J322" s="21"/>
      <c r="K322" s="21"/>
      <c r="L322" s="21"/>
      <c r="M322" s="21"/>
      <c r="N322" s="21"/>
    </row>
    <row r="323" spans="1:14" ht="15.75" customHeight="1" x14ac:dyDescent="0.25">
      <c r="A323" s="7">
        <v>7</v>
      </c>
      <c r="B323" s="116" t="s">
        <v>445</v>
      </c>
      <c r="C323" s="117">
        <v>6</v>
      </c>
      <c r="D323" s="117" t="s">
        <v>363</v>
      </c>
      <c r="E323" s="104">
        <v>2550</v>
      </c>
      <c r="F323" s="104">
        <f t="shared" si="0"/>
        <v>15300</v>
      </c>
      <c r="G323" s="25"/>
      <c r="H323" s="11"/>
      <c r="I323" s="21"/>
      <c r="J323" s="21"/>
      <c r="K323" s="21"/>
      <c r="L323" s="21"/>
      <c r="M323" s="21"/>
      <c r="N323" s="21"/>
    </row>
    <row r="324" spans="1:14" ht="15.75" customHeight="1" x14ac:dyDescent="0.25">
      <c r="A324" s="6" t="s">
        <v>446</v>
      </c>
      <c r="B324" s="353" t="s">
        <v>447</v>
      </c>
      <c r="C324" s="344"/>
      <c r="D324" s="344"/>
      <c r="E324" s="334"/>
      <c r="F324" s="115"/>
      <c r="G324" s="25"/>
      <c r="H324" s="11"/>
      <c r="I324" s="21"/>
      <c r="J324" s="21"/>
      <c r="K324" s="21"/>
      <c r="L324" s="21"/>
      <c r="M324" s="21"/>
      <c r="N324" s="21"/>
    </row>
    <row r="325" spans="1:14" ht="15.75" customHeight="1" x14ac:dyDescent="0.25">
      <c r="A325" s="7">
        <v>8</v>
      </c>
      <c r="B325" s="116" t="s">
        <v>441</v>
      </c>
      <c r="C325" s="117">
        <v>12</v>
      </c>
      <c r="D325" s="117" t="s">
        <v>363</v>
      </c>
      <c r="E325" s="104">
        <v>4250</v>
      </c>
      <c r="F325" s="104">
        <f t="shared" ref="F325:F330" si="1">E325*C325</f>
        <v>51000</v>
      </c>
      <c r="G325" s="25"/>
      <c r="H325" s="11"/>
      <c r="I325" s="21"/>
      <c r="J325" s="21"/>
      <c r="K325" s="21"/>
      <c r="L325" s="21"/>
      <c r="M325" s="21"/>
      <c r="N325" s="21"/>
    </row>
    <row r="326" spans="1:14" ht="15.75" customHeight="1" x14ac:dyDescent="0.25">
      <c r="A326" s="7">
        <v>9</v>
      </c>
      <c r="B326" s="116" t="s">
        <v>440</v>
      </c>
      <c r="C326" s="117">
        <v>12</v>
      </c>
      <c r="D326" s="117" t="s">
        <v>363</v>
      </c>
      <c r="E326" s="104">
        <v>3400</v>
      </c>
      <c r="F326" s="104">
        <f t="shared" si="1"/>
        <v>40800</v>
      </c>
      <c r="G326" s="25"/>
      <c r="H326" s="11"/>
      <c r="I326" s="21"/>
      <c r="J326" s="21"/>
      <c r="K326" s="21"/>
      <c r="L326" s="21"/>
      <c r="M326" s="21"/>
      <c r="N326" s="21"/>
    </row>
    <row r="327" spans="1:14" ht="15.75" customHeight="1" x14ac:dyDescent="0.25">
      <c r="A327" s="7">
        <v>10</v>
      </c>
      <c r="B327" s="116" t="s">
        <v>443</v>
      </c>
      <c r="C327" s="117">
        <v>6</v>
      </c>
      <c r="D327" s="117" t="s">
        <v>363</v>
      </c>
      <c r="E327" s="104">
        <v>2550</v>
      </c>
      <c r="F327" s="104">
        <f t="shared" si="1"/>
        <v>15300</v>
      </c>
      <c r="G327" s="25"/>
      <c r="H327" s="11"/>
      <c r="I327" s="21"/>
      <c r="J327" s="21"/>
      <c r="K327" s="21"/>
      <c r="L327" s="21"/>
      <c r="M327" s="21"/>
      <c r="N327" s="21"/>
    </row>
    <row r="328" spans="1:14" ht="15.75" customHeight="1" x14ac:dyDescent="0.25">
      <c r="A328" s="7">
        <v>11</v>
      </c>
      <c r="B328" s="116" t="s">
        <v>442</v>
      </c>
      <c r="C328" s="117">
        <v>6</v>
      </c>
      <c r="D328" s="117" t="s">
        <v>363</v>
      </c>
      <c r="E328" s="104">
        <v>3000</v>
      </c>
      <c r="F328" s="104">
        <f t="shared" si="1"/>
        <v>18000</v>
      </c>
      <c r="G328" s="25"/>
      <c r="H328" s="11"/>
      <c r="I328" s="21"/>
      <c r="J328" s="21"/>
      <c r="K328" s="21"/>
      <c r="L328" s="21"/>
      <c r="M328" s="21"/>
      <c r="N328" s="21"/>
    </row>
    <row r="329" spans="1:14" ht="15.75" customHeight="1" x14ac:dyDescent="0.25">
      <c r="A329" s="7">
        <v>12</v>
      </c>
      <c r="B329" s="116" t="s">
        <v>445</v>
      </c>
      <c r="C329" s="117">
        <v>6</v>
      </c>
      <c r="D329" s="117" t="s">
        <v>363</v>
      </c>
      <c r="E329" s="104">
        <v>3000</v>
      </c>
      <c r="F329" s="104">
        <f t="shared" si="1"/>
        <v>18000</v>
      </c>
      <c r="G329" s="25"/>
      <c r="H329" s="11"/>
      <c r="I329" s="21"/>
      <c r="J329" s="21"/>
      <c r="K329" s="21"/>
      <c r="L329" s="21"/>
      <c r="M329" s="21"/>
      <c r="N329" s="21"/>
    </row>
    <row r="330" spans="1:14" ht="15.75" customHeight="1" x14ac:dyDescent="0.25">
      <c r="A330" s="7">
        <v>13</v>
      </c>
      <c r="B330" s="116" t="s">
        <v>439</v>
      </c>
      <c r="C330" s="117">
        <v>12</v>
      </c>
      <c r="D330" s="117" t="s">
        <v>363</v>
      </c>
      <c r="E330" s="104">
        <v>4250</v>
      </c>
      <c r="F330" s="104">
        <f t="shared" si="1"/>
        <v>51000</v>
      </c>
      <c r="G330" s="25"/>
      <c r="H330" s="11"/>
      <c r="I330" s="21"/>
      <c r="J330" s="21"/>
      <c r="K330" s="21"/>
      <c r="L330" s="21"/>
      <c r="M330" s="21"/>
      <c r="N330" s="21"/>
    </row>
    <row r="331" spans="1:14" ht="15.75" customHeight="1" x14ac:dyDescent="0.25">
      <c r="A331" s="6" t="s">
        <v>448</v>
      </c>
      <c r="B331" s="118" t="s">
        <v>449</v>
      </c>
      <c r="C331" s="119"/>
      <c r="D331" s="119"/>
      <c r="E331" s="115"/>
      <c r="F331" s="115"/>
      <c r="G331" s="25"/>
      <c r="H331" s="11"/>
      <c r="I331" s="21"/>
      <c r="J331" s="21"/>
      <c r="K331" s="21"/>
      <c r="L331" s="21"/>
      <c r="M331" s="21"/>
      <c r="N331" s="21"/>
    </row>
    <row r="332" spans="1:14" ht="15.75" customHeight="1" x14ac:dyDescent="0.25">
      <c r="A332" s="7">
        <v>14</v>
      </c>
      <c r="B332" s="116" t="s">
        <v>450</v>
      </c>
      <c r="C332" s="117">
        <v>2</v>
      </c>
      <c r="D332" s="117" t="s">
        <v>363</v>
      </c>
      <c r="E332" s="104">
        <v>4000</v>
      </c>
      <c r="F332" s="104">
        <f>E332*C332</f>
        <v>8000</v>
      </c>
      <c r="G332" s="25"/>
      <c r="H332" s="11"/>
      <c r="I332" s="21"/>
      <c r="J332" s="21"/>
      <c r="K332" s="21"/>
      <c r="L332" s="21"/>
      <c r="M332" s="21"/>
      <c r="N332" s="21"/>
    </row>
    <row r="333" spans="1:14" ht="15.75" customHeight="1" x14ac:dyDescent="0.25">
      <c r="A333" s="7">
        <v>15</v>
      </c>
      <c r="B333" s="116" t="s">
        <v>451</v>
      </c>
      <c r="C333" s="117">
        <v>1</v>
      </c>
      <c r="D333" s="117" t="s">
        <v>363</v>
      </c>
      <c r="E333" s="104">
        <v>3500</v>
      </c>
      <c r="F333" s="104">
        <f>E333*C333</f>
        <v>3500</v>
      </c>
      <c r="G333" s="25"/>
      <c r="H333" s="11"/>
      <c r="I333" s="21"/>
      <c r="J333" s="21"/>
      <c r="K333" s="21"/>
      <c r="L333" s="21"/>
      <c r="M333" s="21"/>
      <c r="N333" s="21"/>
    </row>
    <row r="334" spans="1:14" ht="15.75" customHeight="1" x14ac:dyDescent="0.25">
      <c r="A334" s="7">
        <v>16</v>
      </c>
      <c r="B334" s="116" t="s">
        <v>452</v>
      </c>
      <c r="C334" s="117">
        <v>1</v>
      </c>
      <c r="D334" s="117" t="s">
        <v>363</v>
      </c>
      <c r="E334" s="104">
        <v>3500</v>
      </c>
      <c r="F334" s="104">
        <f>E334*C334</f>
        <v>3500</v>
      </c>
      <c r="G334" s="25"/>
      <c r="H334" s="11"/>
      <c r="I334" s="21"/>
      <c r="J334" s="21"/>
      <c r="K334" s="21"/>
      <c r="L334" s="21"/>
      <c r="M334" s="21"/>
      <c r="N334" s="21"/>
    </row>
    <row r="335" spans="1:14" ht="15.75" customHeight="1" x14ac:dyDescent="0.25">
      <c r="A335" s="7">
        <v>17</v>
      </c>
      <c r="B335" s="116" t="s">
        <v>453</v>
      </c>
      <c r="C335" s="117">
        <v>1</v>
      </c>
      <c r="D335" s="117" t="s">
        <v>363</v>
      </c>
      <c r="E335" s="104">
        <v>4000</v>
      </c>
      <c r="F335" s="104">
        <f>E335*C335</f>
        <v>4000</v>
      </c>
      <c r="G335" s="25"/>
      <c r="H335" s="11"/>
      <c r="I335" s="21"/>
      <c r="J335" s="21"/>
      <c r="K335" s="21"/>
      <c r="L335" s="21"/>
      <c r="M335" s="21"/>
      <c r="N335" s="21"/>
    </row>
    <row r="336" spans="1:14" ht="15.75" customHeight="1" x14ac:dyDescent="0.25">
      <c r="A336" s="6" t="s">
        <v>454</v>
      </c>
      <c r="B336" s="353" t="s">
        <v>455</v>
      </c>
      <c r="C336" s="344"/>
      <c r="D336" s="344"/>
      <c r="E336" s="334"/>
      <c r="F336" s="115"/>
      <c r="G336" s="25"/>
      <c r="H336" s="11"/>
      <c r="I336" s="21"/>
      <c r="J336" s="21"/>
      <c r="K336" s="21"/>
      <c r="L336" s="21"/>
      <c r="M336" s="21"/>
      <c r="N336" s="21"/>
    </row>
    <row r="337" spans="1:14" ht="15.75" customHeight="1" x14ac:dyDescent="0.25">
      <c r="A337" s="7">
        <v>18</v>
      </c>
      <c r="B337" s="116" t="s">
        <v>456</v>
      </c>
      <c r="C337" s="117">
        <v>4</v>
      </c>
      <c r="D337" s="117" t="s">
        <v>363</v>
      </c>
      <c r="E337" s="104">
        <v>82500</v>
      </c>
      <c r="F337" s="104">
        <f>E337*C337</f>
        <v>330000</v>
      </c>
      <c r="G337" s="25"/>
      <c r="H337" s="11"/>
      <c r="I337" s="21"/>
      <c r="J337" s="21"/>
      <c r="K337" s="21"/>
      <c r="L337" s="21"/>
      <c r="M337" s="21"/>
      <c r="N337" s="21"/>
    </row>
    <row r="338" spans="1:14" ht="15.75" customHeight="1" x14ac:dyDescent="0.25">
      <c r="A338" s="7"/>
      <c r="B338" s="343" t="s">
        <v>342</v>
      </c>
      <c r="C338" s="344"/>
      <c r="D338" s="344"/>
      <c r="E338" s="334"/>
      <c r="F338" s="104">
        <f>SUM(F332:F335,F337,F325:F330,F317:F323)</f>
        <v>745000</v>
      </c>
      <c r="G338" s="25"/>
      <c r="H338" s="11"/>
      <c r="I338" s="21"/>
      <c r="J338" s="21"/>
      <c r="K338" s="21"/>
      <c r="L338" s="21"/>
      <c r="M338" s="21"/>
      <c r="N338" s="21"/>
    </row>
    <row r="339" spans="1:14" ht="15.75" customHeight="1" x14ac:dyDescent="0.25">
      <c r="A339" s="7"/>
      <c r="B339" s="343" t="s">
        <v>343</v>
      </c>
      <c r="C339" s="344"/>
      <c r="D339" s="344"/>
      <c r="E339" s="334"/>
      <c r="F339" s="104">
        <v>81950</v>
      </c>
      <c r="G339" s="25"/>
      <c r="H339" s="11"/>
      <c r="I339" s="21"/>
      <c r="J339" s="21"/>
      <c r="K339" s="21"/>
      <c r="L339" s="21"/>
      <c r="M339" s="21"/>
      <c r="N339" s="21"/>
    </row>
    <row r="340" spans="1:14" ht="15.75" customHeight="1" x14ac:dyDescent="0.25">
      <c r="A340" s="7"/>
      <c r="B340" s="345" t="s">
        <v>344</v>
      </c>
      <c r="C340" s="344"/>
      <c r="D340" s="344"/>
      <c r="E340" s="334"/>
      <c r="F340" s="107">
        <f>SUM(F338:F339)</f>
        <v>826950</v>
      </c>
      <c r="G340" s="25"/>
      <c r="H340" s="11"/>
      <c r="I340" s="21"/>
      <c r="J340" s="21"/>
      <c r="K340" s="21"/>
      <c r="L340" s="21"/>
      <c r="M340" s="21"/>
      <c r="N340" s="21"/>
    </row>
    <row r="341" spans="1:14" ht="15.75" customHeight="1" x14ac:dyDescent="0.25">
      <c r="A341" s="21"/>
      <c r="B341" s="21"/>
      <c r="C341" s="11"/>
      <c r="D341" s="11"/>
      <c r="E341" s="21"/>
      <c r="F341" s="21"/>
      <c r="G341" s="25"/>
      <c r="H341" s="11"/>
      <c r="I341" s="21"/>
      <c r="J341" s="21"/>
      <c r="K341" s="21"/>
      <c r="L341" s="21"/>
      <c r="M341" s="21"/>
      <c r="N341" s="21"/>
    </row>
    <row r="342" spans="1:14" ht="15.75" customHeight="1" x14ac:dyDescent="0.25">
      <c r="A342" s="31" t="s">
        <v>14</v>
      </c>
      <c r="B342" s="31" t="s">
        <v>234</v>
      </c>
      <c r="C342" s="31" t="s">
        <v>16</v>
      </c>
      <c r="D342" s="31" t="s">
        <v>17</v>
      </c>
      <c r="E342" s="31" t="s">
        <v>235</v>
      </c>
      <c r="F342" s="31" t="s">
        <v>236</v>
      </c>
      <c r="G342" s="25"/>
      <c r="H342" s="11"/>
      <c r="I342" s="21"/>
      <c r="J342" s="21"/>
      <c r="K342" s="21"/>
      <c r="L342" s="21"/>
      <c r="M342" s="21"/>
      <c r="N342" s="21"/>
    </row>
    <row r="343" spans="1:14" ht="15.75" customHeight="1" x14ac:dyDescent="0.25">
      <c r="A343" s="7">
        <v>1</v>
      </c>
      <c r="B343" s="41" t="s">
        <v>457</v>
      </c>
      <c r="C343" s="7">
        <v>1</v>
      </c>
      <c r="D343" s="7" t="s">
        <v>251</v>
      </c>
      <c r="E343" s="104">
        <v>3185000</v>
      </c>
      <c r="F343" s="104">
        <f>E343*C343</f>
        <v>3185000</v>
      </c>
      <c r="G343" s="25"/>
      <c r="H343" s="11"/>
      <c r="I343" s="21"/>
      <c r="J343" s="21"/>
      <c r="K343" s="21"/>
      <c r="L343" s="21"/>
      <c r="M343" s="21"/>
      <c r="N343" s="21"/>
    </row>
    <row r="344" spans="1:14" ht="15.75" customHeight="1" x14ac:dyDescent="0.25">
      <c r="A344" s="7"/>
      <c r="B344" s="343" t="s">
        <v>342</v>
      </c>
      <c r="C344" s="344"/>
      <c r="D344" s="344"/>
      <c r="E344" s="334"/>
      <c r="F344" s="104">
        <f>F343</f>
        <v>3185000</v>
      </c>
      <c r="G344" s="25"/>
      <c r="H344" s="11"/>
      <c r="I344" s="21"/>
      <c r="J344" s="21"/>
      <c r="K344" s="21"/>
      <c r="L344" s="21"/>
      <c r="M344" s="21"/>
      <c r="N344" s="21"/>
    </row>
    <row r="345" spans="1:14" ht="15.75" customHeight="1" x14ac:dyDescent="0.25">
      <c r="A345" s="7"/>
      <c r="B345" s="343" t="s">
        <v>343</v>
      </c>
      <c r="C345" s="344"/>
      <c r="D345" s="344"/>
      <c r="E345" s="334"/>
      <c r="F345" s="104">
        <v>350350</v>
      </c>
      <c r="G345" s="25"/>
      <c r="H345" s="11"/>
      <c r="I345" s="21"/>
      <c r="J345" s="21"/>
      <c r="K345" s="21"/>
      <c r="L345" s="21"/>
      <c r="M345" s="21"/>
      <c r="N345" s="21"/>
    </row>
    <row r="346" spans="1:14" ht="15.75" customHeight="1" x14ac:dyDescent="0.25">
      <c r="A346" s="7"/>
      <c r="B346" s="345" t="s">
        <v>344</v>
      </c>
      <c r="C346" s="344"/>
      <c r="D346" s="344"/>
      <c r="E346" s="334"/>
      <c r="F346" s="107">
        <f>SUM(F344:F345)</f>
        <v>3535350</v>
      </c>
      <c r="G346" s="25"/>
      <c r="H346" s="11"/>
      <c r="I346" s="21"/>
      <c r="J346" s="21"/>
      <c r="K346" s="21"/>
      <c r="L346" s="21"/>
      <c r="M346" s="21"/>
      <c r="N346" s="21"/>
    </row>
    <row r="347" spans="1:14" ht="15.75" customHeight="1" x14ac:dyDescent="0.25">
      <c r="A347" s="21"/>
      <c r="B347" s="21"/>
      <c r="C347" s="11"/>
      <c r="D347" s="11"/>
      <c r="E347" s="21"/>
      <c r="F347" s="21"/>
      <c r="G347" s="25"/>
      <c r="H347" s="11"/>
      <c r="I347" s="21"/>
      <c r="J347" s="21"/>
      <c r="K347" s="21"/>
      <c r="L347" s="21"/>
      <c r="M347" s="21"/>
      <c r="N347" s="21"/>
    </row>
    <row r="348" spans="1:14" ht="15.75" customHeight="1" x14ac:dyDescent="0.25">
      <c r="A348" s="31" t="s">
        <v>14</v>
      </c>
      <c r="B348" s="31" t="s">
        <v>234</v>
      </c>
      <c r="C348" s="31" t="s">
        <v>16</v>
      </c>
      <c r="D348" s="31" t="s">
        <v>17</v>
      </c>
      <c r="E348" s="31" t="s">
        <v>235</v>
      </c>
      <c r="F348" s="31" t="s">
        <v>236</v>
      </c>
      <c r="G348" s="25"/>
      <c r="H348" s="11"/>
      <c r="I348" s="21"/>
      <c r="J348" s="21"/>
      <c r="K348" s="21"/>
      <c r="L348" s="21"/>
      <c r="M348" s="21"/>
      <c r="N348" s="21"/>
    </row>
    <row r="349" spans="1:14" ht="15.75" customHeight="1" x14ac:dyDescent="0.25">
      <c r="A349" s="7">
        <v>1</v>
      </c>
      <c r="B349" s="41" t="s">
        <v>458</v>
      </c>
      <c r="C349" s="7">
        <v>1</v>
      </c>
      <c r="D349" s="7" t="s">
        <v>243</v>
      </c>
      <c r="E349" s="104">
        <v>11578600</v>
      </c>
      <c r="F349" s="104">
        <f>E349*C349</f>
        <v>11578600</v>
      </c>
      <c r="G349" s="25"/>
      <c r="H349" s="11"/>
      <c r="I349" s="21"/>
      <c r="J349" s="21"/>
      <c r="K349" s="21"/>
      <c r="L349" s="21"/>
      <c r="M349" s="21"/>
      <c r="N349" s="21"/>
    </row>
    <row r="350" spans="1:14" ht="15.75" customHeight="1" x14ac:dyDescent="0.25">
      <c r="A350" s="7"/>
      <c r="B350" s="343" t="s">
        <v>342</v>
      </c>
      <c r="C350" s="344"/>
      <c r="D350" s="344"/>
      <c r="E350" s="334"/>
      <c r="F350" s="104">
        <f>F349</f>
        <v>11578600</v>
      </c>
      <c r="G350" s="25"/>
      <c r="H350" s="11"/>
      <c r="I350" s="21"/>
      <c r="J350" s="21"/>
      <c r="K350" s="21"/>
      <c r="L350" s="21"/>
      <c r="M350" s="21"/>
      <c r="N350" s="21"/>
    </row>
    <row r="351" spans="1:14" ht="15.75" customHeight="1" x14ac:dyDescent="0.25">
      <c r="A351" s="7"/>
      <c r="B351" s="343" t="s">
        <v>343</v>
      </c>
      <c r="C351" s="344"/>
      <c r="D351" s="344"/>
      <c r="E351" s="334"/>
      <c r="F351" s="104">
        <v>1273646</v>
      </c>
      <c r="G351" s="25"/>
      <c r="H351" s="11"/>
      <c r="I351" s="21"/>
      <c r="J351" s="21"/>
      <c r="K351" s="21"/>
      <c r="L351" s="21"/>
      <c r="M351" s="21"/>
      <c r="N351" s="21"/>
    </row>
    <row r="352" spans="1:14" ht="15.75" customHeight="1" x14ac:dyDescent="0.25">
      <c r="A352" s="7"/>
      <c r="B352" s="345" t="s">
        <v>344</v>
      </c>
      <c r="C352" s="344"/>
      <c r="D352" s="344"/>
      <c r="E352" s="334"/>
      <c r="F352" s="107">
        <f>SUM(F350:F351)</f>
        <v>12852246</v>
      </c>
      <c r="G352" s="25"/>
      <c r="H352" s="11"/>
      <c r="I352" s="21"/>
      <c r="J352" s="21"/>
      <c r="K352" s="21"/>
      <c r="L352" s="21"/>
      <c r="M352" s="21"/>
      <c r="N352" s="21"/>
    </row>
    <row r="353" spans="1:14" ht="15.75" customHeight="1" x14ac:dyDescent="0.25">
      <c r="A353" s="21"/>
      <c r="B353" s="21"/>
      <c r="C353" s="11"/>
      <c r="D353" s="11"/>
      <c r="E353" s="21"/>
      <c r="F353" s="21"/>
      <c r="G353" s="25"/>
      <c r="H353" s="11"/>
      <c r="I353" s="21"/>
      <c r="J353" s="21"/>
      <c r="K353" s="21"/>
      <c r="L353" s="21"/>
      <c r="M353" s="21"/>
      <c r="N353" s="21"/>
    </row>
    <row r="354" spans="1:14" ht="15.75" customHeight="1" x14ac:dyDescent="0.25">
      <c r="A354" s="31" t="s">
        <v>14</v>
      </c>
      <c r="B354" s="31" t="s">
        <v>234</v>
      </c>
      <c r="C354" s="31" t="s">
        <v>16</v>
      </c>
      <c r="D354" s="31" t="s">
        <v>17</v>
      </c>
      <c r="E354" s="31" t="s">
        <v>235</v>
      </c>
      <c r="F354" s="31" t="s">
        <v>236</v>
      </c>
      <c r="G354" s="25"/>
      <c r="H354" s="11"/>
      <c r="I354" s="21"/>
      <c r="J354" s="21"/>
      <c r="K354" s="21"/>
      <c r="L354" s="21"/>
      <c r="M354" s="21"/>
      <c r="N354" s="21"/>
    </row>
    <row r="355" spans="1:14" ht="15.75" customHeight="1" x14ac:dyDescent="0.25">
      <c r="A355" s="7">
        <v>1</v>
      </c>
      <c r="B355" s="41" t="s">
        <v>459</v>
      </c>
      <c r="C355" s="7">
        <v>5</v>
      </c>
      <c r="D355" s="7" t="s">
        <v>19</v>
      </c>
      <c r="E355" s="104">
        <v>195000</v>
      </c>
      <c r="F355" s="104">
        <f>E355*C355</f>
        <v>975000</v>
      </c>
      <c r="G355" s="25"/>
      <c r="H355" s="11"/>
      <c r="I355" s="21"/>
      <c r="J355" s="21"/>
      <c r="K355" s="21"/>
      <c r="L355" s="21"/>
      <c r="M355" s="21"/>
      <c r="N355" s="21"/>
    </row>
    <row r="356" spans="1:14" ht="15.75" customHeight="1" x14ac:dyDescent="0.25">
      <c r="A356" s="7"/>
      <c r="B356" s="343" t="s">
        <v>342</v>
      </c>
      <c r="C356" s="344"/>
      <c r="D356" s="344"/>
      <c r="E356" s="334"/>
      <c r="F356" s="104">
        <f>F355</f>
        <v>975000</v>
      </c>
      <c r="G356" s="25"/>
      <c r="H356" s="11"/>
      <c r="I356" s="21"/>
      <c r="J356" s="21"/>
      <c r="K356" s="21"/>
      <c r="L356" s="21"/>
      <c r="M356" s="21"/>
      <c r="N356" s="21"/>
    </row>
    <row r="357" spans="1:14" ht="15.75" customHeight="1" x14ac:dyDescent="0.25">
      <c r="A357" s="7"/>
      <c r="B357" s="343" t="s">
        <v>343</v>
      </c>
      <c r="C357" s="344"/>
      <c r="D357" s="344"/>
      <c r="E357" s="334"/>
      <c r="F357" s="104">
        <v>107250</v>
      </c>
      <c r="G357" s="25"/>
      <c r="H357" s="11"/>
      <c r="I357" s="21"/>
      <c r="J357" s="21"/>
      <c r="K357" s="21"/>
      <c r="L357" s="21"/>
      <c r="M357" s="21"/>
      <c r="N357" s="21"/>
    </row>
    <row r="358" spans="1:14" ht="15.75" customHeight="1" x14ac:dyDescent="0.25">
      <c r="A358" s="7"/>
      <c r="B358" s="345" t="s">
        <v>344</v>
      </c>
      <c r="C358" s="344"/>
      <c r="D358" s="344"/>
      <c r="E358" s="334"/>
      <c r="F358" s="107">
        <f>SUM(F356:F357)</f>
        <v>1082250</v>
      </c>
      <c r="G358" s="25"/>
      <c r="H358" s="11"/>
      <c r="I358" s="21"/>
      <c r="J358" s="21"/>
      <c r="K358" s="21"/>
      <c r="L358" s="21"/>
      <c r="M358" s="21"/>
      <c r="N358" s="21"/>
    </row>
    <row r="359" spans="1:14" ht="15.75" customHeight="1" x14ac:dyDescent="0.25">
      <c r="A359" s="21"/>
      <c r="B359" s="21"/>
      <c r="C359" s="11"/>
      <c r="D359" s="11"/>
      <c r="E359" s="21"/>
      <c r="F359" s="21"/>
      <c r="G359" s="25"/>
      <c r="H359" s="11"/>
      <c r="I359" s="21"/>
      <c r="J359" s="21"/>
      <c r="K359" s="21"/>
      <c r="L359" s="21"/>
      <c r="M359" s="21"/>
      <c r="N359" s="21"/>
    </row>
    <row r="360" spans="1:14" ht="15.75" customHeight="1" x14ac:dyDescent="0.25">
      <c r="A360" s="31" t="s">
        <v>14</v>
      </c>
      <c r="B360" s="31" t="s">
        <v>234</v>
      </c>
      <c r="C360" s="31" t="s">
        <v>16</v>
      </c>
      <c r="D360" s="31" t="s">
        <v>17</v>
      </c>
      <c r="E360" s="31" t="s">
        <v>235</v>
      </c>
      <c r="F360" s="31" t="s">
        <v>236</v>
      </c>
      <c r="G360" s="25"/>
      <c r="H360" s="11"/>
      <c r="I360" s="21"/>
      <c r="J360" s="21"/>
      <c r="K360" s="21"/>
      <c r="L360" s="21"/>
      <c r="M360" s="21"/>
      <c r="N360" s="21"/>
    </row>
    <row r="361" spans="1:14" ht="15.75" customHeight="1" x14ac:dyDescent="0.25">
      <c r="A361" s="7">
        <v>1</v>
      </c>
      <c r="B361" s="41" t="s">
        <v>460</v>
      </c>
      <c r="C361" s="7">
        <v>1</v>
      </c>
      <c r="D361" s="7" t="s">
        <v>19</v>
      </c>
      <c r="E361" s="104">
        <v>506250</v>
      </c>
      <c r="F361" s="104">
        <f>E361*C361</f>
        <v>506250</v>
      </c>
      <c r="G361" s="25"/>
      <c r="H361" s="11"/>
      <c r="I361" s="21"/>
      <c r="J361" s="21"/>
      <c r="K361" s="21"/>
      <c r="L361" s="21"/>
      <c r="M361" s="21"/>
      <c r="N361" s="21"/>
    </row>
    <row r="362" spans="1:14" ht="15.75" customHeight="1" x14ac:dyDescent="0.25">
      <c r="A362" s="7"/>
      <c r="B362" s="343" t="s">
        <v>342</v>
      </c>
      <c r="C362" s="344"/>
      <c r="D362" s="344"/>
      <c r="E362" s="334"/>
      <c r="F362" s="104">
        <f>F361</f>
        <v>506250</v>
      </c>
      <c r="G362" s="25"/>
      <c r="H362" s="11"/>
      <c r="I362" s="21"/>
      <c r="J362" s="21"/>
      <c r="K362" s="21"/>
      <c r="L362" s="21"/>
      <c r="M362" s="21"/>
      <c r="N362" s="21"/>
    </row>
    <row r="363" spans="1:14" ht="15.75" customHeight="1" x14ac:dyDescent="0.25">
      <c r="A363" s="7"/>
      <c r="B363" s="343" t="s">
        <v>343</v>
      </c>
      <c r="C363" s="344"/>
      <c r="D363" s="344"/>
      <c r="E363" s="334"/>
      <c r="F363" s="104">
        <v>55687.5</v>
      </c>
      <c r="G363" s="25"/>
      <c r="H363" s="11"/>
      <c r="I363" s="21"/>
      <c r="J363" s="21"/>
      <c r="K363" s="21"/>
      <c r="L363" s="21"/>
      <c r="M363" s="21"/>
      <c r="N363" s="21"/>
    </row>
    <row r="364" spans="1:14" ht="15.75" customHeight="1" x14ac:dyDescent="0.25">
      <c r="A364" s="7"/>
      <c r="B364" s="345" t="s">
        <v>344</v>
      </c>
      <c r="C364" s="344"/>
      <c r="D364" s="344"/>
      <c r="E364" s="334"/>
      <c r="F364" s="107">
        <f>SUM(F362:F363)</f>
        <v>561937.5</v>
      </c>
      <c r="G364" s="25"/>
      <c r="H364" s="11"/>
      <c r="I364" s="21"/>
      <c r="J364" s="21"/>
      <c r="K364" s="21"/>
      <c r="L364" s="21"/>
      <c r="M364" s="21"/>
      <c r="N364" s="21"/>
    </row>
    <row r="365" spans="1:14" ht="15.75" customHeight="1" x14ac:dyDescent="0.25">
      <c r="A365" s="21"/>
      <c r="B365" s="21"/>
      <c r="C365" s="11"/>
      <c r="D365" s="11"/>
      <c r="E365" s="21"/>
      <c r="F365" s="21"/>
      <c r="G365" s="25"/>
      <c r="H365" s="11"/>
      <c r="I365" s="21"/>
      <c r="J365" s="21"/>
      <c r="K365" s="21"/>
      <c r="L365" s="21"/>
      <c r="M365" s="21"/>
      <c r="N365" s="21"/>
    </row>
    <row r="366" spans="1:14" ht="15.75" customHeight="1" x14ac:dyDescent="0.25">
      <c r="A366" s="31" t="s">
        <v>14</v>
      </c>
      <c r="B366" s="31" t="s">
        <v>234</v>
      </c>
      <c r="C366" s="31" t="s">
        <v>16</v>
      </c>
      <c r="D366" s="31" t="s">
        <v>17</v>
      </c>
      <c r="E366" s="31" t="s">
        <v>235</v>
      </c>
      <c r="F366" s="31" t="s">
        <v>236</v>
      </c>
      <c r="G366" s="25"/>
      <c r="H366" s="11"/>
      <c r="I366" s="21"/>
      <c r="J366" s="21"/>
      <c r="K366" s="21"/>
      <c r="L366" s="21"/>
      <c r="M366" s="21"/>
      <c r="N366" s="21"/>
    </row>
    <row r="367" spans="1:14" ht="15.75" customHeight="1" x14ac:dyDescent="0.25">
      <c r="A367" s="7">
        <v>1</v>
      </c>
      <c r="B367" s="41" t="s">
        <v>461</v>
      </c>
      <c r="C367" s="7">
        <v>1</v>
      </c>
      <c r="D367" s="7" t="s">
        <v>243</v>
      </c>
      <c r="E367" s="104">
        <v>365000</v>
      </c>
      <c r="F367" s="104">
        <f>E367*C367</f>
        <v>365000</v>
      </c>
      <c r="G367" s="25"/>
      <c r="H367" s="11"/>
      <c r="I367" s="21"/>
      <c r="J367" s="21"/>
      <c r="K367" s="21"/>
      <c r="L367" s="21"/>
      <c r="M367" s="21"/>
      <c r="N367" s="21"/>
    </row>
    <row r="368" spans="1:14" ht="15.75" customHeight="1" x14ac:dyDescent="0.25">
      <c r="A368" s="7"/>
      <c r="B368" s="343" t="s">
        <v>342</v>
      </c>
      <c r="C368" s="344"/>
      <c r="D368" s="344"/>
      <c r="E368" s="334"/>
      <c r="F368" s="104">
        <f>F367</f>
        <v>365000</v>
      </c>
      <c r="G368" s="25"/>
      <c r="H368" s="11"/>
      <c r="I368" s="21"/>
      <c r="J368" s="21"/>
      <c r="K368" s="21"/>
      <c r="L368" s="21"/>
      <c r="M368" s="21"/>
      <c r="N368" s="21"/>
    </row>
    <row r="369" spans="1:14" ht="15.75" customHeight="1" x14ac:dyDescent="0.25">
      <c r="A369" s="7"/>
      <c r="B369" s="343" t="s">
        <v>343</v>
      </c>
      <c r="C369" s="344"/>
      <c r="D369" s="344"/>
      <c r="E369" s="334"/>
      <c r="F369" s="104">
        <v>40150</v>
      </c>
      <c r="G369" s="25"/>
      <c r="H369" s="11"/>
      <c r="I369" s="21"/>
      <c r="J369" s="21"/>
      <c r="K369" s="21"/>
      <c r="L369" s="21"/>
      <c r="M369" s="21"/>
      <c r="N369" s="21"/>
    </row>
    <row r="370" spans="1:14" ht="15.75" customHeight="1" x14ac:dyDescent="0.25">
      <c r="A370" s="7"/>
      <c r="B370" s="345" t="s">
        <v>344</v>
      </c>
      <c r="C370" s="344"/>
      <c r="D370" s="344"/>
      <c r="E370" s="334"/>
      <c r="F370" s="107">
        <f>SUM(F368:F369)</f>
        <v>405150</v>
      </c>
      <c r="G370" s="25"/>
      <c r="H370" s="11"/>
      <c r="I370" s="21"/>
      <c r="J370" s="21"/>
      <c r="K370" s="21"/>
      <c r="L370" s="21"/>
      <c r="M370" s="21"/>
      <c r="N370" s="21"/>
    </row>
    <row r="371" spans="1:14" ht="15.75" customHeight="1" x14ac:dyDescent="0.25">
      <c r="A371" s="21"/>
      <c r="B371" s="21"/>
      <c r="C371" s="11"/>
      <c r="D371" s="11"/>
      <c r="E371" s="21"/>
      <c r="F371" s="21"/>
      <c r="G371" s="25"/>
      <c r="H371" s="11"/>
      <c r="I371" s="21"/>
      <c r="J371" s="21"/>
      <c r="K371" s="21"/>
      <c r="L371" s="21"/>
      <c r="M371" s="21"/>
      <c r="N371" s="21"/>
    </row>
    <row r="372" spans="1:14" ht="15.75" customHeight="1" x14ac:dyDescent="0.25">
      <c r="A372" s="31" t="s">
        <v>14</v>
      </c>
      <c r="B372" s="31" t="s">
        <v>234</v>
      </c>
      <c r="C372" s="31" t="s">
        <v>16</v>
      </c>
      <c r="D372" s="31" t="s">
        <v>17</v>
      </c>
      <c r="E372" s="31" t="s">
        <v>235</v>
      </c>
      <c r="F372" s="31" t="s">
        <v>236</v>
      </c>
      <c r="G372" s="25"/>
      <c r="H372" s="11"/>
      <c r="I372" s="21"/>
      <c r="J372" s="21"/>
      <c r="K372" s="21"/>
      <c r="L372" s="21"/>
      <c r="M372" s="21"/>
      <c r="N372" s="21"/>
    </row>
    <row r="373" spans="1:14" ht="15.75" customHeight="1" x14ac:dyDescent="0.25">
      <c r="A373" s="7">
        <v>1</v>
      </c>
      <c r="B373" s="41" t="s">
        <v>462</v>
      </c>
      <c r="C373" s="7">
        <v>4</v>
      </c>
      <c r="D373" s="7" t="s">
        <v>363</v>
      </c>
      <c r="E373" s="104">
        <v>175500</v>
      </c>
      <c r="F373" s="104">
        <f>E373*C373</f>
        <v>702000</v>
      </c>
      <c r="G373" s="25"/>
      <c r="H373" s="11"/>
      <c r="I373" s="21"/>
      <c r="J373" s="21"/>
      <c r="K373" s="21"/>
      <c r="L373" s="21"/>
      <c r="M373" s="21"/>
      <c r="N373" s="21"/>
    </row>
    <row r="374" spans="1:14" ht="15.75" customHeight="1" x14ac:dyDescent="0.25">
      <c r="A374" s="7"/>
      <c r="B374" s="343" t="s">
        <v>342</v>
      </c>
      <c r="C374" s="344"/>
      <c r="D374" s="344"/>
      <c r="E374" s="334"/>
      <c r="F374" s="104">
        <f>F373</f>
        <v>702000</v>
      </c>
      <c r="G374" s="25"/>
      <c r="H374" s="11"/>
      <c r="I374" s="21"/>
      <c r="J374" s="21"/>
      <c r="K374" s="21"/>
      <c r="L374" s="21"/>
      <c r="M374" s="21"/>
      <c r="N374" s="21"/>
    </row>
    <row r="375" spans="1:14" ht="15.75" customHeight="1" x14ac:dyDescent="0.25">
      <c r="A375" s="7"/>
      <c r="B375" s="343" t="s">
        <v>343</v>
      </c>
      <c r="C375" s="344"/>
      <c r="D375" s="344"/>
      <c r="E375" s="334"/>
      <c r="F375" s="104">
        <v>77220</v>
      </c>
      <c r="G375" s="25"/>
      <c r="H375" s="11"/>
      <c r="I375" s="21"/>
      <c r="J375" s="21"/>
      <c r="K375" s="21"/>
      <c r="L375" s="21"/>
      <c r="M375" s="21"/>
      <c r="N375" s="21"/>
    </row>
    <row r="376" spans="1:14" ht="15.75" customHeight="1" x14ac:dyDescent="0.25">
      <c r="A376" s="7"/>
      <c r="B376" s="345" t="s">
        <v>344</v>
      </c>
      <c r="C376" s="344"/>
      <c r="D376" s="344"/>
      <c r="E376" s="334"/>
      <c r="F376" s="107">
        <f>SUM(F374:F375)</f>
        <v>779220</v>
      </c>
      <c r="G376" s="25"/>
      <c r="H376" s="11"/>
      <c r="I376" s="21"/>
      <c r="J376" s="21"/>
      <c r="K376" s="21"/>
      <c r="L376" s="21"/>
      <c r="M376" s="21"/>
      <c r="N376" s="21"/>
    </row>
    <row r="377" spans="1:14" ht="15.75" customHeight="1" x14ac:dyDescent="0.25">
      <c r="A377" s="21"/>
      <c r="B377" s="21"/>
      <c r="C377" s="11"/>
      <c r="D377" s="11"/>
      <c r="E377" s="21"/>
      <c r="F377" s="21"/>
      <c r="G377" s="25"/>
      <c r="H377" s="11"/>
      <c r="I377" s="21"/>
      <c r="J377" s="21"/>
      <c r="K377" s="21"/>
      <c r="L377" s="21"/>
      <c r="M377" s="21"/>
      <c r="N377" s="21"/>
    </row>
    <row r="378" spans="1:14" ht="15.75" customHeight="1" x14ac:dyDescent="0.25">
      <c r="A378" s="31" t="s">
        <v>14</v>
      </c>
      <c r="B378" s="31" t="s">
        <v>234</v>
      </c>
      <c r="C378" s="31" t="s">
        <v>16</v>
      </c>
      <c r="D378" s="31" t="s">
        <v>17</v>
      </c>
      <c r="E378" s="31" t="s">
        <v>235</v>
      </c>
      <c r="F378" s="31" t="s">
        <v>236</v>
      </c>
      <c r="G378" s="25"/>
      <c r="H378" s="11"/>
      <c r="I378" s="21"/>
      <c r="J378" s="21"/>
      <c r="K378" s="21"/>
      <c r="L378" s="21"/>
      <c r="M378" s="21"/>
      <c r="N378" s="21"/>
    </row>
    <row r="379" spans="1:14" ht="15.75" customHeight="1" x14ac:dyDescent="0.25">
      <c r="A379" s="7">
        <v>1</v>
      </c>
      <c r="B379" s="41" t="s">
        <v>463</v>
      </c>
      <c r="C379" s="7">
        <v>1</v>
      </c>
      <c r="D379" s="7" t="s">
        <v>243</v>
      </c>
      <c r="E379" s="104">
        <v>365000</v>
      </c>
      <c r="F379" s="104">
        <f>E379*C379</f>
        <v>365000</v>
      </c>
      <c r="G379" s="25"/>
      <c r="H379" s="11"/>
      <c r="I379" s="21"/>
      <c r="J379" s="21"/>
      <c r="K379" s="21"/>
      <c r="L379" s="21"/>
      <c r="M379" s="21"/>
      <c r="N379" s="21"/>
    </row>
    <row r="380" spans="1:14" ht="15.75" customHeight="1" x14ac:dyDescent="0.25">
      <c r="A380" s="7"/>
      <c r="B380" s="343" t="s">
        <v>342</v>
      </c>
      <c r="C380" s="344"/>
      <c r="D380" s="344"/>
      <c r="E380" s="334"/>
      <c r="F380" s="104">
        <f>F379</f>
        <v>365000</v>
      </c>
      <c r="G380" s="25"/>
      <c r="H380" s="11"/>
      <c r="I380" s="21"/>
      <c r="J380" s="21"/>
      <c r="K380" s="21"/>
      <c r="L380" s="21"/>
      <c r="M380" s="21"/>
      <c r="N380" s="21"/>
    </row>
    <row r="381" spans="1:14" ht="15.75" customHeight="1" x14ac:dyDescent="0.25">
      <c r="A381" s="7"/>
      <c r="B381" s="343" t="s">
        <v>343</v>
      </c>
      <c r="C381" s="344"/>
      <c r="D381" s="344"/>
      <c r="E381" s="334"/>
      <c r="F381" s="104">
        <v>40150</v>
      </c>
      <c r="G381" s="25"/>
      <c r="H381" s="11"/>
      <c r="I381" s="21"/>
      <c r="J381" s="21"/>
      <c r="K381" s="21"/>
      <c r="L381" s="21"/>
      <c r="M381" s="21"/>
      <c r="N381" s="21"/>
    </row>
    <row r="382" spans="1:14" ht="15.75" customHeight="1" x14ac:dyDescent="0.25">
      <c r="A382" s="7"/>
      <c r="B382" s="345" t="s">
        <v>344</v>
      </c>
      <c r="C382" s="344"/>
      <c r="D382" s="344"/>
      <c r="E382" s="334"/>
      <c r="F382" s="107">
        <f>SUM(F380:F381)</f>
        <v>405150</v>
      </c>
      <c r="G382" s="25"/>
      <c r="H382" s="11"/>
      <c r="I382" s="21"/>
      <c r="J382" s="21"/>
      <c r="K382" s="21"/>
      <c r="L382" s="21"/>
      <c r="M382" s="21"/>
      <c r="N382" s="21"/>
    </row>
    <row r="383" spans="1:14" ht="15.75" customHeight="1" x14ac:dyDescent="0.25">
      <c r="A383" s="21"/>
      <c r="B383" s="21"/>
      <c r="C383" s="11"/>
      <c r="D383" s="11"/>
      <c r="E383" s="21"/>
      <c r="F383" s="21"/>
      <c r="G383" s="25"/>
      <c r="H383" s="11"/>
      <c r="I383" s="21"/>
      <c r="J383" s="21"/>
      <c r="K383" s="21"/>
      <c r="L383" s="21"/>
      <c r="M383" s="21"/>
      <c r="N383" s="21"/>
    </row>
    <row r="384" spans="1:14" ht="15.75" customHeight="1" x14ac:dyDescent="0.25">
      <c r="A384" s="31" t="s">
        <v>14</v>
      </c>
      <c r="B384" s="31" t="s">
        <v>234</v>
      </c>
      <c r="C384" s="31" t="s">
        <v>16</v>
      </c>
      <c r="D384" s="31" t="s">
        <v>17</v>
      </c>
      <c r="E384" s="31" t="s">
        <v>235</v>
      </c>
      <c r="F384" s="31" t="s">
        <v>236</v>
      </c>
      <c r="G384" s="25"/>
      <c r="H384" s="11"/>
      <c r="I384" s="21"/>
      <c r="J384" s="21"/>
      <c r="K384" s="21"/>
      <c r="L384" s="21"/>
      <c r="M384" s="21"/>
      <c r="N384" s="21"/>
    </row>
    <row r="385" spans="1:14" ht="15.75" customHeight="1" x14ac:dyDescent="0.25">
      <c r="A385" s="7">
        <v>1</v>
      </c>
      <c r="B385" s="41" t="s">
        <v>418</v>
      </c>
      <c r="C385" s="7">
        <v>2</v>
      </c>
      <c r="D385" s="7" t="s">
        <v>363</v>
      </c>
      <c r="E385" s="104">
        <v>3600000</v>
      </c>
      <c r="F385" s="104">
        <f>E385*C385</f>
        <v>7200000</v>
      </c>
      <c r="G385" s="25"/>
      <c r="H385" s="11"/>
      <c r="I385" s="21"/>
      <c r="J385" s="21"/>
      <c r="K385" s="21"/>
      <c r="L385" s="21"/>
      <c r="M385" s="21"/>
      <c r="N385" s="21"/>
    </row>
    <row r="386" spans="1:14" ht="15.75" customHeight="1" x14ac:dyDescent="0.25">
      <c r="A386" s="7"/>
      <c r="B386" s="343" t="s">
        <v>342</v>
      </c>
      <c r="C386" s="344"/>
      <c r="D386" s="344"/>
      <c r="E386" s="334"/>
      <c r="F386" s="104">
        <f>SUM(F384:F385)</f>
        <v>7200000</v>
      </c>
      <c r="G386" s="25"/>
      <c r="H386" s="11"/>
      <c r="I386" s="21"/>
      <c r="J386" s="21"/>
      <c r="K386" s="21"/>
      <c r="L386" s="21"/>
      <c r="M386" s="21"/>
      <c r="N386" s="21"/>
    </row>
    <row r="387" spans="1:14" ht="15.75" customHeight="1" x14ac:dyDescent="0.25">
      <c r="A387" s="7"/>
      <c r="B387" s="343" t="s">
        <v>343</v>
      </c>
      <c r="C387" s="344"/>
      <c r="D387" s="344"/>
      <c r="E387" s="334"/>
      <c r="F387" s="104">
        <v>792000</v>
      </c>
      <c r="G387" s="25"/>
      <c r="H387" s="11"/>
      <c r="I387" s="21"/>
      <c r="J387" s="21"/>
      <c r="K387" s="21"/>
      <c r="L387" s="21"/>
      <c r="M387" s="21"/>
      <c r="N387" s="21"/>
    </row>
    <row r="388" spans="1:14" ht="15.75" customHeight="1" x14ac:dyDescent="0.25">
      <c r="A388" s="7"/>
      <c r="B388" s="345" t="s">
        <v>350</v>
      </c>
      <c r="C388" s="344"/>
      <c r="D388" s="344"/>
      <c r="E388" s="334"/>
      <c r="F388" s="107">
        <f>SUM(F386:F387)</f>
        <v>7992000</v>
      </c>
      <c r="G388" s="25"/>
      <c r="H388" s="11"/>
      <c r="I388" s="21"/>
      <c r="J388" s="21"/>
      <c r="K388" s="21"/>
      <c r="L388" s="21"/>
      <c r="M388" s="21"/>
      <c r="N388" s="21"/>
    </row>
    <row r="389" spans="1:14" ht="15.75" customHeight="1" x14ac:dyDescent="0.25">
      <c r="A389" s="21"/>
      <c r="B389" s="21"/>
      <c r="C389" s="11"/>
      <c r="D389" s="11"/>
      <c r="E389" s="21"/>
      <c r="F389" s="21"/>
      <c r="G389" s="25"/>
      <c r="H389" s="11"/>
      <c r="I389" s="21"/>
      <c r="J389" s="21"/>
      <c r="K389" s="21"/>
      <c r="L389" s="21"/>
      <c r="M389" s="21"/>
      <c r="N389" s="21"/>
    </row>
    <row r="390" spans="1:14" ht="15.75" customHeight="1" x14ac:dyDescent="0.25">
      <c r="A390" s="31" t="s">
        <v>14</v>
      </c>
      <c r="B390" s="31" t="s">
        <v>234</v>
      </c>
      <c r="C390" s="31" t="s">
        <v>16</v>
      </c>
      <c r="D390" s="31" t="s">
        <v>17</v>
      </c>
      <c r="E390" s="31" t="s">
        <v>235</v>
      </c>
      <c r="F390" s="31" t="s">
        <v>236</v>
      </c>
      <c r="G390" s="25"/>
      <c r="H390" s="11"/>
      <c r="I390" s="21"/>
      <c r="J390" s="21"/>
      <c r="K390" s="21"/>
      <c r="L390" s="21"/>
      <c r="M390" s="21"/>
      <c r="N390" s="21"/>
    </row>
    <row r="391" spans="1:14" ht="15.75" customHeight="1" x14ac:dyDescent="0.25">
      <c r="A391" s="7">
        <v>1</v>
      </c>
      <c r="B391" s="41" t="s">
        <v>464</v>
      </c>
      <c r="C391" s="7">
        <v>1</v>
      </c>
      <c r="D391" s="7" t="s">
        <v>247</v>
      </c>
      <c r="E391" s="104">
        <v>55185500</v>
      </c>
      <c r="F391" s="104">
        <f>E391*C391</f>
        <v>55185500</v>
      </c>
      <c r="G391" s="25"/>
      <c r="H391" s="11"/>
      <c r="I391" s="21"/>
      <c r="J391" s="21"/>
      <c r="K391" s="21"/>
      <c r="L391" s="21"/>
      <c r="M391" s="21"/>
      <c r="N391" s="21"/>
    </row>
    <row r="392" spans="1:14" ht="15.75" customHeight="1" x14ac:dyDescent="0.25">
      <c r="A392" s="7"/>
      <c r="B392" s="343" t="s">
        <v>342</v>
      </c>
      <c r="C392" s="344"/>
      <c r="D392" s="344"/>
      <c r="E392" s="334"/>
      <c r="F392" s="104">
        <f>F391</f>
        <v>55185500</v>
      </c>
      <c r="G392" s="25"/>
      <c r="H392" s="11"/>
      <c r="I392" s="21"/>
      <c r="J392" s="21"/>
      <c r="K392" s="21"/>
      <c r="L392" s="21"/>
      <c r="M392" s="21"/>
      <c r="N392" s="21"/>
    </row>
    <row r="393" spans="1:14" ht="15.75" customHeight="1" x14ac:dyDescent="0.25">
      <c r="A393" s="7"/>
      <c r="B393" s="343" t="s">
        <v>343</v>
      </c>
      <c r="C393" s="344"/>
      <c r="D393" s="344"/>
      <c r="E393" s="334"/>
      <c r="F393" s="104">
        <v>6070405</v>
      </c>
      <c r="G393" s="25"/>
      <c r="H393" s="11"/>
      <c r="I393" s="21"/>
      <c r="J393" s="21"/>
      <c r="K393" s="21"/>
      <c r="L393" s="21"/>
      <c r="M393" s="21"/>
      <c r="N393" s="21"/>
    </row>
    <row r="394" spans="1:14" ht="15.75" customHeight="1" x14ac:dyDescent="0.25">
      <c r="A394" s="7"/>
      <c r="B394" s="345" t="s">
        <v>344</v>
      </c>
      <c r="C394" s="344"/>
      <c r="D394" s="344"/>
      <c r="E394" s="334"/>
      <c r="F394" s="107">
        <f>SUM(F392:F393)</f>
        <v>61255905</v>
      </c>
      <c r="G394" s="25"/>
      <c r="H394" s="11"/>
      <c r="I394" s="21"/>
      <c r="J394" s="21"/>
      <c r="K394" s="21"/>
      <c r="L394" s="21"/>
      <c r="M394" s="21"/>
      <c r="N394" s="21"/>
    </row>
    <row r="395" spans="1:14" ht="15.75" customHeight="1" x14ac:dyDescent="0.25">
      <c r="A395" s="21"/>
      <c r="B395" s="21"/>
      <c r="C395" s="11"/>
      <c r="D395" s="11"/>
      <c r="E395" s="21"/>
      <c r="F395" s="21"/>
      <c r="G395" s="25"/>
      <c r="H395" s="11"/>
      <c r="I395" s="21"/>
      <c r="J395" s="21"/>
      <c r="K395" s="21"/>
      <c r="L395" s="21"/>
      <c r="M395" s="21"/>
      <c r="N395" s="21"/>
    </row>
    <row r="396" spans="1:14" ht="15.75" customHeight="1" x14ac:dyDescent="0.25">
      <c r="A396" s="31" t="s">
        <v>351</v>
      </c>
      <c r="B396" s="31" t="s">
        <v>234</v>
      </c>
      <c r="C396" s="31" t="s">
        <v>16</v>
      </c>
      <c r="D396" s="31" t="s">
        <v>17</v>
      </c>
      <c r="E396" s="31" t="s">
        <v>235</v>
      </c>
      <c r="F396" s="31" t="s">
        <v>236</v>
      </c>
      <c r="G396" s="25"/>
      <c r="H396" s="11"/>
      <c r="I396" s="21"/>
      <c r="J396" s="21"/>
      <c r="K396" s="21"/>
      <c r="L396" s="21"/>
      <c r="M396" s="21"/>
      <c r="N396" s="21"/>
    </row>
    <row r="397" spans="1:14" ht="15.75" customHeight="1" x14ac:dyDescent="0.25">
      <c r="A397" s="7">
        <v>1</v>
      </c>
      <c r="B397" s="35" t="s">
        <v>465</v>
      </c>
      <c r="C397" s="7">
        <v>2</v>
      </c>
      <c r="D397" s="7" t="s">
        <v>363</v>
      </c>
      <c r="E397" s="104">
        <v>1050000</v>
      </c>
      <c r="F397" s="104">
        <f>E397*C397</f>
        <v>2100000</v>
      </c>
      <c r="G397" s="25"/>
      <c r="H397" s="11"/>
      <c r="I397" s="21"/>
      <c r="J397" s="21"/>
      <c r="K397" s="21"/>
      <c r="L397" s="21"/>
      <c r="M397" s="21"/>
      <c r="N397" s="21"/>
    </row>
    <row r="398" spans="1:14" ht="15.75" customHeight="1" x14ac:dyDescent="0.25">
      <c r="A398" s="7">
        <v>2</v>
      </c>
      <c r="B398" s="35" t="s">
        <v>466</v>
      </c>
      <c r="C398" s="7">
        <v>1</v>
      </c>
      <c r="D398" s="7" t="s">
        <v>363</v>
      </c>
      <c r="E398" s="104">
        <v>820000</v>
      </c>
      <c r="F398" s="104">
        <f>E398*C398</f>
        <v>820000</v>
      </c>
      <c r="G398" s="25"/>
      <c r="H398" s="11"/>
      <c r="I398" s="21"/>
      <c r="J398" s="21"/>
      <c r="K398" s="21"/>
      <c r="L398" s="21"/>
      <c r="M398" s="21"/>
      <c r="N398" s="21"/>
    </row>
    <row r="399" spans="1:14" ht="15.75" customHeight="1" x14ac:dyDescent="0.25">
      <c r="A399" s="7">
        <v>3</v>
      </c>
      <c r="B399" s="35" t="s">
        <v>467</v>
      </c>
      <c r="C399" s="7">
        <v>1</v>
      </c>
      <c r="D399" s="7" t="s">
        <v>363</v>
      </c>
      <c r="E399" s="104">
        <v>375000</v>
      </c>
      <c r="F399" s="104">
        <f>E399*C399</f>
        <v>375000</v>
      </c>
      <c r="G399" s="25"/>
      <c r="H399" s="11"/>
      <c r="I399" s="21"/>
      <c r="J399" s="21"/>
      <c r="K399" s="21"/>
      <c r="L399" s="21"/>
      <c r="M399" s="21"/>
      <c r="N399" s="21"/>
    </row>
    <row r="400" spans="1:14" ht="15.75" customHeight="1" x14ac:dyDescent="0.25">
      <c r="A400" s="7"/>
      <c r="B400" s="343" t="s">
        <v>342</v>
      </c>
      <c r="C400" s="344"/>
      <c r="D400" s="344"/>
      <c r="E400" s="334"/>
      <c r="F400" s="104">
        <f>SUM(F397:F399)</f>
        <v>3295000</v>
      </c>
      <c r="G400" s="25"/>
      <c r="H400" s="11"/>
      <c r="I400" s="21"/>
      <c r="J400" s="21"/>
      <c r="K400" s="21"/>
      <c r="L400" s="21"/>
      <c r="M400" s="21"/>
      <c r="N400" s="21"/>
    </row>
    <row r="401" spans="1:14" ht="15.75" customHeight="1" x14ac:dyDescent="0.25">
      <c r="A401" s="7"/>
      <c r="B401" s="343" t="s">
        <v>343</v>
      </c>
      <c r="C401" s="344"/>
      <c r="D401" s="344"/>
      <c r="E401" s="334"/>
      <c r="F401" s="104">
        <v>362450</v>
      </c>
      <c r="G401" s="25"/>
      <c r="H401" s="11"/>
      <c r="I401" s="21"/>
      <c r="J401" s="21"/>
      <c r="K401" s="21"/>
      <c r="L401" s="21"/>
      <c r="M401" s="21"/>
      <c r="N401" s="21"/>
    </row>
    <row r="402" spans="1:14" ht="15.75" customHeight="1" x14ac:dyDescent="0.25">
      <c r="A402" s="7"/>
      <c r="B402" s="345" t="s">
        <v>344</v>
      </c>
      <c r="C402" s="344"/>
      <c r="D402" s="344"/>
      <c r="E402" s="334"/>
      <c r="F402" s="107">
        <f>SUM(F400:F401)</f>
        <v>3657450</v>
      </c>
      <c r="G402" s="25"/>
      <c r="H402" s="11"/>
      <c r="I402" s="21"/>
      <c r="J402" s="21"/>
      <c r="K402" s="21"/>
      <c r="L402" s="21"/>
      <c r="M402" s="21"/>
      <c r="N402" s="21"/>
    </row>
    <row r="403" spans="1:14" ht="15.75" customHeight="1" x14ac:dyDescent="0.25">
      <c r="A403" s="21"/>
      <c r="B403" s="21"/>
      <c r="C403" s="11"/>
      <c r="D403" s="11"/>
      <c r="E403" s="21"/>
      <c r="F403" s="21"/>
      <c r="G403" s="25"/>
      <c r="H403" s="11"/>
      <c r="I403" s="21"/>
      <c r="J403" s="21"/>
      <c r="K403" s="21"/>
      <c r="L403" s="21"/>
      <c r="M403" s="21"/>
      <c r="N403" s="21"/>
    </row>
    <row r="404" spans="1:14" ht="15.75" customHeight="1" x14ac:dyDescent="0.25">
      <c r="A404" s="31" t="s">
        <v>14</v>
      </c>
      <c r="B404" s="31" t="s">
        <v>234</v>
      </c>
      <c r="C404" s="31" t="s">
        <v>16</v>
      </c>
      <c r="D404" s="31" t="s">
        <v>17</v>
      </c>
      <c r="E404" s="31" t="s">
        <v>235</v>
      </c>
      <c r="F404" s="31" t="s">
        <v>236</v>
      </c>
      <c r="G404" s="25"/>
      <c r="H404" s="11"/>
      <c r="I404" s="21"/>
      <c r="J404" s="21"/>
      <c r="K404" s="21"/>
      <c r="L404" s="21"/>
      <c r="M404" s="21"/>
      <c r="N404" s="21"/>
    </row>
    <row r="405" spans="1:14" ht="15.75" customHeight="1" x14ac:dyDescent="0.25">
      <c r="A405" s="7">
        <v>1</v>
      </c>
      <c r="B405" s="41" t="s">
        <v>468</v>
      </c>
      <c r="C405" s="7">
        <v>20</v>
      </c>
      <c r="D405" s="7" t="s">
        <v>19</v>
      </c>
      <c r="E405" s="104">
        <v>122500</v>
      </c>
      <c r="F405" s="104">
        <f>E405*C405</f>
        <v>2450000</v>
      </c>
      <c r="G405" s="25"/>
      <c r="H405" s="11"/>
      <c r="I405" s="21"/>
      <c r="J405" s="21"/>
      <c r="K405" s="21"/>
      <c r="L405" s="21"/>
      <c r="M405" s="21"/>
      <c r="N405" s="21"/>
    </row>
    <row r="406" spans="1:14" ht="15.75" customHeight="1" x14ac:dyDescent="0.25">
      <c r="A406" s="7"/>
      <c r="B406" s="343" t="s">
        <v>342</v>
      </c>
      <c r="C406" s="344"/>
      <c r="D406" s="344"/>
      <c r="E406" s="334"/>
      <c r="F406" s="104">
        <f>F405</f>
        <v>2450000</v>
      </c>
      <c r="G406" s="25"/>
      <c r="H406" s="11"/>
      <c r="I406" s="21"/>
      <c r="J406" s="21"/>
      <c r="K406" s="21"/>
      <c r="L406" s="21"/>
      <c r="M406" s="21"/>
      <c r="N406" s="21"/>
    </row>
    <row r="407" spans="1:14" ht="15.75" customHeight="1" x14ac:dyDescent="0.25">
      <c r="A407" s="7"/>
      <c r="B407" s="343" t="s">
        <v>343</v>
      </c>
      <c r="C407" s="344"/>
      <c r="D407" s="344"/>
      <c r="E407" s="334"/>
      <c r="F407" s="104">
        <v>269500</v>
      </c>
      <c r="G407" s="25"/>
      <c r="H407" s="11"/>
      <c r="I407" s="21"/>
      <c r="J407" s="21"/>
      <c r="K407" s="21"/>
      <c r="L407" s="21"/>
      <c r="M407" s="21"/>
      <c r="N407" s="21"/>
    </row>
    <row r="408" spans="1:14" ht="15.75" customHeight="1" x14ac:dyDescent="0.25">
      <c r="A408" s="7"/>
      <c r="B408" s="345" t="s">
        <v>344</v>
      </c>
      <c r="C408" s="344"/>
      <c r="D408" s="344"/>
      <c r="E408" s="334"/>
      <c r="F408" s="107">
        <f>SUM(F406:F407)</f>
        <v>2719500</v>
      </c>
      <c r="G408" s="25"/>
      <c r="H408" s="11"/>
      <c r="I408" s="21"/>
      <c r="J408" s="21"/>
      <c r="K408" s="21"/>
      <c r="L408" s="21"/>
      <c r="M408" s="21"/>
      <c r="N408" s="21"/>
    </row>
    <row r="409" spans="1:14" ht="15.75" customHeight="1" x14ac:dyDescent="0.25">
      <c r="A409" s="21"/>
      <c r="B409" s="21"/>
      <c r="C409" s="11"/>
      <c r="D409" s="11"/>
      <c r="E409" s="21"/>
      <c r="F409" s="21"/>
      <c r="G409" s="25"/>
      <c r="H409" s="11"/>
      <c r="I409" s="21"/>
      <c r="J409" s="21"/>
      <c r="K409" s="21"/>
      <c r="L409" s="21"/>
      <c r="M409" s="21"/>
      <c r="N409" s="21"/>
    </row>
    <row r="410" spans="1:14" ht="15.75" customHeight="1" x14ac:dyDescent="0.25">
      <c r="A410" s="31" t="s">
        <v>351</v>
      </c>
      <c r="B410" s="31" t="s">
        <v>234</v>
      </c>
      <c r="C410" s="31" t="s">
        <v>16</v>
      </c>
      <c r="D410" s="31" t="s">
        <v>17</v>
      </c>
      <c r="E410" s="31" t="s">
        <v>235</v>
      </c>
      <c r="F410" s="31" t="s">
        <v>236</v>
      </c>
      <c r="G410" s="25"/>
      <c r="H410" s="11"/>
      <c r="I410" s="21"/>
      <c r="J410" s="21"/>
      <c r="K410" s="21"/>
      <c r="L410" s="21"/>
      <c r="M410" s="21"/>
      <c r="N410" s="21"/>
    </row>
    <row r="411" spans="1:14" ht="15.75" customHeight="1" x14ac:dyDescent="0.25">
      <c r="A411" s="7">
        <v>1</v>
      </c>
      <c r="B411" s="35" t="s">
        <v>469</v>
      </c>
      <c r="C411" s="7">
        <v>4</v>
      </c>
      <c r="D411" s="7" t="s">
        <v>19</v>
      </c>
      <c r="E411" s="104">
        <v>43750</v>
      </c>
      <c r="F411" s="104">
        <f>E411*C411</f>
        <v>175000</v>
      </c>
      <c r="G411" s="25"/>
      <c r="H411" s="11"/>
      <c r="I411" s="21"/>
      <c r="J411" s="21"/>
      <c r="K411" s="21"/>
      <c r="L411" s="21"/>
      <c r="M411" s="21"/>
      <c r="N411" s="21"/>
    </row>
    <row r="412" spans="1:14" ht="15.75" customHeight="1" x14ac:dyDescent="0.25">
      <c r="A412" s="7">
        <v>2</v>
      </c>
      <c r="B412" s="35" t="s">
        <v>470</v>
      </c>
      <c r="C412" s="7">
        <v>10</v>
      </c>
      <c r="D412" s="7" t="s">
        <v>19</v>
      </c>
      <c r="E412" s="104">
        <v>9375</v>
      </c>
      <c r="F412" s="104">
        <f>E412*C412</f>
        <v>93750</v>
      </c>
      <c r="G412" s="25"/>
      <c r="H412" s="11"/>
      <c r="I412" s="21"/>
      <c r="J412" s="21"/>
      <c r="K412" s="21"/>
      <c r="L412" s="21"/>
      <c r="M412" s="21"/>
      <c r="N412" s="21"/>
    </row>
    <row r="413" spans="1:14" ht="15.75" customHeight="1" x14ac:dyDescent="0.25">
      <c r="A413" s="7"/>
      <c r="B413" s="343" t="s">
        <v>342</v>
      </c>
      <c r="C413" s="344"/>
      <c r="D413" s="344"/>
      <c r="E413" s="334"/>
      <c r="F413" s="104">
        <f>SUM(F410:F412)</f>
        <v>268750</v>
      </c>
      <c r="G413" s="25"/>
      <c r="H413" s="11"/>
      <c r="I413" s="21"/>
      <c r="J413" s="21"/>
      <c r="K413" s="21"/>
      <c r="L413" s="21"/>
      <c r="M413" s="21"/>
      <c r="N413" s="21"/>
    </row>
    <row r="414" spans="1:14" ht="15.75" customHeight="1" x14ac:dyDescent="0.25">
      <c r="A414" s="7"/>
      <c r="B414" s="343" t="s">
        <v>343</v>
      </c>
      <c r="C414" s="344"/>
      <c r="D414" s="344"/>
      <c r="E414" s="334"/>
      <c r="F414" s="112">
        <v>29562.5</v>
      </c>
      <c r="G414" s="25"/>
      <c r="H414" s="11"/>
      <c r="I414" s="21"/>
      <c r="J414" s="21"/>
      <c r="K414" s="21"/>
      <c r="L414" s="21"/>
      <c r="M414" s="21"/>
      <c r="N414" s="21"/>
    </row>
    <row r="415" spans="1:14" ht="15.75" customHeight="1" x14ac:dyDescent="0.25">
      <c r="A415" s="7"/>
      <c r="B415" s="345" t="s">
        <v>344</v>
      </c>
      <c r="C415" s="344"/>
      <c r="D415" s="344"/>
      <c r="E415" s="334"/>
      <c r="F415" s="113">
        <f>SUM(F413:F414)</f>
        <v>298312.5</v>
      </c>
      <c r="G415" s="25"/>
      <c r="H415" s="11"/>
      <c r="I415" s="21"/>
      <c r="J415" s="21"/>
      <c r="K415" s="21"/>
      <c r="L415" s="21"/>
      <c r="M415" s="21"/>
      <c r="N415" s="21"/>
    </row>
    <row r="416" spans="1:14" ht="15.75" customHeight="1" x14ac:dyDescent="0.25">
      <c r="A416" s="21"/>
      <c r="B416" s="21"/>
      <c r="C416" s="11"/>
      <c r="D416" s="11"/>
      <c r="E416" s="21"/>
      <c r="F416" s="21"/>
      <c r="G416" s="25"/>
      <c r="H416" s="11"/>
      <c r="I416" s="21"/>
      <c r="J416" s="21"/>
      <c r="K416" s="21"/>
      <c r="L416" s="21"/>
      <c r="M416" s="21"/>
      <c r="N416" s="21"/>
    </row>
    <row r="417" spans="1:14" ht="15.75" customHeight="1" x14ac:dyDescent="0.25">
      <c r="A417" s="31" t="s">
        <v>14</v>
      </c>
      <c r="B417" s="31" t="s">
        <v>234</v>
      </c>
      <c r="C417" s="31" t="s">
        <v>16</v>
      </c>
      <c r="D417" s="31" t="s">
        <v>17</v>
      </c>
      <c r="E417" s="31" t="s">
        <v>235</v>
      </c>
      <c r="F417" s="31" t="s">
        <v>236</v>
      </c>
      <c r="G417" s="25"/>
      <c r="H417" s="11"/>
      <c r="I417" s="21"/>
      <c r="J417" s="21"/>
      <c r="K417" s="21"/>
      <c r="L417" s="21"/>
      <c r="M417" s="21"/>
      <c r="N417" s="21"/>
    </row>
    <row r="418" spans="1:14" ht="15.75" customHeight="1" x14ac:dyDescent="0.25">
      <c r="A418" s="7">
        <v>1</v>
      </c>
      <c r="B418" s="41" t="s">
        <v>471</v>
      </c>
      <c r="C418" s="7">
        <v>100</v>
      </c>
      <c r="D418" s="7" t="s">
        <v>363</v>
      </c>
      <c r="E418" s="104">
        <v>950</v>
      </c>
      <c r="F418" s="104">
        <f>E418*C418</f>
        <v>95000</v>
      </c>
      <c r="G418" s="25"/>
      <c r="H418" s="11"/>
      <c r="I418" s="21"/>
      <c r="J418" s="21"/>
      <c r="K418" s="21"/>
      <c r="L418" s="21"/>
      <c r="M418" s="21"/>
      <c r="N418" s="21"/>
    </row>
    <row r="419" spans="1:14" ht="15.75" customHeight="1" x14ac:dyDescent="0.25">
      <c r="A419" s="7"/>
      <c r="B419" s="343" t="s">
        <v>342</v>
      </c>
      <c r="C419" s="344"/>
      <c r="D419" s="344"/>
      <c r="E419" s="334"/>
      <c r="F419" s="104">
        <f>F418</f>
        <v>95000</v>
      </c>
      <c r="G419" s="25"/>
      <c r="H419" s="11"/>
      <c r="I419" s="21"/>
      <c r="J419" s="21"/>
      <c r="K419" s="21"/>
      <c r="L419" s="21"/>
      <c r="M419" s="21"/>
      <c r="N419" s="21"/>
    </row>
    <row r="420" spans="1:14" ht="15.75" customHeight="1" x14ac:dyDescent="0.25">
      <c r="A420" s="7"/>
      <c r="B420" s="343" t="s">
        <v>343</v>
      </c>
      <c r="C420" s="344"/>
      <c r="D420" s="344"/>
      <c r="E420" s="334"/>
      <c r="F420" s="104">
        <v>10450</v>
      </c>
      <c r="G420" s="25"/>
      <c r="H420" s="11"/>
      <c r="I420" s="21"/>
      <c r="J420" s="21"/>
      <c r="K420" s="21"/>
      <c r="L420" s="21"/>
      <c r="M420" s="21"/>
      <c r="N420" s="21"/>
    </row>
    <row r="421" spans="1:14" ht="15.75" customHeight="1" x14ac:dyDescent="0.25">
      <c r="A421" s="7"/>
      <c r="B421" s="345" t="s">
        <v>344</v>
      </c>
      <c r="C421" s="344"/>
      <c r="D421" s="344"/>
      <c r="E421" s="334"/>
      <c r="F421" s="107">
        <f>SUM(F419:F420)</f>
        <v>105450</v>
      </c>
      <c r="G421" s="25"/>
      <c r="H421" s="11"/>
      <c r="I421" s="21"/>
      <c r="J421" s="21"/>
      <c r="K421" s="21"/>
      <c r="L421" s="21"/>
      <c r="M421" s="21"/>
      <c r="N421" s="21"/>
    </row>
    <row r="422" spans="1:14" ht="15.75" customHeight="1" x14ac:dyDescent="0.25">
      <c r="A422" s="21"/>
      <c r="B422" s="21"/>
      <c r="C422" s="11"/>
      <c r="D422" s="11"/>
      <c r="E422" s="21"/>
      <c r="F422" s="21"/>
      <c r="G422" s="25"/>
      <c r="H422" s="11"/>
      <c r="I422" s="21"/>
      <c r="J422" s="21"/>
      <c r="K422" s="21"/>
      <c r="L422" s="21"/>
      <c r="M422" s="21"/>
      <c r="N422" s="21"/>
    </row>
    <row r="423" spans="1:14" ht="15.75" customHeight="1" x14ac:dyDescent="0.25">
      <c r="A423" s="31" t="s">
        <v>14</v>
      </c>
      <c r="B423" s="31" t="s">
        <v>234</v>
      </c>
      <c r="C423" s="31" t="s">
        <v>16</v>
      </c>
      <c r="D423" s="31" t="s">
        <v>17</v>
      </c>
      <c r="E423" s="31" t="s">
        <v>235</v>
      </c>
      <c r="F423" s="31" t="s">
        <v>236</v>
      </c>
      <c r="G423" s="25"/>
      <c r="H423" s="11"/>
      <c r="I423" s="21"/>
      <c r="J423" s="21"/>
      <c r="K423" s="21"/>
      <c r="L423" s="21"/>
      <c r="M423" s="21"/>
      <c r="N423" s="21"/>
    </row>
    <row r="424" spans="1:14" ht="15.75" customHeight="1" x14ac:dyDescent="0.25">
      <c r="A424" s="7">
        <v>1</v>
      </c>
      <c r="B424" s="41" t="s">
        <v>472</v>
      </c>
      <c r="C424" s="7">
        <v>20</v>
      </c>
      <c r="D424" s="7" t="s">
        <v>363</v>
      </c>
      <c r="E424" s="108">
        <v>432777.25</v>
      </c>
      <c r="F424" s="104">
        <f>E424*C424</f>
        <v>8655545</v>
      </c>
      <c r="G424" s="25"/>
      <c r="H424" s="11"/>
      <c r="I424" s="21"/>
      <c r="J424" s="21"/>
      <c r="K424" s="21"/>
      <c r="L424" s="21"/>
      <c r="M424" s="21"/>
      <c r="N424" s="21"/>
    </row>
    <row r="425" spans="1:14" ht="15.75" customHeight="1" x14ac:dyDescent="0.25">
      <c r="A425" s="7"/>
      <c r="B425" s="343" t="s">
        <v>342</v>
      </c>
      <c r="C425" s="344"/>
      <c r="D425" s="344"/>
      <c r="E425" s="334"/>
      <c r="F425" s="104">
        <f>F424</f>
        <v>8655545</v>
      </c>
      <c r="G425" s="25"/>
      <c r="H425" s="11"/>
      <c r="I425" s="21"/>
      <c r="J425" s="21"/>
      <c r="K425" s="21"/>
      <c r="L425" s="21"/>
      <c r="M425" s="21"/>
      <c r="N425" s="21"/>
    </row>
    <row r="426" spans="1:14" ht="15.75" customHeight="1" x14ac:dyDescent="0.25">
      <c r="A426" s="7"/>
      <c r="B426" s="343" t="s">
        <v>343</v>
      </c>
      <c r="C426" s="344"/>
      <c r="D426" s="344"/>
      <c r="E426" s="334"/>
      <c r="F426" s="108">
        <v>952109.95</v>
      </c>
      <c r="G426" s="25"/>
      <c r="H426" s="11"/>
      <c r="I426" s="21"/>
      <c r="J426" s="21"/>
      <c r="K426" s="21"/>
      <c r="L426" s="21"/>
      <c r="M426" s="21"/>
      <c r="N426" s="21"/>
    </row>
    <row r="427" spans="1:14" ht="15.75" customHeight="1" x14ac:dyDescent="0.25">
      <c r="A427" s="7"/>
      <c r="B427" s="345" t="s">
        <v>344</v>
      </c>
      <c r="C427" s="344"/>
      <c r="D427" s="344"/>
      <c r="E427" s="334"/>
      <c r="F427" s="109">
        <f>SUM(F425:F426)</f>
        <v>9607654.9499999993</v>
      </c>
      <c r="G427" s="25"/>
      <c r="H427" s="11"/>
      <c r="I427" s="21"/>
      <c r="J427" s="21"/>
      <c r="K427" s="21"/>
      <c r="L427" s="21"/>
      <c r="M427" s="21"/>
      <c r="N427" s="21"/>
    </row>
    <row r="428" spans="1:14" ht="15.75" customHeight="1" x14ac:dyDescent="0.25">
      <c r="A428" s="21"/>
      <c r="B428" s="21"/>
      <c r="C428" s="11"/>
      <c r="D428" s="11"/>
      <c r="E428" s="21"/>
      <c r="F428" s="21"/>
      <c r="G428" s="25"/>
      <c r="H428" s="11"/>
      <c r="I428" s="21"/>
      <c r="J428" s="21"/>
      <c r="K428" s="21"/>
      <c r="L428" s="21"/>
      <c r="M428" s="21"/>
      <c r="N428" s="21"/>
    </row>
    <row r="429" spans="1:14" ht="15.75" customHeight="1" x14ac:dyDescent="0.25">
      <c r="A429" s="31" t="s">
        <v>351</v>
      </c>
      <c r="B429" s="31" t="s">
        <v>234</v>
      </c>
      <c r="C429" s="31" t="s">
        <v>16</v>
      </c>
      <c r="D429" s="31" t="s">
        <v>17</v>
      </c>
      <c r="E429" s="31" t="s">
        <v>235</v>
      </c>
      <c r="F429" s="31" t="s">
        <v>236</v>
      </c>
      <c r="G429" s="25"/>
      <c r="H429" s="11"/>
      <c r="I429" s="21"/>
      <c r="J429" s="21"/>
      <c r="K429" s="21"/>
      <c r="L429" s="21"/>
      <c r="M429" s="21"/>
      <c r="N429" s="21"/>
    </row>
    <row r="430" spans="1:14" ht="15.75" customHeight="1" x14ac:dyDescent="0.25">
      <c r="A430" s="7">
        <v>1</v>
      </c>
      <c r="B430" s="35" t="s">
        <v>473</v>
      </c>
      <c r="C430" s="7">
        <v>5</v>
      </c>
      <c r="D430" s="7" t="s">
        <v>363</v>
      </c>
      <c r="E430" s="104">
        <v>106600</v>
      </c>
      <c r="F430" s="104">
        <f>E430*C430</f>
        <v>533000</v>
      </c>
      <c r="G430" s="25"/>
      <c r="H430" s="11"/>
      <c r="I430" s="21"/>
      <c r="J430" s="21"/>
      <c r="K430" s="21"/>
      <c r="L430" s="21"/>
      <c r="M430" s="21"/>
      <c r="N430" s="21"/>
    </row>
    <row r="431" spans="1:14" ht="15.75" customHeight="1" x14ac:dyDescent="0.25">
      <c r="A431" s="7">
        <v>2</v>
      </c>
      <c r="B431" s="35" t="s">
        <v>474</v>
      </c>
      <c r="C431" s="7">
        <v>5</v>
      </c>
      <c r="D431" s="7" t="s">
        <v>363</v>
      </c>
      <c r="E431" s="104">
        <v>108600</v>
      </c>
      <c r="F431" s="104">
        <f>E431*C431</f>
        <v>543000</v>
      </c>
      <c r="G431" s="25"/>
      <c r="H431" s="11"/>
      <c r="I431" s="21"/>
      <c r="J431" s="21"/>
      <c r="K431" s="21"/>
      <c r="L431" s="21"/>
      <c r="M431" s="21"/>
      <c r="N431" s="21"/>
    </row>
    <row r="432" spans="1:14" ht="15.75" customHeight="1" x14ac:dyDescent="0.25">
      <c r="A432" s="7"/>
      <c r="B432" s="343" t="s">
        <v>342</v>
      </c>
      <c r="C432" s="344"/>
      <c r="D432" s="344"/>
      <c r="E432" s="334"/>
      <c r="F432" s="104">
        <f>SUM(F429:F431)</f>
        <v>1076000</v>
      </c>
      <c r="G432" s="25"/>
      <c r="H432" s="11"/>
      <c r="I432" s="21"/>
      <c r="J432" s="21"/>
      <c r="K432" s="21"/>
      <c r="L432" s="21"/>
      <c r="M432" s="21"/>
      <c r="N432" s="21"/>
    </row>
    <row r="433" spans="1:14" ht="15.75" customHeight="1" x14ac:dyDescent="0.25">
      <c r="A433" s="7"/>
      <c r="B433" s="343" t="s">
        <v>343</v>
      </c>
      <c r="C433" s="344"/>
      <c r="D433" s="344"/>
      <c r="E433" s="334"/>
      <c r="F433" s="104">
        <v>118360</v>
      </c>
      <c r="G433" s="25"/>
      <c r="H433" s="11"/>
      <c r="I433" s="21"/>
      <c r="J433" s="21"/>
      <c r="K433" s="21"/>
      <c r="L433" s="21"/>
      <c r="M433" s="21"/>
      <c r="N433" s="21"/>
    </row>
    <row r="434" spans="1:14" ht="15.75" customHeight="1" x14ac:dyDescent="0.25">
      <c r="A434" s="7"/>
      <c r="B434" s="345" t="s">
        <v>344</v>
      </c>
      <c r="C434" s="344"/>
      <c r="D434" s="344"/>
      <c r="E434" s="334"/>
      <c r="F434" s="107">
        <f>SUM(F432:F433)</f>
        <v>1194360</v>
      </c>
      <c r="G434" s="25"/>
      <c r="H434" s="11"/>
      <c r="I434" s="21"/>
      <c r="J434" s="21"/>
      <c r="K434" s="21"/>
      <c r="L434" s="21"/>
      <c r="M434" s="21"/>
      <c r="N434" s="21"/>
    </row>
    <row r="435" spans="1:14" ht="15.75" customHeight="1" x14ac:dyDescent="0.25">
      <c r="A435" s="21"/>
      <c r="B435" s="21"/>
      <c r="C435" s="11"/>
      <c r="D435" s="11"/>
      <c r="E435" s="21"/>
      <c r="F435" s="21"/>
      <c r="G435" s="25"/>
      <c r="H435" s="11"/>
      <c r="I435" s="21"/>
      <c r="J435" s="21"/>
      <c r="K435" s="21"/>
      <c r="L435" s="21"/>
      <c r="M435" s="21"/>
      <c r="N435" s="21"/>
    </row>
    <row r="436" spans="1:14" ht="15.75" customHeight="1" x14ac:dyDescent="0.25">
      <c r="A436" s="31" t="s">
        <v>351</v>
      </c>
      <c r="B436" s="31" t="s">
        <v>234</v>
      </c>
      <c r="C436" s="31" t="s">
        <v>16</v>
      </c>
      <c r="D436" s="31" t="s">
        <v>17</v>
      </c>
      <c r="E436" s="31" t="s">
        <v>235</v>
      </c>
      <c r="F436" s="31" t="s">
        <v>236</v>
      </c>
      <c r="G436" s="25"/>
      <c r="H436" s="11"/>
      <c r="I436" s="21"/>
      <c r="J436" s="21"/>
      <c r="K436" s="21"/>
      <c r="L436" s="21"/>
      <c r="M436" s="21"/>
      <c r="N436" s="21"/>
    </row>
    <row r="437" spans="1:14" ht="15.75" customHeight="1" x14ac:dyDescent="0.25">
      <c r="A437" s="7">
        <v>1</v>
      </c>
      <c r="B437" s="35" t="s">
        <v>475</v>
      </c>
      <c r="C437" s="7">
        <v>3</v>
      </c>
      <c r="D437" s="7" t="s">
        <v>363</v>
      </c>
      <c r="E437" s="104">
        <v>180000</v>
      </c>
      <c r="F437" s="104">
        <f>E437*C437</f>
        <v>540000</v>
      </c>
      <c r="G437" s="25"/>
      <c r="H437" s="11"/>
      <c r="I437" s="21"/>
      <c r="J437" s="21"/>
      <c r="K437" s="21"/>
      <c r="L437" s="21"/>
      <c r="M437" s="21"/>
      <c r="N437" s="21"/>
    </row>
    <row r="438" spans="1:14" ht="15.75" customHeight="1" x14ac:dyDescent="0.25">
      <c r="A438" s="7">
        <v>2</v>
      </c>
      <c r="B438" s="41" t="s">
        <v>476</v>
      </c>
      <c r="C438" s="7">
        <v>5</v>
      </c>
      <c r="D438" s="7" t="s">
        <v>363</v>
      </c>
      <c r="E438" s="104">
        <v>15000</v>
      </c>
      <c r="F438" s="104">
        <f>E438*C438</f>
        <v>75000</v>
      </c>
      <c r="G438" s="25"/>
      <c r="H438" s="11"/>
      <c r="I438" s="21"/>
      <c r="J438" s="21"/>
      <c r="K438" s="21"/>
      <c r="L438" s="21"/>
      <c r="M438" s="21"/>
      <c r="N438" s="21"/>
    </row>
    <row r="439" spans="1:14" ht="15.75" customHeight="1" x14ac:dyDescent="0.25">
      <c r="A439" s="7"/>
      <c r="B439" s="343" t="s">
        <v>342</v>
      </c>
      <c r="C439" s="344"/>
      <c r="D439" s="344"/>
      <c r="E439" s="334"/>
      <c r="F439" s="104">
        <f>SUM(F436:F438)</f>
        <v>615000</v>
      </c>
      <c r="G439" s="25"/>
      <c r="H439" s="11"/>
      <c r="I439" s="21"/>
      <c r="J439" s="21"/>
      <c r="K439" s="21"/>
      <c r="L439" s="21"/>
      <c r="M439" s="21"/>
      <c r="N439" s="21"/>
    </row>
    <row r="440" spans="1:14" ht="15.75" customHeight="1" x14ac:dyDescent="0.25">
      <c r="A440" s="7"/>
      <c r="B440" s="343" t="s">
        <v>343</v>
      </c>
      <c r="C440" s="344"/>
      <c r="D440" s="344"/>
      <c r="E440" s="334"/>
      <c r="F440" s="104">
        <v>67650</v>
      </c>
      <c r="G440" s="25"/>
      <c r="H440" s="11"/>
      <c r="I440" s="21"/>
      <c r="J440" s="21"/>
      <c r="K440" s="21"/>
      <c r="L440" s="21"/>
      <c r="M440" s="21"/>
      <c r="N440" s="21"/>
    </row>
    <row r="441" spans="1:14" ht="15.75" customHeight="1" x14ac:dyDescent="0.25">
      <c r="A441" s="7"/>
      <c r="B441" s="345" t="s">
        <v>344</v>
      </c>
      <c r="C441" s="344"/>
      <c r="D441" s="344"/>
      <c r="E441" s="334"/>
      <c r="F441" s="107">
        <f>SUM(F439:F440)</f>
        <v>682650</v>
      </c>
      <c r="G441" s="25"/>
      <c r="H441" s="11"/>
      <c r="I441" s="21"/>
      <c r="J441" s="21"/>
      <c r="K441" s="21"/>
      <c r="L441" s="21"/>
      <c r="M441" s="21"/>
      <c r="N441" s="21"/>
    </row>
    <row r="442" spans="1:14" ht="15.75" customHeight="1" x14ac:dyDescent="0.25">
      <c r="A442" s="21"/>
      <c r="B442" s="21"/>
      <c r="C442" s="11"/>
      <c r="D442" s="11"/>
      <c r="E442" s="21"/>
      <c r="F442" s="21"/>
      <c r="G442" s="25"/>
      <c r="H442" s="11"/>
      <c r="I442" s="21"/>
      <c r="J442" s="21"/>
      <c r="K442" s="21"/>
      <c r="L442" s="21"/>
      <c r="M442" s="21"/>
      <c r="N442" s="21"/>
    </row>
    <row r="443" spans="1:14" ht="15.75" customHeight="1" x14ac:dyDescent="0.25">
      <c r="A443" s="31" t="s">
        <v>351</v>
      </c>
      <c r="B443" s="31" t="s">
        <v>234</v>
      </c>
      <c r="C443" s="31" t="s">
        <v>16</v>
      </c>
      <c r="D443" s="31" t="s">
        <v>17</v>
      </c>
      <c r="E443" s="31" t="s">
        <v>235</v>
      </c>
      <c r="F443" s="31" t="s">
        <v>236</v>
      </c>
      <c r="G443" s="25"/>
      <c r="H443" s="11"/>
      <c r="I443" s="21"/>
      <c r="J443" s="21"/>
      <c r="K443" s="21"/>
      <c r="L443" s="21"/>
      <c r="M443" s="21"/>
      <c r="N443" s="21"/>
    </row>
    <row r="444" spans="1:14" ht="15.75" customHeight="1" x14ac:dyDescent="0.25">
      <c r="A444" s="7">
        <v>1</v>
      </c>
      <c r="B444" s="35" t="s">
        <v>477</v>
      </c>
      <c r="C444" s="7">
        <v>15</v>
      </c>
      <c r="D444" s="7" t="s">
        <v>363</v>
      </c>
      <c r="E444" s="104">
        <v>10500</v>
      </c>
      <c r="F444" s="104">
        <f>E444*C444</f>
        <v>157500</v>
      </c>
      <c r="G444" s="25"/>
      <c r="H444" s="11"/>
      <c r="I444" s="21"/>
      <c r="J444" s="21"/>
      <c r="K444" s="21"/>
      <c r="L444" s="21"/>
      <c r="M444" s="21"/>
      <c r="N444" s="21"/>
    </row>
    <row r="445" spans="1:14" ht="15.75" customHeight="1" x14ac:dyDescent="0.25">
      <c r="A445" s="7">
        <v>2</v>
      </c>
      <c r="B445" s="35" t="s">
        <v>478</v>
      </c>
      <c r="C445" s="7">
        <v>15</v>
      </c>
      <c r="D445" s="7" t="s">
        <v>363</v>
      </c>
      <c r="E445" s="104">
        <v>12500</v>
      </c>
      <c r="F445" s="104">
        <f>E445*C445</f>
        <v>187500</v>
      </c>
      <c r="G445" s="25"/>
      <c r="H445" s="11"/>
      <c r="I445" s="21"/>
      <c r="J445" s="21"/>
      <c r="K445" s="21"/>
      <c r="L445" s="21"/>
      <c r="M445" s="21"/>
      <c r="N445" s="21"/>
    </row>
    <row r="446" spans="1:14" ht="15.75" customHeight="1" x14ac:dyDescent="0.25">
      <c r="A446" s="7">
        <v>3</v>
      </c>
      <c r="B446" s="35" t="s">
        <v>479</v>
      </c>
      <c r="C446" s="7">
        <v>10</v>
      </c>
      <c r="D446" s="7" t="s">
        <v>363</v>
      </c>
      <c r="E446" s="104">
        <v>15500</v>
      </c>
      <c r="F446" s="104">
        <f>E446*C446</f>
        <v>155000</v>
      </c>
      <c r="G446" s="25"/>
      <c r="H446" s="11"/>
      <c r="I446" s="21"/>
      <c r="J446" s="21"/>
      <c r="K446" s="21"/>
      <c r="L446" s="21"/>
      <c r="M446" s="21"/>
      <c r="N446" s="21"/>
    </row>
    <row r="447" spans="1:14" ht="15.75" customHeight="1" x14ac:dyDescent="0.25">
      <c r="A447" s="7">
        <v>4</v>
      </c>
      <c r="B447" s="35" t="s">
        <v>480</v>
      </c>
      <c r="C447" s="7">
        <v>10</v>
      </c>
      <c r="D447" s="7" t="s">
        <v>363</v>
      </c>
      <c r="E447" s="104">
        <v>14500</v>
      </c>
      <c r="F447" s="104">
        <f>E447*C447</f>
        <v>145000</v>
      </c>
      <c r="G447" s="25"/>
      <c r="H447" s="11"/>
      <c r="I447" s="21"/>
      <c r="J447" s="21"/>
      <c r="K447" s="21"/>
      <c r="L447" s="21"/>
      <c r="M447" s="21"/>
      <c r="N447" s="21"/>
    </row>
    <row r="448" spans="1:14" ht="15.75" customHeight="1" x14ac:dyDescent="0.25">
      <c r="A448" s="7"/>
      <c r="B448" s="343" t="s">
        <v>342</v>
      </c>
      <c r="C448" s="344"/>
      <c r="D448" s="344"/>
      <c r="E448" s="334"/>
      <c r="F448" s="104">
        <f>SUM(F444:F447)</f>
        <v>645000</v>
      </c>
      <c r="G448" s="25"/>
      <c r="H448" s="11"/>
      <c r="I448" s="21"/>
      <c r="J448" s="21"/>
      <c r="K448" s="21"/>
      <c r="L448" s="21"/>
      <c r="M448" s="21"/>
      <c r="N448" s="21"/>
    </row>
    <row r="449" spans="1:14" ht="15.75" customHeight="1" x14ac:dyDescent="0.25">
      <c r="A449" s="7"/>
      <c r="B449" s="343" t="s">
        <v>343</v>
      </c>
      <c r="C449" s="344"/>
      <c r="D449" s="344"/>
      <c r="E449" s="334"/>
      <c r="F449" s="104">
        <v>70950</v>
      </c>
      <c r="G449" s="25"/>
      <c r="H449" s="11"/>
      <c r="I449" s="21"/>
      <c r="J449" s="21"/>
      <c r="K449" s="21"/>
      <c r="L449" s="21"/>
      <c r="M449" s="21"/>
      <c r="N449" s="21"/>
    </row>
    <row r="450" spans="1:14" ht="15.75" customHeight="1" x14ac:dyDescent="0.25">
      <c r="A450" s="7"/>
      <c r="B450" s="345" t="s">
        <v>344</v>
      </c>
      <c r="C450" s="344"/>
      <c r="D450" s="344"/>
      <c r="E450" s="334"/>
      <c r="F450" s="107">
        <f>SUM(F448:F449)</f>
        <v>715950</v>
      </c>
      <c r="G450" s="25"/>
      <c r="H450" s="11"/>
      <c r="I450" s="21"/>
      <c r="J450" s="21"/>
      <c r="K450" s="21"/>
      <c r="L450" s="21"/>
      <c r="M450" s="21"/>
      <c r="N450" s="21"/>
    </row>
    <row r="451" spans="1:14" ht="15.75" customHeight="1" x14ac:dyDescent="0.25">
      <c r="A451" s="21"/>
      <c r="B451" s="21"/>
      <c r="C451" s="11"/>
      <c r="D451" s="11"/>
      <c r="E451" s="21"/>
      <c r="F451" s="21"/>
      <c r="G451" s="25"/>
      <c r="H451" s="11"/>
      <c r="I451" s="21"/>
      <c r="J451" s="21"/>
      <c r="K451" s="21"/>
      <c r="L451" s="21"/>
      <c r="M451" s="21"/>
      <c r="N451" s="21"/>
    </row>
    <row r="452" spans="1:14" ht="15.75" customHeight="1" x14ac:dyDescent="0.25">
      <c r="A452" s="31" t="s">
        <v>14</v>
      </c>
      <c r="B452" s="31" t="s">
        <v>234</v>
      </c>
      <c r="C452" s="31" t="s">
        <v>16</v>
      </c>
      <c r="D452" s="31" t="s">
        <v>17</v>
      </c>
      <c r="E452" s="31" t="s">
        <v>235</v>
      </c>
      <c r="F452" s="31" t="s">
        <v>236</v>
      </c>
      <c r="G452" s="25"/>
      <c r="H452" s="11"/>
      <c r="I452" s="21"/>
      <c r="J452" s="21"/>
      <c r="K452" s="21"/>
      <c r="L452" s="21"/>
      <c r="M452" s="21"/>
      <c r="N452" s="21"/>
    </row>
    <row r="453" spans="1:14" ht="15.75" customHeight="1" x14ac:dyDescent="0.25">
      <c r="A453" s="7">
        <v>1</v>
      </c>
      <c r="B453" s="41" t="s">
        <v>481</v>
      </c>
      <c r="C453" s="7">
        <v>3</v>
      </c>
      <c r="D453" s="7" t="s">
        <v>363</v>
      </c>
      <c r="E453" s="104">
        <v>66500</v>
      </c>
      <c r="F453" s="104">
        <f>E453*C453</f>
        <v>199500</v>
      </c>
      <c r="G453" s="25"/>
      <c r="H453" s="11"/>
      <c r="I453" s="21"/>
      <c r="J453" s="21"/>
      <c r="K453" s="21"/>
      <c r="L453" s="21"/>
      <c r="M453" s="21"/>
      <c r="N453" s="21"/>
    </row>
    <row r="454" spans="1:14" ht="15.75" customHeight="1" x14ac:dyDescent="0.25">
      <c r="A454" s="7"/>
      <c r="B454" s="343" t="s">
        <v>342</v>
      </c>
      <c r="C454" s="344"/>
      <c r="D454" s="344"/>
      <c r="E454" s="334"/>
      <c r="F454" s="104">
        <f>F453</f>
        <v>199500</v>
      </c>
      <c r="G454" s="25"/>
      <c r="H454" s="11"/>
      <c r="I454" s="21"/>
      <c r="J454" s="21"/>
      <c r="K454" s="21"/>
      <c r="L454" s="21"/>
      <c r="M454" s="21"/>
      <c r="N454" s="21"/>
    </row>
    <row r="455" spans="1:14" ht="15.75" customHeight="1" x14ac:dyDescent="0.25">
      <c r="A455" s="7"/>
      <c r="B455" s="343" t="s">
        <v>343</v>
      </c>
      <c r="C455" s="344"/>
      <c r="D455" s="344"/>
      <c r="E455" s="334"/>
      <c r="F455" s="104">
        <v>21945</v>
      </c>
      <c r="G455" s="25"/>
      <c r="H455" s="11"/>
      <c r="I455" s="21"/>
      <c r="J455" s="21"/>
      <c r="K455" s="21"/>
      <c r="L455" s="21"/>
      <c r="M455" s="21"/>
      <c r="N455" s="21"/>
    </row>
    <row r="456" spans="1:14" ht="15.75" customHeight="1" x14ac:dyDescent="0.25">
      <c r="A456" s="7"/>
      <c r="B456" s="345" t="s">
        <v>344</v>
      </c>
      <c r="C456" s="344"/>
      <c r="D456" s="344"/>
      <c r="E456" s="334"/>
      <c r="F456" s="107">
        <f>SUM(F454:F455)</f>
        <v>221445</v>
      </c>
      <c r="G456" s="25"/>
      <c r="H456" s="11"/>
      <c r="I456" s="21"/>
      <c r="J456" s="21"/>
      <c r="K456" s="21"/>
      <c r="L456" s="21"/>
      <c r="M456" s="21"/>
      <c r="N456" s="21"/>
    </row>
    <row r="457" spans="1:14" ht="15.75" customHeight="1" x14ac:dyDescent="0.25">
      <c r="A457" s="21"/>
      <c r="B457" s="21"/>
      <c r="C457" s="11"/>
      <c r="D457" s="11"/>
      <c r="E457" s="21"/>
      <c r="F457" s="21"/>
      <c r="G457" s="25"/>
      <c r="H457" s="11"/>
      <c r="I457" s="21"/>
      <c r="J457" s="21"/>
      <c r="K457" s="21"/>
      <c r="L457" s="21"/>
      <c r="M457" s="21"/>
      <c r="N457" s="21"/>
    </row>
    <row r="458" spans="1:14" ht="15.75" customHeight="1" x14ac:dyDescent="0.25">
      <c r="A458" s="31" t="s">
        <v>14</v>
      </c>
      <c r="B458" s="31" t="s">
        <v>234</v>
      </c>
      <c r="C458" s="31" t="s">
        <v>16</v>
      </c>
      <c r="D458" s="31" t="s">
        <v>17</v>
      </c>
      <c r="E458" s="31" t="s">
        <v>235</v>
      </c>
      <c r="F458" s="31" t="s">
        <v>236</v>
      </c>
      <c r="G458" s="25"/>
      <c r="H458" s="11"/>
      <c r="I458" s="21"/>
      <c r="J458" s="21"/>
      <c r="K458" s="21"/>
      <c r="L458" s="21"/>
      <c r="M458" s="21"/>
      <c r="N458" s="21"/>
    </row>
    <row r="459" spans="1:14" ht="15.75" customHeight="1" x14ac:dyDescent="0.25">
      <c r="A459" s="7">
        <v>1</v>
      </c>
      <c r="B459" s="41" t="s">
        <v>482</v>
      </c>
      <c r="C459" s="7">
        <v>20</v>
      </c>
      <c r="D459" s="7" t="s">
        <v>355</v>
      </c>
      <c r="E459" s="104">
        <v>470000</v>
      </c>
      <c r="F459" s="104">
        <f>E459*C459</f>
        <v>9400000</v>
      </c>
      <c r="G459" s="25"/>
      <c r="H459" s="11"/>
      <c r="I459" s="21"/>
      <c r="J459" s="21"/>
      <c r="K459" s="21"/>
      <c r="L459" s="21"/>
      <c r="M459" s="21"/>
      <c r="N459" s="21"/>
    </row>
    <row r="460" spans="1:14" ht="15.75" customHeight="1" x14ac:dyDescent="0.25">
      <c r="A460" s="7"/>
      <c r="B460" s="343" t="s">
        <v>342</v>
      </c>
      <c r="C460" s="344"/>
      <c r="D460" s="344"/>
      <c r="E460" s="334"/>
      <c r="F460" s="104">
        <f>F459</f>
        <v>9400000</v>
      </c>
      <c r="G460" s="25"/>
      <c r="H460" s="11"/>
      <c r="I460" s="21"/>
      <c r="J460" s="21"/>
      <c r="K460" s="21"/>
      <c r="L460" s="21"/>
      <c r="M460" s="21"/>
      <c r="N460" s="21"/>
    </row>
    <row r="461" spans="1:14" ht="15.75" customHeight="1" x14ac:dyDescent="0.25">
      <c r="A461" s="7"/>
      <c r="B461" s="343" t="s">
        <v>343</v>
      </c>
      <c r="C461" s="344"/>
      <c r="D461" s="344"/>
      <c r="E461" s="334"/>
      <c r="F461" s="104">
        <v>1034000</v>
      </c>
      <c r="G461" s="25"/>
      <c r="H461" s="11"/>
      <c r="I461" s="21"/>
      <c r="J461" s="21"/>
      <c r="K461" s="21"/>
      <c r="L461" s="21"/>
      <c r="M461" s="21"/>
      <c r="N461" s="21"/>
    </row>
    <row r="462" spans="1:14" ht="15.75" customHeight="1" x14ac:dyDescent="0.25">
      <c r="A462" s="7"/>
      <c r="B462" s="345" t="s">
        <v>344</v>
      </c>
      <c r="C462" s="344"/>
      <c r="D462" s="344"/>
      <c r="E462" s="334"/>
      <c r="F462" s="107">
        <f>SUM(F460:F461)</f>
        <v>10434000</v>
      </c>
      <c r="G462" s="25"/>
      <c r="H462" s="11"/>
      <c r="I462" s="21"/>
      <c r="J462" s="21"/>
      <c r="K462" s="21"/>
      <c r="L462" s="21"/>
      <c r="M462" s="21"/>
      <c r="N462" s="21"/>
    </row>
    <row r="463" spans="1:14" ht="15.75" customHeight="1" x14ac:dyDescent="0.25">
      <c r="A463" s="21"/>
      <c r="B463" s="21"/>
      <c r="C463" s="11"/>
      <c r="D463" s="11"/>
      <c r="E463" s="21"/>
      <c r="F463" s="21"/>
      <c r="G463" s="25"/>
      <c r="H463" s="11"/>
      <c r="I463" s="21"/>
      <c r="J463" s="21"/>
      <c r="K463" s="21"/>
      <c r="L463" s="21"/>
      <c r="M463" s="21"/>
      <c r="N463" s="21"/>
    </row>
    <row r="464" spans="1:14" ht="15.75" customHeight="1" x14ac:dyDescent="0.25">
      <c r="A464" s="31" t="s">
        <v>14</v>
      </c>
      <c r="B464" s="31" t="s">
        <v>234</v>
      </c>
      <c r="C464" s="31" t="s">
        <v>16</v>
      </c>
      <c r="D464" s="31" t="s">
        <v>17</v>
      </c>
      <c r="E464" s="31" t="s">
        <v>235</v>
      </c>
      <c r="F464" s="31" t="s">
        <v>236</v>
      </c>
      <c r="G464" s="25"/>
      <c r="H464" s="11"/>
      <c r="I464" s="21"/>
      <c r="J464" s="21"/>
      <c r="K464" s="21"/>
      <c r="L464" s="21"/>
      <c r="M464" s="21"/>
      <c r="N464" s="21"/>
    </row>
    <row r="465" spans="1:14" ht="15.75" customHeight="1" x14ac:dyDescent="0.25">
      <c r="A465" s="7">
        <v>1</v>
      </c>
      <c r="B465" s="41" t="s">
        <v>483</v>
      </c>
      <c r="C465" s="7">
        <v>1</v>
      </c>
      <c r="D465" s="7" t="s">
        <v>19</v>
      </c>
      <c r="E465" s="104">
        <v>8200000</v>
      </c>
      <c r="F465" s="104">
        <f>E465*C465</f>
        <v>8200000</v>
      </c>
      <c r="G465" s="25"/>
      <c r="H465" s="11"/>
      <c r="I465" s="21"/>
      <c r="J465" s="21"/>
      <c r="K465" s="21"/>
      <c r="L465" s="21"/>
      <c r="M465" s="21"/>
      <c r="N465" s="21"/>
    </row>
    <row r="466" spans="1:14" ht="15.75" customHeight="1" x14ac:dyDescent="0.25">
      <c r="A466" s="7"/>
      <c r="B466" s="343" t="s">
        <v>342</v>
      </c>
      <c r="C466" s="344"/>
      <c r="D466" s="344"/>
      <c r="E466" s="334"/>
      <c r="F466" s="104">
        <f>F465</f>
        <v>8200000</v>
      </c>
      <c r="G466" s="25"/>
      <c r="H466" s="11"/>
      <c r="I466" s="21"/>
      <c r="J466" s="21"/>
      <c r="K466" s="21"/>
      <c r="L466" s="21"/>
      <c r="M466" s="21"/>
      <c r="N466" s="21"/>
    </row>
    <row r="467" spans="1:14" ht="15.75" customHeight="1" x14ac:dyDescent="0.25">
      <c r="A467" s="7"/>
      <c r="B467" s="343" t="s">
        <v>343</v>
      </c>
      <c r="C467" s="344"/>
      <c r="D467" s="344"/>
      <c r="E467" s="334"/>
      <c r="F467" s="104">
        <v>902000</v>
      </c>
      <c r="G467" s="25"/>
      <c r="H467" s="11"/>
      <c r="I467" s="21"/>
      <c r="J467" s="21"/>
      <c r="K467" s="21"/>
      <c r="L467" s="21"/>
      <c r="M467" s="21"/>
      <c r="N467" s="21"/>
    </row>
    <row r="468" spans="1:14" ht="15.75" customHeight="1" x14ac:dyDescent="0.25">
      <c r="A468" s="7"/>
      <c r="B468" s="345" t="s">
        <v>344</v>
      </c>
      <c r="C468" s="344"/>
      <c r="D468" s="344"/>
      <c r="E468" s="334"/>
      <c r="F468" s="107">
        <f>SUM(F466:F467)</f>
        <v>9102000</v>
      </c>
      <c r="G468" s="25"/>
      <c r="H468" s="11"/>
      <c r="I468" s="21"/>
      <c r="J468" s="21"/>
      <c r="K468" s="21"/>
      <c r="L468" s="21"/>
      <c r="M468" s="21"/>
      <c r="N468" s="21"/>
    </row>
    <row r="469" spans="1:14" ht="15.75" customHeight="1" x14ac:dyDescent="0.25">
      <c r="A469" s="21"/>
      <c r="B469" s="21"/>
      <c r="C469" s="11"/>
      <c r="D469" s="11"/>
      <c r="E469" s="21"/>
      <c r="F469" s="21"/>
      <c r="G469" s="25"/>
      <c r="H469" s="11"/>
      <c r="I469" s="21"/>
      <c r="J469" s="21"/>
      <c r="K469" s="21"/>
      <c r="L469" s="21"/>
      <c r="M469" s="21"/>
      <c r="N469" s="21"/>
    </row>
    <row r="470" spans="1:14" ht="15.75" customHeight="1" x14ac:dyDescent="0.25">
      <c r="A470" s="31" t="s">
        <v>14</v>
      </c>
      <c r="B470" s="31" t="s">
        <v>234</v>
      </c>
      <c r="C470" s="31" t="s">
        <v>16</v>
      </c>
      <c r="D470" s="31" t="s">
        <v>17</v>
      </c>
      <c r="E470" s="31" t="s">
        <v>235</v>
      </c>
      <c r="F470" s="31" t="s">
        <v>236</v>
      </c>
      <c r="G470" s="25"/>
      <c r="H470" s="11"/>
      <c r="I470" s="21"/>
      <c r="J470" s="21"/>
      <c r="K470" s="21"/>
      <c r="L470" s="21"/>
      <c r="M470" s="21"/>
      <c r="N470" s="21"/>
    </row>
    <row r="471" spans="1:14" ht="15.75" customHeight="1" x14ac:dyDescent="0.25">
      <c r="A471" s="7">
        <v>1</v>
      </c>
      <c r="B471" s="41" t="s">
        <v>484</v>
      </c>
      <c r="C471" s="7">
        <v>1</v>
      </c>
      <c r="D471" s="7" t="s">
        <v>243</v>
      </c>
      <c r="E471" s="104">
        <v>56857500</v>
      </c>
      <c r="F471" s="104">
        <f>E471*C471</f>
        <v>56857500</v>
      </c>
      <c r="G471" s="25"/>
      <c r="H471" s="11"/>
      <c r="I471" s="21"/>
      <c r="J471" s="21"/>
      <c r="K471" s="21"/>
      <c r="L471" s="21"/>
      <c r="M471" s="21"/>
      <c r="N471" s="21"/>
    </row>
    <row r="472" spans="1:14" ht="15.75" customHeight="1" x14ac:dyDescent="0.25">
      <c r="A472" s="7"/>
      <c r="B472" s="343" t="s">
        <v>342</v>
      </c>
      <c r="C472" s="344"/>
      <c r="D472" s="344"/>
      <c r="E472" s="334"/>
      <c r="F472" s="104">
        <f>F471</f>
        <v>56857500</v>
      </c>
      <c r="G472" s="25"/>
      <c r="H472" s="11"/>
      <c r="I472" s="21"/>
      <c r="J472" s="21"/>
      <c r="K472" s="21"/>
      <c r="L472" s="21"/>
      <c r="M472" s="21"/>
      <c r="N472" s="21"/>
    </row>
    <row r="473" spans="1:14" ht="15.75" customHeight="1" x14ac:dyDescent="0.25">
      <c r="A473" s="7"/>
      <c r="B473" s="343" t="s">
        <v>343</v>
      </c>
      <c r="C473" s="344"/>
      <c r="D473" s="344"/>
      <c r="E473" s="334"/>
      <c r="F473" s="104">
        <v>6254325</v>
      </c>
      <c r="G473" s="25"/>
      <c r="H473" s="11"/>
      <c r="I473" s="21"/>
      <c r="J473" s="21"/>
      <c r="K473" s="21"/>
      <c r="L473" s="21"/>
      <c r="M473" s="21"/>
      <c r="N473" s="21"/>
    </row>
    <row r="474" spans="1:14" ht="15.75" customHeight="1" x14ac:dyDescent="0.25">
      <c r="A474" s="7"/>
      <c r="B474" s="345" t="s">
        <v>344</v>
      </c>
      <c r="C474" s="344"/>
      <c r="D474" s="344"/>
      <c r="E474" s="334"/>
      <c r="F474" s="107">
        <f>SUM(F472:F473)</f>
        <v>63111825</v>
      </c>
      <c r="G474" s="25"/>
      <c r="H474" s="11"/>
      <c r="I474" s="21"/>
      <c r="J474" s="21"/>
      <c r="K474" s="21"/>
      <c r="L474" s="21"/>
      <c r="M474" s="21"/>
      <c r="N474" s="21"/>
    </row>
    <row r="475" spans="1:14" ht="15.75" customHeight="1" x14ac:dyDescent="0.25">
      <c r="A475" s="21"/>
      <c r="B475" s="21"/>
      <c r="C475" s="11"/>
      <c r="D475" s="11"/>
      <c r="E475" s="21"/>
      <c r="F475" s="21"/>
      <c r="G475" s="25"/>
      <c r="H475" s="11"/>
      <c r="I475" s="21"/>
      <c r="J475" s="21"/>
      <c r="K475" s="21"/>
      <c r="L475" s="21"/>
      <c r="M475" s="21"/>
      <c r="N475" s="21"/>
    </row>
    <row r="476" spans="1:14" ht="15.75" customHeight="1" x14ac:dyDescent="0.25">
      <c r="A476" s="31" t="s">
        <v>14</v>
      </c>
      <c r="B476" s="31" t="s">
        <v>234</v>
      </c>
      <c r="C476" s="31" t="s">
        <v>16</v>
      </c>
      <c r="D476" s="31" t="s">
        <v>17</v>
      </c>
      <c r="E476" s="31" t="s">
        <v>235</v>
      </c>
      <c r="F476" s="31" t="s">
        <v>236</v>
      </c>
      <c r="G476" s="25"/>
      <c r="H476" s="11"/>
      <c r="I476" s="21"/>
      <c r="J476" s="21"/>
      <c r="K476" s="21"/>
      <c r="L476" s="21"/>
      <c r="M476" s="21"/>
      <c r="N476" s="21"/>
    </row>
    <row r="477" spans="1:14" ht="15.75" customHeight="1" x14ac:dyDescent="0.25">
      <c r="A477" s="7">
        <v>1</v>
      </c>
      <c r="B477" s="41" t="s">
        <v>485</v>
      </c>
      <c r="C477" s="7">
        <v>50</v>
      </c>
      <c r="D477" s="7" t="s">
        <v>251</v>
      </c>
      <c r="E477" s="104">
        <v>7500</v>
      </c>
      <c r="F477" s="104">
        <f>E477*C477</f>
        <v>375000</v>
      </c>
      <c r="G477" s="25"/>
      <c r="H477" s="11"/>
      <c r="I477" s="21"/>
      <c r="J477" s="21"/>
      <c r="K477" s="21"/>
      <c r="L477" s="21"/>
      <c r="M477" s="21"/>
      <c r="N477" s="21"/>
    </row>
    <row r="478" spans="1:14" ht="15.75" customHeight="1" x14ac:dyDescent="0.25">
      <c r="A478" s="7"/>
      <c r="B478" s="343" t="s">
        <v>342</v>
      </c>
      <c r="C478" s="344"/>
      <c r="D478" s="344"/>
      <c r="E478" s="334"/>
      <c r="F478" s="104">
        <f>F477</f>
        <v>375000</v>
      </c>
      <c r="G478" s="25"/>
      <c r="H478" s="11"/>
      <c r="I478" s="21"/>
      <c r="J478" s="21"/>
      <c r="K478" s="21"/>
      <c r="L478" s="21"/>
      <c r="M478" s="21"/>
      <c r="N478" s="21"/>
    </row>
    <row r="479" spans="1:14" ht="15.75" customHeight="1" x14ac:dyDescent="0.25">
      <c r="A479" s="7"/>
      <c r="B479" s="343" t="s">
        <v>343</v>
      </c>
      <c r="C479" s="344"/>
      <c r="D479" s="344"/>
      <c r="E479" s="334"/>
      <c r="F479" s="104">
        <v>41250</v>
      </c>
      <c r="G479" s="25"/>
      <c r="H479" s="11"/>
      <c r="I479" s="21"/>
      <c r="J479" s="21"/>
      <c r="K479" s="21"/>
      <c r="L479" s="21"/>
      <c r="M479" s="21"/>
      <c r="N479" s="21"/>
    </row>
    <row r="480" spans="1:14" ht="15.75" customHeight="1" x14ac:dyDescent="0.25">
      <c r="A480" s="7"/>
      <c r="B480" s="345" t="s">
        <v>344</v>
      </c>
      <c r="C480" s="344"/>
      <c r="D480" s="344"/>
      <c r="E480" s="334"/>
      <c r="F480" s="107">
        <f>SUM(F478:F479)</f>
        <v>416250</v>
      </c>
      <c r="G480" s="25"/>
      <c r="H480" s="11"/>
      <c r="I480" s="21"/>
      <c r="J480" s="21"/>
      <c r="K480" s="21"/>
      <c r="L480" s="21"/>
      <c r="M480" s="21"/>
      <c r="N480" s="21"/>
    </row>
    <row r="481" spans="1:14" ht="15.75" customHeight="1" x14ac:dyDescent="0.25">
      <c r="A481" s="21"/>
      <c r="B481" s="21"/>
      <c r="C481" s="11"/>
      <c r="D481" s="11"/>
      <c r="E481" s="21"/>
      <c r="F481" s="21"/>
      <c r="G481" s="25"/>
      <c r="H481" s="11"/>
      <c r="I481" s="21"/>
      <c r="J481" s="21"/>
      <c r="K481" s="21"/>
      <c r="L481" s="21"/>
      <c r="M481" s="21"/>
      <c r="N481" s="21"/>
    </row>
    <row r="482" spans="1:14" ht="15.75" customHeight="1" x14ac:dyDescent="0.25">
      <c r="A482" s="31" t="s">
        <v>351</v>
      </c>
      <c r="B482" s="31" t="s">
        <v>234</v>
      </c>
      <c r="C482" s="31" t="s">
        <v>16</v>
      </c>
      <c r="D482" s="31" t="s">
        <v>17</v>
      </c>
      <c r="E482" s="31" t="s">
        <v>235</v>
      </c>
      <c r="F482" s="31" t="s">
        <v>236</v>
      </c>
      <c r="G482" s="25"/>
      <c r="H482" s="11"/>
      <c r="I482" s="21"/>
      <c r="J482" s="21"/>
      <c r="K482" s="21"/>
      <c r="L482" s="21"/>
      <c r="M482" s="21"/>
      <c r="N482" s="21"/>
    </row>
    <row r="483" spans="1:14" ht="15.75" customHeight="1" x14ac:dyDescent="0.25">
      <c r="A483" s="7">
        <v>1</v>
      </c>
      <c r="B483" s="35" t="s">
        <v>486</v>
      </c>
      <c r="C483" s="7">
        <v>10</v>
      </c>
      <c r="D483" s="7" t="s">
        <v>370</v>
      </c>
      <c r="E483" s="104">
        <v>3250</v>
      </c>
      <c r="F483" s="104">
        <f>E483*C483</f>
        <v>32500</v>
      </c>
      <c r="G483" s="25"/>
      <c r="H483" s="11"/>
      <c r="I483" s="21"/>
      <c r="J483" s="21"/>
      <c r="K483" s="21"/>
      <c r="L483" s="21"/>
      <c r="M483" s="21"/>
      <c r="N483" s="21"/>
    </row>
    <row r="484" spans="1:14" ht="15.75" customHeight="1" x14ac:dyDescent="0.25">
      <c r="A484" s="7">
        <v>2</v>
      </c>
      <c r="B484" s="35" t="s">
        <v>487</v>
      </c>
      <c r="C484" s="7">
        <v>10</v>
      </c>
      <c r="D484" s="7" t="s">
        <v>370</v>
      </c>
      <c r="E484" s="104">
        <v>5800</v>
      </c>
      <c r="F484" s="104">
        <f>E484*C484</f>
        <v>58000</v>
      </c>
      <c r="G484" s="25"/>
      <c r="H484" s="11"/>
      <c r="I484" s="21"/>
      <c r="J484" s="21"/>
      <c r="K484" s="21"/>
      <c r="L484" s="21"/>
      <c r="M484" s="21"/>
      <c r="N484" s="21"/>
    </row>
    <row r="485" spans="1:14" ht="15.75" customHeight="1" x14ac:dyDescent="0.25">
      <c r="A485" s="7">
        <v>3</v>
      </c>
      <c r="B485" s="35" t="s">
        <v>488</v>
      </c>
      <c r="C485" s="7">
        <v>10</v>
      </c>
      <c r="D485" s="7" t="s">
        <v>370</v>
      </c>
      <c r="E485" s="104">
        <v>7000</v>
      </c>
      <c r="F485" s="104">
        <f>E485*C485</f>
        <v>70000</v>
      </c>
      <c r="G485" s="25"/>
      <c r="H485" s="11"/>
      <c r="I485" s="21"/>
      <c r="J485" s="21"/>
      <c r="K485" s="21"/>
      <c r="L485" s="21"/>
      <c r="M485" s="21"/>
      <c r="N485" s="21"/>
    </row>
    <row r="486" spans="1:14" ht="15.75" customHeight="1" x14ac:dyDescent="0.25">
      <c r="A486" s="7"/>
      <c r="B486" s="343" t="s">
        <v>342</v>
      </c>
      <c r="C486" s="344"/>
      <c r="D486" s="344"/>
      <c r="E486" s="334"/>
      <c r="F486" s="104">
        <f>SUM(F483:F485)</f>
        <v>160500</v>
      </c>
      <c r="G486" s="25"/>
      <c r="H486" s="11"/>
      <c r="I486" s="21"/>
      <c r="J486" s="21"/>
      <c r="K486" s="21"/>
      <c r="L486" s="21"/>
      <c r="M486" s="21"/>
      <c r="N486" s="21"/>
    </row>
    <row r="487" spans="1:14" ht="15.75" customHeight="1" x14ac:dyDescent="0.25">
      <c r="A487" s="7"/>
      <c r="B487" s="343" t="s">
        <v>343</v>
      </c>
      <c r="C487" s="344"/>
      <c r="D487" s="344"/>
      <c r="E487" s="334"/>
      <c r="F487" s="104">
        <v>17655</v>
      </c>
      <c r="G487" s="25"/>
      <c r="H487" s="11"/>
      <c r="I487" s="21"/>
      <c r="J487" s="21"/>
      <c r="K487" s="21"/>
      <c r="L487" s="21"/>
      <c r="M487" s="21"/>
      <c r="N487" s="21"/>
    </row>
    <row r="488" spans="1:14" ht="15.75" customHeight="1" x14ac:dyDescent="0.25">
      <c r="A488" s="7"/>
      <c r="B488" s="345" t="s">
        <v>344</v>
      </c>
      <c r="C488" s="344"/>
      <c r="D488" s="344"/>
      <c r="E488" s="334"/>
      <c r="F488" s="107">
        <f>SUM(F486:F487)</f>
        <v>178155</v>
      </c>
      <c r="G488" s="25"/>
      <c r="H488" s="11"/>
      <c r="I488" s="21"/>
      <c r="J488" s="21"/>
      <c r="K488" s="21"/>
      <c r="L488" s="21"/>
      <c r="M488" s="21"/>
      <c r="N488" s="21"/>
    </row>
    <row r="489" spans="1:14" ht="15.75" customHeight="1" x14ac:dyDescent="0.25">
      <c r="A489" s="21"/>
      <c r="B489" s="21"/>
      <c r="C489" s="11"/>
      <c r="D489" s="11"/>
      <c r="E489" s="21"/>
      <c r="F489" s="21"/>
      <c r="G489" s="25"/>
      <c r="H489" s="11"/>
      <c r="I489" s="21"/>
      <c r="J489" s="21"/>
      <c r="K489" s="21"/>
      <c r="L489" s="21"/>
      <c r="M489" s="21"/>
      <c r="N489" s="21"/>
    </row>
    <row r="490" spans="1:14" ht="15.75" customHeight="1" x14ac:dyDescent="0.25">
      <c r="A490" s="31" t="s">
        <v>14</v>
      </c>
      <c r="B490" s="31" t="s">
        <v>234</v>
      </c>
      <c r="C490" s="31" t="s">
        <v>16</v>
      </c>
      <c r="D490" s="31" t="s">
        <v>17</v>
      </c>
      <c r="E490" s="31" t="s">
        <v>235</v>
      </c>
      <c r="F490" s="31" t="s">
        <v>236</v>
      </c>
      <c r="G490" s="25"/>
      <c r="H490" s="11"/>
      <c r="I490" s="21"/>
      <c r="J490" s="21"/>
      <c r="K490" s="21"/>
      <c r="L490" s="21"/>
      <c r="M490" s="21"/>
      <c r="N490" s="21"/>
    </row>
    <row r="491" spans="1:14" ht="15.75" customHeight="1" x14ac:dyDescent="0.25">
      <c r="A491" s="7">
        <v>1</v>
      </c>
      <c r="B491" s="41" t="s">
        <v>489</v>
      </c>
      <c r="C491" s="7">
        <v>1</v>
      </c>
      <c r="D491" s="7" t="s">
        <v>243</v>
      </c>
      <c r="E491" s="104">
        <v>75525000</v>
      </c>
      <c r="F491" s="104">
        <f>E491*C491</f>
        <v>75525000</v>
      </c>
      <c r="G491" s="25"/>
      <c r="H491" s="11"/>
      <c r="I491" s="21"/>
      <c r="J491" s="21"/>
      <c r="K491" s="21"/>
      <c r="L491" s="21"/>
      <c r="M491" s="21"/>
      <c r="N491" s="21"/>
    </row>
    <row r="492" spans="1:14" ht="15.75" customHeight="1" x14ac:dyDescent="0.25">
      <c r="A492" s="7"/>
      <c r="B492" s="343" t="s">
        <v>342</v>
      </c>
      <c r="C492" s="344"/>
      <c r="D492" s="344"/>
      <c r="E492" s="334"/>
      <c r="F492" s="104">
        <f>F491</f>
        <v>75525000</v>
      </c>
      <c r="G492" s="25"/>
      <c r="H492" s="11"/>
      <c r="I492" s="21"/>
      <c r="J492" s="21"/>
      <c r="K492" s="21"/>
      <c r="L492" s="21"/>
      <c r="M492" s="21"/>
      <c r="N492" s="21"/>
    </row>
    <row r="493" spans="1:14" ht="15.75" customHeight="1" x14ac:dyDescent="0.25">
      <c r="A493" s="7"/>
      <c r="B493" s="343" t="s">
        <v>343</v>
      </c>
      <c r="C493" s="344"/>
      <c r="D493" s="344"/>
      <c r="E493" s="334"/>
      <c r="F493" s="104">
        <v>8307750</v>
      </c>
      <c r="G493" s="25"/>
      <c r="H493" s="11"/>
      <c r="I493" s="21"/>
      <c r="J493" s="21"/>
      <c r="K493" s="21"/>
      <c r="L493" s="21"/>
      <c r="M493" s="21"/>
      <c r="N493" s="21"/>
    </row>
    <row r="494" spans="1:14" ht="15.75" customHeight="1" x14ac:dyDescent="0.25">
      <c r="A494" s="7"/>
      <c r="B494" s="345" t="s">
        <v>344</v>
      </c>
      <c r="C494" s="344"/>
      <c r="D494" s="344"/>
      <c r="E494" s="334"/>
      <c r="F494" s="107">
        <f>SUM(F492:F493)</f>
        <v>83832750</v>
      </c>
      <c r="G494" s="25"/>
      <c r="H494" s="11"/>
      <c r="I494" s="21"/>
      <c r="J494" s="21"/>
      <c r="K494" s="21"/>
      <c r="L494" s="21"/>
      <c r="M494" s="21"/>
      <c r="N494" s="21"/>
    </row>
    <row r="495" spans="1:14" ht="15.75" customHeight="1" x14ac:dyDescent="0.25">
      <c r="A495" s="21"/>
      <c r="B495" s="21"/>
      <c r="C495" s="11"/>
      <c r="D495" s="11"/>
      <c r="E495" s="21"/>
      <c r="F495" s="21"/>
      <c r="G495" s="25"/>
      <c r="H495" s="11"/>
      <c r="I495" s="21"/>
      <c r="J495" s="21"/>
      <c r="K495" s="21"/>
      <c r="L495" s="21"/>
      <c r="M495" s="21"/>
      <c r="N495" s="21"/>
    </row>
    <row r="496" spans="1:14" ht="15.75" customHeight="1" x14ac:dyDescent="0.25">
      <c r="A496" s="31" t="s">
        <v>14</v>
      </c>
      <c r="B496" s="31" t="s">
        <v>234</v>
      </c>
      <c r="C496" s="31" t="s">
        <v>16</v>
      </c>
      <c r="D496" s="31" t="s">
        <v>17</v>
      </c>
      <c r="E496" s="31" t="s">
        <v>235</v>
      </c>
      <c r="F496" s="31" t="s">
        <v>236</v>
      </c>
      <c r="G496" s="25"/>
      <c r="H496" s="11"/>
      <c r="I496" s="21"/>
      <c r="J496" s="21"/>
      <c r="K496" s="21"/>
      <c r="L496" s="21"/>
      <c r="M496" s="21"/>
      <c r="N496" s="21"/>
    </row>
    <row r="497" spans="1:14" ht="15.75" customHeight="1" x14ac:dyDescent="0.25">
      <c r="A497" s="7">
        <v>1</v>
      </c>
      <c r="B497" s="41" t="s">
        <v>490</v>
      </c>
      <c r="C497" s="7">
        <v>50</v>
      </c>
      <c r="D497" s="7" t="s">
        <v>363</v>
      </c>
      <c r="E497" s="104">
        <v>1159950</v>
      </c>
      <c r="F497" s="104">
        <f>E497*C497</f>
        <v>57997500</v>
      </c>
      <c r="G497" s="25"/>
      <c r="H497" s="11"/>
      <c r="I497" s="21"/>
      <c r="J497" s="21"/>
      <c r="K497" s="21"/>
      <c r="L497" s="21"/>
      <c r="M497" s="21"/>
      <c r="N497" s="21"/>
    </row>
    <row r="498" spans="1:14" ht="15.75" customHeight="1" x14ac:dyDescent="0.25">
      <c r="A498" s="7"/>
      <c r="B498" s="343" t="s">
        <v>342</v>
      </c>
      <c r="C498" s="344"/>
      <c r="D498" s="344"/>
      <c r="E498" s="334"/>
      <c r="F498" s="104">
        <f>F497</f>
        <v>57997500</v>
      </c>
      <c r="G498" s="25"/>
      <c r="H498" s="11"/>
      <c r="I498" s="21"/>
      <c r="J498" s="21"/>
      <c r="K498" s="21"/>
      <c r="L498" s="21"/>
      <c r="M498" s="21"/>
      <c r="N498" s="21"/>
    </row>
    <row r="499" spans="1:14" ht="15.75" customHeight="1" x14ac:dyDescent="0.25">
      <c r="A499" s="7"/>
      <c r="B499" s="343" t="s">
        <v>343</v>
      </c>
      <c r="C499" s="344"/>
      <c r="D499" s="344"/>
      <c r="E499" s="334"/>
      <c r="F499" s="104">
        <v>6379725</v>
      </c>
      <c r="G499" s="25"/>
      <c r="H499" s="11"/>
      <c r="I499" s="21"/>
      <c r="J499" s="21"/>
      <c r="K499" s="21"/>
      <c r="L499" s="21"/>
      <c r="M499" s="21"/>
      <c r="N499" s="21"/>
    </row>
    <row r="500" spans="1:14" ht="15.75" customHeight="1" x14ac:dyDescent="0.25">
      <c r="A500" s="7"/>
      <c r="B500" s="345" t="s">
        <v>344</v>
      </c>
      <c r="C500" s="344"/>
      <c r="D500" s="344"/>
      <c r="E500" s="334"/>
      <c r="F500" s="107">
        <f>SUM(F498:F499)</f>
        <v>64377225</v>
      </c>
      <c r="G500" s="25"/>
      <c r="H500" s="11"/>
      <c r="I500" s="21"/>
      <c r="J500" s="21"/>
      <c r="K500" s="21"/>
      <c r="L500" s="21"/>
      <c r="M500" s="21"/>
      <c r="N500" s="21"/>
    </row>
    <row r="501" spans="1:14" ht="15.75" customHeight="1" x14ac:dyDescent="0.25">
      <c r="A501" s="21"/>
      <c r="B501" s="21"/>
      <c r="C501" s="11"/>
      <c r="D501" s="11"/>
      <c r="E501" s="21"/>
      <c r="F501" s="21"/>
      <c r="G501" s="25"/>
      <c r="H501" s="11"/>
      <c r="I501" s="21"/>
      <c r="J501" s="21"/>
      <c r="K501" s="21"/>
      <c r="L501" s="21"/>
      <c r="M501" s="21"/>
      <c r="N501" s="21"/>
    </row>
    <row r="502" spans="1:14" ht="15.75" customHeight="1" x14ac:dyDescent="0.25">
      <c r="A502" s="31" t="s">
        <v>14</v>
      </c>
      <c r="B502" s="31" t="s">
        <v>234</v>
      </c>
      <c r="C502" s="31" t="s">
        <v>16</v>
      </c>
      <c r="D502" s="31" t="s">
        <v>17</v>
      </c>
      <c r="E502" s="31" t="s">
        <v>235</v>
      </c>
      <c r="F502" s="31" t="s">
        <v>236</v>
      </c>
      <c r="G502" s="25"/>
      <c r="H502" s="11"/>
      <c r="I502" s="21"/>
      <c r="J502" s="21"/>
      <c r="K502" s="21"/>
      <c r="L502" s="21"/>
      <c r="M502" s="21"/>
      <c r="N502" s="21"/>
    </row>
    <row r="503" spans="1:14" ht="15.75" customHeight="1" x14ac:dyDescent="0.25">
      <c r="A503" s="7">
        <v>1</v>
      </c>
      <c r="B503" s="41" t="s">
        <v>491</v>
      </c>
      <c r="C503" s="7">
        <v>1</v>
      </c>
      <c r="D503" s="7" t="s">
        <v>426</v>
      </c>
      <c r="E503" s="104">
        <v>13750</v>
      </c>
      <c r="F503" s="104">
        <f>E503*C503</f>
        <v>13750</v>
      </c>
      <c r="G503" s="25"/>
      <c r="H503" s="11"/>
      <c r="I503" s="21"/>
      <c r="J503" s="21"/>
      <c r="K503" s="21"/>
      <c r="L503" s="21"/>
      <c r="M503" s="21"/>
      <c r="N503" s="21"/>
    </row>
    <row r="504" spans="1:14" ht="15.75" customHeight="1" x14ac:dyDescent="0.25">
      <c r="A504" s="7"/>
      <c r="B504" s="343" t="s">
        <v>342</v>
      </c>
      <c r="C504" s="344"/>
      <c r="D504" s="344"/>
      <c r="E504" s="334"/>
      <c r="F504" s="104">
        <f>F503</f>
        <v>13750</v>
      </c>
      <c r="G504" s="25"/>
      <c r="H504" s="11"/>
      <c r="I504" s="21"/>
      <c r="J504" s="21"/>
      <c r="K504" s="21"/>
      <c r="L504" s="21"/>
      <c r="M504" s="21"/>
      <c r="N504" s="21"/>
    </row>
    <row r="505" spans="1:14" ht="15.75" customHeight="1" x14ac:dyDescent="0.25">
      <c r="A505" s="7"/>
      <c r="B505" s="343" t="s">
        <v>343</v>
      </c>
      <c r="C505" s="344"/>
      <c r="D505" s="344"/>
      <c r="E505" s="334"/>
      <c r="F505" s="112">
        <v>1512.5</v>
      </c>
      <c r="G505" s="25"/>
      <c r="H505" s="11"/>
      <c r="I505" s="21"/>
      <c r="J505" s="21"/>
      <c r="K505" s="21"/>
      <c r="L505" s="21"/>
      <c r="M505" s="21"/>
      <c r="N505" s="21"/>
    </row>
    <row r="506" spans="1:14" ht="15.75" customHeight="1" x14ac:dyDescent="0.25">
      <c r="A506" s="7"/>
      <c r="B506" s="345" t="s">
        <v>344</v>
      </c>
      <c r="C506" s="344"/>
      <c r="D506" s="344"/>
      <c r="E506" s="334"/>
      <c r="F506" s="113">
        <f>SUM(F504:F505)</f>
        <v>15262.5</v>
      </c>
      <c r="G506" s="25"/>
      <c r="H506" s="11"/>
      <c r="I506" s="21"/>
      <c r="J506" s="21"/>
      <c r="K506" s="21"/>
      <c r="L506" s="21"/>
      <c r="M506" s="21"/>
      <c r="N506" s="21"/>
    </row>
    <row r="507" spans="1:14" ht="15.75" customHeight="1" x14ac:dyDescent="0.25">
      <c r="A507" s="21"/>
      <c r="B507" s="21"/>
      <c r="C507" s="11"/>
      <c r="D507" s="11"/>
      <c r="E507" s="21"/>
      <c r="F507" s="21"/>
      <c r="G507" s="25"/>
      <c r="H507" s="11"/>
      <c r="I507" s="21"/>
      <c r="J507" s="21"/>
      <c r="K507" s="21"/>
      <c r="L507" s="21"/>
      <c r="M507" s="21"/>
      <c r="N507" s="21"/>
    </row>
    <row r="508" spans="1:14" ht="15.75" customHeight="1" x14ac:dyDescent="0.25">
      <c r="A508" s="31" t="s">
        <v>351</v>
      </c>
      <c r="B508" s="31" t="s">
        <v>234</v>
      </c>
      <c r="C508" s="31" t="s">
        <v>16</v>
      </c>
      <c r="D508" s="31" t="s">
        <v>17</v>
      </c>
      <c r="E508" s="31" t="s">
        <v>235</v>
      </c>
      <c r="F508" s="31" t="s">
        <v>236</v>
      </c>
      <c r="G508" s="25"/>
      <c r="H508" s="11"/>
      <c r="I508" s="21"/>
      <c r="J508" s="21"/>
      <c r="K508" s="21"/>
      <c r="L508" s="21"/>
      <c r="M508" s="21"/>
      <c r="N508" s="21"/>
    </row>
    <row r="509" spans="1:14" ht="15.75" customHeight="1" x14ac:dyDescent="0.25">
      <c r="A509" s="7">
        <v>1</v>
      </c>
      <c r="B509" s="35" t="s">
        <v>492</v>
      </c>
      <c r="C509" s="7">
        <v>5</v>
      </c>
      <c r="D509" s="7" t="s">
        <v>363</v>
      </c>
      <c r="E509" s="104">
        <v>37200</v>
      </c>
      <c r="F509" s="104">
        <f>E509*C509</f>
        <v>186000</v>
      </c>
      <c r="G509" s="25"/>
      <c r="H509" s="11"/>
      <c r="I509" s="21"/>
      <c r="J509" s="21"/>
      <c r="K509" s="21"/>
      <c r="L509" s="21"/>
      <c r="M509" s="21"/>
      <c r="N509" s="21"/>
    </row>
    <row r="510" spans="1:14" ht="15.75" customHeight="1" x14ac:dyDescent="0.25">
      <c r="A510" s="7">
        <v>2</v>
      </c>
      <c r="B510" s="41" t="s">
        <v>493</v>
      </c>
      <c r="C510" s="7">
        <v>1</v>
      </c>
      <c r="D510" s="7" t="s">
        <v>251</v>
      </c>
      <c r="E510" s="104">
        <v>165000</v>
      </c>
      <c r="F510" s="104">
        <f>E510*C510</f>
        <v>165000</v>
      </c>
      <c r="G510" s="25"/>
      <c r="H510" s="11"/>
      <c r="I510" s="21"/>
      <c r="J510" s="21"/>
      <c r="K510" s="21"/>
      <c r="L510" s="21"/>
      <c r="M510" s="21"/>
      <c r="N510" s="21"/>
    </row>
    <row r="511" spans="1:14" ht="15.75" customHeight="1" x14ac:dyDescent="0.25">
      <c r="A511" s="7"/>
      <c r="B511" s="343" t="s">
        <v>342</v>
      </c>
      <c r="C511" s="344"/>
      <c r="D511" s="344"/>
      <c r="E511" s="334"/>
      <c r="F511" s="104">
        <f>SUM(F508:F510)</f>
        <v>351000</v>
      </c>
      <c r="G511" s="25"/>
      <c r="H511" s="11"/>
      <c r="I511" s="21"/>
      <c r="J511" s="21"/>
      <c r="K511" s="21"/>
      <c r="L511" s="21"/>
      <c r="M511" s="21"/>
      <c r="N511" s="21"/>
    </row>
    <row r="512" spans="1:14" ht="15.75" customHeight="1" x14ac:dyDescent="0.25">
      <c r="A512" s="7"/>
      <c r="B512" s="343" t="s">
        <v>343</v>
      </c>
      <c r="C512" s="344"/>
      <c r="D512" s="344"/>
      <c r="E512" s="334"/>
      <c r="F512" s="104">
        <v>38610</v>
      </c>
      <c r="G512" s="25"/>
      <c r="H512" s="11"/>
      <c r="I512" s="21"/>
      <c r="J512" s="21"/>
      <c r="K512" s="21"/>
      <c r="L512" s="21"/>
      <c r="M512" s="21"/>
      <c r="N512" s="21"/>
    </row>
    <row r="513" spans="1:14" ht="15.75" customHeight="1" x14ac:dyDescent="0.25">
      <c r="A513" s="7"/>
      <c r="B513" s="345" t="s">
        <v>344</v>
      </c>
      <c r="C513" s="344"/>
      <c r="D513" s="344"/>
      <c r="E513" s="334"/>
      <c r="F513" s="107">
        <f>SUM(F511:F512)</f>
        <v>389610</v>
      </c>
      <c r="G513" s="25"/>
      <c r="H513" s="11"/>
      <c r="I513" s="21"/>
      <c r="J513" s="21"/>
      <c r="K513" s="21"/>
      <c r="L513" s="21"/>
      <c r="M513" s="21"/>
      <c r="N513" s="21"/>
    </row>
    <row r="514" spans="1:14" ht="15.75" customHeight="1" x14ac:dyDescent="0.25">
      <c r="A514" s="21"/>
      <c r="B514" s="21"/>
      <c r="C514" s="11"/>
      <c r="D514" s="11"/>
      <c r="E514" s="21"/>
      <c r="F514" s="21"/>
      <c r="G514" s="25"/>
      <c r="H514" s="11"/>
      <c r="I514" s="21"/>
      <c r="J514" s="21"/>
      <c r="K514" s="21"/>
      <c r="L514" s="21"/>
      <c r="M514" s="21"/>
      <c r="N514" s="21"/>
    </row>
    <row r="515" spans="1:14" ht="15.75" customHeight="1" x14ac:dyDescent="0.25">
      <c r="A515" s="31" t="s">
        <v>351</v>
      </c>
      <c r="B515" s="31" t="s">
        <v>234</v>
      </c>
      <c r="C515" s="31" t="s">
        <v>16</v>
      </c>
      <c r="D515" s="31" t="s">
        <v>17</v>
      </c>
      <c r="E515" s="31" t="s">
        <v>235</v>
      </c>
      <c r="F515" s="31" t="s">
        <v>236</v>
      </c>
      <c r="G515" s="25"/>
      <c r="H515" s="11"/>
      <c r="I515" s="21"/>
      <c r="J515" s="21"/>
      <c r="K515" s="21"/>
      <c r="L515" s="21"/>
      <c r="M515" s="21"/>
      <c r="N515" s="21"/>
    </row>
    <row r="516" spans="1:14" ht="15.75" customHeight="1" x14ac:dyDescent="0.25">
      <c r="A516" s="7">
        <v>1</v>
      </c>
      <c r="B516" s="41" t="s">
        <v>494</v>
      </c>
      <c r="C516" s="7">
        <v>1</v>
      </c>
      <c r="D516" s="7" t="s">
        <v>243</v>
      </c>
      <c r="E516" s="104">
        <v>170000</v>
      </c>
      <c r="F516" s="104">
        <f>E516*C516</f>
        <v>170000</v>
      </c>
      <c r="G516" s="25"/>
      <c r="H516" s="11"/>
      <c r="I516" s="21"/>
      <c r="J516" s="21"/>
      <c r="K516" s="21"/>
      <c r="L516" s="21"/>
      <c r="M516" s="21"/>
      <c r="N516" s="21"/>
    </row>
    <row r="517" spans="1:14" ht="15.75" customHeight="1" x14ac:dyDescent="0.25">
      <c r="A517" s="7">
        <v>2</v>
      </c>
      <c r="B517" s="41" t="s">
        <v>495</v>
      </c>
      <c r="C517" s="7">
        <v>5</v>
      </c>
      <c r="D517" s="7" t="s">
        <v>19</v>
      </c>
      <c r="E517" s="104">
        <v>25000</v>
      </c>
      <c r="F517" s="104">
        <f>E517*C517</f>
        <v>125000</v>
      </c>
      <c r="G517" s="25"/>
      <c r="H517" s="11"/>
      <c r="I517" s="21"/>
      <c r="J517" s="21"/>
      <c r="K517" s="21"/>
      <c r="L517" s="21"/>
      <c r="M517" s="21"/>
      <c r="N517" s="21"/>
    </row>
    <row r="518" spans="1:14" ht="15.75" customHeight="1" x14ac:dyDescent="0.25">
      <c r="A518" s="7"/>
      <c r="B518" s="343" t="s">
        <v>342</v>
      </c>
      <c r="C518" s="344"/>
      <c r="D518" s="344"/>
      <c r="E518" s="334"/>
      <c r="F518" s="104">
        <f>SUM(F515:F517)</f>
        <v>295000</v>
      </c>
      <c r="G518" s="25"/>
      <c r="H518" s="11"/>
      <c r="I518" s="21"/>
      <c r="J518" s="21"/>
      <c r="K518" s="21"/>
      <c r="L518" s="21"/>
      <c r="M518" s="21"/>
      <c r="N518" s="21"/>
    </row>
    <row r="519" spans="1:14" ht="15.75" customHeight="1" x14ac:dyDescent="0.25">
      <c r="A519" s="7"/>
      <c r="B519" s="343" t="s">
        <v>343</v>
      </c>
      <c r="C519" s="344"/>
      <c r="D519" s="344"/>
      <c r="E519" s="334"/>
      <c r="F519" s="104">
        <v>32450</v>
      </c>
      <c r="G519" s="25"/>
      <c r="H519" s="11"/>
      <c r="I519" s="21"/>
      <c r="J519" s="21"/>
      <c r="K519" s="21"/>
      <c r="L519" s="21"/>
      <c r="M519" s="21"/>
      <c r="N519" s="21"/>
    </row>
    <row r="520" spans="1:14" ht="15.75" customHeight="1" x14ac:dyDescent="0.25">
      <c r="A520" s="7"/>
      <c r="B520" s="345" t="s">
        <v>344</v>
      </c>
      <c r="C520" s="344"/>
      <c r="D520" s="344"/>
      <c r="E520" s="334"/>
      <c r="F520" s="107">
        <f>SUM(F518:F519)</f>
        <v>327450</v>
      </c>
      <c r="G520" s="25"/>
      <c r="H520" s="11"/>
      <c r="I520" s="21"/>
      <c r="J520" s="21"/>
      <c r="K520" s="21"/>
      <c r="L520" s="21"/>
      <c r="M520" s="21"/>
      <c r="N520" s="21"/>
    </row>
    <row r="521" spans="1:14" ht="15.75" customHeight="1" x14ac:dyDescent="0.25">
      <c r="A521" s="21"/>
      <c r="B521" s="21"/>
      <c r="C521" s="11"/>
      <c r="D521" s="11"/>
      <c r="E521" s="21"/>
      <c r="F521" s="21"/>
      <c r="G521" s="25"/>
      <c r="H521" s="11"/>
      <c r="I521" s="21"/>
      <c r="J521" s="21"/>
      <c r="K521" s="21"/>
      <c r="L521" s="21"/>
      <c r="M521" s="21"/>
      <c r="N521" s="21"/>
    </row>
    <row r="522" spans="1:14" ht="15.75" customHeight="1" x14ac:dyDescent="0.25">
      <c r="A522" s="31" t="s">
        <v>14</v>
      </c>
      <c r="B522" s="31" t="s">
        <v>234</v>
      </c>
      <c r="C522" s="31" t="s">
        <v>16</v>
      </c>
      <c r="D522" s="31" t="s">
        <v>17</v>
      </c>
      <c r="E522" s="31" t="s">
        <v>235</v>
      </c>
      <c r="F522" s="31" t="s">
        <v>236</v>
      </c>
      <c r="G522" s="25"/>
      <c r="H522" s="11"/>
      <c r="I522" s="21"/>
      <c r="J522" s="21"/>
      <c r="K522" s="21"/>
      <c r="L522" s="21"/>
      <c r="M522" s="21"/>
      <c r="N522" s="21"/>
    </row>
    <row r="523" spans="1:14" ht="15.75" customHeight="1" x14ac:dyDescent="0.25">
      <c r="A523" s="7">
        <v>1</v>
      </c>
      <c r="B523" s="41" t="s">
        <v>496</v>
      </c>
      <c r="C523" s="7">
        <v>1</v>
      </c>
      <c r="D523" s="7" t="s">
        <v>363</v>
      </c>
      <c r="E523" s="104">
        <v>121500</v>
      </c>
      <c r="F523" s="104">
        <f>E523*C523</f>
        <v>121500</v>
      </c>
      <c r="G523" s="25"/>
      <c r="H523" s="11"/>
      <c r="I523" s="21"/>
      <c r="J523" s="21"/>
      <c r="K523" s="21"/>
      <c r="L523" s="21"/>
      <c r="M523" s="21"/>
      <c r="N523" s="21"/>
    </row>
    <row r="524" spans="1:14" ht="15.75" customHeight="1" x14ac:dyDescent="0.25">
      <c r="A524" s="7"/>
      <c r="B524" s="343" t="s">
        <v>342</v>
      </c>
      <c r="C524" s="344"/>
      <c r="D524" s="344"/>
      <c r="E524" s="334"/>
      <c r="F524" s="104">
        <f>F523</f>
        <v>121500</v>
      </c>
      <c r="G524" s="25"/>
      <c r="H524" s="11"/>
      <c r="I524" s="21"/>
      <c r="J524" s="21"/>
      <c r="K524" s="21"/>
      <c r="L524" s="21"/>
      <c r="M524" s="21"/>
      <c r="N524" s="21"/>
    </row>
    <row r="525" spans="1:14" ht="15.75" customHeight="1" x14ac:dyDescent="0.25">
      <c r="A525" s="7"/>
      <c r="B525" s="343" t="s">
        <v>343</v>
      </c>
      <c r="C525" s="344"/>
      <c r="D525" s="344"/>
      <c r="E525" s="334"/>
      <c r="F525" s="104">
        <v>13365</v>
      </c>
      <c r="G525" s="25"/>
      <c r="H525" s="11"/>
      <c r="I525" s="21"/>
      <c r="J525" s="21"/>
      <c r="K525" s="21"/>
      <c r="L525" s="21"/>
      <c r="M525" s="21"/>
      <c r="N525" s="21"/>
    </row>
    <row r="526" spans="1:14" ht="15.75" customHeight="1" x14ac:dyDescent="0.25">
      <c r="A526" s="7"/>
      <c r="B526" s="345" t="s">
        <v>344</v>
      </c>
      <c r="C526" s="344"/>
      <c r="D526" s="344"/>
      <c r="E526" s="334"/>
      <c r="F526" s="107">
        <f>SUM(F524:F525)</f>
        <v>134865</v>
      </c>
      <c r="G526" s="25"/>
      <c r="H526" s="11"/>
      <c r="I526" s="21"/>
      <c r="J526" s="21"/>
      <c r="K526" s="21"/>
      <c r="L526" s="21"/>
      <c r="M526" s="21"/>
      <c r="N526" s="21"/>
    </row>
    <row r="527" spans="1:14" ht="15.75" customHeight="1" x14ac:dyDescent="0.25">
      <c r="A527" s="21"/>
      <c r="B527" s="21"/>
      <c r="C527" s="11"/>
      <c r="D527" s="11"/>
      <c r="E527" s="21"/>
      <c r="F527" s="21"/>
      <c r="G527" s="25"/>
      <c r="H527" s="11"/>
      <c r="I527" s="21"/>
      <c r="J527" s="21"/>
      <c r="K527" s="21"/>
      <c r="L527" s="21"/>
      <c r="M527" s="21"/>
      <c r="N527" s="21"/>
    </row>
    <row r="528" spans="1:14" ht="15.75" customHeight="1" x14ac:dyDescent="0.25">
      <c r="A528" s="31" t="s">
        <v>14</v>
      </c>
      <c r="B528" s="31" t="s">
        <v>234</v>
      </c>
      <c r="C528" s="31" t="s">
        <v>16</v>
      </c>
      <c r="D528" s="31" t="s">
        <v>17</v>
      </c>
      <c r="E528" s="31" t="s">
        <v>235</v>
      </c>
      <c r="F528" s="31" t="s">
        <v>236</v>
      </c>
      <c r="G528" s="25"/>
      <c r="H528" s="11"/>
      <c r="I528" s="21"/>
      <c r="J528" s="21"/>
      <c r="K528" s="21"/>
      <c r="L528" s="21"/>
      <c r="M528" s="21"/>
      <c r="N528" s="21"/>
    </row>
    <row r="529" spans="1:14" ht="15.75" customHeight="1" x14ac:dyDescent="0.25">
      <c r="A529" s="7">
        <v>1</v>
      </c>
      <c r="B529" s="41" t="s">
        <v>497</v>
      </c>
      <c r="C529" s="7">
        <v>9</v>
      </c>
      <c r="D529" s="7" t="s">
        <v>243</v>
      </c>
      <c r="E529" s="104">
        <v>3885000</v>
      </c>
      <c r="F529" s="104">
        <f>E529*C529</f>
        <v>34965000</v>
      </c>
      <c r="G529" s="25"/>
      <c r="H529" s="11"/>
      <c r="I529" s="21"/>
      <c r="J529" s="21"/>
      <c r="K529" s="21"/>
      <c r="L529" s="21"/>
      <c r="M529" s="21"/>
      <c r="N529" s="21"/>
    </row>
    <row r="530" spans="1:14" ht="15.75" customHeight="1" x14ac:dyDescent="0.25">
      <c r="A530" s="7"/>
      <c r="B530" s="343" t="s">
        <v>342</v>
      </c>
      <c r="C530" s="344"/>
      <c r="D530" s="344"/>
      <c r="E530" s="334"/>
      <c r="F530" s="104">
        <f>F529</f>
        <v>34965000</v>
      </c>
      <c r="G530" s="25"/>
      <c r="H530" s="11"/>
      <c r="I530" s="21"/>
      <c r="J530" s="21"/>
      <c r="K530" s="21"/>
      <c r="L530" s="21"/>
      <c r="M530" s="21"/>
      <c r="N530" s="21"/>
    </row>
    <row r="531" spans="1:14" ht="15.75" customHeight="1" x14ac:dyDescent="0.25">
      <c r="A531" s="7"/>
      <c r="B531" s="343" t="s">
        <v>343</v>
      </c>
      <c r="C531" s="344"/>
      <c r="D531" s="344"/>
      <c r="E531" s="334"/>
      <c r="F531" s="104">
        <v>3846150</v>
      </c>
      <c r="G531" s="25"/>
      <c r="H531" s="11"/>
      <c r="I531" s="21"/>
      <c r="J531" s="21"/>
      <c r="K531" s="21"/>
      <c r="L531" s="21"/>
      <c r="M531" s="21"/>
      <c r="N531" s="21"/>
    </row>
    <row r="532" spans="1:14" ht="15.75" customHeight="1" x14ac:dyDescent="0.25">
      <c r="A532" s="7"/>
      <c r="B532" s="345" t="s">
        <v>344</v>
      </c>
      <c r="C532" s="344"/>
      <c r="D532" s="344"/>
      <c r="E532" s="334"/>
      <c r="F532" s="107">
        <f>SUM(F530:F531)</f>
        <v>38811150</v>
      </c>
      <c r="G532" s="25"/>
      <c r="H532" s="11"/>
      <c r="I532" s="21"/>
      <c r="J532" s="21"/>
      <c r="K532" s="21"/>
      <c r="L532" s="21"/>
      <c r="M532" s="21"/>
      <c r="N532" s="21"/>
    </row>
    <row r="533" spans="1:14" ht="15.75" customHeight="1" x14ac:dyDescent="0.25">
      <c r="A533" s="21"/>
      <c r="B533" s="21"/>
      <c r="C533" s="11"/>
      <c r="D533" s="11"/>
      <c r="E533" s="21"/>
      <c r="F533" s="21"/>
      <c r="G533" s="25"/>
      <c r="H533" s="11"/>
      <c r="I533" s="21"/>
      <c r="J533" s="21"/>
      <c r="K533" s="21"/>
      <c r="L533" s="21"/>
      <c r="M533" s="21"/>
      <c r="N533" s="21"/>
    </row>
    <row r="534" spans="1:14" ht="15.75" customHeight="1" x14ac:dyDescent="0.25">
      <c r="A534" s="31" t="s">
        <v>14</v>
      </c>
      <c r="B534" s="31" t="s">
        <v>234</v>
      </c>
      <c r="C534" s="31" t="s">
        <v>16</v>
      </c>
      <c r="D534" s="31" t="s">
        <v>17</v>
      </c>
      <c r="E534" s="31" t="s">
        <v>235</v>
      </c>
      <c r="F534" s="31" t="s">
        <v>236</v>
      </c>
      <c r="G534" s="25"/>
      <c r="H534" s="11"/>
      <c r="I534" s="21"/>
      <c r="J534" s="21"/>
      <c r="K534" s="21"/>
      <c r="L534" s="21"/>
      <c r="M534" s="21"/>
      <c r="N534" s="21"/>
    </row>
    <row r="535" spans="1:14" ht="15.75" customHeight="1" x14ac:dyDescent="0.25">
      <c r="A535" s="7">
        <v>1</v>
      </c>
      <c r="B535" s="41" t="s">
        <v>498</v>
      </c>
      <c r="C535" s="7">
        <v>60</v>
      </c>
      <c r="D535" s="7" t="s">
        <v>247</v>
      </c>
      <c r="E535" s="104">
        <v>1159950</v>
      </c>
      <c r="F535" s="104">
        <f>E535*C535</f>
        <v>69597000</v>
      </c>
      <c r="G535" s="25"/>
      <c r="H535" s="11"/>
      <c r="I535" s="21"/>
      <c r="J535" s="21"/>
      <c r="K535" s="21"/>
      <c r="L535" s="21"/>
      <c r="M535" s="21"/>
      <c r="N535" s="21"/>
    </row>
    <row r="536" spans="1:14" ht="15.75" customHeight="1" x14ac:dyDescent="0.25">
      <c r="A536" s="7"/>
      <c r="B536" s="343" t="s">
        <v>342</v>
      </c>
      <c r="C536" s="344"/>
      <c r="D536" s="344"/>
      <c r="E536" s="334"/>
      <c r="F536" s="104">
        <f>F535</f>
        <v>69597000</v>
      </c>
      <c r="G536" s="25"/>
      <c r="H536" s="11"/>
      <c r="I536" s="21"/>
      <c r="J536" s="21"/>
      <c r="K536" s="21"/>
      <c r="L536" s="21"/>
      <c r="M536" s="21"/>
      <c r="N536" s="21"/>
    </row>
    <row r="537" spans="1:14" ht="15.75" customHeight="1" x14ac:dyDescent="0.25">
      <c r="A537" s="7"/>
      <c r="B537" s="343" t="s">
        <v>343</v>
      </c>
      <c r="C537" s="344"/>
      <c r="D537" s="344"/>
      <c r="E537" s="334"/>
      <c r="F537" s="104">
        <v>7655670</v>
      </c>
      <c r="G537" s="25"/>
      <c r="H537" s="11"/>
      <c r="I537" s="21"/>
      <c r="J537" s="21"/>
      <c r="K537" s="21"/>
      <c r="L537" s="21"/>
      <c r="M537" s="21"/>
      <c r="N537" s="21"/>
    </row>
    <row r="538" spans="1:14" ht="15.75" customHeight="1" x14ac:dyDescent="0.25">
      <c r="A538" s="7"/>
      <c r="B538" s="345" t="s">
        <v>344</v>
      </c>
      <c r="C538" s="344"/>
      <c r="D538" s="344"/>
      <c r="E538" s="334"/>
      <c r="F538" s="107">
        <f>SUM(F536:F537)</f>
        <v>77252670</v>
      </c>
      <c r="G538" s="25"/>
      <c r="H538" s="11"/>
      <c r="I538" s="21"/>
      <c r="J538" s="21"/>
      <c r="K538" s="21"/>
      <c r="L538" s="21"/>
      <c r="M538" s="21"/>
      <c r="N538" s="21"/>
    </row>
    <row r="539" spans="1:14" ht="15.75" customHeight="1" x14ac:dyDescent="0.25">
      <c r="A539" s="21"/>
      <c r="B539" s="21"/>
      <c r="C539" s="11"/>
      <c r="D539" s="11"/>
      <c r="E539" s="21"/>
      <c r="F539" s="21"/>
      <c r="G539" s="25"/>
      <c r="H539" s="11"/>
      <c r="I539" s="21"/>
      <c r="J539" s="21"/>
      <c r="K539" s="21"/>
      <c r="L539" s="21"/>
      <c r="M539" s="21"/>
      <c r="N539" s="21"/>
    </row>
    <row r="540" spans="1:14" ht="15.75" customHeight="1" x14ac:dyDescent="0.25">
      <c r="A540" s="31" t="s">
        <v>351</v>
      </c>
      <c r="B540" s="31" t="s">
        <v>234</v>
      </c>
      <c r="C540" s="31" t="s">
        <v>16</v>
      </c>
      <c r="D540" s="31" t="s">
        <v>17</v>
      </c>
      <c r="E540" s="31" t="s">
        <v>235</v>
      </c>
      <c r="F540" s="31" t="s">
        <v>236</v>
      </c>
      <c r="G540" s="25"/>
      <c r="H540" s="11"/>
      <c r="I540" s="21"/>
      <c r="J540" s="21"/>
      <c r="K540" s="21"/>
      <c r="L540" s="21"/>
      <c r="M540" s="21"/>
      <c r="N540" s="21"/>
    </row>
    <row r="541" spans="1:14" ht="15.75" customHeight="1" x14ac:dyDescent="0.25">
      <c r="A541" s="7">
        <v>1</v>
      </c>
      <c r="B541" s="35" t="s">
        <v>499</v>
      </c>
      <c r="C541" s="7">
        <v>1</v>
      </c>
      <c r="D541" s="7" t="s">
        <v>247</v>
      </c>
      <c r="E541" s="104">
        <v>850000</v>
      </c>
      <c r="F541" s="104">
        <f>E541*C541</f>
        <v>850000</v>
      </c>
      <c r="G541" s="25"/>
      <c r="H541" s="11"/>
      <c r="I541" s="21"/>
      <c r="J541" s="21"/>
      <c r="K541" s="21"/>
      <c r="L541" s="21"/>
      <c r="M541" s="21"/>
      <c r="N541" s="21"/>
    </row>
    <row r="542" spans="1:14" ht="15.75" customHeight="1" x14ac:dyDescent="0.25">
      <c r="A542" s="7">
        <v>2</v>
      </c>
      <c r="B542" s="35" t="s">
        <v>500</v>
      </c>
      <c r="C542" s="7">
        <v>1</v>
      </c>
      <c r="D542" s="7" t="s">
        <v>247</v>
      </c>
      <c r="E542" s="104">
        <v>950000</v>
      </c>
      <c r="F542" s="104">
        <f>E542*C542</f>
        <v>950000</v>
      </c>
      <c r="G542" s="25"/>
      <c r="H542" s="11"/>
      <c r="I542" s="21"/>
      <c r="J542" s="21"/>
      <c r="K542" s="21"/>
      <c r="L542" s="21"/>
      <c r="M542" s="21"/>
      <c r="N542" s="21"/>
    </row>
    <row r="543" spans="1:14" ht="15.75" customHeight="1" x14ac:dyDescent="0.25">
      <c r="A543" s="7">
        <v>3</v>
      </c>
      <c r="B543" s="35" t="s">
        <v>501</v>
      </c>
      <c r="C543" s="7">
        <v>4</v>
      </c>
      <c r="D543" s="7" t="s">
        <v>247</v>
      </c>
      <c r="E543" s="104">
        <v>20500</v>
      </c>
      <c r="F543" s="104">
        <f>E543*C543</f>
        <v>82000</v>
      </c>
      <c r="G543" s="25"/>
      <c r="H543" s="11"/>
      <c r="I543" s="21"/>
      <c r="J543" s="21"/>
      <c r="K543" s="21"/>
      <c r="L543" s="21"/>
      <c r="M543" s="21"/>
      <c r="N543" s="21"/>
    </row>
    <row r="544" spans="1:14" ht="15.75" customHeight="1" x14ac:dyDescent="0.25">
      <c r="A544" s="7"/>
      <c r="B544" s="343" t="s">
        <v>342</v>
      </c>
      <c r="C544" s="344"/>
      <c r="D544" s="344"/>
      <c r="E544" s="334"/>
      <c r="F544" s="104">
        <f>SUM(F541:F543)</f>
        <v>1882000</v>
      </c>
      <c r="G544" s="25"/>
      <c r="H544" s="11"/>
      <c r="I544" s="21"/>
      <c r="J544" s="21"/>
      <c r="K544" s="21"/>
      <c r="L544" s="21"/>
      <c r="M544" s="21"/>
      <c r="N544" s="21"/>
    </row>
    <row r="545" spans="1:14" ht="15.75" customHeight="1" x14ac:dyDescent="0.25">
      <c r="A545" s="7"/>
      <c r="B545" s="343" t="s">
        <v>343</v>
      </c>
      <c r="C545" s="344"/>
      <c r="D545" s="344"/>
      <c r="E545" s="334"/>
      <c r="F545" s="104">
        <v>207020</v>
      </c>
      <c r="G545" s="25"/>
      <c r="H545" s="11"/>
      <c r="I545" s="21"/>
      <c r="J545" s="21"/>
      <c r="K545" s="21"/>
      <c r="L545" s="21"/>
      <c r="M545" s="21"/>
      <c r="N545" s="21"/>
    </row>
    <row r="546" spans="1:14" ht="15.75" customHeight="1" x14ac:dyDescent="0.25">
      <c r="A546" s="7"/>
      <c r="B546" s="345" t="s">
        <v>344</v>
      </c>
      <c r="C546" s="344"/>
      <c r="D546" s="344"/>
      <c r="E546" s="334"/>
      <c r="F546" s="107">
        <f>SUM(F544:F545)</f>
        <v>2089020</v>
      </c>
      <c r="G546" s="25"/>
      <c r="H546" s="11"/>
      <c r="I546" s="21"/>
      <c r="J546" s="21"/>
      <c r="K546" s="21"/>
      <c r="L546" s="21"/>
      <c r="M546" s="21"/>
      <c r="N546" s="21"/>
    </row>
    <row r="547" spans="1:14" ht="15.75" customHeight="1" x14ac:dyDescent="0.25">
      <c r="A547" s="21"/>
      <c r="B547" s="21"/>
      <c r="C547" s="11"/>
      <c r="D547" s="11"/>
      <c r="E547" s="21"/>
      <c r="F547" s="21"/>
      <c r="G547" s="25"/>
      <c r="H547" s="11"/>
      <c r="I547" s="21"/>
      <c r="J547" s="21"/>
      <c r="K547" s="21"/>
      <c r="L547" s="21"/>
      <c r="M547" s="21"/>
      <c r="N547" s="21"/>
    </row>
    <row r="548" spans="1:14" ht="15.75" customHeight="1" x14ac:dyDescent="0.25">
      <c r="A548" s="31" t="s">
        <v>14</v>
      </c>
      <c r="B548" s="31" t="s">
        <v>234</v>
      </c>
      <c r="C548" s="31" t="s">
        <v>16</v>
      </c>
      <c r="D548" s="31" t="s">
        <v>17</v>
      </c>
      <c r="E548" s="31" t="s">
        <v>235</v>
      </c>
      <c r="F548" s="31" t="s">
        <v>236</v>
      </c>
      <c r="G548" s="25"/>
      <c r="H548" s="11"/>
      <c r="I548" s="21"/>
      <c r="J548" s="21"/>
      <c r="K548" s="21"/>
      <c r="L548" s="21"/>
      <c r="M548" s="21"/>
      <c r="N548" s="21"/>
    </row>
    <row r="549" spans="1:14" ht="15.75" customHeight="1" x14ac:dyDescent="0.25">
      <c r="A549" s="7">
        <v>1</v>
      </c>
      <c r="B549" s="120" t="s">
        <v>502</v>
      </c>
      <c r="C549" s="7">
        <v>5</v>
      </c>
      <c r="D549" s="7" t="s">
        <v>19</v>
      </c>
      <c r="E549" s="104">
        <v>65750</v>
      </c>
      <c r="F549" s="104">
        <f>E549*C549</f>
        <v>328750</v>
      </c>
      <c r="G549" s="25"/>
      <c r="H549" s="11"/>
      <c r="I549" s="21"/>
      <c r="J549" s="21"/>
      <c r="K549" s="21"/>
      <c r="L549" s="21"/>
      <c r="M549" s="21"/>
      <c r="N549" s="21"/>
    </row>
    <row r="550" spans="1:14" ht="15.75" customHeight="1" x14ac:dyDescent="0.25">
      <c r="A550" s="7"/>
      <c r="B550" s="343" t="s">
        <v>342</v>
      </c>
      <c r="C550" s="344"/>
      <c r="D550" s="344"/>
      <c r="E550" s="334"/>
      <c r="F550" s="104">
        <f>F549</f>
        <v>328750</v>
      </c>
      <c r="G550" s="25"/>
      <c r="H550" s="11"/>
      <c r="I550" s="21"/>
      <c r="J550" s="21"/>
      <c r="K550" s="21"/>
      <c r="L550" s="21"/>
      <c r="M550" s="21"/>
      <c r="N550" s="21"/>
    </row>
    <row r="551" spans="1:14" ht="15.75" customHeight="1" x14ac:dyDescent="0.25">
      <c r="A551" s="7"/>
      <c r="B551" s="343" t="s">
        <v>343</v>
      </c>
      <c r="C551" s="344"/>
      <c r="D551" s="344"/>
      <c r="E551" s="334"/>
      <c r="F551" s="104">
        <v>36162.5</v>
      </c>
      <c r="G551" s="25"/>
      <c r="H551" s="11"/>
      <c r="I551" s="21"/>
      <c r="J551" s="21"/>
      <c r="K551" s="21"/>
      <c r="L551" s="21"/>
      <c r="M551" s="21"/>
      <c r="N551" s="21"/>
    </row>
    <row r="552" spans="1:14" ht="15.75" customHeight="1" x14ac:dyDescent="0.25">
      <c r="A552" s="7"/>
      <c r="B552" s="345" t="s">
        <v>344</v>
      </c>
      <c r="C552" s="344"/>
      <c r="D552" s="344"/>
      <c r="E552" s="334"/>
      <c r="F552" s="107">
        <f>SUM(F550:F551)</f>
        <v>364912.5</v>
      </c>
      <c r="G552" s="25"/>
      <c r="H552" s="11"/>
      <c r="I552" s="21"/>
      <c r="J552" s="21"/>
      <c r="K552" s="21"/>
      <c r="L552" s="21"/>
      <c r="M552" s="21"/>
      <c r="N552" s="21"/>
    </row>
    <row r="553" spans="1:14" ht="15.75" customHeight="1" x14ac:dyDescent="0.25">
      <c r="A553" s="21"/>
      <c r="B553" s="21"/>
      <c r="C553" s="11"/>
      <c r="D553" s="11"/>
      <c r="E553" s="21"/>
      <c r="F553" s="21"/>
      <c r="G553" s="25"/>
      <c r="H553" s="11"/>
      <c r="I553" s="21"/>
      <c r="J553" s="21"/>
      <c r="K553" s="21"/>
      <c r="L553" s="21"/>
      <c r="M553" s="21"/>
      <c r="N553" s="21"/>
    </row>
    <row r="554" spans="1:14" ht="15.75" customHeight="1" x14ac:dyDescent="0.25">
      <c r="A554" s="31" t="s">
        <v>14</v>
      </c>
      <c r="B554" s="31" t="s">
        <v>234</v>
      </c>
      <c r="C554" s="31" t="s">
        <v>16</v>
      </c>
      <c r="D554" s="31" t="s">
        <v>17</v>
      </c>
      <c r="E554" s="31" t="s">
        <v>235</v>
      </c>
      <c r="F554" s="31" t="s">
        <v>236</v>
      </c>
      <c r="G554" s="25"/>
      <c r="H554" s="11"/>
      <c r="I554" s="21"/>
      <c r="J554" s="21"/>
      <c r="K554" s="21"/>
      <c r="L554" s="21"/>
      <c r="M554" s="21"/>
      <c r="N554" s="21"/>
    </row>
    <row r="555" spans="1:14" ht="15.75" customHeight="1" x14ac:dyDescent="0.25">
      <c r="A555" s="7">
        <v>1</v>
      </c>
      <c r="B555" s="120" t="s">
        <v>503</v>
      </c>
      <c r="C555" s="7">
        <v>1</v>
      </c>
      <c r="D555" s="7" t="s">
        <v>363</v>
      </c>
      <c r="E555" s="104">
        <v>2600000</v>
      </c>
      <c r="F555" s="104">
        <f>E555*C555</f>
        <v>2600000</v>
      </c>
      <c r="G555" s="25"/>
      <c r="H555" s="11"/>
      <c r="I555" s="21"/>
      <c r="J555" s="21"/>
      <c r="K555" s="21"/>
      <c r="L555" s="21"/>
      <c r="M555" s="21"/>
      <c r="N555" s="21"/>
    </row>
    <row r="556" spans="1:14" ht="15.75" customHeight="1" x14ac:dyDescent="0.25">
      <c r="A556" s="7"/>
      <c r="B556" s="343" t="s">
        <v>342</v>
      </c>
      <c r="C556" s="344"/>
      <c r="D556" s="344"/>
      <c r="E556" s="334"/>
      <c r="F556" s="104">
        <f>F555</f>
        <v>2600000</v>
      </c>
      <c r="G556" s="25"/>
      <c r="H556" s="11"/>
      <c r="I556" s="21"/>
      <c r="J556" s="21"/>
      <c r="K556" s="21"/>
      <c r="L556" s="21"/>
      <c r="M556" s="21"/>
      <c r="N556" s="21"/>
    </row>
    <row r="557" spans="1:14" ht="15.75" customHeight="1" x14ac:dyDescent="0.25">
      <c r="A557" s="7"/>
      <c r="B557" s="343" t="s">
        <v>343</v>
      </c>
      <c r="C557" s="344"/>
      <c r="D557" s="344"/>
      <c r="E557" s="334"/>
      <c r="F557" s="104">
        <v>286000</v>
      </c>
      <c r="G557" s="25"/>
      <c r="H557" s="11"/>
      <c r="I557" s="21"/>
      <c r="J557" s="21"/>
      <c r="K557" s="21"/>
      <c r="L557" s="21"/>
      <c r="M557" s="21"/>
      <c r="N557" s="21"/>
    </row>
    <row r="558" spans="1:14" ht="15.75" customHeight="1" x14ac:dyDescent="0.25">
      <c r="A558" s="7"/>
      <c r="B558" s="345" t="s">
        <v>344</v>
      </c>
      <c r="C558" s="344"/>
      <c r="D558" s="344"/>
      <c r="E558" s="334"/>
      <c r="F558" s="107">
        <f>SUM(F556:F557)</f>
        <v>2886000</v>
      </c>
      <c r="G558" s="25"/>
      <c r="H558" s="11"/>
      <c r="I558" s="21"/>
      <c r="J558" s="21"/>
      <c r="K558" s="21"/>
      <c r="L558" s="21"/>
      <c r="M558" s="21"/>
      <c r="N558" s="21"/>
    </row>
    <row r="559" spans="1:14" ht="15.75" customHeight="1" x14ac:dyDescent="0.25">
      <c r="A559" s="21"/>
      <c r="B559" s="21"/>
      <c r="C559" s="11"/>
      <c r="D559" s="11"/>
      <c r="E559" s="21"/>
      <c r="F559" s="21"/>
      <c r="G559" s="25"/>
      <c r="H559" s="11"/>
      <c r="I559" s="21"/>
      <c r="J559" s="21"/>
      <c r="K559" s="21"/>
      <c r="L559" s="21"/>
      <c r="M559" s="21"/>
      <c r="N559" s="21"/>
    </row>
    <row r="560" spans="1:14" ht="15.75" customHeight="1" x14ac:dyDescent="0.25">
      <c r="A560" s="31" t="s">
        <v>14</v>
      </c>
      <c r="B560" s="31" t="s">
        <v>234</v>
      </c>
      <c r="C560" s="31" t="s">
        <v>16</v>
      </c>
      <c r="D560" s="31" t="s">
        <v>17</v>
      </c>
      <c r="E560" s="31" t="s">
        <v>235</v>
      </c>
      <c r="F560" s="31" t="s">
        <v>236</v>
      </c>
      <c r="G560" s="25"/>
      <c r="H560" s="11"/>
      <c r="I560" s="21"/>
      <c r="J560" s="21"/>
      <c r="K560" s="21"/>
      <c r="L560" s="21"/>
      <c r="M560" s="21"/>
      <c r="N560" s="21"/>
    </row>
    <row r="561" spans="1:14" ht="15.75" customHeight="1" x14ac:dyDescent="0.25">
      <c r="A561" s="7">
        <v>1</v>
      </c>
      <c r="B561" s="120" t="s">
        <v>504</v>
      </c>
      <c r="C561" s="7">
        <v>2</v>
      </c>
      <c r="D561" s="7" t="s">
        <v>363</v>
      </c>
      <c r="E561" s="104">
        <v>77500</v>
      </c>
      <c r="F561" s="104">
        <f>E561*C561</f>
        <v>155000</v>
      </c>
      <c r="G561" s="25"/>
      <c r="H561" s="11"/>
      <c r="I561" s="21"/>
      <c r="J561" s="21"/>
      <c r="K561" s="21"/>
      <c r="L561" s="21"/>
      <c r="M561" s="21"/>
      <c r="N561" s="21"/>
    </row>
    <row r="562" spans="1:14" ht="15.75" customHeight="1" x14ac:dyDescent="0.25">
      <c r="A562" s="7"/>
      <c r="B562" s="343" t="s">
        <v>342</v>
      </c>
      <c r="C562" s="344"/>
      <c r="D562" s="344"/>
      <c r="E562" s="334"/>
      <c r="F562" s="104">
        <f>F561</f>
        <v>155000</v>
      </c>
      <c r="G562" s="25"/>
      <c r="H562" s="11"/>
      <c r="I562" s="21"/>
      <c r="J562" s="21"/>
      <c r="K562" s="21"/>
      <c r="L562" s="21"/>
      <c r="M562" s="21"/>
      <c r="N562" s="21"/>
    </row>
    <row r="563" spans="1:14" ht="15.75" customHeight="1" x14ac:dyDescent="0.25">
      <c r="A563" s="7"/>
      <c r="B563" s="343" t="s">
        <v>343</v>
      </c>
      <c r="C563" s="344"/>
      <c r="D563" s="344"/>
      <c r="E563" s="334"/>
      <c r="F563" s="104">
        <v>17050</v>
      </c>
      <c r="G563" s="25"/>
      <c r="H563" s="11"/>
      <c r="I563" s="21"/>
      <c r="J563" s="21"/>
      <c r="K563" s="21"/>
      <c r="L563" s="21"/>
      <c r="M563" s="21"/>
      <c r="N563" s="21"/>
    </row>
    <row r="564" spans="1:14" ht="15.75" customHeight="1" x14ac:dyDescent="0.25">
      <c r="A564" s="7"/>
      <c r="B564" s="345" t="s">
        <v>344</v>
      </c>
      <c r="C564" s="344"/>
      <c r="D564" s="344"/>
      <c r="E564" s="334"/>
      <c r="F564" s="107">
        <f>SUM(F562:F563)</f>
        <v>172050</v>
      </c>
      <c r="G564" s="25"/>
      <c r="H564" s="11"/>
      <c r="I564" s="21"/>
      <c r="J564" s="21"/>
      <c r="K564" s="21"/>
      <c r="L564" s="21"/>
      <c r="M564" s="21"/>
      <c r="N564" s="21"/>
    </row>
    <row r="565" spans="1:14" ht="15.75" customHeight="1" x14ac:dyDescent="0.25">
      <c r="A565" s="21"/>
      <c r="B565" s="21"/>
      <c r="C565" s="11"/>
      <c r="D565" s="11"/>
      <c r="E565" s="21"/>
      <c r="F565" s="21"/>
      <c r="G565" s="25"/>
      <c r="H565" s="11"/>
      <c r="I565" s="21"/>
      <c r="J565" s="21"/>
      <c r="K565" s="21"/>
      <c r="L565" s="21"/>
      <c r="M565" s="21"/>
      <c r="N565" s="21"/>
    </row>
    <row r="566" spans="1:14" ht="15.75" customHeight="1" x14ac:dyDescent="0.25">
      <c r="A566" s="31" t="s">
        <v>14</v>
      </c>
      <c r="B566" s="31" t="s">
        <v>234</v>
      </c>
      <c r="C566" s="31" t="s">
        <v>16</v>
      </c>
      <c r="D566" s="31" t="s">
        <v>17</v>
      </c>
      <c r="E566" s="31" t="s">
        <v>235</v>
      </c>
      <c r="F566" s="31" t="s">
        <v>236</v>
      </c>
      <c r="G566" s="25"/>
      <c r="H566" s="11"/>
      <c r="I566" s="21"/>
      <c r="J566" s="21"/>
      <c r="K566" s="21"/>
      <c r="L566" s="21"/>
      <c r="M566" s="21"/>
      <c r="N566" s="21"/>
    </row>
    <row r="567" spans="1:14" ht="15.75" customHeight="1" x14ac:dyDescent="0.25">
      <c r="A567" s="7">
        <v>1</v>
      </c>
      <c r="B567" s="120" t="s">
        <v>505</v>
      </c>
      <c r="C567" s="7">
        <v>2</v>
      </c>
      <c r="D567" s="7" t="s">
        <v>363</v>
      </c>
      <c r="E567" s="104">
        <v>2050000</v>
      </c>
      <c r="F567" s="104">
        <f>E567*C567</f>
        <v>4100000</v>
      </c>
      <c r="G567" s="25"/>
      <c r="H567" s="11"/>
      <c r="I567" s="21"/>
      <c r="J567" s="21"/>
      <c r="K567" s="21"/>
      <c r="L567" s="21"/>
      <c r="M567" s="21"/>
      <c r="N567" s="21"/>
    </row>
    <row r="568" spans="1:14" ht="15.75" customHeight="1" x14ac:dyDescent="0.25">
      <c r="A568" s="7"/>
      <c r="B568" s="343" t="s">
        <v>342</v>
      </c>
      <c r="C568" s="344"/>
      <c r="D568" s="344"/>
      <c r="E568" s="334"/>
      <c r="F568" s="104">
        <f>F567</f>
        <v>4100000</v>
      </c>
      <c r="G568" s="25"/>
      <c r="H568" s="11"/>
      <c r="I568" s="21"/>
      <c r="J568" s="21"/>
      <c r="K568" s="21"/>
      <c r="L568" s="21"/>
      <c r="M568" s="21"/>
      <c r="N568" s="21"/>
    </row>
    <row r="569" spans="1:14" ht="15.75" customHeight="1" x14ac:dyDescent="0.25">
      <c r="A569" s="7"/>
      <c r="B569" s="343" t="s">
        <v>343</v>
      </c>
      <c r="C569" s="344"/>
      <c r="D569" s="344"/>
      <c r="E569" s="334"/>
      <c r="F569" s="104">
        <v>451000</v>
      </c>
      <c r="G569" s="25"/>
      <c r="H569" s="11"/>
      <c r="I569" s="21"/>
      <c r="J569" s="21"/>
      <c r="K569" s="21"/>
      <c r="L569" s="21"/>
      <c r="M569" s="21"/>
      <c r="N569" s="21"/>
    </row>
    <row r="570" spans="1:14" ht="15.75" customHeight="1" x14ac:dyDescent="0.25">
      <c r="A570" s="7"/>
      <c r="B570" s="345" t="s">
        <v>344</v>
      </c>
      <c r="C570" s="344"/>
      <c r="D570" s="344"/>
      <c r="E570" s="334"/>
      <c r="F570" s="107">
        <f>SUM(F568:F569)</f>
        <v>4551000</v>
      </c>
      <c r="G570" s="25"/>
      <c r="H570" s="11"/>
      <c r="I570" s="21"/>
      <c r="J570" s="21"/>
      <c r="K570" s="21"/>
      <c r="L570" s="21"/>
      <c r="M570" s="21"/>
      <c r="N570" s="21"/>
    </row>
    <row r="571" spans="1:14" ht="15.75" customHeight="1" x14ac:dyDescent="0.25">
      <c r="A571" s="21"/>
      <c r="B571" s="21"/>
      <c r="C571" s="11"/>
      <c r="D571" s="11"/>
      <c r="E571" s="21"/>
      <c r="F571" s="21"/>
      <c r="G571" s="25"/>
      <c r="H571" s="11"/>
      <c r="I571" s="21"/>
      <c r="J571" s="21"/>
      <c r="K571" s="21"/>
      <c r="L571" s="21"/>
      <c r="M571" s="21"/>
      <c r="N571" s="21"/>
    </row>
    <row r="572" spans="1:14" ht="15.75" customHeight="1" x14ac:dyDescent="0.25">
      <c r="A572" s="31" t="s">
        <v>351</v>
      </c>
      <c r="B572" s="31" t="s">
        <v>234</v>
      </c>
      <c r="C572" s="31" t="s">
        <v>16</v>
      </c>
      <c r="D572" s="31" t="s">
        <v>17</v>
      </c>
      <c r="E572" s="31" t="s">
        <v>235</v>
      </c>
      <c r="F572" s="31" t="s">
        <v>236</v>
      </c>
      <c r="G572" s="25"/>
      <c r="H572" s="11"/>
      <c r="I572" s="21"/>
      <c r="J572" s="21"/>
      <c r="K572" s="21"/>
      <c r="L572" s="21"/>
      <c r="M572" s="21"/>
      <c r="N572" s="21"/>
    </row>
    <row r="573" spans="1:14" ht="15.75" customHeight="1" x14ac:dyDescent="0.25">
      <c r="A573" s="7">
        <v>1</v>
      </c>
      <c r="B573" s="41" t="s">
        <v>506</v>
      </c>
      <c r="C573" s="7">
        <v>4</v>
      </c>
      <c r="D573" s="7" t="s">
        <v>19</v>
      </c>
      <c r="E573" s="104">
        <v>1980000</v>
      </c>
      <c r="F573" s="104">
        <f>E573*C573</f>
        <v>7920000</v>
      </c>
      <c r="G573" s="25"/>
      <c r="H573" s="11"/>
      <c r="I573" s="21"/>
      <c r="J573" s="21"/>
      <c r="K573" s="21"/>
      <c r="L573" s="21"/>
      <c r="M573" s="21"/>
      <c r="N573" s="21"/>
    </row>
    <row r="574" spans="1:14" ht="15.75" customHeight="1" x14ac:dyDescent="0.25">
      <c r="A574" s="7">
        <v>2</v>
      </c>
      <c r="B574" s="41" t="s">
        <v>507</v>
      </c>
      <c r="C574" s="7">
        <v>2</v>
      </c>
      <c r="D574" s="7" t="s">
        <v>19</v>
      </c>
      <c r="E574" s="104">
        <v>4778000</v>
      </c>
      <c r="F574" s="104">
        <f>E574*C574</f>
        <v>9556000</v>
      </c>
      <c r="G574" s="25"/>
      <c r="H574" s="11"/>
      <c r="I574" s="21"/>
      <c r="J574" s="21"/>
      <c r="K574" s="21"/>
      <c r="L574" s="21"/>
      <c r="M574" s="21"/>
      <c r="N574" s="21"/>
    </row>
    <row r="575" spans="1:14" ht="15.75" customHeight="1" x14ac:dyDescent="0.25">
      <c r="A575" s="7"/>
      <c r="B575" s="343" t="s">
        <v>342</v>
      </c>
      <c r="C575" s="344"/>
      <c r="D575" s="344"/>
      <c r="E575" s="334"/>
      <c r="F575" s="104">
        <f>SUM(F572:F574)</f>
        <v>17476000</v>
      </c>
      <c r="G575" s="25"/>
      <c r="H575" s="11"/>
      <c r="I575" s="21"/>
      <c r="J575" s="21"/>
      <c r="K575" s="21"/>
      <c r="L575" s="21"/>
      <c r="M575" s="21"/>
      <c r="N575" s="21"/>
    </row>
    <row r="576" spans="1:14" ht="15.75" customHeight="1" x14ac:dyDescent="0.25">
      <c r="A576" s="7"/>
      <c r="B576" s="343" t="s">
        <v>343</v>
      </c>
      <c r="C576" s="344"/>
      <c r="D576" s="344"/>
      <c r="E576" s="334"/>
      <c r="F576" s="104">
        <v>1922360</v>
      </c>
      <c r="G576" s="25"/>
      <c r="H576" s="11"/>
      <c r="I576" s="21"/>
      <c r="J576" s="21"/>
      <c r="K576" s="21"/>
      <c r="L576" s="21"/>
      <c r="M576" s="21"/>
      <c r="N576" s="21"/>
    </row>
    <row r="577" spans="1:14" ht="15.75" customHeight="1" x14ac:dyDescent="0.25">
      <c r="A577" s="7"/>
      <c r="B577" s="345" t="s">
        <v>344</v>
      </c>
      <c r="C577" s="344"/>
      <c r="D577" s="344"/>
      <c r="E577" s="334"/>
      <c r="F577" s="107">
        <f>SUM(F575:F576)</f>
        <v>19398360</v>
      </c>
      <c r="G577" s="25"/>
      <c r="H577" s="11"/>
      <c r="I577" s="21"/>
      <c r="J577" s="21"/>
      <c r="K577" s="21"/>
      <c r="L577" s="21"/>
      <c r="M577" s="21"/>
      <c r="N577" s="21"/>
    </row>
    <row r="578" spans="1:14" ht="15.75" customHeight="1" x14ac:dyDescent="0.25">
      <c r="A578" s="21"/>
      <c r="B578" s="21"/>
      <c r="C578" s="11"/>
      <c r="D578" s="11"/>
      <c r="E578" s="21"/>
      <c r="F578" s="21"/>
      <c r="G578" s="25"/>
      <c r="H578" s="11"/>
      <c r="I578" s="21"/>
      <c r="J578" s="21"/>
      <c r="K578" s="21"/>
      <c r="L578" s="21"/>
      <c r="M578" s="21"/>
      <c r="N578" s="21"/>
    </row>
    <row r="579" spans="1:14" ht="15.75" customHeight="1" x14ac:dyDescent="0.25">
      <c r="A579" s="31" t="s">
        <v>14</v>
      </c>
      <c r="B579" s="31" t="s">
        <v>234</v>
      </c>
      <c r="C579" s="31" t="s">
        <v>16</v>
      </c>
      <c r="D579" s="31" t="s">
        <v>17</v>
      </c>
      <c r="E579" s="31" t="s">
        <v>235</v>
      </c>
      <c r="F579" s="31" t="s">
        <v>236</v>
      </c>
      <c r="G579" s="25"/>
      <c r="H579" s="11"/>
      <c r="I579" s="21"/>
      <c r="J579" s="21"/>
      <c r="K579" s="21"/>
      <c r="L579" s="21"/>
      <c r="M579" s="21"/>
      <c r="N579" s="21"/>
    </row>
    <row r="580" spans="1:14" ht="15.75" customHeight="1" x14ac:dyDescent="0.25">
      <c r="A580" s="7">
        <v>1</v>
      </c>
      <c r="B580" s="120" t="s">
        <v>508</v>
      </c>
      <c r="C580" s="7">
        <v>10</v>
      </c>
      <c r="D580" s="7" t="s">
        <v>363</v>
      </c>
      <c r="E580" s="104">
        <v>326600</v>
      </c>
      <c r="F580" s="104">
        <f>E580*C580</f>
        <v>3266000</v>
      </c>
      <c r="G580" s="25"/>
      <c r="H580" s="11"/>
      <c r="I580" s="21"/>
      <c r="J580" s="21"/>
      <c r="K580" s="21"/>
      <c r="L580" s="21"/>
      <c r="M580" s="21"/>
      <c r="N580" s="21"/>
    </row>
    <row r="581" spans="1:14" ht="15.75" customHeight="1" x14ac:dyDescent="0.25">
      <c r="A581" s="7"/>
      <c r="B581" s="343" t="s">
        <v>342</v>
      </c>
      <c r="C581" s="344"/>
      <c r="D581" s="344"/>
      <c r="E581" s="334"/>
      <c r="F581" s="104">
        <f>F580</f>
        <v>3266000</v>
      </c>
      <c r="G581" s="25"/>
      <c r="H581" s="11"/>
      <c r="I581" s="21"/>
      <c r="J581" s="21"/>
      <c r="K581" s="21"/>
      <c r="L581" s="21"/>
      <c r="M581" s="21"/>
      <c r="N581" s="21"/>
    </row>
    <row r="582" spans="1:14" ht="15.75" customHeight="1" x14ac:dyDescent="0.25">
      <c r="A582" s="7"/>
      <c r="B582" s="343" t="s">
        <v>343</v>
      </c>
      <c r="C582" s="344"/>
      <c r="D582" s="344"/>
      <c r="E582" s="334"/>
      <c r="F582" s="104">
        <v>359260</v>
      </c>
      <c r="G582" s="25"/>
      <c r="H582" s="11"/>
      <c r="I582" s="21"/>
      <c r="J582" s="21"/>
      <c r="K582" s="21"/>
      <c r="L582" s="21"/>
      <c r="M582" s="21"/>
      <c r="N582" s="21"/>
    </row>
    <row r="583" spans="1:14" ht="15.75" customHeight="1" x14ac:dyDescent="0.25">
      <c r="A583" s="7"/>
      <c r="B583" s="345" t="s">
        <v>344</v>
      </c>
      <c r="C583" s="344"/>
      <c r="D583" s="344"/>
      <c r="E583" s="334"/>
      <c r="F583" s="107">
        <f>SUM(F581:F582)</f>
        <v>3625260</v>
      </c>
      <c r="G583" s="25"/>
      <c r="H583" s="11"/>
      <c r="I583" s="21"/>
      <c r="J583" s="21"/>
      <c r="K583" s="21"/>
      <c r="L583" s="21"/>
      <c r="M583" s="21"/>
      <c r="N583" s="21"/>
    </row>
    <row r="584" spans="1:14" ht="15.75" customHeight="1" x14ac:dyDescent="0.25">
      <c r="A584" s="21"/>
      <c r="B584" s="21"/>
      <c r="C584" s="11"/>
      <c r="D584" s="11"/>
      <c r="E584" s="21"/>
      <c r="F584" s="21"/>
      <c r="G584" s="25"/>
      <c r="H584" s="11"/>
      <c r="I584" s="21"/>
      <c r="J584" s="21"/>
      <c r="K584" s="21"/>
      <c r="L584" s="21"/>
      <c r="M584" s="21"/>
      <c r="N584" s="21"/>
    </row>
    <row r="585" spans="1:14" ht="15.75" customHeight="1" x14ac:dyDescent="0.25">
      <c r="A585" s="31" t="s">
        <v>14</v>
      </c>
      <c r="B585" s="31" t="s">
        <v>234</v>
      </c>
      <c r="C585" s="31" t="s">
        <v>16</v>
      </c>
      <c r="D585" s="31" t="s">
        <v>17</v>
      </c>
      <c r="E585" s="31" t="s">
        <v>235</v>
      </c>
      <c r="F585" s="31" t="s">
        <v>236</v>
      </c>
      <c r="G585" s="25"/>
      <c r="H585" s="11"/>
      <c r="I585" s="21"/>
      <c r="J585" s="21"/>
      <c r="K585" s="21"/>
      <c r="L585" s="21"/>
      <c r="M585" s="21"/>
      <c r="N585" s="21"/>
    </row>
    <row r="586" spans="1:14" ht="15.75" customHeight="1" x14ac:dyDescent="0.25">
      <c r="A586" s="7">
        <v>1</v>
      </c>
      <c r="B586" s="120" t="s">
        <v>509</v>
      </c>
      <c r="C586" s="7">
        <v>20</v>
      </c>
      <c r="D586" s="7" t="s">
        <v>510</v>
      </c>
      <c r="E586" s="104">
        <v>150000</v>
      </c>
      <c r="F586" s="104">
        <f>E586*C586</f>
        <v>3000000</v>
      </c>
      <c r="G586" s="25"/>
      <c r="H586" s="11"/>
      <c r="I586" s="21"/>
      <c r="J586" s="21"/>
      <c r="K586" s="21"/>
      <c r="L586" s="21"/>
      <c r="M586" s="21"/>
      <c r="N586" s="21"/>
    </row>
    <row r="587" spans="1:14" ht="15.75" customHeight="1" x14ac:dyDescent="0.25">
      <c r="A587" s="7"/>
      <c r="B587" s="343" t="s">
        <v>342</v>
      </c>
      <c r="C587" s="344"/>
      <c r="D587" s="344"/>
      <c r="E587" s="334"/>
      <c r="F587" s="104">
        <f>F586</f>
        <v>3000000</v>
      </c>
      <c r="G587" s="25"/>
      <c r="H587" s="11"/>
      <c r="I587" s="21"/>
      <c r="J587" s="21"/>
      <c r="K587" s="21"/>
      <c r="L587" s="21"/>
      <c r="M587" s="21"/>
      <c r="N587" s="21"/>
    </row>
    <row r="588" spans="1:14" ht="15.75" customHeight="1" x14ac:dyDescent="0.25">
      <c r="A588" s="7"/>
      <c r="B588" s="343" t="s">
        <v>343</v>
      </c>
      <c r="C588" s="344"/>
      <c r="D588" s="344"/>
      <c r="E588" s="334"/>
      <c r="F588" s="104">
        <v>330000</v>
      </c>
      <c r="G588" s="25"/>
      <c r="H588" s="11"/>
      <c r="I588" s="21"/>
      <c r="J588" s="21"/>
      <c r="K588" s="21"/>
      <c r="L588" s="21"/>
      <c r="M588" s="21"/>
      <c r="N588" s="21"/>
    </row>
    <row r="589" spans="1:14" ht="15.75" customHeight="1" x14ac:dyDescent="0.25">
      <c r="A589" s="7"/>
      <c r="B589" s="345" t="s">
        <v>344</v>
      </c>
      <c r="C589" s="344"/>
      <c r="D589" s="344"/>
      <c r="E589" s="334"/>
      <c r="F589" s="107">
        <f>SUM(F587:F588)</f>
        <v>3330000</v>
      </c>
      <c r="G589" s="25"/>
      <c r="H589" s="11"/>
      <c r="I589" s="21"/>
      <c r="J589" s="21"/>
      <c r="K589" s="21"/>
      <c r="L589" s="21"/>
      <c r="M589" s="21"/>
      <c r="N589" s="21"/>
    </row>
    <row r="590" spans="1:14" ht="15.75" customHeight="1" x14ac:dyDescent="0.25">
      <c r="A590" s="21"/>
      <c r="B590" s="21"/>
      <c r="C590" s="11"/>
      <c r="D590" s="11"/>
      <c r="E590" s="21"/>
      <c r="F590" s="21"/>
      <c r="G590" s="25"/>
      <c r="H590" s="11"/>
      <c r="I590" s="21"/>
      <c r="J590" s="21"/>
      <c r="K590" s="21"/>
      <c r="L590" s="21"/>
      <c r="M590" s="21"/>
      <c r="N590" s="21"/>
    </row>
    <row r="591" spans="1:14" ht="15.75" customHeight="1" x14ac:dyDescent="0.25">
      <c r="A591" s="31" t="s">
        <v>14</v>
      </c>
      <c r="B591" s="31" t="s">
        <v>234</v>
      </c>
      <c r="C591" s="31" t="s">
        <v>16</v>
      </c>
      <c r="D591" s="31" t="s">
        <v>17</v>
      </c>
      <c r="E591" s="31" t="s">
        <v>235</v>
      </c>
      <c r="F591" s="31" t="s">
        <v>236</v>
      </c>
      <c r="G591" s="25"/>
      <c r="H591" s="11"/>
      <c r="I591" s="21"/>
      <c r="J591" s="21"/>
      <c r="K591" s="21"/>
      <c r="L591" s="21"/>
      <c r="M591" s="21"/>
      <c r="N591" s="21"/>
    </row>
    <row r="592" spans="1:14" ht="15.75" customHeight="1" x14ac:dyDescent="0.25">
      <c r="A592" s="7">
        <v>1</v>
      </c>
      <c r="B592" s="120" t="s">
        <v>511</v>
      </c>
      <c r="C592" s="7">
        <v>1</v>
      </c>
      <c r="D592" s="7" t="s">
        <v>363</v>
      </c>
      <c r="E592" s="104">
        <v>1870000</v>
      </c>
      <c r="F592" s="104">
        <f>E592*C592</f>
        <v>1870000</v>
      </c>
      <c r="G592" s="25"/>
      <c r="H592" s="11"/>
      <c r="I592" s="21"/>
      <c r="J592" s="21"/>
      <c r="K592" s="21"/>
      <c r="L592" s="21"/>
      <c r="M592" s="21"/>
      <c r="N592" s="21"/>
    </row>
    <row r="593" spans="1:14" ht="15.75" customHeight="1" x14ac:dyDescent="0.25">
      <c r="A593" s="7"/>
      <c r="B593" s="343" t="s">
        <v>342</v>
      </c>
      <c r="C593" s="344"/>
      <c r="D593" s="344"/>
      <c r="E593" s="334"/>
      <c r="F593" s="104">
        <f>F592</f>
        <v>1870000</v>
      </c>
      <c r="G593" s="25"/>
      <c r="H593" s="11"/>
      <c r="I593" s="21"/>
      <c r="J593" s="21"/>
      <c r="K593" s="21"/>
      <c r="L593" s="21"/>
      <c r="M593" s="21"/>
      <c r="N593" s="21"/>
    </row>
    <row r="594" spans="1:14" ht="15.75" customHeight="1" x14ac:dyDescent="0.25">
      <c r="A594" s="7"/>
      <c r="B594" s="343" t="s">
        <v>343</v>
      </c>
      <c r="C594" s="344"/>
      <c r="D594" s="344"/>
      <c r="E594" s="334"/>
      <c r="F594" s="104">
        <v>205700</v>
      </c>
      <c r="G594" s="25"/>
      <c r="H594" s="11"/>
      <c r="I594" s="21"/>
      <c r="J594" s="21"/>
      <c r="K594" s="21"/>
      <c r="L594" s="21"/>
      <c r="M594" s="21"/>
      <c r="N594" s="21"/>
    </row>
    <row r="595" spans="1:14" ht="15.75" customHeight="1" x14ac:dyDescent="0.25">
      <c r="A595" s="7"/>
      <c r="B595" s="345" t="s">
        <v>344</v>
      </c>
      <c r="C595" s="344"/>
      <c r="D595" s="344"/>
      <c r="E595" s="334"/>
      <c r="F595" s="107">
        <f>SUM(F593:F594)</f>
        <v>2075700</v>
      </c>
      <c r="G595" s="25"/>
      <c r="H595" s="11"/>
      <c r="I595" s="21"/>
      <c r="J595" s="21"/>
      <c r="K595" s="21"/>
      <c r="L595" s="21"/>
      <c r="M595" s="21"/>
      <c r="N595" s="21"/>
    </row>
    <row r="596" spans="1:14" ht="15.75" customHeight="1" x14ac:dyDescent="0.25">
      <c r="A596" s="21"/>
      <c r="B596" s="21"/>
      <c r="C596" s="11"/>
      <c r="D596" s="11"/>
      <c r="E596" s="21"/>
      <c r="F596" s="21"/>
      <c r="G596" s="25"/>
      <c r="H596" s="11"/>
      <c r="I596" s="21"/>
      <c r="J596" s="21"/>
      <c r="K596" s="21"/>
      <c r="L596" s="21"/>
      <c r="M596" s="21"/>
      <c r="N596" s="21"/>
    </row>
    <row r="597" spans="1:14" ht="15.75" customHeight="1" x14ac:dyDescent="0.25">
      <c r="A597" s="31" t="s">
        <v>14</v>
      </c>
      <c r="B597" s="31" t="s">
        <v>234</v>
      </c>
      <c r="C597" s="31" t="s">
        <v>16</v>
      </c>
      <c r="D597" s="31" t="s">
        <v>17</v>
      </c>
      <c r="E597" s="31" t="s">
        <v>235</v>
      </c>
      <c r="F597" s="31" t="s">
        <v>236</v>
      </c>
      <c r="G597" s="25"/>
      <c r="H597" s="11"/>
      <c r="I597" s="21"/>
      <c r="J597" s="21"/>
      <c r="K597" s="21"/>
      <c r="L597" s="21"/>
      <c r="M597" s="21"/>
      <c r="N597" s="21"/>
    </row>
    <row r="598" spans="1:14" ht="15.75" customHeight="1" x14ac:dyDescent="0.25">
      <c r="A598" s="7">
        <v>1</v>
      </c>
      <c r="B598" s="120" t="s">
        <v>512</v>
      </c>
      <c r="C598" s="7">
        <v>5</v>
      </c>
      <c r="D598" s="7" t="s">
        <v>510</v>
      </c>
      <c r="E598" s="104">
        <v>85000</v>
      </c>
      <c r="F598" s="104">
        <f>E598*C598</f>
        <v>425000</v>
      </c>
      <c r="G598" s="25"/>
      <c r="H598" s="11"/>
      <c r="I598" s="21"/>
      <c r="J598" s="21"/>
      <c r="K598" s="21"/>
      <c r="L598" s="21"/>
      <c r="M598" s="21"/>
      <c r="N598" s="21"/>
    </row>
    <row r="599" spans="1:14" ht="15.75" customHeight="1" x14ac:dyDescent="0.25">
      <c r="A599" s="7"/>
      <c r="B599" s="343" t="s">
        <v>342</v>
      </c>
      <c r="C599" s="344"/>
      <c r="D599" s="344"/>
      <c r="E599" s="334"/>
      <c r="F599" s="104">
        <f>F598</f>
        <v>425000</v>
      </c>
      <c r="G599" s="25"/>
      <c r="H599" s="11"/>
      <c r="I599" s="21"/>
      <c r="J599" s="21"/>
      <c r="K599" s="21"/>
      <c r="L599" s="21"/>
      <c r="M599" s="21"/>
      <c r="N599" s="21"/>
    </row>
    <row r="600" spans="1:14" ht="15.75" customHeight="1" x14ac:dyDescent="0.25">
      <c r="A600" s="7"/>
      <c r="B600" s="343" t="s">
        <v>343</v>
      </c>
      <c r="C600" s="344"/>
      <c r="D600" s="344"/>
      <c r="E600" s="334"/>
      <c r="F600" s="104">
        <v>46750</v>
      </c>
      <c r="G600" s="25"/>
      <c r="H600" s="11"/>
      <c r="I600" s="21"/>
      <c r="J600" s="21"/>
      <c r="K600" s="21"/>
      <c r="L600" s="21"/>
      <c r="M600" s="21"/>
      <c r="N600" s="21"/>
    </row>
    <row r="601" spans="1:14" ht="15.75" customHeight="1" x14ac:dyDescent="0.25">
      <c r="A601" s="7"/>
      <c r="B601" s="345" t="s">
        <v>344</v>
      </c>
      <c r="C601" s="344"/>
      <c r="D601" s="344"/>
      <c r="E601" s="334"/>
      <c r="F601" s="107">
        <f>SUM(F599:F600)</f>
        <v>471750</v>
      </c>
      <c r="G601" s="25"/>
      <c r="H601" s="11"/>
      <c r="I601" s="21"/>
      <c r="J601" s="21"/>
      <c r="K601" s="21"/>
      <c r="L601" s="21"/>
      <c r="M601" s="21"/>
      <c r="N601" s="21"/>
    </row>
    <row r="602" spans="1:14" ht="15.75" customHeight="1" x14ac:dyDescent="0.25">
      <c r="A602" s="21"/>
      <c r="B602" s="21"/>
      <c r="C602" s="11"/>
      <c r="D602" s="11"/>
      <c r="E602" s="21"/>
      <c r="F602" s="21"/>
      <c r="G602" s="25"/>
      <c r="H602" s="11"/>
      <c r="I602" s="21"/>
      <c r="J602" s="21"/>
      <c r="K602" s="21"/>
      <c r="L602" s="21"/>
      <c r="M602" s="21"/>
      <c r="N602" s="21"/>
    </row>
    <row r="603" spans="1:14" ht="15.75" customHeight="1" x14ac:dyDescent="0.25">
      <c r="A603" s="31" t="s">
        <v>14</v>
      </c>
      <c r="B603" s="31" t="s">
        <v>234</v>
      </c>
      <c r="C603" s="31" t="s">
        <v>16</v>
      </c>
      <c r="D603" s="31" t="s">
        <v>17</v>
      </c>
      <c r="E603" s="31" t="s">
        <v>235</v>
      </c>
      <c r="F603" s="31" t="s">
        <v>236</v>
      </c>
      <c r="G603" s="25"/>
      <c r="H603" s="11"/>
      <c r="I603" s="21"/>
      <c r="J603" s="21"/>
      <c r="K603" s="21"/>
      <c r="L603" s="21"/>
      <c r="M603" s="21"/>
      <c r="N603" s="21"/>
    </row>
    <row r="604" spans="1:14" ht="15.75" customHeight="1" x14ac:dyDescent="0.25">
      <c r="A604" s="7">
        <v>1</v>
      </c>
      <c r="B604" s="120" t="s">
        <v>513</v>
      </c>
      <c r="C604" s="7">
        <v>1</v>
      </c>
      <c r="D604" s="7" t="s">
        <v>363</v>
      </c>
      <c r="E604" s="104">
        <v>1649500</v>
      </c>
      <c r="F604" s="104">
        <f>E604*C604</f>
        <v>1649500</v>
      </c>
      <c r="G604" s="25"/>
      <c r="H604" s="11"/>
      <c r="I604" s="21"/>
      <c r="J604" s="21"/>
      <c r="K604" s="21"/>
      <c r="L604" s="21"/>
      <c r="M604" s="21"/>
      <c r="N604" s="21"/>
    </row>
    <row r="605" spans="1:14" ht="15.75" customHeight="1" x14ac:dyDescent="0.25">
      <c r="A605" s="7"/>
      <c r="B605" s="343" t="s">
        <v>342</v>
      </c>
      <c r="C605" s="344"/>
      <c r="D605" s="344"/>
      <c r="E605" s="334"/>
      <c r="F605" s="104">
        <f>F604</f>
        <v>1649500</v>
      </c>
      <c r="G605" s="25"/>
      <c r="H605" s="11"/>
      <c r="I605" s="21"/>
      <c r="J605" s="21"/>
      <c r="K605" s="21"/>
      <c r="L605" s="21"/>
      <c r="M605" s="21"/>
      <c r="N605" s="21"/>
    </row>
    <row r="606" spans="1:14" ht="15.75" customHeight="1" x14ac:dyDescent="0.25">
      <c r="A606" s="7"/>
      <c r="B606" s="343" t="s">
        <v>343</v>
      </c>
      <c r="C606" s="344"/>
      <c r="D606" s="344"/>
      <c r="E606" s="334"/>
      <c r="F606" s="104">
        <v>181445</v>
      </c>
      <c r="G606" s="25"/>
      <c r="H606" s="11"/>
      <c r="I606" s="21"/>
      <c r="J606" s="21"/>
      <c r="K606" s="21"/>
      <c r="L606" s="21"/>
      <c r="M606" s="21"/>
      <c r="N606" s="21"/>
    </row>
    <row r="607" spans="1:14" ht="15.75" customHeight="1" x14ac:dyDescent="0.25">
      <c r="A607" s="7"/>
      <c r="B607" s="345" t="s">
        <v>344</v>
      </c>
      <c r="C607" s="344"/>
      <c r="D607" s="344"/>
      <c r="E607" s="334"/>
      <c r="F607" s="107">
        <f>SUM(F605:F606)</f>
        <v>1830945</v>
      </c>
      <c r="G607" s="25"/>
      <c r="H607" s="11"/>
      <c r="I607" s="21"/>
      <c r="J607" s="21"/>
      <c r="K607" s="21"/>
      <c r="L607" s="21"/>
      <c r="M607" s="21"/>
      <c r="N607" s="21"/>
    </row>
    <row r="608" spans="1:14" ht="15.75" customHeight="1" x14ac:dyDescent="0.25">
      <c r="A608" s="21"/>
      <c r="B608" s="21"/>
      <c r="C608" s="11"/>
      <c r="D608" s="11"/>
      <c r="E608" s="21"/>
      <c r="F608" s="21"/>
      <c r="G608" s="25"/>
      <c r="H608" s="11"/>
      <c r="I608" s="21"/>
      <c r="J608" s="21"/>
      <c r="K608" s="21"/>
      <c r="L608" s="21"/>
      <c r="M608" s="21"/>
      <c r="N608" s="21"/>
    </row>
    <row r="609" spans="1:14" ht="15.75" customHeight="1" x14ac:dyDescent="0.25">
      <c r="A609" s="31" t="s">
        <v>14</v>
      </c>
      <c r="B609" s="31" t="s">
        <v>234</v>
      </c>
      <c r="C609" s="31" t="s">
        <v>16</v>
      </c>
      <c r="D609" s="31" t="s">
        <v>17</v>
      </c>
      <c r="E609" s="31" t="s">
        <v>235</v>
      </c>
      <c r="F609" s="31" t="s">
        <v>236</v>
      </c>
      <c r="G609" s="25"/>
      <c r="H609" s="11"/>
      <c r="I609" s="21"/>
      <c r="J609" s="21"/>
      <c r="K609" s="21"/>
      <c r="L609" s="21"/>
      <c r="M609" s="21"/>
      <c r="N609" s="21"/>
    </row>
    <row r="610" spans="1:14" ht="15.75" customHeight="1" x14ac:dyDescent="0.25">
      <c r="A610" s="7">
        <v>1</v>
      </c>
      <c r="B610" s="121" t="s">
        <v>514</v>
      </c>
      <c r="C610" s="7">
        <v>3</v>
      </c>
      <c r="D610" s="7" t="s">
        <v>251</v>
      </c>
      <c r="E610" s="104">
        <v>4756000</v>
      </c>
      <c r="F610" s="104">
        <f>E610*C610</f>
        <v>14268000</v>
      </c>
      <c r="G610" s="25"/>
      <c r="H610" s="11"/>
      <c r="I610" s="21"/>
      <c r="J610" s="21"/>
      <c r="K610" s="21"/>
      <c r="L610" s="21"/>
      <c r="M610" s="21"/>
      <c r="N610" s="21"/>
    </row>
    <row r="611" spans="1:14" ht="15.75" customHeight="1" x14ac:dyDescent="0.25">
      <c r="A611" s="7"/>
      <c r="B611" s="343" t="s">
        <v>342</v>
      </c>
      <c r="C611" s="344"/>
      <c r="D611" s="344"/>
      <c r="E611" s="334"/>
      <c r="F611" s="104">
        <f>F610</f>
        <v>14268000</v>
      </c>
      <c r="G611" s="25"/>
      <c r="H611" s="11"/>
      <c r="I611" s="21"/>
      <c r="J611" s="21"/>
      <c r="K611" s="21"/>
      <c r="L611" s="21"/>
      <c r="M611" s="21"/>
      <c r="N611" s="21"/>
    </row>
    <row r="612" spans="1:14" ht="15.75" customHeight="1" x14ac:dyDescent="0.25">
      <c r="A612" s="7"/>
      <c r="B612" s="343" t="s">
        <v>343</v>
      </c>
      <c r="C612" s="344"/>
      <c r="D612" s="344"/>
      <c r="E612" s="334"/>
      <c r="F612" s="104">
        <v>1569480</v>
      </c>
      <c r="G612" s="25"/>
      <c r="H612" s="11"/>
      <c r="I612" s="21"/>
      <c r="J612" s="21"/>
      <c r="K612" s="21"/>
      <c r="L612" s="21"/>
      <c r="M612" s="21"/>
      <c r="N612" s="21"/>
    </row>
    <row r="613" spans="1:14" ht="15.75" customHeight="1" x14ac:dyDescent="0.25">
      <c r="A613" s="7"/>
      <c r="B613" s="345" t="s">
        <v>344</v>
      </c>
      <c r="C613" s="344"/>
      <c r="D613" s="344"/>
      <c r="E613" s="334"/>
      <c r="F613" s="107">
        <f>SUM(F611:F612)</f>
        <v>15837480</v>
      </c>
      <c r="G613" s="25"/>
      <c r="H613" s="11"/>
      <c r="I613" s="21"/>
      <c r="J613" s="21"/>
      <c r="K613" s="21"/>
      <c r="L613" s="21"/>
      <c r="M613" s="21"/>
      <c r="N613" s="21"/>
    </row>
    <row r="614" spans="1:14" ht="15.75" customHeight="1" x14ac:dyDescent="0.25">
      <c r="A614" s="21"/>
      <c r="B614" s="21"/>
      <c r="C614" s="11"/>
      <c r="D614" s="11"/>
      <c r="E614" s="21"/>
      <c r="F614" s="21"/>
      <c r="G614" s="25"/>
      <c r="H614" s="11"/>
      <c r="I614" s="21"/>
      <c r="J614" s="21"/>
      <c r="K614" s="21"/>
      <c r="L614" s="21"/>
      <c r="M614" s="21"/>
      <c r="N614" s="21"/>
    </row>
    <row r="615" spans="1:14" ht="15.75" customHeight="1" x14ac:dyDescent="0.25">
      <c r="A615" s="31" t="s">
        <v>14</v>
      </c>
      <c r="B615" s="31" t="s">
        <v>15</v>
      </c>
      <c r="C615" s="31" t="s">
        <v>16</v>
      </c>
      <c r="D615" s="31" t="s">
        <v>17</v>
      </c>
      <c r="E615" s="31" t="s">
        <v>235</v>
      </c>
      <c r="F615" s="31" t="s">
        <v>236</v>
      </c>
      <c r="G615" s="25"/>
      <c r="H615" s="11"/>
      <c r="I615" s="21"/>
      <c r="J615" s="21"/>
      <c r="K615" s="21"/>
      <c r="L615" s="21"/>
      <c r="M615" s="21"/>
      <c r="N615" s="21"/>
    </row>
    <row r="616" spans="1:14" ht="15.75" customHeight="1" x14ac:dyDescent="0.25">
      <c r="A616" s="7">
        <v>1</v>
      </c>
      <c r="B616" s="116" t="s">
        <v>515</v>
      </c>
      <c r="C616" s="117">
        <v>2</v>
      </c>
      <c r="D616" s="117" t="s">
        <v>363</v>
      </c>
      <c r="E616" s="104">
        <v>259800</v>
      </c>
      <c r="F616" s="104">
        <f t="shared" ref="F616:F630" si="2">E616*C616</f>
        <v>519600</v>
      </c>
      <c r="G616" s="25"/>
      <c r="H616" s="11"/>
      <c r="I616" s="21"/>
      <c r="J616" s="21"/>
      <c r="K616" s="21"/>
      <c r="L616" s="21"/>
      <c r="M616" s="21"/>
      <c r="N616" s="21"/>
    </row>
    <row r="617" spans="1:14" ht="15.75" customHeight="1" x14ac:dyDescent="0.25">
      <c r="A617" s="7">
        <v>2</v>
      </c>
      <c r="B617" s="116" t="s">
        <v>516</v>
      </c>
      <c r="C617" s="117">
        <v>2</v>
      </c>
      <c r="D617" s="117" t="s">
        <v>363</v>
      </c>
      <c r="E617" s="104">
        <v>438500</v>
      </c>
      <c r="F617" s="104">
        <f t="shared" si="2"/>
        <v>877000</v>
      </c>
      <c r="G617" s="25"/>
      <c r="H617" s="11"/>
      <c r="I617" s="21"/>
      <c r="J617" s="21"/>
      <c r="K617" s="21"/>
      <c r="L617" s="21"/>
      <c r="M617" s="21"/>
      <c r="N617" s="21"/>
    </row>
    <row r="618" spans="1:14" ht="15.75" customHeight="1" x14ac:dyDescent="0.25">
      <c r="A618" s="7">
        <v>3</v>
      </c>
      <c r="B618" s="116" t="s">
        <v>517</v>
      </c>
      <c r="C618" s="117">
        <v>1</v>
      </c>
      <c r="D618" s="117" t="s">
        <v>363</v>
      </c>
      <c r="E618" s="104">
        <v>467500</v>
      </c>
      <c r="F618" s="104">
        <f t="shared" si="2"/>
        <v>467500</v>
      </c>
      <c r="G618" s="25"/>
      <c r="H618" s="11"/>
      <c r="I618" s="21"/>
      <c r="J618" s="21"/>
      <c r="K618" s="21"/>
      <c r="L618" s="21"/>
      <c r="M618" s="21"/>
      <c r="N618" s="21"/>
    </row>
    <row r="619" spans="1:14" ht="15.75" customHeight="1" x14ac:dyDescent="0.25">
      <c r="A619" s="7">
        <v>4</v>
      </c>
      <c r="B619" s="116" t="s">
        <v>518</v>
      </c>
      <c r="C619" s="117">
        <v>1</v>
      </c>
      <c r="D619" s="117" t="s">
        <v>363</v>
      </c>
      <c r="E619" s="104">
        <v>562500</v>
      </c>
      <c r="F619" s="104">
        <f t="shared" si="2"/>
        <v>562500</v>
      </c>
      <c r="G619" s="25"/>
      <c r="H619" s="11"/>
      <c r="I619" s="21"/>
      <c r="J619" s="21"/>
      <c r="K619" s="21"/>
      <c r="L619" s="21"/>
      <c r="M619" s="21"/>
      <c r="N619" s="21"/>
    </row>
    <row r="620" spans="1:14" ht="15.75" customHeight="1" x14ac:dyDescent="0.25">
      <c r="A620" s="7">
        <v>5</v>
      </c>
      <c r="B620" s="116" t="s">
        <v>519</v>
      </c>
      <c r="C620" s="117">
        <v>1</v>
      </c>
      <c r="D620" s="117" t="s">
        <v>363</v>
      </c>
      <c r="E620" s="104">
        <v>1742500</v>
      </c>
      <c r="F620" s="104">
        <f t="shared" si="2"/>
        <v>1742500</v>
      </c>
      <c r="G620" s="25"/>
      <c r="H620" s="11"/>
      <c r="I620" s="21"/>
      <c r="J620" s="21"/>
      <c r="K620" s="21"/>
      <c r="L620" s="21"/>
      <c r="M620" s="21"/>
      <c r="N620" s="21"/>
    </row>
    <row r="621" spans="1:14" ht="15.75" customHeight="1" x14ac:dyDescent="0.25">
      <c r="A621" s="7">
        <v>6</v>
      </c>
      <c r="B621" s="116" t="s">
        <v>520</v>
      </c>
      <c r="C621" s="117">
        <v>1</v>
      </c>
      <c r="D621" s="117" t="s">
        <v>363</v>
      </c>
      <c r="E621" s="104">
        <v>737500</v>
      </c>
      <c r="F621" s="104">
        <f t="shared" si="2"/>
        <v>737500</v>
      </c>
      <c r="G621" s="25"/>
      <c r="H621" s="11"/>
      <c r="I621" s="21"/>
      <c r="J621" s="21"/>
      <c r="K621" s="21"/>
      <c r="L621" s="21"/>
      <c r="M621" s="21"/>
      <c r="N621" s="21"/>
    </row>
    <row r="622" spans="1:14" ht="15.75" customHeight="1" x14ac:dyDescent="0.25">
      <c r="A622" s="7">
        <v>7</v>
      </c>
      <c r="B622" s="116" t="s">
        <v>521</v>
      </c>
      <c r="C622" s="117">
        <v>1</v>
      </c>
      <c r="D622" s="117" t="s">
        <v>363</v>
      </c>
      <c r="E622" s="104">
        <v>910000</v>
      </c>
      <c r="F622" s="104">
        <f t="shared" si="2"/>
        <v>910000</v>
      </c>
      <c r="G622" s="25"/>
      <c r="H622" s="11"/>
      <c r="I622" s="21"/>
      <c r="J622" s="21"/>
      <c r="K622" s="21"/>
      <c r="L622" s="21"/>
      <c r="M622" s="21"/>
      <c r="N622" s="21"/>
    </row>
    <row r="623" spans="1:14" ht="15.75" customHeight="1" x14ac:dyDescent="0.25">
      <c r="A623" s="7">
        <v>8</v>
      </c>
      <c r="B623" s="116" t="s">
        <v>522</v>
      </c>
      <c r="C623" s="117">
        <v>1</v>
      </c>
      <c r="D623" s="117" t="s">
        <v>363</v>
      </c>
      <c r="E623" s="104">
        <v>556000</v>
      </c>
      <c r="F623" s="104">
        <f t="shared" si="2"/>
        <v>556000</v>
      </c>
      <c r="G623" s="25"/>
      <c r="H623" s="11"/>
      <c r="I623" s="21"/>
      <c r="J623" s="21"/>
      <c r="K623" s="21"/>
      <c r="L623" s="21"/>
      <c r="M623" s="21"/>
      <c r="N623" s="21"/>
    </row>
    <row r="624" spans="1:14" ht="15.75" customHeight="1" x14ac:dyDescent="0.25">
      <c r="A624" s="7">
        <v>9</v>
      </c>
      <c r="B624" s="116" t="s">
        <v>523</v>
      </c>
      <c r="C624" s="117">
        <v>1</v>
      </c>
      <c r="D624" s="117" t="s">
        <v>363</v>
      </c>
      <c r="E624" s="104">
        <v>1696000</v>
      </c>
      <c r="F624" s="104">
        <f t="shared" si="2"/>
        <v>1696000</v>
      </c>
      <c r="G624" s="25"/>
      <c r="H624" s="11"/>
      <c r="I624" s="21"/>
      <c r="J624" s="21"/>
      <c r="K624" s="21"/>
      <c r="L624" s="21"/>
      <c r="M624" s="21"/>
      <c r="N624" s="21"/>
    </row>
    <row r="625" spans="1:14" ht="15.75" customHeight="1" x14ac:dyDescent="0.25">
      <c r="A625" s="7">
        <v>10</v>
      </c>
      <c r="B625" s="116" t="s">
        <v>524</v>
      </c>
      <c r="C625" s="117">
        <v>3</v>
      </c>
      <c r="D625" s="117" t="s">
        <v>363</v>
      </c>
      <c r="E625" s="104">
        <v>125500</v>
      </c>
      <c r="F625" s="104">
        <f t="shared" si="2"/>
        <v>376500</v>
      </c>
      <c r="G625" s="25"/>
      <c r="H625" s="11"/>
      <c r="I625" s="21"/>
      <c r="J625" s="21"/>
      <c r="K625" s="21"/>
      <c r="L625" s="21"/>
      <c r="M625" s="21"/>
      <c r="N625" s="21"/>
    </row>
    <row r="626" spans="1:14" ht="15.75" customHeight="1" x14ac:dyDescent="0.25">
      <c r="A626" s="7">
        <v>11</v>
      </c>
      <c r="B626" s="116" t="s">
        <v>525</v>
      </c>
      <c r="C626" s="117">
        <v>2</v>
      </c>
      <c r="D626" s="117" t="s">
        <v>363</v>
      </c>
      <c r="E626" s="104">
        <v>192875</v>
      </c>
      <c r="F626" s="104">
        <f t="shared" si="2"/>
        <v>385750</v>
      </c>
      <c r="G626" s="25"/>
      <c r="H626" s="11"/>
      <c r="I626" s="21"/>
      <c r="J626" s="21"/>
      <c r="K626" s="21"/>
      <c r="L626" s="21"/>
      <c r="M626" s="21"/>
      <c r="N626" s="21"/>
    </row>
    <row r="627" spans="1:14" ht="15.75" customHeight="1" x14ac:dyDescent="0.25">
      <c r="A627" s="7">
        <v>12</v>
      </c>
      <c r="B627" s="116" t="s">
        <v>526</v>
      </c>
      <c r="C627" s="117">
        <v>2</v>
      </c>
      <c r="D627" s="117" t="s">
        <v>363</v>
      </c>
      <c r="E627" s="104">
        <v>161500</v>
      </c>
      <c r="F627" s="104">
        <f t="shared" si="2"/>
        <v>323000</v>
      </c>
      <c r="G627" s="25"/>
      <c r="H627" s="11"/>
      <c r="I627" s="21"/>
      <c r="J627" s="21"/>
      <c r="K627" s="21"/>
      <c r="L627" s="21"/>
      <c r="M627" s="21"/>
      <c r="N627" s="21"/>
    </row>
    <row r="628" spans="1:14" ht="15.75" customHeight="1" x14ac:dyDescent="0.25">
      <c r="A628" s="7">
        <v>13</v>
      </c>
      <c r="B628" s="116" t="s">
        <v>527</v>
      </c>
      <c r="C628" s="117">
        <v>2</v>
      </c>
      <c r="D628" s="117" t="s">
        <v>363</v>
      </c>
      <c r="E628" s="104">
        <v>898500</v>
      </c>
      <c r="F628" s="104">
        <f t="shared" si="2"/>
        <v>1797000</v>
      </c>
      <c r="G628" s="25"/>
      <c r="H628" s="11"/>
      <c r="I628" s="21"/>
      <c r="J628" s="21"/>
      <c r="K628" s="21"/>
      <c r="L628" s="21"/>
      <c r="M628" s="21"/>
      <c r="N628" s="21"/>
    </row>
    <row r="629" spans="1:14" ht="15.75" customHeight="1" x14ac:dyDescent="0.25">
      <c r="A629" s="7">
        <v>14</v>
      </c>
      <c r="B629" s="116" t="s">
        <v>528</v>
      </c>
      <c r="C629" s="117">
        <v>2</v>
      </c>
      <c r="D629" s="117" t="s">
        <v>363</v>
      </c>
      <c r="E629" s="104">
        <v>752500</v>
      </c>
      <c r="F629" s="104">
        <f t="shared" si="2"/>
        <v>1505000</v>
      </c>
      <c r="G629" s="25"/>
      <c r="H629" s="11"/>
      <c r="I629" s="21"/>
      <c r="J629" s="21"/>
      <c r="K629" s="21"/>
      <c r="L629" s="21"/>
      <c r="M629" s="21"/>
      <c r="N629" s="21"/>
    </row>
    <row r="630" spans="1:14" ht="15.75" customHeight="1" x14ac:dyDescent="0.25">
      <c r="A630" s="7">
        <v>15</v>
      </c>
      <c r="B630" s="116" t="s">
        <v>529</v>
      </c>
      <c r="C630" s="117">
        <v>2</v>
      </c>
      <c r="D630" s="117" t="s">
        <v>363</v>
      </c>
      <c r="E630" s="104">
        <v>159000</v>
      </c>
      <c r="F630" s="104">
        <f t="shared" si="2"/>
        <v>318000</v>
      </c>
      <c r="G630" s="25"/>
      <c r="H630" s="11"/>
      <c r="I630" s="21"/>
      <c r="J630" s="21"/>
      <c r="K630" s="21"/>
      <c r="L630" s="21"/>
      <c r="M630" s="21"/>
      <c r="N630" s="21"/>
    </row>
    <row r="631" spans="1:14" ht="15.75" customHeight="1" x14ac:dyDescent="0.25">
      <c r="A631" s="7"/>
      <c r="B631" s="343" t="s">
        <v>342</v>
      </c>
      <c r="C631" s="344"/>
      <c r="D631" s="344"/>
      <c r="E631" s="334"/>
      <c r="F631" s="104">
        <f>SUM(F616:F630)</f>
        <v>12773850</v>
      </c>
      <c r="G631" s="25"/>
      <c r="H631" s="11"/>
      <c r="I631" s="21"/>
      <c r="J631" s="21"/>
      <c r="K631" s="21"/>
      <c r="L631" s="21"/>
      <c r="M631" s="21"/>
      <c r="N631" s="21"/>
    </row>
    <row r="632" spans="1:14" ht="15.75" customHeight="1" x14ac:dyDescent="0.25">
      <c r="A632" s="7"/>
      <c r="B632" s="343" t="s">
        <v>343</v>
      </c>
      <c r="C632" s="344"/>
      <c r="D632" s="344"/>
      <c r="E632" s="334"/>
      <c r="F632" s="104">
        <v>1405123.5</v>
      </c>
      <c r="G632" s="25"/>
      <c r="H632" s="11"/>
      <c r="I632" s="21"/>
      <c r="J632" s="21"/>
      <c r="K632" s="21"/>
      <c r="L632" s="21"/>
      <c r="M632" s="21"/>
      <c r="N632" s="21"/>
    </row>
    <row r="633" spans="1:14" ht="15.75" customHeight="1" x14ac:dyDescent="0.25">
      <c r="A633" s="7"/>
      <c r="B633" s="345" t="s">
        <v>344</v>
      </c>
      <c r="C633" s="344"/>
      <c r="D633" s="344"/>
      <c r="E633" s="334"/>
      <c r="F633" s="107">
        <f>SUM(F631:F632)</f>
        <v>14178973.5</v>
      </c>
      <c r="G633" s="25"/>
      <c r="H633" s="11"/>
      <c r="I633" s="21"/>
      <c r="J633" s="21"/>
      <c r="K633" s="21"/>
      <c r="L633" s="21"/>
      <c r="M633" s="21"/>
      <c r="N633" s="21"/>
    </row>
    <row r="634" spans="1:14" ht="15.75" customHeight="1" x14ac:dyDescent="0.25">
      <c r="A634" s="21"/>
      <c r="B634" s="21"/>
      <c r="C634" s="11"/>
      <c r="D634" s="11"/>
      <c r="E634" s="21"/>
      <c r="F634" s="21"/>
      <c r="G634" s="25"/>
      <c r="H634" s="11"/>
      <c r="I634" s="21"/>
      <c r="J634" s="21"/>
      <c r="K634" s="21"/>
      <c r="L634" s="21"/>
      <c r="M634" s="21"/>
      <c r="N634" s="21"/>
    </row>
    <row r="635" spans="1:14" ht="15.75" customHeight="1" x14ac:dyDescent="0.25">
      <c r="A635" s="31" t="s">
        <v>14</v>
      </c>
      <c r="B635" s="31" t="s">
        <v>234</v>
      </c>
      <c r="C635" s="31" t="s">
        <v>16</v>
      </c>
      <c r="D635" s="31" t="s">
        <v>17</v>
      </c>
      <c r="E635" s="31" t="s">
        <v>235</v>
      </c>
      <c r="F635" s="31" t="s">
        <v>236</v>
      </c>
      <c r="G635" s="25"/>
      <c r="H635" s="11"/>
      <c r="I635" s="21"/>
      <c r="J635" s="21"/>
      <c r="K635" s="21"/>
      <c r="L635" s="21"/>
      <c r="M635" s="21"/>
      <c r="N635" s="21"/>
    </row>
    <row r="636" spans="1:14" ht="15.75" customHeight="1" x14ac:dyDescent="0.25">
      <c r="A636" s="7">
        <v>1</v>
      </c>
      <c r="B636" s="120" t="s">
        <v>530</v>
      </c>
      <c r="C636" s="7">
        <v>10</v>
      </c>
      <c r="D636" s="7" t="s">
        <v>19</v>
      </c>
      <c r="E636" s="104">
        <v>735000</v>
      </c>
      <c r="F636" s="104">
        <f>E636*C636</f>
        <v>7350000</v>
      </c>
      <c r="G636" s="25"/>
      <c r="H636" s="11"/>
      <c r="I636" s="21"/>
      <c r="J636" s="21"/>
      <c r="K636" s="21"/>
      <c r="L636" s="21"/>
      <c r="M636" s="21"/>
      <c r="N636" s="21"/>
    </row>
    <row r="637" spans="1:14" ht="15.75" customHeight="1" x14ac:dyDescent="0.25">
      <c r="A637" s="7"/>
      <c r="B637" s="343" t="s">
        <v>342</v>
      </c>
      <c r="C637" s="344"/>
      <c r="D637" s="344"/>
      <c r="E637" s="334"/>
      <c r="F637" s="104">
        <f>F636</f>
        <v>7350000</v>
      </c>
      <c r="G637" s="25"/>
      <c r="H637" s="11"/>
      <c r="I637" s="21"/>
      <c r="J637" s="21"/>
      <c r="K637" s="21"/>
      <c r="L637" s="21"/>
      <c r="M637" s="21"/>
      <c r="N637" s="21"/>
    </row>
    <row r="638" spans="1:14" ht="15.75" customHeight="1" x14ac:dyDescent="0.25">
      <c r="A638" s="7"/>
      <c r="B638" s="343" t="s">
        <v>343</v>
      </c>
      <c r="C638" s="344"/>
      <c r="D638" s="344"/>
      <c r="E638" s="334"/>
      <c r="F638" s="104">
        <v>808500</v>
      </c>
      <c r="G638" s="25"/>
      <c r="H638" s="11"/>
      <c r="I638" s="21"/>
      <c r="J638" s="21"/>
      <c r="K638" s="21"/>
      <c r="L638" s="21"/>
      <c r="M638" s="21"/>
      <c r="N638" s="21"/>
    </row>
    <row r="639" spans="1:14" ht="15.75" customHeight="1" x14ac:dyDescent="0.25">
      <c r="A639" s="7"/>
      <c r="B639" s="345" t="s">
        <v>344</v>
      </c>
      <c r="C639" s="344"/>
      <c r="D639" s="344"/>
      <c r="E639" s="334"/>
      <c r="F639" s="107">
        <f>SUM(F637:F638)</f>
        <v>8158500</v>
      </c>
      <c r="G639" s="25"/>
      <c r="H639" s="11"/>
      <c r="I639" s="21"/>
      <c r="J639" s="21"/>
      <c r="K639" s="21"/>
      <c r="L639" s="21"/>
      <c r="M639" s="21"/>
      <c r="N639" s="21"/>
    </row>
    <row r="640" spans="1:14" ht="15.75" customHeight="1" x14ac:dyDescent="0.25">
      <c r="A640" s="21"/>
      <c r="B640" s="21"/>
      <c r="C640" s="11"/>
      <c r="D640" s="11"/>
      <c r="E640" s="21"/>
      <c r="F640" s="21"/>
      <c r="G640" s="25"/>
      <c r="H640" s="11"/>
      <c r="I640" s="21"/>
      <c r="J640" s="21"/>
      <c r="K640" s="21"/>
      <c r="L640" s="21"/>
      <c r="M640" s="21"/>
      <c r="N640" s="21"/>
    </row>
    <row r="641" spans="1:14" ht="15.75" customHeight="1" x14ac:dyDescent="0.25">
      <c r="A641" s="31" t="s">
        <v>351</v>
      </c>
      <c r="B641" s="31" t="s">
        <v>234</v>
      </c>
      <c r="C641" s="31" t="s">
        <v>16</v>
      </c>
      <c r="D641" s="31" t="s">
        <v>17</v>
      </c>
      <c r="E641" s="31" t="s">
        <v>235</v>
      </c>
      <c r="F641" s="31" t="s">
        <v>236</v>
      </c>
      <c r="G641" s="25"/>
      <c r="H641" s="11"/>
      <c r="I641" s="21"/>
      <c r="J641" s="21"/>
      <c r="K641" s="21"/>
      <c r="L641" s="21"/>
      <c r="M641" s="21"/>
      <c r="N641" s="21"/>
    </row>
    <row r="642" spans="1:14" ht="15.75" customHeight="1" x14ac:dyDescent="0.25">
      <c r="A642" s="7">
        <v>1</v>
      </c>
      <c r="B642" s="41" t="s">
        <v>531</v>
      </c>
      <c r="C642" s="7">
        <v>12</v>
      </c>
      <c r="D642" s="7" t="s">
        <v>353</v>
      </c>
      <c r="E642" s="104">
        <v>51000</v>
      </c>
      <c r="F642" s="104">
        <f>E642*C642</f>
        <v>612000</v>
      </c>
      <c r="G642" s="25"/>
      <c r="H642" s="11"/>
      <c r="I642" s="21"/>
      <c r="J642" s="21"/>
      <c r="K642" s="21"/>
      <c r="L642" s="21"/>
      <c r="M642" s="21"/>
      <c r="N642" s="21"/>
    </row>
    <row r="643" spans="1:14" ht="15.75" customHeight="1" x14ac:dyDescent="0.25">
      <c r="A643" s="7">
        <v>2</v>
      </c>
      <c r="B643" s="41" t="s">
        <v>532</v>
      </c>
      <c r="C643" s="7">
        <v>2</v>
      </c>
      <c r="D643" s="7" t="s">
        <v>353</v>
      </c>
      <c r="E643" s="104">
        <v>988500</v>
      </c>
      <c r="F643" s="104">
        <f>E643*C643</f>
        <v>1977000</v>
      </c>
      <c r="G643" s="25"/>
      <c r="H643" s="11"/>
      <c r="I643" s="21"/>
      <c r="J643" s="21"/>
      <c r="K643" s="21"/>
      <c r="L643" s="21"/>
      <c r="M643" s="21"/>
      <c r="N643" s="21"/>
    </row>
    <row r="644" spans="1:14" ht="15.75" customHeight="1" x14ac:dyDescent="0.25">
      <c r="A644" s="7"/>
      <c r="B644" s="343" t="s">
        <v>342</v>
      </c>
      <c r="C644" s="344"/>
      <c r="D644" s="344"/>
      <c r="E644" s="334"/>
      <c r="F644" s="104">
        <f>SUM(F641:F643)</f>
        <v>2589000</v>
      </c>
      <c r="G644" s="25"/>
      <c r="H644" s="11"/>
      <c r="I644" s="21"/>
      <c r="J644" s="21"/>
      <c r="K644" s="21"/>
      <c r="L644" s="21"/>
      <c r="M644" s="21"/>
      <c r="N644" s="21"/>
    </row>
    <row r="645" spans="1:14" ht="15.75" customHeight="1" x14ac:dyDescent="0.25">
      <c r="A645" s="7"/>
      <c r="B645" s="343" t="s">
        <v>343</v>
      </c>
      <c r="C645" s="344"/>
      <c r="D645" s="344"/>
      <c r="E645" s="334"/>
      <c r="F645" s="104">
        <v>284790</v>
      </c>
      <c r="G645" s="25"/>
      <c r="H645" s="11"/>
      <c r="I645" s="21"/>
      <c r="J645" s="21"/>
      <c r="K645" s="21"/>
      <c r="L645" s="21"/>
      <c r="M645" s="21"/>
      <c r="N645" s="21"/>
    </row>
    <row r="646" spans="1:14" ht="15.75" customHeight="1" x14ac:dyDescent="0.25">
      <c r="A646" s="7"/>
      <c r="B646" s="345" t="s">
        <v>344</v>
      </c>
      <c r="C646" s="344"/>
      <c r="D646" s="344"/>
      <c r="E646" s="334"/>
      <c r="F646" s="107">
        <f>SUM(F644:F645)</f>
        <v>2873790</v>
      </c>
      <c r="G646" s="25"/>
      <c r="H646" s="11"/>
      <c r="I646" s="21"/>
      <c r="J646" s="21"/>
      <c r="K646" s="21"/>
      <c r="L646" s="21"/>
      <c r="M646" s="21"/>
      <c r="N646" s="21"/>
    </row>
    <row r="647" spans="1:14" ht="15.75" customHeight="1" x14ac:dyDescent="0.25">
      <c r="A647" s="21"/>
      <c r="B647" s="21"/>
      <c r="C647" s="11"/>
      <c r="D647" s="11"/>
      <c r="E647" s="21"/>
      <c r="F647" s="21"/>
      <c r="G647" s="25"/>
      <c r="H647" s="11"/>
      <c r="I647" s="21"/>
      <c r="J647" s="21"/>
      <c r="K647" s="21"/>
      <c r="L647" s="21"/>
      <c r="M647" s="21"/>
      <c r="N647" s="21"/>
    </row>
    <row r="648" spans="1:14" ht="15.75" customHeight="1" x14ac:dyDescent="0.25">
      <c r="A648" s="31" t="s">
        <v>14</v>
      </c>
      <c r="B648" s="31" t="s">
        <v>234</v>
      </c>
      <c r="C648" s="31" t="s">
        <v>16</v>
      </c>
      <c r="D648" s="31" t="s">
        <v>17</v>
      </c>
      <c r="E648" s="31" t="s">
        <v>235</v>
      </c>
      <c r="F648" s="31" t="s">
        <v>236</v>
      </c>
      <c r="G648" s="25"/>
      <c r="H648" s="11"/>
      <c r="I648" s="21"/>
      <c r="J648" s="21"/>
      <c r="K648" s="21"/>
      <c r="L648" s="21"/>
      <c r="M648" s="21"/>
      <c r="N648" s="21"/>
    </row>
    <row r="649" spans="1:14" ht="15.75" customHeight="1" x14ac:dyDescent="0.25">
      <c r="A649" s="7">
        <v>1</v>
      </c>
      <c r="B649" s="120" t="s">
        <v>533</v>
      </c>
      <c r="C649" s="7">
        <v>6</v>
      </c>
      <c r="D649" s="7" t="s">
        <v>363</v>
      </c>
      <c r="E649" s="104">
        <v>335500</v>
      </c>
      <c r="F649" s="104">
        <f>E649*C649</f>
        <v>2013000</v>
      </c>
      <c r="G649" s="25"/>
      <c r="H649" s="11"/>
      <c r="I649" s="21"/>
      <c r="J649" s="21"/>
      <c r="K649" s="21"/>
      <c r="L649" s="21"/>
      <c r="M649" s="21"/>
      <c r="N649" s="21"/>
    </row>
    <row r="650" spans="1:14" ht="15.75" customHeight="1" x14ac:dyDescent="0.25">
      <c r="A650" s="7"/>
      <c r="B650" s="343" t="s">
        <v>342</v>
      </c>
      <c r="C650" s="344"/>
      <c r="D650" s="344"/>
      <c r="E650" s="334"/>
      <c r="F650" s="104">
        <f>F649</f>
        <v>2013000</v>
      </c>
      <c r="G650" s="25"/>
      <c r="H650" s="11"/>
      <c r="I650" s="21"/>
      <c r="J650" s="21"/>
      <c r="K650" s="21"/>
      <c r="L650" s="21"/>
      <c r="M650" s="21"/>
      <c r="N650" s="21"/>
    </row>
    <row r="651" spans="1:14" ht="15.75" customHeight="1" x14ac:dyDescent="0.25">
      <c r="A651" s="7"/>
      <c r="B651" s="343" t="s">
        <v>343</v>
      </c>
      <c r="C651" s="344"/>
      <c r="D651" s="344"/>
      <c r="E651" s="334"/>
      <c r="F651" s="104">
        <v>221430</v>
      </c>
      <c r="G651" s="25"/>
      <c r="H651" s="11"/>
      <c r="I651" s="21"/>
      <c r="J651" s="21"/>
      <c r="K651" s="21"/>
      <c r="L651" s="21"/>
      <c r="M651" s="21"/>
      <c r="N651" s="21"/>
    </row>
    <row r="652" spans="1:14" ht="15.75" customHeight="1" x14ac:dyDescent="0.25">
      <c r="A652" s="7"/>
      <c r="B652" s="345" t="s">
        <v>344</v>
      </c>
      <c r="C652" s="344"/>
      <c r="D652" s="344"/>
      <c r="E652" s="334"/>
      <c r="F652" s="107">
        <f>SUM(F650:F651)</f>
        <v>2234430</v>
      </c>
      <c r="G652" s="25"/>
      <c r="H652" s="11"/>
      <c r="I652" s="21"/>
      <c r="J652" s="21"/>
      <c r="K652" s="21"/>
      <c r="L652" s="21"/>
      <c r="M652" s="21"/>
      <c r="N652" s="21"/>
    </row>
    <row r="653" spans="1:14" ht="15.75" customHeight="1" x14ac:dyDescent="0.25">
      <c r="A653" s="21"/>
      <c r="B653" s="21"/>
      <c r="C653" s="11"/>
      <c r="D653" s="11"/>
      <c r="E653" s="21"/>
      <c r="F653" s="21"/>
      <c r="G653" s="25"/>
      <c r="H653" s="11"/>
      <c r="I653" s="21"/>
      <c r="J653" s="21"/>
      <c r="K653" s="21"/>
      <c r="L653" s="21"/>
      <c r="M653" s="21"/>
      <c r="N653" s="21"/>
    </row>
    <row r="654" spans="1:14" ht="15.75" customHeight="1" x14ac:dyDescent="0.25">
      <c r="A654" s="31" t="s">
        <v>351</v>
      </c>
      <c r="B654" s="31" t="s">
        <v>234</v>
      </c>
      <c r="C654" s="31" t="s">
        <v>16</v>
      </c>
      <c r="D654" s="31" t="s">
        <v>17</v>
      </c>
      <c r="E654" s="31" t="s">
        <v>235</v>
      </c>
      <c r="F654" s="31" t="s">
        <v>236</v>
      </c>
      <c r="G654" s="25"/>
      <c r="H654" s="11"/>
      <c r="I654" s="21"/>
      <c r="J654" s="21"/>
      <c r="K654" s="21"/>
      <c r="L654" s="21"/>
      <c r="M654" s="21"/>
      <c r="N654" s="21"/>
    </row>
    <row r="655" spans="1:14" ht="15.75" customHeight="1" x14ac:dyDescent="0.25">
      <c r="A655" s="7">
        <v>1</v>
      </c>
      <c r="B655" s="41" t="s">
        <v>534</v>
      </c>
      <c r="C655" s="7">
        <v>2</v>
      </c>
      <c r="D655" s="7" t="s">
        <v>353</v>
      </c>
      <c r="E655" s="104">
        <v>4150000</v>
      </c>
      <c r="F655" s="104">
        <f>E655*C655</f>
        <v>8300000</v>
      </c>
      <c r="G655" s="25"/>
      <c r="H655" s="11"/>
      <c r="I655" s="21"/>
      <c r="J655" s="21"/>
      <c r="K655" s="21"/>
      <c r="L655" s="21"/>
      <c r="M655" s="21"/>
      <c r="N655" s="21"/>
    </row>
    <row r="656" spans="1:14" ht="15.75" customHeight="1" x14ac:dyDescent="0.25">
      <c r="A656" s="7">
        <v>2</v>
      </c>
      <c r="B656" s="41" t="s">
        <v>535</v>
      </c>
      <c r="C656" s="7">
        <v>10</v>
      </c>
      <c r="D656" s="7" t="s">
        <v>353</v>
      </c>
      <c r="E656" s="104">
        <v>245000</v>
      </c>
      <c r="F656" s="104">
        <f>E656*C656</f>
        <v>2450000</v>
      </c>
      <c r="G656" s="25"/>
      <c r="H656" s="11"/>
      <c r="I656" s="21"/>
      <c r="J656" s="21"/>
      <c r="K656" s="21"/>
      <c r="L656" s="21"/>
      <c r="M656" s="21"/>
      <c r="N656" s="21"/>
    </row>
    <row r="657" spans="1:14" ht="15.75" customHeight="1" x14ac:dyDescent="0.25">
      <c r="A657" s="7"/>
      <c r="B657" s="343" t="s">
        <v>342</v>
      </c>
      <c r="C657" s="344"/>
      <c r="D657" s="344"/>
      <c r="E657" s="334"/>
      <c r="F657" s="104">
        <f>SUM(F654:F656)</f>
        <v>10750000</v>
      </c>
      <c r="G657" s="25"/>
      <c r="H657" s="11"/>
      <c r="I657" s="21"/>
      <c r="J657" s="21"/>
      <c r="K657" s="21"/>
      <c r="L657" s="21"/>
      <c r="M657" s="21"/>
      <c r="N657" s="21"/>
    </row>
    <row r="658" spans="1:14" ht="15.75" customHeight="1" x14ac:dyDescent="0.25">
      <c r="A658" s="7"/>
      <c r="B658" s="343" t="s">
        <v>343</v>
      </c>
      <c r="C658" s="344"/>
      <c r="D658" s="344"/>
      <c r="E658" s="334"/>
      <c r="F658" s="104">
        <v>1182500</v>
      </c>
      <c r="G658" s="25"/>
      <c r="H658" s="11"/>
      <c r="I658" s="21"/>
      <c r="J658" s="21"/>
      <c r="K658" s="21"/>
      <c r="L658" s="21"/>
      <c r="M658" s="21"/>
      <c r="N658" s="21"/>
    </row>
    <row r="659" spans="1:14" ht="15.75" customHeight="1" x14ac:dyDescent="0.25">
      <c r="A659" s="7"/>
      <c r="B659" s="345" t="s">
        <v>344</v>
      </c>
      <c r="C659" s="344"/>
      <c r="D659" s="344"/>
      <c r="E659" s="334"/>
      <c r="F659" s="107">
        <f>SUM(F657:F658)</f>
        <v>11932500</v>
      </c>
      <c r="G659" s="25"/>
      <c r="H659" s="11"/>
      <c r="I659" s="21"/>
      <c r="J659" s="21"/>
      <c r="K659" s="21"/>
      <c r="L659" s="21"/>
      <c r="M659" s="21"/>
      <c r="N659" s="21"/>
    </row>
    <row r="660" spans="1:14" ht="15.75" customHeight="1" x14ac:dyDescent="0.25">
      <c r="A660" s="21"/>
      <c r="B660" s="21"/>
      <c r="C660" s="11"/>
      <c r="D660" s="11"/>
      <c r="E660" s="21"/>
      <c r="F660" s="21"/>
      <c r="G660" s="25"/>
      <c r="H660" s="11"/>
      <c r="I660" s="21"/>
      <c r="J660" s="21"/>
      <c r="K660" s="21"/>
      <c r="L660" s="21"/>
      <c r="M660" s="21"/>
      <c r="N660" s="21"/>
    </row>
    <row r="661" spans="1:14" ht="15.75" customHeight="1" x14ac:dyDescent="0.25">
      <c r="A661" s="31" t="s">
        <v>351</v>
      </c>
      <c r="B661" s="31" t="s">
        <v>234</v>
      </c>
      <c r="C661" s="31" t="s">
        <v>16</v>
      </c>
      <c r="D661" s="31" t="s">
        <v>17</v>
      </c>
      <c r="E661" s="31" t="s">
        <v>235</v>
      </c>
      <c r="F661" s="31" t="s">
        <v>236</v>
      </c>
      <c r="G661" s="25"/>
      <c r="H661" s="11"/>
      <c r="I661" s="21"/>
      <c r="J661" s="21"/>
      <c r="K661" s="21"/>
      <c r="L661" s="21"/>
      <c r="M661" s="21"/>
      <c r="N661" s="21"/>
    </row>
    <row r="662" spans="1:14" ht="15.75" customHeight="1" x14ac:dyDescent="0.25">
      <c r="A662" s="7">
        <v>1</v>
      </c>
      <c r="B662" s="41" t="s">
        <v>536</v>
      </c>
      <c r="C662" s="7">
        <v>2</v>
      </c>
      <c r="D662" s="7" t="s">
        <v>347</v>
      </c>
      <c r="E662" s="104">
        <v>8950000</v>
      </c>
      <c r="F662" s="104">
        <f>E662*C662</f>
        <v>17900000</v>
      </c>
      <c r="G662" s="25"/>
      <c r="H662" s="11"/>
      <c r="I662" s="21"/>
      <c r="J662" s="21"/>
      <c r="K662" s="21"/>
      <c r="L662" s="21"/>
      <c r="M662" s="21"/>
      <c r="N662" s="21"/>
    </row>
    <row r="663" spans="1:14" ht="15.75" customHeight="1" x14ac:dyDescent="0.25">
      <c r="A663" s="7">
        <v>2</v>
      </c>
      <c r="B663" s="41" t="s">
        <v>537</v>
      </c>
      <c r="C663" s="7">
        <v>3</v>
      </c>
      <c r="D663" s="7" t="s">
        <v>353</v>
      </c>
      <c r="E663" s="104">
        <v>112000</v>
      </c>
      <c r="F663" s="104">
        <f>E663*C663</f>
        <v>336000</v>
      </c>
      <c r="G663" s="25"/>
      <c r="H663" s="11"/>
      <c r="I663" s="21"/>
      <c r="J663" s="21"/>
      <c r="K663" s="21"/>
      <c r="L663" s="21"/>
      <c r="M663" s="21"/>
      <c r="N663" s="21"/>
    </row>
    <row r="664" spans="1:14" ht="15.75" customHeight="1" x14ac:dyDescent="0.25">
      <c r="A664" s="7"/>
      <c r="B664" s="343" t="s">
        <v>342</v>
      </c>
      <c r="C664" s="344"/>
      <c r="D664" s="344"/>
      <c r="E664" s="334"/>
      <c r="F664" s="104">
        <f>SUM(F661:F663)</f>
        <v>18236000</v>
      </c>
      <c r="G664" s="25"/>
      <c r="H664" s="11"/>
      <c r="I664" s="21"/>
      <c r="J664" s="21"/>
      <c r="K664" s="21"/>
      <c r="L664" s="21"/>
      <c r="M664" s="21"/>
      <c r="N664" s="21"/>
    </row>
    <row r="665" spans="1:14" ht="15.75" customHeight="1" x14ac:dyDescent="0.25">
      <c r="A665" s="7"/>
      <c r="B665" s="343" t="s">
        <v>343</v>
      </c>
      <c r="C665" s="344"/>
      <c r="D665" s="344"/>
      <c r="E665" s="334"/>
      <c r="F665" s="104">
        <v>2005960</v>
      </c>
      <c r="G665" s="25"/>
      <c r="H665" s="11"/>
      <c r="I665" s="21"/>
      <c r="J665" s="21"/>
      <c r="K665" s="21"/>
      <c r="L665" s="21"/>
      <c r="M665" s="21"/>
      <c r="N665" s="21"/>
    </row>
    <row r="666" spans="1:14" ht="15.75" customHeight="1" x14ac:dyDescent="0.25">
      <c r="A666" s="7"/>
      <c r="B666" s="345" t="s">
        <v>344</v>
      </c>
      <c r="C666" s="344"/>
      <c r="D666" s="344"/>
      <c r="E666" s="334"/>
      <c r="F666" s="107">
        <f>SUM(F664:F665)</f>
        <v>20241960</v>
      </c>
      <c r="G666" s="25"/>
      <c r="H666" s="11"/>
      <c r="I666" s="21"/>
      <c r="J666" s="21"/>
      <c r="K666" s="21"/>
      <c r="L666" s="21"/>
      <c r="M666" s="21"/>
      <c r="N666" s="21"/>
    </row>
    <row r="667" spans="1:14" ht="15.75" customHeight="1" x14ac:dyDescent="0.25">
      <c r="A667" s="21"/>
      <c r="B667" s="21"/>
      <c r="C667" s="11"/>
      <c r="D667" s="11"/>
      <c r="E667" s="21"/>
      <c r="F667" s="21"/>
      <c r="G667" s="25"/>
      <c r="H667" s="11"/>
      <c r="I667" s="21"/>
      <c r="J667" s="21"/>
      <c r="K667" s="21"/>
      <c r="L667" s="21"/>
      <c r="M667" s="21"/>
      <c r="N667" s="21"/>
    </row>
    <row r="668" spans="1:14" ht="15.75" customHeight="1" x14ac:dyDescent="0.25">
      <c r="A668" s="31" t="s">
        <v>351</v>
      </c>
      <c r="B668" s="31" t="s">
        <v>234</v>
      </c>
      <c r="C668" s="31" t="s">
        <v>16</v>
      </c>
      <c r="D668" s="31" t="s">
        <v>17</v>
      </c>
      <c r="E668" s="31" t="s">
        <v>235</v>
      </c>
      <c r="F668" s="31" t="s">
        <v>236</v>
      </c>
      <c r="G668" s="25"/>
      <c r="H668" s="11"/>
      <c r="I668" s="21"/>
      <c r="J668" s="21"/>
      <c r="K668" s="21"/>
      <c r="L668" s="21"/>
      <c r="M668" s="21"/>
      <c r="N668" s="21"/>
    </row>
    <row r="669" spans="1:14" ht="15.75" customHeight="1" x14ac:dyDescent="0.25">
      <c r="A669" s="7">
        <v>1</v>
      </c>
      <c r="B669" s="35" t="s">
        <v>538</v>
      </c>
      <c r="C669" s="7">
        <v>100</v>
      </c>
      <c r="D669" s="7" t="s">
        <v>539</v>
      </c>
      <c r="E669" s="104">
        <v>44745</v>
      </c>
      <c r="F669" s="104">
        <f>E669*C669</f>
        <v>4474500</v>
      </c>
      <c r="G669" s="25"/>
      <c r="H669" s="11"/>
      <c r="I669" s="21"/>
      <c r="J669" s="21"/>
      <c r="K669" s="21"/>
      <c r="L669" s="21"/>
      <c r="M669" s="21"/>
      <c r="N669" s="21"/>
    </row>
    <row r="670" spans="1:14" ht="15.75" customHeight="1" x14ac:dyDescent="0.25">
      <c r="A670" s="7">
        <v>2</v>
      </c>
      <c r="B670" s="35" t="s">
        <v>540</v>
      </c>
      <c r="C670" s="7">
        <v>60</v>
      </c>
      <c r="D670" s="7" t="s">
        <v>539</v>
      </c>
      <c r="E670" s="104">
        <v>44745</v>
      </c>
      <c r="F670" s="104">
        <f>E670*C670</f>
        <v>2684700</v>
      </c>
      <c r="G670" s="25"/>
      <c r="H670" s="11"/>
      <c r="I670" s="21"/>
      <c r="J670" s="21"/>
      <c r="K670" s="21"/>
      <c r="L670" s="21"/>
      <c r="M670" s="21"/>
      <c r="N670" s="21"/>
    </row>
    <row r="671" spans="1:14" ht="15.75" customHeight="1" x14ac:dyDescent="0.25">
      <c r="A671" s="7">
        <v>3</v>
      </c>
      <c r="B671" s="35" t="s">
        <v>541</v>
      </c>
      <c r="C671" s="7">
        <v>40</v>
      </c>
      <c r="D671" s="7" t="s">
        <v>539</v>
      </c>
      <c r="E671" s="104">
        <v>33250</v>
      </c>
      <c r="F671" s="104">
        <f>E671*C671</f>
        <v>1330000</v>
      </c>
      <c r="G671" s="25"/>
      <c r="H671" s="11"/>
      <c r="I671" s="21"/>
      <c r="J671" s="21"/>
      <c r="K671" s="21"/>
      <c r="L671" s="21"/>
      <c r="M671" s="21"/>
      <c r="N671" s="21"/>
    </row>
    <row r="672" spans="1:14" ht="15.75" customHeight="1" x14ac:dyDescent="0.25">
      <c r="A672" s="7"/>
      <c r="B672" s="343" t="s">
        <v>342</v>
      </c>
      <c r="C672" s="344"/>
      <c r="D672" s="344"/>
      <c r="E672" s="334"/>
      <c r="F672" s="104">
        <f>SUM(F669:F671)</f>
        <v>8489200</v>
      </c>
      <c r="G672" s="25"/>
      <c r="H672" s="11"/>
      <c r="I672" s="21"/>
      <c r="J672" s="21"/>
      <c r="K672" s="21"/>
      <c r="L672" s="21"/>
      <c r="M672" s="21"/>
      <c r="N672" s="21"/>
    </row>
    <row r="673" spans="1:14" ht="15.75" customHeight="1" x14ac:dyDescent="0.25">
      <c r="A673" s="7"/>
      <c r="B673" s="343" t="s">
        <v>343</v>
      </c>
      <c r="C673" s="344"/>
      <c r="D673" s="344"/>
      <c r="E673" s="334"/>
      <c r="F673" s="104">
        <v>933812</v>
      </c>
      <c r="G673" s="25"/>
      <c r="H673" s="11"/>
      <c r="I673" s="21"/>
      <c r="J673" s="21"/>
      <c r="K673" s="21"/>
      <c r="L673" s="21"/>
      <c r="M673" s="21"/>
      <c r="N673" s="21"/>
    </row>
    <row r="674" spans="1:14" ht="15.75" customHeight="1" x14ac:dyDescent="0.25">
      <c r="A674" s="7"/>
      <c r="B674" s="345" t="s">
        <v>344</v>
      </c>
      <c r="C674" s="344"/>
      <c r="D674" s="344"/>
      <c r="E674" s="334"/>
      <c r="F674" s="107">
        <f>SUM(F672:F673)</f>
        <v>9423012</v>
      </c>
      <c r="G674" s="25"/>
      <c r="H674" s="11"/>
      <c r="I674" s="21"/>
      <c r="J674" s="21"/>
      <c r="K674" s="21"/>
      <c r="L674" s="21"/>
      <c r="M674" s="21"/>
      <c r="N674" s="21"/>
    </row>
    <row r="675" spans="1:14" ht="15.75" customHeight="1" x14ac:dyDescent="0.25">
      <c r="A675" s="21"/>
      <c r="B675" s="21"/>
      <c r="C675" s="11"/>
      <c r="D675" s="11"/>
      <c r="E675" s="21"/>
      <c r="F675" s="21"/>
      <c r="G675" s="25"/>
      <c r="H675" s="11"/>
      <c r="I675" s="21"/>
      <c r="J675" s="21"/>
      <c r="K675" s="21"/>
      <c r="L675" s="21"/>
      <c r="M675" s="21"/>
      <c r="N675" s="21"/>
    </row>
    <row r="676" spans="1:14" ht="15.75" customHeight="1" x14ac:dyDescent="0.25">
      <c r="A676" s="31" t="s">
        <v>351</v>
      </c>
      <c r="B676" s="31" t="s">
        <v>234</v>
      </c>
      <c r="C676" s="31" t="s">
        <v>16</v>
      </c>
      <c r="D676" s="31" t="s">
        <v>17</v>
      </c>
      <c r="E676" s="31" t="s">
        <v>235</v>
      </c>
      <c r="F676" s="31" t="s">
        <v>236</v>
      </c>
      <c r="G676" s="25"/>
      <c r="H676" s="11"/>
      <c r="I676" s="21"/>
      <c r="J676" s="21"/>
      <c r="K676" s="21"/>
      <c r="L676" s="21"/>
      <c r="M676" s="21"/>
      <c r="N676" s="21"/>
    </row>
    <row r="677" spans="1:14" ht="15.75" customHeight="1" x14ac:dyDescent="0.25">
      <c r="A677" s="7">
        <v>1</v>
      </c>
      <c r="B677" s="41" t="s">
        <v>542</v>
      </c>
      <c r="C677" s="7">
        <v>1</v>
      </c>
      <c r="D677" s="7" t="s">
        <v>543</v>
      </c>
      <c r="E677" s="104">
        <v>8500000</v>
      </c>
      <c r="F677" s="104">
        <f>E677*C677</f>
        <v>8500000</v>
      </c>
      <c r="G677" s="25"/>
      <c r="H677" s="11"/>
      <c r="I677" s="21"/>
      <c r="J677" s="21"/>
      <c r="K677" s="21"/>
      <c r="L677" s="21"/>
      <c r="M677" s="21"/>
      <c r="N677" s="21"/>
    </row>
    <row r="678" spans="1:14" ht="15.75" customHeight="1" x14ac:dyDescent="0.25">
      <c r="A678" s="7">
        <v>2</v>
      </c>
      <c r="B678" s="41" t="s">
        <v>544</v>
      </c>
      <c r="C678" s="7">
        <v>1</v>
      </c>
      <c r="D678" s="7" t="s">
        <v>543</v>
      </c>
      <c r="E678" s="104">
        <v>6500000</v>
      </c>
      <c r="F678" s="104">
        <f>E678*C678</f>
        <v>6500000</v>
      </c>
      <c r="G678" s="25"/>
      <c r="H678" s="11"/>
      <c r="I678" s="21"/>
      <c r="J678" s="21"/>
      <c r="K678" s="21"/>
      <c r="L678" s="21"/>
      <c r="M678" s="21"/>
      <c r="N678" s="21"/>
    </row>
    <row r="679" spans="1:14" ht="15.75" customHeight="1" x14ac:dyDescent="0.25">
      <c r="A679" s="7"/>
      <c r="B679" s="345" t="s">
        <v>342</v>
      </c>
      <c r="C679" s="344"/>
      <c r="D679" s="344"/>
      <c r="E679" s="334"/>
      <c r="F679" s="107">
        <f>SUM(F676:F678)</f>
        <v>15000000</v>
      </c>
      <c r="G679" s="25"/>
      <c r="H679" s="11"/>
      <c r="I679" s="21"/>
      <c r="J679" s="21"/>
      <c r="K679" s="21"/>
      <c r="L679" s="21"/>
      <c r="M679" s="21"/>
      <c r="N679" s="21"/>
    </row>
    <row r="680" spans="1:14" ht="15.75" customHeight="1" x14ac:dyDescent="0.25">
      <c r="A680" s="7"/>
      <c r="B680" s="343" t="s">
        <v>343</v>
      </c>
      <c r="C680" s="344"/>
      <c r="D680" s="344"/>
      <c r="E680" s="334"/>
      <c r="F680" s="104">
        <v>1650000</v>
      </c>
      <c r="G680" s="25"/>
      <c r="H680" s="11"/>
      <c r="I680" s="21"/>
      <c r="J680" s="21"/>
      <c r="K680" s="21"/>
      <c r="L680" s="21"/>
      <c r="M680" s="21"/>
      <c r="N680" s="21"/>
    </row>
    <row r="681" spans="1:14" ht="15.75" customHeight="1" x14ac:dyDescent="0.25">
      <c r="A681" s="7"/>
      <c r="B681" s="345" t="s">
        <v>344</v>
      </c>
      <c r="C681" s="344"/>
      <c r="D681" s="344"/>
      <c r="E681" s="334"/>
      <c r="F681" s="107">
        <f>SUM(F679:F680)</f>
        <v>16650000</v>
      </c>
      <c r="G681" s="25"/>
      <c r="H681" s="11"/>
      <c r="I681" s="21"/>
      <c r="J681" s="21"/>
      <c r="K681" s="21"/>
      <c r="L681" s="21"/>
      <c r="M681" s="21"/>
      <c r="N681" s="21"/>
    </row>
    <row r="682" spans="1:14" ht="15.75" customHeight="1" x14ac:dyDescent="0.25">
      <c r="A682" s="21"/>
      <c r="B682" s="21"/>
      <c r="C682" s="11"/>
      <c r="D682" s="11"/>
      <c r="E682" s="21"/>
      <c r="F682" s="21"/>
      <c r="G682" s="25"/>
      <c r="H682" s="11"/>
      <c r="I682" s="21"/>
      <c r="J682" s="21"/>
      <c r="K682" s="21"/>
      <c r="L682" s="21"/>
      <c r="M682" s="21"/>
      <c r="N682" s="21"/>
    </row>
    <row r="683" spans="1:14" ht="15.75" customHeight="1" x14ac:dyDescent="0.25">
      <c r="A683" s="31" t="s">
        <v>351</v>
      </c>
      <c r="B683" s="31" t="s">
        <v>234</v>
      </c>
      <c r="C683" s="31" t="s">
        <v>16</v>
      </c>
      <c r="D683" s="31" t="s">
        <v>17</v>
      </c>
      <c r="E683" s="31" t="s">
        <v>235</v>
      </c>
      <c r="F683" s="31" t="s">
        <v>236</v>
      </c>
      <c r="G683" s="25"/>
      <c r="H683" s="11"/>
      <c r="I683" s="21"/>
      <c r="J683" s="21"/>
      <c r="K683" s="21"/>
      <c r="L683" s="21"/>
      <c r="M683" s="21"/>
      <c r="N683" s="21"/>
    </row>
    <row r="684" spans="1:14" ht="15.75" customHeight="1" x14ac:dyDescent="0.25">
      <c r="A684" s="7">
        <v>1</v>
      </c>
      <c r="B684" s="41" t="s">
        <v>516</v>
      </c>
      <c r="C684" s="7">
        <v>2</v>
      </c>
      <c r="D684" s="7" t="s">
        <v>363</v>
      </c>
      <c r="E684" s="104">
        <v>438500</v>
      </c>
      <c r="F684" s="104">
        <f>E684*C684</f>
        <v>877000</v>
      </c>
      <c r="G684" s="25"/>
      <c r="H684" s="11"/>
      <c r="I684" s="21"/>
      <c r="J684" s="21"/>
      <c r="K684" s="21"/>
      <c r="L684" s="21"/>
      <c r="M684" s="21"/>
      <c r="N684" s="21"/>
    </row>
    <row r="685" spans="1:14" ht="15.75" customHeight="1" x14ac:dyDescent="0.25">
      <c r="A685" s="7">
        <v>2</v>
      </c>
      <c r="B685" s="41" t="s">
        <v>545</v>
      </c>
      <c r="C685" s="7">
        <v>2</v>
      </c>
      <c r="D685" s="7" t="s">
        <v>355</v>
      </c>
      <c r="E685" s="104">
        <v>1150000</v>
      </c>
      <c r="F685" s="104">
        <f>E685*C685</f>
        <v>2300000</v>
      </c>
      <c r="G685" s="25"/>
      <c r="H685" s="11"/>
      <c r="I685" s="21"/>
      <c r="J685" s="21"/>
      <c r="K685" s="21"/>
      <c r="L685" s="21"/>
      <c r="M685" s="21"/>
      <c r="N685" s="21"/>
    </row>
    <row r="686" spans="1:14" ht="15.75" customHeight="1" x14ac:dyDescent="0.25">
      <c r="A686" s="7"/>
      <c r="B686" s="345" t="s">
        <v>342</v>
      </c>
      <c r="C686" s="344"/>
      <c r="D686" s="344"/>
      <c r="E686" s="334"/>
      <c r="F686" s="107">
        <f>SUM(F684:F685)</f>
        <v>3177000</v>
      </c>
      <c r="G686" s="25"/>
      <c r="H686" s="11"/>
      <c r="I686" s="21"/>
      <c r="J686" s="21"/>
      <c r="K686" s="21"/>
      <c r="L686" s="21"/>
      <c r="M686" s="21"/>
      <c r="N686" s="21"/>
    </row>
    <row r="687" spans="1:14" ht="15.75" customHeight="1" x14ac:dyDescent="0.25">
      <c r="A687" s="7"/>
      <c r="B687" s="343" t="s">
        <v>343</v>
      </c>
      <c r="C687" s="344"/>
      <c r="D687" s="344"/>
      <c r="E687" s="334"/>
      <c r="F687" s="104">
        <v>349470</v>
      </c>
      <c r="G687" s="25"/>
      <c r="H687" s="11"/>
      <c r="I687" s="21"/>
      <c r="J687" s="21"/>
      <c r="K687" s="21"/>
      <c r="L687" s="21"/>
      <c r="M687" s="21"/>
      <c r="N687" s="21"/>
    </row>
    <row r="688" spans="1:14" ht="15.75" customHeight="1" x14ac:dyDescent="0.25">
      <c r="A688" s="7"/>
      <c r="B688" s="345" t="s">
        <v>344</v>
      </c>
      <c r="C688" s="344"/>
      <c r="D688" s="344"/>
      <c r="E688" s="334"/>
      <c r="F688" s="107">
        <f>SUM(F686:F687)</f>
        <v>3526470</v>
      </c>
      <c r="G688" s="25"/>
      <c r="H688" s="11"/>
      <c r="I688" s="21"/>
      <c r="J688" s="21"/>
      <c r="K688" s="21"/>
      <c r="L688" s="21"/>
      <c r="M688" s="21"/>
      <c r="N688" s="21"/>
    </row>
    <row r="689" spans="1:14" ht="15.75" customHeight="1" x14ac:dyDescent="0.25">
      <c r="A689" s="21"/>
      <c r="B689" s="21"/>
      <c r="C689" s="11"/>
      <c r="D689" s="11"/>
      <c r="E689" s="21"/>
      <c r="F689" s="21"/>
      <c r="G689" s="25"/>
      <c r="H689" s="11"/>
      <c r="I689" s="21"/>
      <c r="J689" s="21"/>
      <c r="K689" s="21"/>
      <c r="L689" s="21"/>
      <c r="M689" s="21"/>
      <c r="N689" s="21"/>
    </row>
    <row r="690" spans="1:14" ht="15.75" customHeight="1" x14ac:dyDescent="0.25">
      <c r="A690" s="31" t="s">
        <v>14</v>
      </c>
      <c r="B690" s="31" t="s">
        <v>15</v>
      </c>
      <c r="C690" s="31" t="s">
        <v>16</v>
      </c>
      <c r="D690" s="31" t="s">
        <v>17</v>
      </c>
      <c r="E690" s="31" t="s">
        <v>235</v>
      </c>
      <c r="F690" s="31" t="s">
        <v>236</v>
      </c>
      <c r="G690" s="25"/>
      <c r="H690" s="11"/>
      <c r="I690" s="21"/>
      <c r="J690" s="21"/>
      <c r="K690" s="21"/>
      <c r="L690" s="21"/>
      <c r="M690" s="21"/>
      <c r="N690" s="21"/>
    </row>
    <row r="691" spans="1:14" ht="15.75" customHeight="1" x14ac:dyDescent="0.25">
      <c r="A691" s="7">
        <v>1</v>
      </c>
      <c r="B691" s="122" t="s">
        <v>546</v>
      </c>
      <c r="C691" s="117">
        <v>2</v>
      </c>
      <c r="D691" s="117" t="s">
        <v>19</v>
      </c>
      <c r="E691" s="104">
        <v>924500</v>
      </c>
      <c r="F691" s="104">
        <f>E691*C691</f>
        <v>1849000</v>
      </c>
      <c r="G691" s="25"/>
      <c r="H691" s="11"/>
      <c r="I691" s="21"/>
      <c r="J691" s="21"/>
      <c r="K691" s="21"/>
      <c r="L691" s="21"/>
      <c r="M691" s="21"/>
      <c r="N691" s="21"/>
    </row>
    <row r="692" spans="1:14" ht="15.75" customHeight="1" x14ac:dyDescent="0.25">
      <c r="A692" s="7">
        <v>2</v>
      </c>
      <c r="B692" s="116" t="s">
        <v>547</v>
      </c>
      <c r="C692" s="117">
        <v>1</v>
      </c>
      <c r="D692" s="117" t="s">
        <v>19</v>
      </c>
      <c r="E692" s="104">
        <v>520000</v>
      </c>
      <c r="F692" s="104">
        <f>E692*C692</f>
        <v>520000</v>
      </c>
      <c r="G692" s="25"/>
      <c r="H692" s="11"/>
      <c r="I692" s="21"/>
      <c r="J692" s="21"/>
      <c r="K692" s="21"/>
      <c r="L692" s="21"/>
      <c r="M692" s="21"/>
      <c r="N692" s="21"/>
    </row>
    <row r="693" spans="1:14" ht="15.75" customHeight="1" x14ac:dyDescent="0.25">
      <c r="A693" s="7">
        <v>3</v>
      </c>
      <c r="B693" s="116" t="s">
        <v>548</v>
      </c>
      <c r="C693" s="117">
        <v>3</v>
      </c>
      <c r="D693" s="117" t="s">
        <v>355</v>
      </c>
      <c r="E693" s="104">
        <v>450000</v>
      </c>
      <c r="F693" s="104">
        <f>E693*C693</f>
        <v>1350000</v>
      </c>
      <c r="G693" s="25"/>
      <c r="H693" s="11"/>
      <c r="I693" s="21"/>
      <c r="J693" s="21"/>
      <c r="K693" s="21"/>
      <c r="L693" s="21"/>
      <c r="M693" s="21"/>
      <c r="N693" s="21"/>
    </row>
    <row r="694" spans="1:14" ht="15.75" customHeight="1" x14ac:dyDescent="0.25">
      <c r="A694" s="7">
        <v>4</v>
      </c>
      <c r="B694" s="116" t="s">
        <v>549</v>
      </c>
      <c r="C694" s="117">
        <v>4</v>
      </c>
      <c r="D694" s="117" t="s">
        <v>550</v>
      </c>
      <c r="E694" s="104">
        <v>24500</v>
      </c>
      <c r="F694" s="104">
        <f>E694*C694</f>
        <v>98000</v>
      </c>
      <c r="G694" s="25"/>
      <c r="H694" s="11"/>
      <c r="I694" s="21"/>
      <c r="J694" s="21"/>
      <c r="K694" s="21"/>
      <c r="L694" s="21"/>
      <c r="M694" s="21"/>
      <c r="N694" s="21"/>
    </row>
    <row r="695" spans="1:14" ht="15.75" customHeight="1" x14ac:dyDescent="0.25">
      <c r="A695" s="7">
        <v>5</v>
      </c>
      <c r="B695" s="116" t="s">
        <v>551</v>
      </c>
      <c r="C695" s="117">
        <v>10</v>
      </c>
      <c r="D695" s="117" t="s">
        <v>406</v>
      </c>
      <c r="E695" s="104">
        <v>105000</v>
      </c>
      <c r="F695" s="104">
        <f>E695*C695</f>
        <v>1050000</v>
      </c>
      <c r="G695" s="25"/>
      <c r="H695" s="11"/>
      <c r="I695" s="21"/>
      <c r="J695" s="21"/>
      <c r="K695" s="21"/>
      <c r="L695" s="21"/>
      <c r="M695" s="21"/>
      <c r="N695" s="21"/>
    </row>
    <row r="696" spans="1:14" ht="15.75" customHeight="1" x14ac:dyDescent="0.25">
      <c r="A696" s="7"/>
      <c r="B696" s="343" t="s">
        <v>342</v>
      </c>
      <c r="C696" s="344"/>
      <c r="D696" s="344"/>
      <c r="E696" s="334"/>
      <c r="F696" s="104">
        <f>SUM(F691:F695)</f>
        <v>4867000</v>
      </c>
      <c r="G696" s="25"/>
      <c r="H696" s="11"/>
      <c r="I696" s="21"/>
      <c r="J696" s="21"/>
      <c r="K696" s="21"/>
      <c r="L696" s="21"/>
      <c r="M696" s="21"/>
      <c r="N696" s="21"/>
    </row>
    <row r="697" spans="1:14" ht="15.75" customHeight="1" x14ac:dyDescent="0.25">
      <c r="A697" s="7"/>
      <c r="B697" s="343" t="s">
        <v>343</v>
      </c>
      <c r="C697" s="344"/>
      <c r="D697" s="344"/>
      <c r="E697" s="334"/>
      <c r="F697" s="104">
        <v>535370</v>
      </c>
      <c r="G697" s="25"/>
      <c r="H697" s="11"/>
      <c r="I697" s="21"/>
      <c r="J697" s="21"/>
      <c r="K697" s="21"/>
      <c r="L697" s="21"/>
      <c r="M697" s="21"/>
      <c r="N697" s="21"/>
    </row>
    <row r="698" spans="1:14" ht="15.75" customHeight="1" x14ac:dyDescent="0.25">
      <c r="A698" s="7"/>
      <c r="B698" s="345" t="s">
        <v>344</v>
      </c>
      <c r="C698" s="344"/>
      <c r="D698" s="344"/>
      <c r="E698" s="334"/>
      <c r="F698" s="107">
        <f>SUM(F696:F697)</f>
        <v>5402370</v>
      </c>
      <c r="G698" s="25"/>
      <c r="H698" s="11"/>
      <c r="I698" s="21"/>
      <c r="J698" s="21"/>
      <c r="K698" s="21"/>
      <c r="L698" s="21"/>
      <c r="M698" s="21"/>
      <c r="N698" s="21"/>
    </row>
    <row r="699" spans="1:14" ht="15.75" customHeight="1" x14ac:dyDescent="0.25">
      <c r="A699" s="21"/>
      <c r="B699" s="21"/>
      <c r="C699" s="11"/>
      <c r="D699" s="11"/>
      <c r="E699" s="21"/>
      <c r="F699" s="21"/>
      <c r="G699" s="25"/>
      <c r="H699" s="11"/>
      <c r="I699" s="21"/>
      <c r="J699" s="21"/>
      <c r="K699" s="21"/>
      <c r="L699" s="21"/>
      <c r="M699" s="21"/>
      <c r="N699" s="21"/>
    </row>
    <row r="700" spans="1:14" ht="15.75" customHeight="1" x14ac:dyDescent="0.25">
      <c r="A700" s="31" t="s">
        <v>14</v>
      </c>
      <c r="B700" s="31" t="s">
        <v>15</v>
      </c>
      <c r="C700" s="31" t="s">
        <v>16</v>
      </c>
      <c r="D700" s="31" t="s">
        <v>17</v>
      </c>
      <c r="E700" s="31" t="s">
        <v>235</v>
      </c>
      <c r="F700" s="31" t="s">
        <v>236</v>
      </c>
      <c r="G700" s="25"/>
      <c r="H700" s="11"/>
      <c r="I700" s="21"/>
      <c r="J700" s="21"/>
      <c r="K700" s="21"/>
      <c r="L700" s="21"/>
      <c r="M700" s="21"/>
      <c r="N700" s="21"/>
    </row>
    <row r="701" spans="1:14" ht="15.75" customHeight="1" x14ac:dyDescent="0.25">
      <c r="A701" s="7">
        <v>1</v>
      </c>
      <c r="B701" s="122" t="s">
        <v>552</v>
      </c>
      <c r="C701" s="117">
        <v>15</v>
      </c>
      <c r="D701" s="117" t="s">
        <v>406</v>
      </c>
      <c r="E701" s="104">
        <v>900500</v>
      </c>
      <c r="F701" s="104">
        <f t="shared" ref="F701:F706" si="3">E701*C701</f>
        <v>13507500</v>
      </c>
      <c r="G701" s="25"/>
      <c r="H701" s="11"/>
      <c r="I701" s="21"/>
      <c r="J701" s="21"/>
      <c r="K701" s="21"/>
      <c r="L701" s="21"/>
      <c r="M701" s="21"/>
      <c r="N701" s="21"/>
    </row>
    <row r="702" spans="1:14" ht="15.75" customHeight="1" x14ac:dyDescent="0.25">
      <c r="A702" s="7">
        <v>2</v>
      </c>
      <c r="B702" s="122" t="s">
        <v>553</v>
      </c>
      <c r="C702" s="117">
        <v>5</v>
      </c>
      <c r="D702" s="117" t="s">
        <v>406</v>
      </c>
      <c r="E702" s="104">
        <v>600500</v>
      </c>
      <c r="F702" s="104">
        <f t="shared" si="3"/>
        <v>3002500</v>
      </c>
      <c r="G702" s="25"/>
      <c r="H702" s="11"/>
      <c r="I702" s="21"/>
      <c r="J702" s="21"/>
      <c r="K702" s="21"/>
      <c r="L702" s="21"/>
      <c r="M702" s="21"/>
      <c r="N702" s="21"/>
    </row>
    <row r="703" spans="1:14" ht="15.75" customHeight="1" x14ac:dyDescent="0.25">
      <c r="A703" s="7">
        <v>3</v>
      </c>
      <c r="B703" s="122" t="s">
        <v>554</v>
      </c>
      <c r="C703" s="117">
        <v>2</v>
      </c>
      <c r="D703" s="117" t="s">
        <v>19</v>
      </c>
      <c r="E703" s="104">
        <v>395000</v>
      </c>
      <c r="F703" s="104">
        <f t="shared" si="3"/>
        <v>790000</v>
      </c>
      <c r="G703" s="25"/>
      <c r="H703" s="11"/>
      <c r="I703" s="21"/>
      <c r="J703" s="21"/>
      <c r="K703" s="21"/>
      <c r="L703" s="21"/>
      <c r="M703" s="21"/>
      <c r="N703" s="21"/>
    </row>
    <row r="704" spans="1:14" ht="15.75" customHeight="1" x14ac:dyDescent="0.25">
      <c r="A704" s="7">
        <v>4</v>
      </c>
      <c r="B704" s="122" t="s">
        <v>555</v>
      </c>
      <c r="C704" s="117">
        <v>2</v>
      </c>
      <c r="D704" s="117" t="s">
        <v>19</v>
      </c>
      <c r="E704" s="104">
        <v>322000</v>
      </c>
      <c r="F704" s="104">
        <f t="shared" si="3"/>
        <v>644000</v>
      </c>
      <c r="G704" s="25"/>
      <c r="H704" s="11"/>
      <c r="I704" s="21"/>
      <c r="J704" s="21"/>
      <c r="K704" s="21"/>
      <c r="L704" s="21"/>
      <c r="M704" s="21"/>
      <c r="N704" s="21"/>
    </row>
    <row r="705" spans="1:14" ht="15.75" customHeight="1" x14ac:dyDescent="0.25">
      <c r="A705" s="7">
        <v>5</v>
      </c>
      <c r="B705" s="116" t="s">
        <v>556</v>
      </c>
      <c r="C705" s="117">
        <v>6</v>
      </c>
      <c r="D705" s="117" t="s">
        <v>406</v>
      </c>
      <c r="E705" s="104">
        <v>305000</v>
      </c>
      <c r="F705" s="104">
        <f t="shared" si="3"/>
        <v>1830000</v>
      </c>
      <c r="G705" s="25"/>
      <c r="H705" s="11"/>
      <c r="I705" s="21"/>
      <c r="J705" s="21"/>
      <c r="K705" s="21"/>
      <c r="L705" s="21"/>
      <c r="M705" s="21"/>
      <c r="N705" s="21"/>
    </row>
    <row r="706" spans="1:14" ht="15.75" customHeight="1" x14ac:dyDescent="0.25">
      <c r="A706" s="7">
        <v>6</v>
      </c>
      <c r="B706" s="116" t="s">
        <v>557</v>
      </c>
      <c r="C706" s="117">
        <v>2</v>
      </c>
      <c r="D706" s="117" t="s">
        <v>19</v>
      </c>
      <c r="E706" s="104">
        <v>935000</v>
      </c>
      <c r="F706" s="104">
        <f t="shared" si="3"/>
        <v>1870000</v>
      </c>
      <c r="G706" s="25"/>
      <c r="H706" s="11"/>
      <c r="I706" s="21"/>
      <c r="J706" s="21"/>
      <c r="K706" s="21"/>
      <c r="L706" s="21"/>
      <c r="M706" s="21"/>
      <c r="N706" s="21"/>
    </row>
    <row r="707" spans="1:14" ht="15.75" customHeight="1" x14ac:dyDescent="0.25">
      <c r="A707" s="7"/>
      <c r="B707" s="343" t="s">
        <v>342</v>
      </c>
      <c r="C707" s="344"/>
      <c r="D707" s="344"/>
      <c r="E707" s="334"/>
      <c r="F707" s="104">
        <f>SUM(F701:F706)</f>
        <v>21644000</v>
      </c>
      <c r="G707" s="25"/>
      <c r="H707" s="11"/>
      <c r="I707" s="21"/>
      <c r="J707" s="21"/>
      <c r="K707" s="21"/>
      <c r="L707" s="21"/>
      <c r="M707" s="21"/>
      <c r="N707" s="21"/>
    </row>
    <row r="708" spans="1:14" ht="15.75" customHeight="1" x14ac:dyDescent="0.25">
      <c r="A708" s="7"/>
      <c r="B708" s="343" t="s">
        <v>343</v>
      </c>
      <c r="C708" s="344"/>
      <c r="D708" s="344"/>
      <c r="E708" s="334"/>
      <c r="F708" s="104">
        <v>2380840</v>
      </c>
      <c r="G708" s="25"/>
      <c r="H708" s="11"/>
      <c r="I708" s="21"/>
      <c r="J708" s="21"/>
      <c r="K708" s="21"/>
      <c r="L708" s="21"/>
      <c r="M708" s="21"/>
      <c r="N708" s="21"/>
    </row>
    <row r="709" spans="1:14" ht="15.75" customHeight="1" x14ac:dyDescent="0.25">
      <c r="A709" s="7"/>
      <c r="B709" s="345" t="s">
        <v>344</v>
      </c>
      <c r="C709" s="344"/>
      <c r="D709" s="344"/>
      <c r="E709" s="334"/>
      <c r="F709" s="107">
        <f>SUM(F707:F708)</f>
        <v>24024840</v>
      </c>
      <c r="G709" s="25"/>
      <c r="H709" s="11"/>
      <c r="I709" s="21"/>
      <c r="J709" s="21"/>
      <c r="K709" s="21"/>
      <c r="L709" s="21"/>
      <c r="M709" s="21"/>
      <c r="N709" s="21"/>
    </row>
    <row r="710" spans="1:14" ht="15.75" customHeight="1" x14ac:dyDescent="0.25">
      <c r="A710" s="21"/>
      <c r="B710" s="21"/>
      <c r="C710" s="11"/>
      <c r="D710" s="11"/>
      <c r="E710" s="21"/>
      <c r="F710" s="21"/>
      <c r="G710" s="25"/>
      <c r="H710" s="11"/>
      <c r="I710" s="21"/>
      <c r="J710" s="21"/>
      <c r="K710" s="21"/>
      <c r="L710" s="21"/>
      <c r="M710" s="21"/>
      <c r="N710" s="21"/>
    </row>
    <row r="711" spans="1:14" ht="15.75" customHeight="1" x14ac:dyDescent="0.25">
      <c r="A711" s="31" t="s">
        <v>351</v>
      </c>
      <c r="B711" s="31" t="s">
        <v>234</v>
      </c>
      <c r="C711" s="31" t="s">
        <v>16</v>
      </c>
      <c r="D711" s="31" t="s">
        <v>17</v>
      </c>
      <c r="E711" s="31" t="s">
        <v>235</v>
      </c>
      <c r="F711" s="31" t="s">
        <v>236</v>
      </c>
      <c r="G711" s="25"/>
      <c r="H711" s="11"/>
      <c r="I711" s="21"/>
      <c r="J711" s="21"/>
      <c r="K711" s="21"/>
      <c r="L711" s="21"/>
      <c r="M711" s="21"/>
      <c r="N711" s="21"/>
    </row>
    <row r="712" spans="1:14" ht="15.75" customHeight="1" x14ac:dyDescent="0.25">
      <c r="A712" s="7">
        <v>1</v>
      </c>
      <c r="B712" s="41" t="s">
        <v>558</v>
      </c>
      <c r="C712" s="7">
        <v>2</v>
      </c>
      <c r="D712" s="7" t="s">
        <v>363</v>
      </c>
      <c r="E712" s="104">
        <v>4150000</v>
      </c>
      <c r="F712" s="104">
        <f>E712*C712</f>
        <v>8300000</v>
      </c>
      <c r="G712" s="25"/>
      <c r="H712" s="11"/>
      <c r="I712" s="21"/>
      <c r="J712" s="21"/>
      <c r="K712" s="21"/>
      <c r="L712" s="21"/>
      <c r="M712" s="21"/>
      <c r="N712" s="21"/>
    </row>
    <row r="713" spans="1:14" ht="15.75" customHeight="1" x14ac:dyDescent="0.25">
      <c r="A713" s="7">
        <v>2</v>
      </c>
      <c r="B713" s="41" t="s">
        <v>535</v>
      </c>
      <c r="C713" s="7">
        <v>10</v>
      </c>
      <c r="D713" s="7" t="s">
        <v>363</v>
      </c>
      <c r="E713" s="104">
        <v>245000</v>
      </c>
      <c r="F713" s="104">
        <f>E713*C713</f>
        <v>2450000</v>
      </c>
      <c r="G713" s="25"/>
      <c r="H713" s="11"/>
      <c r="I713" s="21"/>
      <c r="J713" s="21"/>
      <c r="K713" s="21"/>
      <c r="L713" s="21"/>
      <c r="M713" s="21"/>
      <c r="N713" s="21"/>
    </row>
    <row r="714" spans="1:14" ht="15.75" customHeight="1" x14ac:dyDescent="0.25">
      <c r="A714" s="7"/>
      <c r="B714" s="345" t="s">
        <v>342</v>
      </c>
      <c r="C714" s="344"/>
      <c r="D714" s="344"/>
      <c r="E714" s="334"/>
      <c r="F714" s="107">
        <f>SUM(F711:F713)</f>
        <v>10750000</v>
      </c>
      <c r="G714" s="25"/>
      <c r="H714" s="11"/>
      <c r="I714" s="21"/>
      <c r="J714" s="21"/>
      <c r="K714" s="21"/>
      <c r="L714" s="21"/>
      <c r="M714" s="21"/>
      <c r="N714" s="21"/>
    </row>
    <row r="715" spans="1:14" ht="15.75" customHeight="1" x14ac:dyDescent="0.25">
      <c r="A715" s="7"/>
      <c r="B715" s="343" t="s">
        <v>343</v>
      </c>
      <c r="C715" s="344"/>
      <c r="D715" s="344"/>
      <c r="E715" s="334"/>
      <c r="F715" s="104">
        <v>1182500</v>
      </c>
      <c r="G715" s="25"/>
      <c r="H715" s="11"/>
      <c r="I715" s="21"/>
      <c r="J715" s="21"/>
      <c r="K715" s="21"/>
      <c r="L715" s="21"/>
      <c r="M715" s="21"/>
      <c r="N715" s="21"/>
    </row>
    <row r="716" spans="1:14" ht="15.75" customHeight="1" x14ac:dyDescent="0.25">
      <c r="A716" s="7"/>
      <c r="B716" s="345" t="s">
        <v>344</v>
      </c>
      <c r="C716" s="344"/>
      <c r="D716" s="344"/>
      <c r="E716" s="334"/>
      <c r="F716" s="107">
        <f>SUM(F714:F715)</f>
        <v>11932500</v>
      </c>
      <c r="G716" s="25"/>
      <c r="H716" s="11"/>
      <c r="I716" s="21"/>
      <c r="J716" s="21"/>
      <c r="K716" s="21"/>
      <c r="L716" s="21"/>
      <c r="M716" s="21"/>
      <c r="N716" s="21"/>
    </row>
    <row r="717" spans="1:14" ht="15.75" customHeight="1" x14ac:dyDescent="0.25">
      <c r="A717" s="21"/>
      <c r="B717" s="21"/>
      <c r="C717" s="11"/>
      <c r="D717" s="11"/>
      <c r="E717" s="21"/>
      <c r="F717" s="21"/>
      <c r="G717" s="25"/>
      <c r="H717" s="11"/>
      <c r="I717" s="21"/>
      <c r="J717" s="21"/>
      <c r="K717" s="21"/>
      <c r="L717" s="21"/>
      <c r="M717" s="21"/>
      <c r="N717" s="21"/>
    </row>
    <row r="718" spans="1:14" ht="15.75" customHeight="1" x14ac:dyDescent="0.25">
      <c r="A718" s="31" t="s">
        <v>351</v>
      </c>
      <c r="B718" s="31" t="s">
        <v>234</v>
      </c>
      <c r="C718" s="31" t="s">
        <v>16</v>
      </c>
      <c r="D718" s="31" t="s">
        <v>17</v>
      </c>
      <c r="E718" s="31" t="s">
        <v>235</v>
      </c>
      <c r="F718" s="31" t="s">
        <v>236</v>
      </c>
      <c r="G718" s="25"/>
      <c r="H718" s="11"/>
      <c r="I718" s="21"/>
      <c r="J718" s="21"/>
      <c r="K718" s="21"/>
      <c r="L718" s="21"/>
      <c r="M718" s="21"/>
      <c r="N718" s="21"/>
    </row>
    <row r="719" spans="1:14" ht="15.75" customHeight="1" x14ac:dyDescent="0.25">
      <c r="A719" s="7">
        <v>1</v>
      </c>
      <c r="B719" s="41" t="s">
        <v>559</v>
      </c>
      <c r="C719" s="7">
        <v>1</v>
      </c>
      <c r="D719" s="7" t="s">
        <v>363</v>
      </c>
      <c r="E719" s="104">
        <v>97500</v>
      </c>
      <c r="F719" s="104">
        <f>E719*C719</f>
        <v>97500</v>
      </c>
      <c r="G719" s="25"/>
      <c r="H719" s="11"/>
      <c r="I719" s="21"/>
      <c r="J719" s="21"/>
      <c r="K719" s="21"/>
      <c r="L719" s="21"/>
      <c r="M719" s="21"/>
      <c r="N719" s="21"/>
    </row>
    <row r="720" spans="1:14" ht="15.75" customHeight="1" x14ac:dyDescent="0.25">
      <c r="A720" s="7">
        <v>2</v>
      </c>
      <c r="B720" s="41" t="s">
        <v>560</v>
      </c>
      <c r="C720" s="7">
        <v>1</v>
      </c>
      <c r="D720" s="7" t="s">
        <v>363</v>
      </c>
      <c r="E720" s="104">
        <v>102000</v>
      </c>
      <c r="F720" s="104">
        <f>E720*C720</f>
        <v>102000</v>
      </c>
      <c r="G720" s="25"/>
      <c r="H720" s="11"/>
      <c r="I720" s="21"/>
      <c r="J720" s="21"/>
      <c r="K720" s="21"/>
      <c r="L720" s="21"/>
      <c r="M720" s="21"/>
      <c r="N720" s="21"/>
    </row>
    <row r="721" spans="1:14" ht="15.75" customHeight="1" x14ac:dyDescent="0.25">
      <c r="A721" s="7"/>
      <c r="B721" s="343" t="s">
        <v>342</v>
      </c>
      <c r="C721" s="344"/>
      <c r="D721" s="344"/>
      <c r="E721" s="334"/>
      <c r="F721" s="104">
        <f>SUM(F718:F720)</f>
        <v>199500</v>
      </c>
      <c r="G721" s="25"/>
      <c r="H721" s="11"/>
      <c r="I721" s="21"/>
      <c r="J721" s="21"/>
      <c r="K721" s="21"/>
      <c r="L721" s="21"/>
      <c r="M721" s="21"/>
      <c r="N721" s="21"/>
    </row>
    <row r="722" spans="1:14" ht="15.75" customHeight="1" x14ac:dyDescent="0.25">
      <c r="A722" s="7"/>
      <c r="B722" s="343" t="s">
        <v>343</v>
      </c>
      <c r="C722" s="344"/>
      <c r="D722" s="344"/>
      <c r="E722" s="334"/>
      <c r="F722" s="104">
        <v>21945</v>
      </c>
      <c r="G722" s="25"/>
      <c r="H722" s="11"/>
      <c r="I722" s="21"/>
      <c r="J722" s="21"/>
      <c r="K722" s="21"/>
      <c r="L722" s="21"/>
      <c r="M722" s="21"/>
      <c r="N722" s="21"/>
    </row>
    <row r="723" spans="1:14" ht="15.75" customHeight="1" x14ac:dyDescent="0.25">
      <c r="A723" s="7"/>
      <c r="B723" s="345" t="s">
        <v>344</v>
      </c>
      <c r="C723" s="344"/>
      <c r="D723" s="344"/>
      <c r="E723" s="334"/>
      <c r="F723" s="107">
        <f>SUM(F721:F722)</f>
        <v>221445</v>
      </c>
      <c r="G723" s="25"/>
      <c r="H723" s="11"/>
      <c r="I723" s="21"/>
      <c r="J723" s="21"/>
      <c r="K723" s="21"/>
      <c r="L723" s="21"/>
      <c r="M723" s="21"/>
      <c r="N723" s="21"/>
    </row>
    <row r="724" spans="1:14" ht="15.75" customHeight="1" x14ac:dyDescent="0.25">
      <c r="A724" s="21"/>
      <c r="B724" s="21"/>
      <c r="C724" s="11"/>
      <c r="D724" s="11"/>
      <c r="E724" s="21"/>
      <c r="F724" s="21"/>
      <c r="G724" s="25"/>
      <c r="H724" s="11"/>
      <c r="I724" s="21"/>
      <c r="J724" s="21"/>
      <c r="K724" s="21"/>
      <c r="L724" s="21"/>
      <c r="M724" s="21"/>
      <c r="N724" s="21"/>
    </row>
    <row r="725" spans="1:14" ht="15.75" customHeight="1" x14ac:dyDescent="0.25">
      <c r="A725" s="31" t="s">
        <v>351</v>
      </c>
      <c r="B725" s="31" t="s">
        <v>234</v>
      </c>
      <c r="C725" s="31" t="s">
        <v>16</v>
      </c>
      <c r="D725" s="31" t="s">
        <v>17</v>
      </c>
      <c r="E725" s="31" t="s">
        <v>235</v>
      </c>
      <c r="F725" s="31" t="s">
        <v>236</v>
      </c>
      <c r="G725" s="25"/>
      <c r="H725" s="11"/>
      <c r="I725" s="21"/>
      <c r="J725" s="21"/>
      <c r="K725" s="21"/>
      <c r="L725" s="21"/>
      <c r="M725" s="21"/>
      <c r="N725" s="21"/>
    </row>
    <row r="726" spans="1:14" ht="15.75" customHeight="1" x14ac:dyDescent="0.25">
      <c r="A726" s="7">
        <v>1</v>
      </c>
      <c r="B726" s="35" t="s">
        <v>561</v>
      </c>
      <c r="C726" s="7">
        <v>6</v>
      </c>
      <c r="D726" s="7" t="s">
        <v>19</v>
      </c>
      <c r="E726" s="104">
        <v>128000</v>
      </c>
      <c r="F726" s="104">
        <f>E726*C726</f>
        <v>768000</v>
      </c>
      <c r="G726" s="25"/>
      <c r="H726" s="11"/>
      <c r="I726" s="21"/>
      <c r="J726" s="21"/>
      <c r="K726" s="21"/>
      <c r="L726" s="21"/>
      <c r="M726" s="21"/>
      <c r="N726" s="21"/>
    </row>
    <row r="727" spans="1:14" ht="15.75" customHeight="1" x14ac:dyDescent="0.25">
      <c r="A727" s="7">
        <v>2</v>
      </c>
      <c r="B727" s="35" t="s">
        <v>562</v>
      </c>
      <c r="C727" s="7">
        <v>6</v>
      </c>
      <c r="D727" s="7" t="s">
        <v>19</v>
      </c>
      <c r="E727" s="104">
        <v>55000</v>
      </c>
      <c r="F727" s="104">
        <f>E727*C727</f>
        <v>330000</v>
      </c>
      <c r="G727" s="25"/>
      <c r="H727" s="11"/>
      <c r="I727" s="21"/>
      <c r="J727" s="21"/>
      <c r="K727" s="21"/>
      <c r="L727" s="21"/>
      <c r="M727" s="21"/>
      <c r="N727" s="21"/>
    </row>
    <row r="728" spans="1:14" ht="15.75" customHeight="1" x14ac:dyDescent="0.25">
      <c r="A728" s="7">
        <v>3</v>
      </c>
      <c r="B728" s="35" t="s">
        <v>563</v>
      </c>
      <c r="C728" s="7">
        <v>6</v>
      </c>
      <c r="D728" s="7" t="s">
        <v>19</v>
      </c>
      <c r="E728" s="104">
        <v>54000</v>
      </c>
      <c r="F728" s="104">
        <f>E728*C728</f>
        <v>324000</v>
      </c>
      <c r="G728" s="25"/>
      <c r="H728" s="11"/>
      <c r="I728" s="21"/>
      <c r="J728" s="21"/>
      <c r="K728" s="21"/>
      <c r="L728" s="21"/>
      <c r="M728" s="21"/>
      <c r="N728" s="21"/>
    </row>
    <row r="729" spans="1:14" ht="15.75" customHeight="1" x14ac:dyDescent="0.25">
      <c r="A729" s="7">
        <v>4</v>
      </c>
      <c r="B729" s="35" t="s">
        <v>564</v>
      </c>
      <c r="C729" s="7">
        <v>6</v>
      </c>
      <c r="D729" s="7" t="s">
        <v>19</v>
      </c>
      <c r="E729" s="104">
        <v>65000</v>
      </c>
      <c r="F729" s="104">
        <f>E729*C729</f>
        <v>390000</v>
      </c>
      <c r="G729" s="25"/>
      <c r="H729" s="11"/>
      <c r="I729" s="21"/>
      <c r="J729" s="21"/>
      <c r="K729" s="21"/>
      <c r="L729" s="21"/>
      <c r="M729" s="21"/>
      <c r="N729" s="21"/>
    </row>
    <row r="730" spans="1:14" ht="15.75" customHeight="1" x14ac:dyDescent="0.25">
      <c r="A730" s="7"/>
      <c r="B730" s="343" t="s">
        <v>342</v>
      </c>
      <c r="C730" s="344"/>
      <c r="D730" s="344"/>
      <c r="E730" s="334"/>
      <c r="F730" s="104">
        <f>SUM(F726:F729)</f>
        <v>1812000</v>
      </c>
      <c r="G730" s="25"/>
      <c r="H730" s="11"/>
      <c r="I730" s="21"/>
      <c r="J730" s="21"/>
      <c r="K730" s="21"/>
      <c r="L730" s="21"/>
      <c r="M730" s="21"/>
      <c r="N730" s="21"/>
    </row>
    <row r="731" spans="1:14" ht="15.75" customHeight="1" x14ac:dyDescent="0.25">
      <c r="A731" s="7"/>
      <c r="B731" s="343" t="s">
        <v>565</v>
      </c>
      <c r="C731" s="344"/>
      <c r="D731" s="344"/>
      <c r="E731" s="334"/>
      <c r="F731" s="104">
        <v>126000</v>
      </c>
      <c r="G731" s="25"/>
      <c r="H731" s="11"/>
      <c r="I731" s="21"/>
      <c r="J731" s="21"/>
      <c r="K731" s="21"/>
      <c r="L731" s="21"/>
      <c r="M731" s="21"/>
      <c r="N731" s="21"/>
    </row>
    <row r="732" spans="1:14" ht="15.75" customHeight="1" x14ac:dyDescent="0.25">
      <c r="A732" s="7"/>
      <c r="B732" s="345" t="s">
        <v>342</v>
      </c>
      <c r="C732" s="344"/>
      <c r="D732" s="344"/>
      <c r="E732" s="334"/>
      <c r="F732" s="107">
        <f>F730-F731</f>
        <v>1686000</v>
      </c>
      <c r="G732" s="25"/>
      <c r="H732" s="11"/>
      <c r="I732" s="21"/>
      <c r="J732" s="21"/>
      <c r="K732" s="21"/>
      <c r="L732" s="21"/>
      <c r="M732" s="21"/>
      <c r="N732" s="21"/>
    </row>
    <row r="733" spans="1:14" ht="15.75" customHeight="1" x14ac:dyDescent="0.25">
      <c r="A733" s="7"/>
      <c r="B733" s="343" t="s">
        <v>343</v>
      </c>
      <c r="C733" s="344"/>
      <c r="D733" s="344"/>
      <c r="E733" s="334"/>
      <c r="F733" s="104">
        <v>185460</v>
      </c>
      <c r="G733" s="25"/>
      <c r="H733" s="11"/>
      <c r="I733" s="21"/>
      <c r="J733" s="21"/>
      <c r="K733" s="21"/>
      <c r="L733" s="21"/>
      <c r="M733" s="21"/>
      <c r="N733" s="21"/>
    </row>
    <row r="734" spans="1:14" ht="15.75" customHeight="1" x14ac:dyDescent="0.25">
      <c r="A734" s="7"/>
      <c r="B734" s="345" t="s">
        <v>344</v>
      </c>
      <c r="C734" s="344"/>
      <c r="D734" s="344"/>
      <c r="E734" s="334"/>
      <c r="F734" s="107">
        <f>SUM(F732:F733)</f>
        <v>1871460</v>
      </c>
      <c r="G734" s="25"/>
      <c r="H734" s="11"/>
      <c r="I734" s="21"/>
      <c r="J734" s="21"/>
      <c r="K734" s="21"/>
      <c r="L734" s="21"/>
      <c r="M734" s="21"/>
      <c r="N734" s="21"/>
    </row>
    <row r="735" spans="1:14" ht="15.75" customHeight="1" x14ac:dyDescent="0.25">
      <c r="A735" s="21"/>
      <c r="B735" s="21"/>
      <c r="C735" s="11"/>
      <c r="D735" s="11"/>
      <c r="E735" s="21"/>
      <c r="F735" s="21"/>
      <c r="G735" s="25"/>
      <c r="H735" s="11"/>
      <c r="I735" s="21"/>
      <c r="J735" s="21"/>
      <c r="K735" s="21"/>
      <c r="L735" s="21"/>
      <c r="M735" s="21"/>
      <c r="N735" s="21"/>
    </row>
    <row r="736" spans="1:14" ht="15.75" customHeight="1" x14ac:dyDescent="0.25">
      <c r="A736" s="31" t="s">
        <v>351</v>
      </c>
      <c r="B736" s="31" t="s">
        <v>234</v>
      </c>
      <c r="C736" s="31" t="s">
        <v>16</v>
      </c>
      <c r="D736" s="31" t="s">
        <v>17</v>
      </c>
      <c r="E736" s="31" t="s">
        <v>235</v>
      </c>
      <c r="F736" s="31" t="s">
        <v>236</v>
      </c>
      <c r="G736" s="25"/>
      <c r="H736" s="11"/>
      <c r="I736" s="21"/>
      <c r="J736" s="21"/>
      <c r="K736" s="21"/>
      <c r="L736" s="21"/>
      <c r="M736" s="21"/>
      <c r="N736" s="21"/>
    </row>
    <row r="737" spans="1:14" ht="15.75" customHeight="1" x14ac:dyDescent="0.25">
      <c r="A737" s="7">
        <v>1</v>
      </c>
      <c r="B737" s="35" t="s">
        <v>566</v>
      </c>
      <c r="C737" s="7">
        <v>6</v>
      </c>
      <c r="D737" s="7" t="s">
        <v>19</v>
      </c>
      <c r="E737" s="104">
        <v>50400</v>
      </c>
      <c r="F737" s="104">
        <f>E737*C737</f>
        <v>302400</v>
      </c>
      <c r="G737" s="25"/>
      <c r="H737" s="11"/>
      <c r="I737" s="21"/>
      <c r="J737" s="21"/>
      <c r="K737" s="21"/>
      <c r="L737" s="21"/>
      <c r="M737" s="21"/>
      <c r="N737" s="21"/>
    </row>
    <row r="738" spans="1:14" ht="15.75" customHeight="1" x14ac:dyDescent="0.25">
      <c r="A738" s="7">
        <v>2</v>
      </c>
      <c r="B738" s="35" t="s">
        <v>567</v>
      </c>
      <c r="C738" s="7">
        <v>6</v>
      </c>
      <c r="D738" s="7" t="s">
        <v>19</v>
      </c>
      <c r="E738" s="104">
        <v>128400</v>
      </c>
      <c r="F738" s="104">
        <f>E738*C738</f>
        <v>770400</v>
      </c>
      <c r="G738" s="25"/>
      <c r="H738" s="11"/>
      <c r="I738" s="21"/>
      <c r="J738" s="21"/>
      <c r="K738" s="21"/>
      <c r="L738" s="21"/>
      <c r="M738" s="21"/>
      <c r="N738" s="21"/>
    </row>
    <row r="739" spans="1:14" ht="15.75" customHeight="1" x14ac:dyDescent="0.25">
      <c r="A739" s="7">
        <v>3</v>
      </c>
      <c r="B739" s="35" t="s">
        <v>568</v>
      </c>
      <c r="C739" s="7">
        <v>6</v>
      </c>
      <c r="D739" s="7" t="s">
        <v>19</v>
      </c>
      <c r="E739" s="104">
        <v>52800</v>
      </c>
      <c r="F739" s="104">
        <f>E739*C739</f>
        <v>316800</v>
      </c>
      <c r="G739" s="25"/>
      <c r="H739" s="11"/>
      <c r="I739" s="21"/>
      <c r="J739" s="21"/>
      <c r="K739" s="21"/>
      <c r="L739" s="21"/>
      <c r="M739" s="21"/>
      <c r="N739" s="21"/>
    </row>
    <row r="740" spans="1:14" ht="15.75" customHeight="1" x14ac:dyDescent="0.25">
      <c r="A740" s="7">
        <v>4</v>
      </c>
      <c r="B740" s="35" t="s">
        <v>569</v>
      </c>
      <c r="C740" s="7">
        <v>6</v>
      </c>
      <c r="D740" s="7" t="s">
        <v>19</v>
      </c>
      <c r="E740" s="104">
        <v>206400</v>
      </c>
      <c r="F740" s="104">
        <f>E740*C740</f>
        <v>1238400</v>
      </c>
      <c r="G740" s="25"/>
      <c r="H740" s="11"/>
      <c r="I740" s="21"/>
      <c r="J740" s="21"/>
      <c r="K740" s="21"/>
      <c r="L740" s="21"/>
      <c r="M740" s="21"/>
      <c r="N740" s="21"/>
    </row>
    <row r="741" spans="1:14" ht="15.75" customHeight="1" x14ac:dyDescent="0.25">
      <c r="A741" s="7"/>
      <c r="B741" s="343" t="s">
        <v>342</v>
      </c>
      <c r="C741" s="344"/>
      <c r="D741" s="344"/>
      <c r="E741" s="334"/>
      <c r="F741" s="104">
        <f>SUM(F737:F740)</f>
        <v>2628000</v>
      </c>
      <c r="G741" s="25"/>
      <c r="H741" s="11"/>
      <c r="I741" s="21"/>
      <c r="J741" s="21"/>
      <c r="K741" s="21"/>
      <c r="L741" s="21"/>
      <c r="M741" s="21"/>
      <c r="N741" s="21"/>
    </row>
    <row r="742" spans="1:14" ht="15.75" customHeight="1" x14ac:dyDescent="0.25">
      <c r="A742" s="7"/>
      <c r="B742" s="343" t="s">
        <v>565</v>
      </c>
      <c r="C742" s="344"/>
      <c r="D742" s="344"/>
      <c r="E742" s="334"/>
      <c r="F742" s="104">
        <v>12000</v>
      </c>
      <c r="G742" s="25"/>
      <c r="H742" s="11"/>
      <c r="I742" s="21"/>
      <c r="J742" s="21"/>
      <c r="K742" s="21"/>
      <c r="L742" s="21"/>
      <c r="M742" s="21"/>
      <c r="N742" s="21"/>
    </row>
    <row r="743" spans="1:14" ht="15.75" customHeight="1" x14ac:dyDescent="0.25">
      <c r="A743" s="7"/>
      <c r="B743" s="345" t="s">
        <v>342</v>
      </c>
      <c r="C743" s="344"/>
      <c r="D743" s="344"/>
      <c r="E743" s="334"/>
      <c r="F743" s="107">
        <f>F741-F742</f>
        <v>2616000</v>
      </c>
      <c r="G743" s="25"/>
      <c r="H743" s="11"/>
      <c r="I743" s="21"/>
      <c r="J743" s="21"/>
      <c r="K743" s="21"/>
      <c r="L743" s="21"/>
      <c r="M743" s="21"/>
      <c r="N743" s="21"/>
    </row>
    <row r="744" spans="1:14" ht="15.75" customHeight="1" x14ac:dyDescent="0.25">
      <c r="A744" s="7"/>
      <c r="B744" s="343" t="s">
        <v>343</v>
      </c>
      <c r="C744" s="344"/>
      <c r="D744" s="344"/>
      <c r="E744" s="334"/>
      <c r="F744" s="104">
        <v>287760</v>
      </c>
      <c r="G744" s="25"/>
      <c r="H744" s="11"/>
      <c r="I744" s="21"/>
      <c r="J744" s="21"/>
      <c r="K744" s="21"/>
      <c r="L744" s="21"/>
      <c r="M744" s="21"/>
      <c r="N744" s="21"/>
    </row>
    <row r="745" spans="1:14" ht="15.75" customHeight="1" x14ac:dyDescent="0.25">
      <c r="A745" s="7"/>
      <c r="B745" s="345" t="s">
        <v>344</v>
      </c>
      <c r="C745" s="344"/>
      <c r="D745" s="344"/>
      <c r="E745" s="334"/>
      <c r="F745" s="107">
        <f>SUM(F743:F744)</f>
        <v>2903760</v>
      </c>
      <c r="G745" s="25"/>
      <c r="H745" s="11"/>
      <c r="I745" s="21"/>
      <c r="J745" s="21"/>
      <c r="K745" s="21"/>
      <c r="L745" s="21"/>
      <c r="M745" s="21"/>
      <c r="N745" s="21"/>
    </row>
    <row r="746" spans="1:14" ht="15.75" customHeight="1" x14ac:dyDescent="0.25">
      <c r="A746" s="21"/>
      <c r="B746" s="21"/>
      <c r="C746" s="11"/>
      <c r="D746" s="11"/>
      <c r="E746" s="21"/>
      <c r="F746" s="21"/>
      <c r="G746" s="25"/>
      <c r="H746" s="11"/>
      <c r="I746" s="21"/>
      <c r="J746" s="21"/>
      <c r="K746" s="21"/>
      <c r="L746" s="21"/>
      <c r="M746" s="21"/>
      <c r="N746" s="21"/>
    </row>
    <row r="747" spans="1:14" ht="15.75" customHeight="1" x14ac:dyDescent="0.25">
      <c r="A747" s="31" t="s">
        <v>351</v>
      </c>
      <c r="B747" s="31" t="s">
        <v>234</v>
      </c>
      <c r="C747" s="31" t="s">
        <v>16</v>
      </c>
      <c r="D747" s="31" t="s">
        <v>17</v>
      </c>
      <c r="E747" s="31" t="s">
        <v>235</v>
      </c>
      <c r="F747" s="31" t="s">
        <v>236</v>
      </c>
      <c r="G747" s="25"/>
      <c r="H747" s="11"/>
      <c r="I747" s="21"/>
      <c r="J747" s="21"/>
      <c r="K747" s="21"/>
      <c r="L747" s="21"/>
      <c r="M747" s="21"/>
      <c r="N747" s="21"/>
    </row>
    <row r="748" spans="1:14" ht="15.75" customHeight="1" x14ac:dyDescent="0.25">
      <c r="A748" s="7">
        <v>1</v>
      </c>
      <c r="B748" s="41" t="s">
        <v>570</v>
      </c>
      <c r="C748" s="7">
        <v>1</v>
      </c>
      <c r="D748" s="7" t="s">
        <v>19</v>
      </c>
      <c r="E748" s="104">
        <v>12000000</v>
      </c>
      <c r="F748" s="104">
        <f>E748*C748</f>
        <v>12000000</v>
      </c>
      <c r="G748" s="25"/>
      <c r="H748" s="11"/>
      <c r="I748" s="21"/>
      <c r="J748" s="21"/>
      <c r="K748" s="21"/>
      <c r="L748" s="21"/>
      <c r="M748" s="21"/>
      <c r="N748" s="21"/>
    </row>
    <row r="749" spans="1:14" ht="15.75" customHeight="1" x14ac:dyDescent="0.25">
      <c r="A749" s="7"/>
      <c r="B749" s="343" t="s">
        <v>342</v>
      </c>
      <c r="C749" s="344"/>
      <c r="D749" s="344"/>
      <c r="E749" s="334"/>
      <c r="F749" s="104">
        <f>SUM(F748)</f>
        <v>12000000</v>
      </c>
      <c r="G749" s="25"/>
      <c r="H749" s="11"/>
      <c r="I749" s="21"/>
      <c r="J749" s="21"/>
      <c r="K749" s="21"/>
      <c r="L749" s="21"/>
      <c r="M749" s="21"/>
      <c r="N749" s="21"/>
    </row>
    <row r="750" spans="1:14" ht="15.75" customHeight="1" x14ac:dyDescent="0.25">
      <c r="A750" s="7"/>
      <c r="B750" s="343" t="s">
        <v>565</v>
      </c>
      <c r="C750" s="344"/>
      <c r="D750" s="344"/>
      <c r="E750" s="334"/>
      <c r="F750" s="104">
        <v>360000</v>
      </c>
      <c r="G750" s="25"/>
      <c r="H750" s="11"/>
      <c r="I750" s="21"/>
      <c r="J750" s="21"/>
      <c r="K750" s="21"/>
      <c r="L750" s="21"/>
      <c r="M750" s="21"/>
      <c r="N750" s="21"/>
    </row>
    <row r="751" spans="1:14" ht="15.75" customHeight="1" x14ac:dyDescent="0.25">
      <c r="A751" s="7"/>
      <c r="B751" s="345" t="s">
        <v>342</v>
      </c>
      <c r="C751" s="344"/>
      <c r="D751" s="344"/>
      <c r="E751" s="334"/>
      <c r="F751" s="107">
        <f>F749-F750</f>
        <v>11640000</v>
      </c>
      <c r="G751" s="25"/>
      <c r="H751" s="11"/>
      <c r="I751" s="21"/>
      <c r="J751" s="21"/>
      <c r="K751" s="21"/>
      <c r="L751" s="21"/>
      <c r="M751" s="21"/>
      <c r="N751" s="21"/>
    </row>
    <row r="752" spans="1:14" ht="15.75" customHeight="1" x14ac:dyDescent="0.25">
      <c r="A752" s="7"/>
      <c r="B752" s="343" t="s">
        <v>343</v>
      </c>
      <c r="C752" s="344"/>
      <c r="D752" s="344"/>
      <c r="E752" s="334"/>
      <c r="F752" s="104">
        <v>1280400</v>
      </c>
      <c r="G752" s="25"/>
      <c r="H752" s="11"/>
      <c r="I752" s="21"/>
      <c r="J752" s="21"/>
      <c r="K752" s="21"/>
      <c r="L752" s="21"/>
      <c r="M752" s="21"/>
      <c r="N752" s="21"/>
    </row>
    <row r="753" spans="1:14" ht="15.75" customHeight="1" x14ac:dyDescent="0.25">
      <c r="A753" s="7"/>
      <c r="B753" s="345" t="s">
        <v>344</v>
      </c>
      <c r="C753" s="344"/>
      <c r="D753" s="344"/>
      <c r="E753" s="334"/>
      <c r="F753" s="107">
        <f>SUM(F751:F752)</f>
        <v>12920400</v>
      </c>
      <c r="G753" s="25"/>
      <c r="H753" s="11"/>
      <c r="I753" s="21"/>
      <c r="J753" s="21"/>
      <c r="K753" s="21"/>
      <c r="L753" s="21"/>
      <c r="M753" s="21"/>
      <c r="N753" s="21"/>
    </row>
    <row r="754" spans="1:14" ht="15.75" customHeight="1" x14ac:dyDescent="0.25">
      <c r="A754" s="21"/>
      <c r="B754" s="21"/>
      <c r="C754" s="11"/>
      <c r="D754" s="11"/>
      <c r="E754" s="21"/>
      <c r="F754" s="21"/>
      <c r="G754" s="25"/>
      <c r="H754" s="11"/>
      <c r="I754" s="21"/>
      <c r="J754" s="21"/>
      <c r="K754" s="21"/>
      <c r="L754" s="21"/>
      <c r="M754" s="21"/>
      <c r="N754" s="21"/>
    </row>
    <row r="755" spans="1:14" ht="15.75" customHeight="1" x14ac:dyDescent="0.25">
      <c r="A755" s="31" t="s">
        <v>14</v>
      </c>
      <c r="B755" s="31" t="s">
        <v>234</v>
      </c>
      <c r="C755" s="31" t="s">
        <v>16</v>
      </c>
      <c r="D755" s="31" t="s">
        <v>17</v>
      </c>
      <c r="E755" s="31" t="s">
        <v>235</v>
      </c>
      <c r="F755" s="31" t="s">
        <v>236</v>
      </c>
      <c r="G755" s="25"/>
      <c r="H755" s="11"/>
      <c r="I755" s="21"/>
      <c r="J755" s="21"/>
      <c r="K755" s="21"/>
      <c r="L755" s="21"/>
      <c r="M755" s="21"/>
      <c r="N755" s="21"/>
    </row>
    <row r="756" spans="1:14" ht="15.75" customHeight="1" x14ac:dyDescent="0.25">
      <c r="A756" s="7">
        <v>1</v>
      </c>
      <c r="B756" s="120" t="s">
        <v>571</v>
      </c>
      <c r="C756" s="7">
        <v>2</v>
      </c>
      <c r="D756" s="7" t="s">
        <v>19</v>
      </c>
      <c r="E756" s="104">
        <v>800000</v>
      </c>
      <c r="F756" s="104">
        <f>E756*C756</f>
        <v>1600000</v>
      </c>
      <c r="G756" s="25"/>
      <c r="H756" s="11"/>
      <c r="I756" s="21"/>
      <c r="J756" s="21"/>
      <c r="K756" s="21"/>
      <c r="L756" s="21"/>
      <c r="M756" s="21"/>
      <c r="N756" s="21"/>
    </row>
    <row r="757" spans="1:14" ht="15.75" customHeight="1" x14ac:dyDescent="0.25">
      <c r="A757" s="7"/>
      <c r="B757" s="343" t="s">
        <v>342</v>
      </c>
      <c r="C757" s="344"/>
      <c r="D757" s="344"/>
      <c r="E757" s="334"/>
      <c r="F757" s="104">
        <f>F756</f>
        <v>1600000</v>
      </c>
      <c r="G757" s="25"/>
      <c r="H757" s="11"/>
      <c r="I757" s="21"/>
      <c r="J757" s="21"/>
      <c r="K757" s="21"/>
      <c r="L757" s="21"/>
      <c r="M757" s="21"/>
      <c r="N757" s="21"/>
    </row>
    <row r="758" spans="1:14" ht="15.75" customHeight="1" x14ac:dyDescent="0.25">
      <c r="A758" s="7"/>
      <c r="B758" s="343" t="s">
        <v>343</v>
      </c>
      <c r="C758" s="344"/>
      <c r="D758" s="344"/>
      <c r="E758" s="334"/>
      <c r="F758" s="104">
        <v>176000</v>
      </c>
      <c r="G758" s="25"/>
      <c r="H758" s="11"/>
      <c r="I758" s="21"/>
      <c r="J758" s="21"/>
      <c r="K758" s="21"/>
      <c r="L758" s="21"/>
      <c r="M758" s="21"/>
      <c r="N758" s="21"/>
    </row>
    <row r="759" spans="1:14" ht="15.75" customHeight="1" x14ac:dyDescent="0.25">
      <c r="A759" s="7"/>
      <c r="B759" s="345" t="s">
        <v>344</v>
      </c>
      <c r="C759" s="344"/>
      <c r="D759" s="344"/>
      <c r="E759" s="334"/>
      <c r="F759" s="107">
        <f>SUM(F757:F758)</f>
        <v>1776000</v>
      </c>
      <c r="G759" s="25"/>
      <c r="H759" s="11"/>
      <c r="I759" s="21"/>
      <c r="J759" s="21"/>
      <c r="K759" s="21"/>
      <c r="L759" s="21"/>
      <c r="M759" s="21"/>
      <c r="N759" s="21"/>
    </row>
    <row r="760" spans="1:14" ht="15.75" customHeight="1" x14ac:dyDescent="0.25">
      <c r="A760" s="21"/>
      <c r="B760" s="21"/>
      <c r="C760" s="11"/>
      <c r="D760" s="11"/>
      <c r="E760" s="21"/>
      <c r="F760" s="21"/>
      <c r="G760" s="25"/>
      <c r="H760" s="11"/>
      <c r="I760" s="21"/>
      <c r="J760" s="21"/>
      <c r="K760" s="21"/>
      <c r="L760" s="21"/>
      <c r="M760" s="21"/>
      <c r="N760" s="21"/>
    </row>
    <row r="761" spans="1:14" ht="15.75" customHeight="1" x14ac:dyDescent="0.25">
      <c r="A761" s="31" t="s">
        <v>14</v>
      </c>
      <c r="B761" s="31" t="s">
        <v>234</v>
      </c>
      <c r="C761" s="31" t="s">
        <v>16</v>
      </c>
      <c r="D761" s="31" t="s">
        <v>17</v>
      </c>
      <c r="E761" s="31" t="s">
        <v>235</v>
      </c>
      <c r="F761" s="31" t="s">
        <v>236</v>
      </c>
      <c r="G761" s="25"/>
      <c r="H761" s="11"/>
      <c r="I761" s="21"/>
      <c r="J761" s="21"/>
      <c r="K761" s="21"/>
      <c r="L761" s="21"/>
      <c r="M761" s="21"/>
      <c r="N761" s="21"/>
    </row>
    <row r="762" spans="1:14" ht="15.75" customHeight="1" x14ac:dyDescent="0.25">
      <c r="A762" s="7">
        <v>1</v>
      </c>
      <c r="B762" s="120" t="s">
        <v>572</v>
      </c>
      <c r="C762" s="7">
        <v>1</v>
      </c>
      <c r="D762" s="7" t="s">
        <v>19</v>
      </c>
      <c r="E762" s="104">
        <v>1550000</v>
      </c>
      <c r="F762" s="104">
        <f>E762*C762</f>
        <v>1550000</v>
      </c>
      <c r="G762" s="25"/>
      <c r="H762" s="11"/>
      <c r="I762" s="21"/>
      <c r="J762" s="21"/>
      <c r="K762" s="21"/>
      <c r="L762" s="21"/>
      <c r="M762" s="21"/>
      <c r="N762" s="21"/>
    </row>
    <row r="763" spans="1:14" ht="15.75" customHeight="1" x14ac:dyDescent="0.25">
      <c r="A763" s="7"/>
      <c r="B763" s="343" t="s">
        <v>342</v>
      </c>
      <c r="C763" s="344"/>
      <c r="D763" s="344"/>
      <c r="E763" s="334"/>
      <c r="F763" s="104">
        <f>F762</f>
        <v>1550000</v>
      </c>
      <c r="G763" s="25"/>
      <c r="H763" s="11"/>
      <c r="I763" s="21"/>
      <c r="J763" s="21"/>
      <c r="K763" s="21"/>
      <c r="L763" s="21"/>
      <c r="M763" s="21"/>
      <c r="N763" s="21"/>
    </row>
    <row r="764" spans="1:14" ht="15.75" customHeight="1" x14ac:dyDescent="0.25">
      <c r="A764" s="7"/>
      <c r="B764" s="343" t="s">
        <v>343</v>
      </c>
      <c r="C764" s="344"/>
      <c r="D764" s="344"/>
      <c r="E764" s="334"/>
      <c r="F764" s="104">
        <v>170500</v>
      </c>
      <c r="G764" s="25"/>
      <c r="H764" s="11"/>
      <c r="I764" s="21"/>
      <c r="J764" s="21"/>
      <c r="K764" s="21"/>
      <c r="L764" s="21"/>
      <c r="M764" s="21"/>
      <c r="N764" s="21"/>
    </row>
    <row r="765" spans="1:14" ht="15.75" customHeight="1" x14ac:dyDescent="0.25">
      <c r="A765" s="7"/>
      <c r="B765" s="345" t="s">
        <v>344</v>
      </c>
      <c r="C765" s="344"/>
      <c r="D765" s="344"/>
      <c r="E765" s="334"/>
      <c r="F765" s="107">
        <f>SUM(F763:F764)</f>
        <v>1720500</v>
      </c>
      <c r="G765" s="25"/>
      <c r="H765" s="11"/>
      <c r="I765" s="21"/>
      <c r="J765" s="21"/>
      <c r="K765" s="21"/>
      <c r="L765" s="21"/>
      <c r="M765" s="21"/>
      <c r="N765" s="21"/>
    </row>
    <row r="766" spans="1:14" ht="15.75" customHeight="1" x14ac:dyDescent="0.25">
      <c r="A766" s="21"/>
      <c r="B766" s="21"/>
      <c r="C766" s="11"/>
      <c r="D766" s="11"/>
      <c r="E766" s="21"/>
      <c r="F766" s="21"/>
      <c r="G766" s="25"/>
      <c r="H766" s="11"/>
      <c r="I766" s="21"/>
      <c r="J766" s="21"/>
      <c r="K766" s="21"/>
      <c r="L766" s="21"/>
      <c r="M766" s="21"/>
      <c r="N766" s="21"/>
    </row>
    <row r="767" spans="1:14" ht="15.75" customHeight="1" x14ac:dyDescent="0.25">
      <c r="A767" s="31" t="s">
        <v>351</v>
      </c>
      <c r="B767" s="31" t="s">
        <v>234</v>
      </c>
      <c r="C767" s="31" t="s">
        <v>16</v>
      </c>
      <c r="D767" s="31" t="s">
        <v>17</v>
      </c>
      <c r="E767" s="31" t="s">
        <v>235</v>
      </c>
      <c r="F767" s="31" t="s">
        <v>236</v>
      </c>
      <c r="G767" s="25"/>
      <c r="H767" s="11"/>
      <c r="I767" s="21"/>
      <c r="J767" s="21"/>
      <c r="K767" s="21"/>
      <c r="L767" s="21"/>
      <c r="M767" s="21"/>
      <c r="N767" s="21"/>
    </row>
    <row r="768" spans="1:14" ht="15.75" customHeight="1" x14ac:dyDescent="0.25">
      <c r="A768" s="7">
        <v>1</v>
      </c>
      <c r="B768" s="41" t="s">
        <v>573</v>
      </c>
      <c r="C768" s="7">
        <v>4</v>
      </c>
      <c r="D768" s="7" t="s">
        <v>363</v>
      </c>
      <c r="E768" s="104">
        <v>22500</v>
      </c>
      <c r="F768" s="104">
        <f>E768*C768</f>
        <v>90000</v>
      </c>
      <c r="G768" s="25"/>
      <c r="H768" s="11"/>
      <c r="I768" s="21"/>
      <c r="J768" s="21"/>
      <c r="K768" s="21"/>
      <c r="L768" s="21"/>
      <c r="M768" s="21"/>
      <c r="N768" s="21"/>
    </row>
    <row r="769" spans="1:14" ht="15.75" customHeight="1" x14ac:dyDescent="0.25">
      <c r="A769" s="7">
        <v>2</v>
      </c>
      <c r="B769" s="41" t="s">
        <v>574</v>
      </c>
      <c r="C769" s="7">
        <v>24</v>
      </c>
      <c r="D769" s="7" t="s">
        <v>363</v>
      </c>
      <c r="E769" s="104">
        <v>9500</v>
      </c>
      <c r="F769" s="104">
        <f>E769*C769</f>
        <v>228000</v>
      </c>
      <c r="G769" s="25"/>
      <c r="H769" s="11"/>
      <c r="I769" s="21"/>
      <c r="J769" s="21"/>
      <c r="K769" s="21"/>
      <c r="L769" s="21"/>
      <c r="M769" s="21"/>
      <c r="N769" s="21"/>
    </row>
    <row r="770" spans="1:14" ht="15.75" customHeight="1" x14ac:dyDescent="0.25">
      <c r="A770" s="7"/>
      <c r="B770" s="343" t="s">
        <v>342</v>
      </c>
      <c r="C770" s="344"/>
      <c r="D770" s="344"/>
      <c r="E770" s="334"/>
      <c r="F770" s="104">
        <f>SUM(F767:F769)</f>
        <v>318000</v>
      </c>
      <c r="G770" s="25"/>
      <c r="H770" s="11"/>
      <c r="I770" s="21"/>
      <c r="J770" s="21"/>
      <c r="K770" s="21"/>
      <c r="L770" s="21"/>
      <c r="M770" s="21"/>
      <c r="N770" s="21"/>
    </row>
    <row r="771" spans="1:14" ht="15.75" customHeight="1" x14ac:dyDescent="0.25">
      <c r="A771" s="7"/>
      <c r="B771" s="343" t="s">
        <v>343</v>
      </c>
      <c r="C771" s="344"/>
      <c r="D771" s="344"/>
      <c r="E771" s="334"/>
      <c r="F771" s="104">
        <v>34980</v>
      </c>
      <c r="G771" s="25"/>
      <c r="H771" s="11"/>
      <c r="I771" s="21"/>
      <c r="J771" s="21"/>
      <c r="K771" s="21"/>
      <c r="L771" s="21"/>
      <c r="M771" s="21"/>
      <c r="N771" s="21"/>
    </row>
    <row r="772" spans="1:14" ht="15.75" customHeight="1" x14ac:dyDescent="0.25">
      <c r="A772" s="7"/>
      <c r="B772" s="345" t="s">
        <v>344</v>
      </c>
      <c r="C772" s="344"/>
      <c r="D772" s="344"/>
      <c r="E772" s="334"/>
      <c r="F772" s="107">
        <f>SUM(F770:F771)</f>
        <v>352980</v>
      </c>
      <c r="G772" s="25"/>
      <c r="H772" s="11"/>
      <c r="I772" s="21"/>
      <c r="J772" s="21"/>
      <c r="K772" s="21"/>
      <c r="L772" s="21"/>
      <c r="M772" s="21"/>
      <c r="N772" s="21"/>
    </row>
    <row r="773" spans="1:14" ht="15.75" customHeight="1" x14ac:dyDescent="0.25">
      <c r="A773" s="21"/>
      <c r="B773" s="21"/>
      <c r="C773" s="11"/>
      <c r="D773" s="11"/>
      <c r="E773" s="21"/>
      <c r="F773" s="21"/>
      <c r="G773" s="25"/>
      <c r="H773" s="11"/>
      <c r="I773" s="21"/>
      <c r="J773" s="21"/>
      <c r="K773" s="21"/>
      <c r="L773" s="21"/>
      <c r="M773" s="21"/>
      <c r="N773" s="21"/>
    </row>
    <row r="774" spans="1:14" ht="15.75" customHeight="1" x14ac:dyDescent="0.25">
      <c r="A774" s="31" t="s">
        <v>351</v>
      </c>
      <c r="B774" s="31" t="s">
        <v>234</v>
      </c>
      <c r="C774" s="31" t="s">
        <v>16</v>
      </c>
      <c r="D774" s="31" t="s">
        <v>17</v>
      </c>
      <c r="E774" s="31" t="s">
        <v>235</v>
      </c>
      <c r="F774" s="31" t="s">
        <v>236</v>
      </c>
      <c r="G774" s="25"/>
      <c r="H774" s="11"/>
      <c r="I774" s="21"/>
      <c r="J774" s="21"/>
      <c r="K774" s="21"/>
      <c r="L774" s="21"/>
      <c r="M774" s="21"/>
      <c r="N774" s="21"/>
    </row>
    <row r="775" spans="1:14" ht="15.75" customHeight="1" x14ac:dyDescent="0.25">
      <c r="A775" s="7">
        <v>1</v>
      </c>
      <c r="B775" s="41" t="s">
        <v>575</v>
      </c>
      <c r="C775" s="7">
        <v>2</v>
      </c>
      <c r="D775" s="7" t="s">
        <v>251</v>
      </c>
      <c r="E775" s="104">
        <v>45000</v>
      </c>
      <c r="F775" s="104">
        <f>E775*C775</f>
        <v>90000</v>
      </c>
      <c r="G775" s="25"/>
      <c r="H775" s="11"/>
      <c r="I775" s="21"/>
      <c r="J775" s="21"/>
      <c r="K775" s="21"/>
      <c r="L775" s="21"/>
      <c r="M775" s="21"/>
      <c r="N775" s="21"/>
    </row>
    <row r="776" spans="1:14" ht="15.75" customHeight="1" x14ac:dyDescent="0.25">
      <c r="A776" s="7">
        <v>2</v>
      </c>
      <c r="B776" s="41" t="s">
        <v>576</v>
      </c>
      <c r="C776" s="7">
        <v>2</v>
      </c>
      <c r="D776" s="7" t="s">
        <v>251</v>
      </c>
      <c r="E776" s="104">
        <v>38000</v>
      </c>
      <c r="F776" s="104">
        <f>E776*C776</f>
        <v>76000</v>
      </c>
      <c r="G776" s="25"/>
      <c r="H776" s="11"/>
      <c r="I776" s="21"/>
      <c r="J776" s="21"/>
      <c r="K776" s="21"/>
      <c r="L776" s="21"/>
      <c r="M776" s="21"/>
      <c r="N776" s="21"/>
    </row>
    <row r="777" spans="1:14" ht="15.75" customHeight="1" x14ac:dyDescent="0.25">
      <c r="A777" s="7"/>
      <c r="B777" s="343" t="s">
        <v>342</v>
      </c>
      <c r="C777" s="344"/>
      <c r="D777" s="344"/>
      <c r="E777" s="334"/>
      <c r="F777" s="104">
        <f>SUM(F774:F776)</f>
        <v>166000</v>
      </c>
      <c r="G777" s="25"/>
      <c r="H777" s="11"/>
      <c r="I777" s="21"/>
      <c r="J777" s="21"/>
      <c r="K777" s="21"/>
      <c r="L777" s="21"/>
      <c r="M777" s="21"/>
      <c r="N777" s="21"/>
    </row>
    <row r="778" spans="1:14" ht="15.75" customHeight="1" x14ac:dyDescent="0.25">
      <c r="A778" s="7"/>
      <c r="B778" s="343" t="s">
        <v>343</v>
      </c>
      <c r="C778" s="344"/>
      <c r="D778" s="344"/>
      <c r="E778" s="334"/>
      <c r="F778" s="104">
        <v>18260</v>
      </c>
      <c r="G778" s="25"/>
      <c r="H778" s="11"/>
      <c r="I778" s="21"/>
      <c r="J778" s="21"/>
      <c r="K778" s="21"/>
      <c r="L778" s="21"/>
      <c r="M778" s="21"/>
      <c r="N778" s="21"/>
    </row>
    <row r="779" spans="1:14" ht="15.75" customHeight="1" x14ac:dyDescent="0.25">
      <c r="A779" s="7"/>
      <c r="B779" s="345" t="s">
        <v>344</v>
      </c>
      <c r="C779" s="344"/>
      <c r="D779" s="344"/>
      <c r="E779" s="334"/>
      <c r="F779" s="107">
        <f>SUM(F777:F778)</f>
        <v>184260</v>
      </c>
      <c r="G779" s="25"/>
      <c r="H779" s="11"/>
      <c r="I779" s="21"/>
      <c r="J779" s="21"/>
      <c r="K779" s="21"/>
      <c r="L779" s="21"/>
      <c r="M779" s="21"/>
      <c r="N779" s="21"/>
    </row>
    <row r="780" spans="1:14" ht="15.75" customHeight="1" x14ac:dyDescent="0.25">
      <c r="A780" s="21"/>
      <c r="B780" s="21"/>
      <c r="C780" s="11"/>
      <c r="D780" s="11"/>
      <c r="E780" s="21"/>
      <c r="F780" s="21"/>
      <c r="G780" s="25"/>
      <c r="H780" s="11"/>
      <c r="I780" s="21"/>
      <c r="J780" s="21"/>
      <c r="K780" s="21"/>
      <c r="L780" s="21"/>
      <c r="M780" s="21"/>
      <c r="N780" s="21"/>
    </row>
    <row r="781" spans="1:14" ht="15.75" customHeight="1" x14ac:dyDescent="0.25">
      <c r="A781" s="31" t="s">
        <v>351</v>
      </c>
      <c r="B781" s="31" t="s">
        <v>234</v>
      </c>
      <c r="C781" s="31" t="s">
        <v>16</v>
      </c>
      <c r="D781" s="31" t="s">
        <v>17</v>
      </c>
      <c r="E781" s="31" t="s">
        <v>235</v>
      </c>
      <c r="F781" s="31" t="s">
        <v>236</v>
      </c>
      <c r="G781" s="25"/>
      <c r="H781" s="11"/>
      <c r="I781" s="21"/>
      <c r="J781" s="21"/>
      <c r="K781" s="21"/>
      <c r="L781" s="21"/>
      <c r="M781" s="21"/>
      <c r="N781" s="21"/>
    </row>
    <row r="782" spans="1:14" ht="15.75" customHeight="1" x14ac:dyDescent="0.25">
      <c r="A782" s="7">
        <v>1</v>
      </c>
      <c r="B782" s="41" t="s">
        <v>577</v>
      </c>
      <c r="C782" s="7">
        <v>400</v>
      </c>
      <c r="D782" s="7" t="s">
        <v>353</v>
      </c>
      <c r="E782" s="104">
        <v>400</v>
      </c>
      <c r="F782" s="104">
        <f>E782*C782</f>
        <v>160000</v>
      </c>
      <c r="G782" s="25"/>
      <c r="H782" s="11"/>
      <c r="I782" s="21"/>
      <c r="J782" s="21"/>
      <c r="K782" s="21"/>
      <c r="L782" s="21"/>
      <c r="M782" s="21"/>
      <c r="N782" s="21"/>
    </row>
    <row r="783" spans="1:14" ht="15.75" customHeight="1" x14ac:dyDescent="0.25">
      <c r="A783" s="7">
        <v>2</v>
      </c>
      <c r="B783" s="41" t="s">
        <v>578</v>
      </c>
      <c r="C783" s="7">
        <v>4</v>
      </c>
      <c r="D783" s="7" t="s">
        <v>353</v>
      </c>
      <c r="E783" s="104">
        <v>299725</v>
      </c>
      <c r="F783" s="104">
        <f>E783*C783</f>
        <v>1198900</v>
      </c>
      <c r="G783" s="25"/>
      <c r="H783" s="11"/>
      <c r="I783" s="21"/>
      <c r="J783" s="21"/>
      <c r="K783" s="21"/>
      <c r="L783" s="21"/>
      <c r="M783" s="21"/>
      <c r="N783" s="21"/>
    </row>
    <row r="784" spans="1:14" ht="15.75" customHeight="1" x14ac:dyDescent="0.25">
      <c r="A784" s="7"/>
      <c r="B784" s="343" t="s">
        <v>342</v>
      </c>
      <c r="C784" s="344"/>
      <c r="D784" s="344"/>
      <c r="E784" s="334"/>
      <c r="F784" s="104">
        <f>SUM(F781:F783)</f>
        <v>1358900</v>
      </c>
      <c r="G784" s="25"/>
      <c r="H784" s="11"/>
      <c r="I784" s="21"/>
      <c r="J784" s="21"/>
      <c r="K784" s="21"/>
      <c r="L784" s="21"/>
      <c r="M784" s="21"/>
      <c r="N784" s="21"/>
    </row>
    <row r="785" spans="1:14" ht="15.75" customHeight="1" x14ac:dyDescent="0.25">
      <c r="A785" s="7"/>
      <c r="B785" s="343" t="s">
        <v>343</v>
      </c>
      <c r="C785" s="344"/>
      <c r="D785" s="344"/>
      <c r="E785" s="334"/>
      <c r="F785" s="104">
        <v>149479</v>
      </c>
      <c r="G785" s="25"/>
      <c r="H785" s="11"/>
      <c r="I785" s="21"/>
      <c r="J785" s="21"/>
      <c r="K785" s="21"/>
      <c r="L785" s="21"/>
      <c r="M785" s="21"/>
      <c r="N785" s="21"/>
    </row>
    <row r="786" spans="1:14" ht="15.75" customHeight="1" x14ac:dyDescent="0.25">
      <c r="A786" s="7"/>
      <c r="B786" s="345" t="s">
        <v>344</v>
      </c>
      <c r="C786" s="344"/>
      <c r="D786" s="344"/>
      <c r="E786" s="334"/>
      <c r="F786" s="107">
        <f>SUM(F784:F785)</f>
        <v>1508379</v>
      </c>
      <c r="G786" s="25"/>
      <c r="H786" s="11"/>
      <c r="I786" s="21"/>
      <c r="J786" s="21"/>
      <c r="K786" s="21"/>
      <c r="L786" s="21"/>
      <c r="M786" s="21"/>
      <c r="N786" s="21"/>
    </row>
    <row r="787" spans="1:14" ht="15.75" customHeight="1" x14ac:dyDescent="0.25">
      <c r="A787" s="21"/>
      <c r="B787" s="21"/>
      <c r="C787" s="11"/>
      <c r="D787" s="11"/>
      <c r="E787" s="21"/>
      <c r="F787" s="21"/>
      <c r="G787" s="25"/>
      <c r="H787" s="11"/>
      <c r="I787" s="21"/>
      <c r="J787" s="21"/>
      <c r="K787" s="21"/>
      <c r="L787" s="21"/>
      <c r="M787" s="21"/>
      <c r="N787" s="21"/>
    </row>
    <row r="788" spans="1:14" ht="15.75" customHeight="1" x14ac:dyDescent="0.25">
      <c r="A788" s="31" t="s">
        <v>351</v>
      </c>
      <c r="B788" s="31" t="s">
        <v>234</v>
      </c>
      <c r="C788" s="31" t="s">
        <v>16</v>
      </c>
      <c r="D788" s="31" t="s">
        <v>17</v>
      </c>
      <c r="E788" s="31" t="s">
        <v>235</v>
      </c>
      <c r="F788" s="31" t="s">
        <v>236</v>
      </c>
      <c r="G788" s="25"/>
      <c r="H788" s="11"/>
      <c r="I788" s="21"/>
      <c r="J788" s="21"/>
      <c r="K788" s="21"/>
      <c r="L788" s="21"/>
      <c r="M788" s="21"/>
      <c r="N788" s="21"/>
    </row>
    <row r="789" spans="1:14" ht="15.75" customHeight="1" x14ac:dyDescent="0.25">
      <c r="A789" s="7">
        <v>1</v>
      </c>
      <c r="B789" s="41" t="s">
        <v>579</v>
      </c>
      <c r="C789" s="7">
        <v>20</v>
      </c>
      <c r="D789" s="7" t="s">
        <v>539</v>
      </c>
      <c r="E789" s="104">
        <v>221046</v>
      </c>
      <c r="F789" s="104">
        <f>E789*C789</f>
        <v>4420920</v>
      </c>
      <c r="G789" s="25"/>
      <c r="H789" s="11"/>
      <c r="I789" s="21"/>
      <c r="J789" s="21"/>
      <c r="K789" s="21"/>
      <c r="L789" s="21"/>
      <c r="M789" s="21"/>
      <c r="N789" s="21"/>
    </row>
    <row r="790" spans="1:14" ht="15.75" customHeight="1" x14ac:dyDescent="0.25">
      <c r="A790" s="7">
        <v>2</v>
      </c>
      <c r="B790" s="41" t="s">
        <v>580</v>
      </c>
      <c r="C790" s="7">
        <v>20</v>
      </c>
      <c r="D790" s="7" t="s">
        <v>426</v>
      </c>
      <c r="E790" s="104">
        <v>75000</v>
      </c>
      <c r="F790" s="104">
        <f>E790*C790</f>
        <v>1500000</v>
      </c>
      <c r="G790" s="25"/>
      <c r="H790" s="11"/>
      <c r="I790" s="21"/>
      <c r="J790" s="21"/>
      <c r="K790" s="21"/>
      <c r="L790" s="21"/>
      <c r="M790" s="21"/>
      <c r="N790" s="21"/>
    </row>
    <row r="791" spans="1:14" ht="15.75" customHeight="1" x14ac:dyDescent="0.25">
      <c r="A791" s="7"/>
      <c r="B791" s="343" t="s">
        <v>342</v>
      </c>
      <c r="C791" s="344"/>
      <c r="D791" s="344"/>
      <c r="E791" s="334"/>
      <c r="F791" s="104">
        <f>SUM(F788:F790)</f>
        <v>5920920</v>
      </c>
      <c r="G791" s="25"/>
      <c r="H791" s="11"/>
      <c r="I791" s="21"/>
      <c r="J791" s="21"/>
      <c r="K791" s="21"/>
      <c r="L791" s="21"/>
      <c r="M791" s="21"/>
      <c r="N791" s="21"/>
    </row>
    <row r="792" spans="1:14" ht="15.75" customHeight="1" x14ac:dyDescent="0.25">
      <c r="A792" s="7"/>
      <c r="B792" s="343" t="s">
        <v>343</v>
      </c>
      <c r="C792" s="344"/>
      <c r="D792" s="344"/>
      <c r="E792" s="334"/>
      <c r="F792" s="108">
        <v>651301.19999999995</v>
      </c>
      <c r="G792" s="25"/>
      <c r="H792" s="11"/>
      <c r="I792" s="21"/>
      <c r="J792" s="21"/>
      <c r="K792" s="21"/>
      <c r="L792" s="21"/>
      <c r="M792" s="21"/>
      <c r="N792" s="21"/>
    </row>
    <row r="793" spans="1:14" ht="15.75" customHeight="1" x14ac:dyDescent="0.25">
      <c r="A793" s="7"/>
      <c r="B793" s="345" t="s">
        <v>344</v>
      </c>
      <c r="C793" s="344"/>
      <c r="D793" s="344"/>
      <c r="E793" s="334"/>
      <c r="F793" s="109">
        <f>SUM(F791:F792)</f>
        <v>6572221.2000000002</v>
      </c>
      <c r="G793" s="25"/>
      <c r="H793" s="11"/>
      <c r="I793" s="21"/>
      <c r="J793" s="21"/>
      <c r="K793" s="21"/>
      <c r="L793" s="21"/>
      <c r="M793" s="21"/>
      <c r="N793" s="21"/>
    </row>
    <row r="794" spans="1:14" ht="15.75" customHeight="1" x14ac:dyDescent="0.25">
      <c r="A794" s="21"/>
      <c r="B794" s="21"/>
      <c r="C794" s="11"/>
      <c r="D794" s="11"/>
      <c r="E794" s="21"/>
      <c r="F794" s="21"/>
      <c r="G794" s="25"/>
      <c r="H794" s="11"/>
      <c r="I794" s="21"/>
      <c r="J794" s="21"/>
      <c r="K794" s="21"/>
      <c r="L794" s="21"/>
      <c r="M794" s="21"/>
      <c r="N794" s="21"/>
    </row>
    <row r="795" spans="1:14" ht="15.75" customHeight="1" x14ac:dyDescent="0.25">
      <c r="A795" s="31" t="s">
        <v>14</v>
      </c>
      <c r="B795" s="31" t="s">
        <v>15</v>
      </c>
      <c r="C795" s="31" t="s">
        <v>16</v>
      </c>
      <c r="D795" s="31" t="s">
        <v>357</v>
      </c>
      <c r="E795" s="31" t="s">
        <v>235</v>
      </c>
      <c r="F795" s="31" t="s">
        <v>236</v>
      </c>
      <c r="G795" s="25"/>
      <c r="H795" s="11"/>
      <c r="I795" s="21"/>
      <c r="J795" s="21"/>
      <c r="K795" s="21"/>
      <c r="L795" s="21"/>
      <c r="M795" s="21"/>
      <c r="N795" s="21"/>
    </row>
    <row r="796" spans="1:14" ht="15.75" customHeight="1" x14ac:dyDescent="0.25">
      <c r="A796" s="7">
        <v>1</v>
      </c>
      <c r="B796" s="35" t="s">
        <v>581</v>
      </c>
      <c r="C796" s="7">
        <v>4</v>
      </c>
      <c r="D796" s="7" t="s">
        <v>353</v>
      </c>
      <c r="E796" s="104">
        <v>30000</v>
      </c>
      <c r="F796" s="104">
        <f>E796*C796</f>
        <v>120000</v>
      </c>
      <c r="G796" s="25"/>
      <c r="H796" s="11"/>
      <c r="I796" s="21"/>
      <c r="J796" s="21"/>
      <c r="K796" s="21"/>
      <c r="L796" s="21"/>
      <c r="M796" s="21"/>
      <c r="N796" s="21"/>
    </row>
    <row r="797" spans="1:14" ht="15.75" customHeight="1" x14ac:dyDescent="0.25">
      <c r="A797" s="7">
        <v>2</v>
      </c>
      <c r="B797" s="35" t="s">
        <v>582</v>
      </c>
      <c r="C797" s="7">
        <v>4</v>
      </c>
      <c r="D797" s="7" t="s">
        <v>353</v>
      </c>
      <c r="E797" s="104">
        <v>30000</v>
      </c>
      <c r="F797" s="104">
        <f>E797*C797</f>
        <v>120000</v>
      </c>
      <c r="G797" s="25"/>
      <c r="H797" s="11"/>
      <c r="I797" s="21"/>
      <c r="J797" s="21"/>
      <c r="K797" s="21"/>
      <c r="L797" s="21"/>
      <c r="M797" s="21"/>
      <c r="N797" s="21"/>
    </row>
    <row r="798" spans="1:14" ht="15.75" customHeight="1" x14ac:dyDescent="0.25">
      <c r="A798" s="7">
        <v>3</v>
      </c>
      <c r="B798" s="35" t="s">
        <v>583</v>
      </c>
      <c r="C798" s="7">
        <v>12</v>
      </c>
      <c r="D798" s="7" t="s">
        <v>353</v>
      </c>
      <c r="E798" s="104">
        <v>270500</v>
      </c>
      <c r="F798" s="104">
        <f>E798*C798</f>
        <v>3246000</v>
      </c>
      <c r="G798" s="25"/>
      <c r="H798" s="11"/>
      <c r="I798" s="21"/>
      <c r="J798" s="21"/>
      <c r="K798" s="21"/>
      <c r="L798" s="21"/>
      <c r="M798" s="21"/>
      <c r="N798" s="21"/>
    </row>
    <row r="799" spans="1:14" ht="15.75" customHeight="1" x14ac:dyDescent="0.25">
      <c r="A799" s="7">
        <v>4</v>
      </c>
      <c r="B799" s="35" t="s">
        <v>584</v>
      </c>
      <c r="C799" s="7">
        <v>6</v>
      </c>
      <c r="D799" s="7" t="s">
        <v>353</v>
      </c>
      <c r="E799" s="104">
        <v>45500</v>
      </c>
      <c r="F799" s="104">
        <f>E799*C799</f>
        <v>273000</v>
      </c>
      <c r="G799" s="25"/>
      <c r="H799" s="11"/>
      <c r="I799" s="21"/>
      <c r="J799" s="21"/>
      <c r="K799" s="21"/>
      <c r="L799" s="21"/>
      <c r="M799" s="21"/>
      <c r="N799" s="21"/>
    </row>
    <row r="800" spans="1:14" ht="15.75" customHeight="1" x14ac:dyDescent="0.25">
      <c r="A800" s="7"/>
      <c r="B800" s="343" t="s">
        <v>342</v>
      </c>
      <c r="C800" s="344"/>
      <c r="D800" s="344"/>
      <c r="E800" s="334"/>
      <c r="F800" s="104">
        <f>SUM(F796:F799)</f>
        <v>3759000</v>
      </c>
      <c r="G800" s="25"/>
      <c r="H800" s="11"/>
      <c r="I800" s="21"/>
      <c r="J800" s="21"/>
      <c r="K800" s="21"/>
      <c r="L800" s="21"/>
      <c r="M800" s="21"/>
      <c r="N800" s="21"/>
    </row>
    <row r="801" spans="1:14" ht="15.75" customHeight="1" x14ac:dyDescent="0.25">
      <c r="A801" s="7"/>
      <c r="B801" s="343" t="s">
        <v>343</v>
      </c>
      <c r="C801" s="344"/>
      <c r="D801" s="344"/>
      <c r="E801" s="334"/>
      <c r="F801" s="104">
        <v>413490</v>
      </c>
      <c r="G801" s="25"/>
      <c r="H801" s="11"/>
      <c r="I801" s="21"/>
      <c r="J801" s="21"/>
      <c r="K801" s="21"/>
      <c r="L801" s="21"/>
      <c r="M801" s="21"/>
      <c r="N801" s="21"/>
    </row>
    <row r="802" spans="1:14" ht="15.75" customHeight="1" x14ac:dyDescent="0.25">
      <c r="A802" s="7"/>
      <c r="B802" s="345" t="s">
        <v>350</v>
      </c>
      <c r="C802" s="344"/>
      <c r="D802" s="344"/>
      <c r="E802" s="334"/>
      <c r="F802" s="107">
        <f>SUM(F800:F801)</f>
        <v>4172490</v>
      </c>
      <c r="G802" s="25"/>
      <c r="H802" s="11"/>
      <c r="I802" s="21"/>
      <c r="J802" s="21"/>
      <c r="K802" s="21"/>
      <c r="L802" s="21"/>
      <c r="M802" s="21"/>
      <c r="N802" s="21"/>
    </row>
    <row r="803" spans="1:14" ht="15.75" customHeight="1" x14ac:dyDescent="0.25">
      <c r="A803" s="21"/>
      <c r="B803" s="21"/>
      <c r="C803" s="11"/>
      <c r="D803" s="11"/>
      <c r="E803" s="21"/>
      <c r="F803" s="21"/>
      <c r="G803" s="25"/>
      <c r="H803" s="11"/>
      <c r="I803" s="21"/>
      <c r="J803" s="21"/>
      <c r="K803" s="21"/>
      <c r="L803" s="21"/>
      <c r="M803" s="21"/>
      <c r="N803" s="21"/>
    </row>
    <row r="804" spans="1:14" ht="15.75" customHeight="1" x14ac:dyDescent="0.25">
      <c r="A804" s="31" t="s">
        <v>14</v>
      </c>
      <c r="B804" s="31" t="s">
        <v>234</v>
      </c>
      <c r="C804" s="31" t="s">
        <v>16</v>
      </c>
      <c r="D804" s="31" t="s">
        <v>17</v>
      </c>
      <c r="E804" s="31" t="s">
        <v>235</v>
      </c>
      <c r="F804" s="31" t="s">
        <v>236</v>
      </c>
      <c r="G804" s="25"/>
      <c r="H804" s="11"/>
      <c r="I804" s="21"/>
      <c r="J804" s="21"/>
      <c r="K804" s="21"/>
      <c r="L804" s="21"/>
      <c r="M804" s="21"/>
      <c r="N804" s="21"/>
    </row>
    <row r="805" spans="1:14" ht="15.75" customHeight="1" x14ac:dyDescent="0.25">
      <c r="A805" s="7">
        <v>1</v>
      </c>
      <c r="B805" s="120" t="s">
        <v>585</v>
      </c>
      <c r="C805" s="7">
        <v>10</v>
      </c>
      <c r="D805" s="7" t="s">
        <v>363</v>
      </c>
      <c r="E805" s="104">
        <v>906250</v>
      </c>
      <c r="F805" s="104">
        <f>E805*C805</f>
        <v>9062500</v>
      </c>
      <c r="G805" s="25"/>
      <c r="H805" s="11"/>
      <c r="I805" s="21"/>
      <c r="J805" s="21"/>
      <c r="K805" s="21"/>
      <c r="L805" s="21"/>
      <c r="M805" s="21"/>
      <c r="N805" s="21"/>
    </row>
    <row r="806" spans="1:14" ht="15.75" customHeight="1" x14ac:dyDescent="0.25">
      <c r="A806" s="7"/>
      <c r="B806" s="343" t="s">
        <v>342</v>
      </c>
      <c r="C806" s="344"/>
      <c r="D806" s="344"/>
      <c r="E806" s="334"/>
      <c r="F806" s="104">
        <f>F805</f>
        <v>9062500</v>
      </c>
      <c r="G806" s="25"/>
      <c r="H806" s="11"/>
      <c r="I806" s="21"/>
      <c r="J806" s="21"/>
      <c r="K806" s="21"/>
      <c r="L806" s="21"/>
      <c r="M806" s="21"/>
      <c r="N806" s="21"/>
    </row>
    <row r="807" spans="1:14" ht="15.75" customHeight="1" x14ac:dyDescent="0.25">
      <c r="A807" s="7"/>
      <c r="B807" s="343" t="s">
        <v>343</v>
      </c>
      <c r="C807" s="344"/>
      <c r="D807" s="344"/>
      <c r="E807" s="334"/>
      <c r="F807" s="104">
        <v>996875</v>
      </c>
      <c r="G807" s="25"/>
      <c r="H807" s="11"/>
      <c r="I807" s="21"/>
      <c r="J807" s="21"/>
      <c r="K807" s="21"/>
      <c r="L807" s="21"/>
      <c r="M807" s="21"/>
      <c r="N807" s="21"/>
    </row>
    <row r="808" spans="1:14" ht="15.75" customHeight="1" x14ac:dyDescent="0.25">
      <c r="A808" s="7"/>
      <c r="B808" s="345" t="s">
        <v>344</v>
      </c>
      <c r="C808" s="344"/>
      <c r="D808" s="344"/>
      <c r="E808" s="334"/>
      <c r="F808" s="107">
        <f>SUM(F806:F807)</f>
        <v>10059375</v>
      </c>
      <c r="G808" s="25"/>
      <c r="H808" s="11"/>
      <c r="I808" s="21"/>
      <c r="J808" s="21"/>
      <c r="K808" s="21"/>
      <c r="L808" s="21"/>
      <c r="M808" s="21"/>
      <c r="N808" s="21"/>
    </row>
    <row r="809" spans="1:14" ht="15.75" customHeight="1" x14ac:dyDescent="0.25">
      <c r="A809" s="21"/>
      <c r="B809" s="21"/>
      <c r="C809" s="11"/>
      <c r="D809" s="11"/>
      <c r="E809" s="21"/>
      <c r="F809" s="21"/>
      <c r="G809" s="25"/>
      <c r="H809" s="11"/>
      <c r="I809" s="21"/>
      <c r="J809" s="21"/>
      <c r="K809" s="21"/>
      <c r="L809" s="21"/>
      <c r="M809" s="21"/>
      <c r="N809" s="21"/>
    </row>
    <row r="810" spans="1:14" ht="15.75" customHeight="1" x14ac:dyDescent="0.25">
      <c r="A810" s="31" t="s">
        <v>14</v>
      </c>
      <c r="B810" s="31" t="s">
        <v>234</v>
      </c>
      <c r="C810" s="31" t="s">
        <v>16</v>
      </c>
      <c r="D810" s="31" t="s">
        <v>17</v>
      </c>
      <c r="E810" s="31" t="s">
        <v>235</v>
      </c>
      <c r="F810" s="31" t="s">
        <v>236</v>
      </c>
      <c r="G810" s="25"/>
      <c r="H810" s="11"/>
      <c r="I810" s="21"/>
      <c r="J810" s="21"/>
      <c r="K810" s="21"/>
      <c r="L810" s="21"/>
      <c r="M810" s="21"/>
      <c r="N810" s="21"/>
    </row>
    <row r="811" spans="1:14" ht="15.75" customHeight="1" x14ac:dyDescent="0.25">
      <c r="A811" s="7">
        <v>1</v>
      </c>
      <c r="B811" s="120" t="s">
        <v>586</v>
      </c>
      <c r="C811" s="7">
        <v>1</v>
      </c>
      <c r="D811" s="7" t="s">
        <v>347</v>
      </c>
      <c r="E811" s="104">
        <v>160000</v>
      </c>
      <c r="F811" s="104">
        <f>E811*C811</f>
        <v>160000</v>
      </c>
      <c r="G811" s="25"/>
      <c r="H811" s="11"/>
      <c r="I811" s="21"/>
      <c r="J811" s="21"/>
      <c r="K811" s="21"/>
      <c r="L811" s="21"/>
      <c r="M811" s="21"/>
      <c r="N811" s="21"/>
    </row>
    <row r="812" spans="1:14" ht="15.75" customHeight="1" x14ac:dyDescent="0.25">
      <c r="A812" s="7"/>
      <c r="B812" s="343" t="s">
        <v>342</v>
      </c>
      <c r="C812" s="344"/>
      <c r="D812" s="344"/>
      <c r="E812" s="334"/>
      <c r="F812" s="104">
        <f>F811</f>
        <v>160000</v>
      </c>
      <c r="G812" s="25"/>
      <c r="H812" s="11"/>
      <c r="I812" s="21"/>
      <c r="J812" s="21"/>
      <c r="K812" s="21"/>
      <c r="L812" s="21"/>
      <c r="M812" s="21"/>
      <c r="N812" s="21"/>
    </row>
    <row r="813" spans="1:14" ht="15.75" customHeight="1" x14ac:dyDescent="0.25">
      <c r="A813" s="7"/>
      <c r="B813" s="343" t="s">
        <v>343</v>
      </c>
      <c r="C813" s="344"/>
      <c r="D813" s="344"/>
      <c r="E813" s="334"/>
      <c r="F813" s="104">
        <v>17600</v>
      </c>
      <c r="G813" s="25"/>
      <c r="H813" s="11"/>
      <c r="I813" s="21"/>
      <c r="J813" s="21"/>
      <c r="K813" s="21"/>
      <c r="L813" s="21"/>
      <c r="M813" s="21"/>
      <c r="N813" s="21"/>
    </row>
    <row r="814" spans="1:14" ht="15.75" customHeight="1" x14ac:dyDescent="0.25">
      <c r="A814" s="7"/>
      <c r="B814" s="345" t="s">
        <v>344</v>
      </c>
      <c r="C814" s="344"/>
      <c r="D814" s="344"/>
      <c r="E814" s="334"/>
      <c r="F814" s="107">
        <f>SUM(F812:F813)</f>
        <v>177600</v>
      </c>
      <c r="G814" s="25"/>
      <c r="H814" s="11"/>
      <c r="I814" s="21"/>
      <c r="J814" s="21"/>
      <c r="K814" s="21"/>
      <c r="L814" s="21"/>
      <c r="M814" s="21"/>
      <c r="N814" s="21"/>
    </row>
    <row r="815" spans="1:14" ht="15.75" customHeight="1" x14ac:dyDescent="0.25">
      <c r="A815" s="21"/>
      <c r="B815" s="21"/>
      <c r="C815" s="11"/>
      <c r="D815" s="11"/>
      <c r="E815" s="21"/>
      <c r="F815" s="21"/>
      <c r="G815" s="25"/>
      <c r="H815" s="11"/>
      <c r="I815" s="21"/>
      <c r="J815" s="21"/>
      <c r="K815" s="21"/>
      <c r="L815" s="21"/>
      <c r="M815" s="21"/>
      <c r="N815" s="21"/>
    </row>
    <row r="816" spans="1:14" ht="15.75" customHeight="1" x14ac:dyDescent="0.25">
      <c r="A816" s="31" t="s">
        <v>14</v>
      </c>
      <c r="B816" s="31" t="s">
        <v>234</v>
      </c>
      <c r="C816" s="31" t="s">
        <v>16</v>
      </c>
      <c r="D816" s="31" t="s">
        <v>17</v>
      </c>
      <c r="E816" s="31" t="s">
        <v>235</v>
      </c>
      <c r="F816" s="31" t="s">
        <v>236</v>
      </c>
      <c r="G816" s="25"/>
      <c r="H816" s="11"/>
      <c r="I816" s="21"/>
      <c r="J816" s="21"/>
      <c r="K816" s="21"/>
      <c r="L816" s="21"/>
      <c r="M816" s="21"/>
      <c r="N816" s="21"/>
    </row>
    <row r="817" spans="1:14" ht="15.75" customHeight="1" x14ac:dyDescent="0.25">
      <c r="A817" s="7">
        <v>1</v>
      </c>
      <c r="B817" s="120" t="s">
        <v>469</v>
      </c>
      <c r="C817" s="7">
        <v>5</v>
      </c>
      <c r="D817" s="7" t="s">
        <v>19</v>
      </c>
      <c r="E817" s="104">
        <v>43750</v>
      </c>
      <c r="F817" s="104">
        <f>E817*C817</f>
        <v>218750</v>
      </c>
      <c r="G817" s="25"/>
      <c r="H817" s="11"/>
      <c r="I817" s="21"/>
      <c r="J817" s="21"/>
      <c r="K817" s="21"/>
      <c r="L817" s="21"/>
      <c r="M817" s="21"/>
      <c r="N817" s="21"/>
    </row>
    <row r="818" spans="1:14" ht="15.75" customHeight="1" x14ac:dyDescent="0.25">
      <c r="A818" s="7"/>
      <c r="B818" s="343" t="s">
        <v>342</v>
      </c>
      <c r="C818" s="344"/>
      <c r="D818" s="344"/>
      <c r="E818" s="334"/>
      <c r="F818" s="104">
        <f>F817</f>
        <v>218750</v>
      </c>
      <c r="G818" s="25"/>
      <c r="H818" s="11"/>
      <c r="I818" s="21"/>
      <c r="J818" s="21"/>
      <c r="K818" s="21"/>
      <c r="L818" s="21"/>
      <c r="M818" s="21"/>
      <c r="N818" s="21"/>
    </row>
    <row r="819" spans="1:14" ht="15.75" customHeight="1" x14ac:dyDescent="0.25">
      <c r="A819" s="7"/>
      <c r="B819" s="343" t="s">
        <v>343</v>
      </c>
      <c r="C819" s="344"/>
      <c r="D819" s="344"/>
      <c r="E819" s="334"/>
      <c r="F819" s="108">
        <v>24062.5</v>
      </c>
      <c r="G819" s="25"/>
      <c r="H819" s="11"/>
      <c r="I819" s="21"/>
      <c r="J819" s="21"/>
      <c r="K819" s="21"/>
      <c r="L819" s="21"/>
      <c r="M819" s="21"/>
      <c r="N819" s="21"/>
    </row>
    <row r="820" spans="1:14" ht="15.75" customHeight="1" x14ac:dyDescent="0.25">
      <c r="A820" s="7"/>
      <c r="B820" s="345" t="s">
        <v>344</v>
      </c>
      <c r="C820" s="344"/>
      <c r="D820" s="344"/>
      <c r="E820" s="334"/>
      <c r="F820" s="109">
        <f>SUM(F818:F819)</f>
        <v>242812.5</v>
      </c>
      <c r="G820" s="25"/>
      <c r="H820" s="11"/>
      <c r="I820" s="21"/>
      <c r="J820" s="21"/>
      <c r="K820" s="21"/>
      <c r="L820" s="21"/>
      <c r="M820" s="21"/>
      <c r="N820" s="21"/>
    </row>
    <row r="821" spans="1:14" ht="15.75" customHeight="1" x14ac:dyDescent="0.25">
      <c r="A821" s="21"/>
      <c r="B821" s="21"/>
      <c r="C821" s="11"/>
      <c r="D821" s="11"/>
      <c r="E821" s="21"/>
      <c r="F821" s="21"/>
      <c r="G821" s="25"/>
      <c r="H821" s="11"/>
      <c r="I821" s="21"/>
      <c r="J821" s="21"/>
      <c r="K821" s="21"/>
      <c r="L821" s="21"/>
      <c r="M821" s="21"/>
      <c r="N821" s="21"/>
    </row>
    <row r="822" spans="1:14" ht="15.75" customHeight="1" x14ac:dyDescent="0.25">
      <c r="A822" s="31" t="s">
        <v>351</v>
      </c>
      <c r="B822" s="31" t="s">
        <v>234</v>
      </c>
      <c r="C822" s="31" t="s">
        <v>16</v>
      </c>
      <c r="D822" s="31" t="s">
        <v>17</v>
      </c>
      <c r="E822" s="31" t="s">
        <v>235</v>
      </c>
      <c r="F822" s="31" t="s">
        <v>236</v>
      </c>
      <c r="G822" s="25"/>
      <c r="H822" s="11"/>
      <c r="I822" s="21"/>
      <c r="J822" s="21"/>
      <c r="K822" s="21"/>
      <c r="L822" s="21"/>
      <c r="M822" s="21"/>
      <c r="N822" s="21"/>
    </row>
    <row r="823" spans="1:14" ht="15.75" customHeight="1" x14ac:dyDescent="0.25">
      <c r="A823" s="7">
        <v>1</v>
      </c>
      <c r="B823" s="35" t="s">
        <v>587</v>
      </c>
      <c r="C823" s="7">
        <v>2</v>
      </c>
      <c r="D823" s="7" t="s">
        <v>285</v>
      </c>
      <c r="E823" s="104">
        <v>12500</v>
      </c>
      <c r="F823" s="104">
        <f>E823*C823</f>
        <v>25000</v>
      </c>
      <c r="G823" s="25"/>
      <c r="H823" s="11"/>
      <c r="I823" s="21"/>
      <c r="J823" s="21"/>
      <c r="K823" s="21"/>
      <c r="L823" s="21"/>
      <c r="M823" s="21"/>
      <c r="N823" s="21"/>
    </row>
    <row r="824" spans="1:14" ht="15.75" customHeight="1" x14ac:dyDescent="0.25">
      <c r="A824" s="7">
        <v>2</v>
      </c>
      <c r="B824" s="35" t="s">
        <v>588</v>
      </c>
      <c r="C824" s="7">
        <v>3</v>
      </c>
      <c r="D824" s="7" t="s">
        <v>19</v>
      </c>
      <c r="E824" s="104">
        <v>22500</v>
      </c>
      <c r="F824" s="104">
        <f>E824*C824</f>
        <v>67500</v>
      </c>
      <c r="G824" s="25"/>
      <c r="H824" s="11"/>
      <c r="I824" s="21"/>
      <c r="J824" s="21"/>
      <c r="K824" s="21"/>
      <c r="L824" s="21"/>
      <c r="M824" s="21"/>
      <c r="N824" s="21"/>
    </row>
    <row r="825" spans="1:14" ht="15.75" customHeight="1" x14ac:dyDescent="0.25">
      <c r="A825" s="7">
        <v>3</v>
      </c>
      <c r="B825" s="35" t="s">
        <v>589</v>
      </c>
      <c r="C825" s="7">
        <v>3</v>
      </c>
      <c r="D825" s="7" t="s">
        <v>19</v>
      </c>
      <c r="E825" s="104">
        <v>22500</v>
      </c>
      <c r="F825" s="104">
        <f>E825*C825</f>
        <v>67500</v>
      </c>
      <c r="G825" s="25"/>
      <c r="H825" s="11"/>
      <c r="I825" s="21"/>
      <c r="J825" s="21"/>
      <c r="K825" s="21"/>
      <c r="L825" s="21"/>
      <c r="M825" s="21"/>
      <c r="N825" s="21"/>
    </row>
    <row r="826" spans="1:14" ht="15.75" customHeight="1" x14ac:dyDescent="0.25">
      <c r="A826" s="7"/>
      <c r="B826" s="343" t="s">
        <v>342</v>
      </c>
      <c r="C826" s="344"/>
      <c r="D826" s="344"/>
      <c r="E826" s="334"/>
      <c r="F826" s="104">
        <f>SUM(F823:F825)</f>
        <v>160000</v>
      </c>
      <c r="G826" s="25"/>
      <c r="H826" s="11"/>
      <c r="I826" s="21"/>
      <c r="J826" s="21"/>
      <c r="K826" s="21"/>
      <c r="L826" s="21"/>
      <c r="M826" s="21"/>
      <c r="N826" s="21"/>
    </row>
    <row r="827" spans="1:14" ht="15.75" customHeight="1" x14ac:dyDescent="0.25">
      <c r="A827" s="7"/>
      <c r="B827" s="343" t="s">
        <v>343</v>
      </c>
      <c r="C827" s="344"/>
      <c r="D827" s="344"/>
      <c r="E827" s="334"/>
      <c r="F827" s="104">
        <v>17600</v>
      </c>
      <c r="G827" s="25"/>
      <c r="H827" s="11"/>
      <c r="I827" s="21"/>
      <c r="J827" s="21"/>
      <c r="K827" s="21"/>
      <c r="L827" s="21"/>
      <c r="M827" s="21"/>
      <c r="N827" s="21"/>
    </row>
    <row r="828" spans="1:14" ht="15.75" customHeight="1" x14ac:dyDescent="0.25">
      <c r="A828" s="7"/>
      <c r="B828" s="345" t="s">
        <v>344</v>
      </c>
      <c r="C828" s="344"/>
      <c r="D828" s="344"/>
      <c r="E828" s="334"/>
      <c r="F828" s="107">
        <f>SUM(F826:F827)</f>
        <v>177600</v>
      </c>
      <c r="G828" s="25"/>
      <c r="H828" s="11"/>
      <c r="I828" s="21"/>
      <c r="J828" s="21"/>
      <c r="K828" s="21"/>
      <c r="L828" s="21"/>
      <c r="M828" s="21"/>
      <c r="N828" s="21"/>
    </row>
    <row r="829" spans="1:14" ht="15.75" customHeight="1" x14ac:dyDescent="0.25">
      <c r="A829" s="21"/>
      <c r="B829" s="21"/>
      <c r="C829" s="11"/>
      <c r="D829" s="11"/>
      <c r="E829" s="21"/>
      <c r="F829" s="21"/>
      <c r="G829" s="25"/>
      <c r="H829" s="11"/>
      <c r="I829" s="21"/>
      <c r="J829" s="21"/>
      <c r="K829" s="21"/>
      <c r="L829" s="21"/>
      <c r="M829" s="21"/>
      <c r="N829" s="21"/>
    </row>
    <row r="830" spans="1:14" ht="15.75" customHeight="1" x14ac:dyDescent="0.25">
      <c r="A830" s="31" t="s">
        <v>351</v>
      </c>
      <c r="B830" s="31" t="s">
        <v>234</v>
      </c>
      <c r="C830" s="31" t="s">
        <v>16</v>
      </c>
      <c r="D830" s="31" t="s">
        <v>17</v>
      </c>
      <c r="E830" s="31" t="s">
        <v>235</v>
      </c>
      <c r="F830" s="31" t="s">
        <v>236</v>
      </c>
      <c r="G830" s="25"/>
      <c r="H830" s="11"/>
      <c r="I830" s="21"/>
      <c r="J830" s="21"/>
      <c r="K830" s="21"/>
      <c r="L830" s="21"/>
      <c r="M830" s="21"/>
      <c r="N830" s="21"/>
    </row>
    <row r="831" spans="1:14" ht="15.75" customHeight="1" x14ac:dyDescent="0.25">
      <c r="A831" s="349">
        <v>1</v>
      </c>
      <c r="B831" s="123" t="s">
        <v>590</v>
      </c>
      <c r="C831" s="349">
        <v>1</v>
      </c>
      <c r="D831" s="349" t="s">
        <v>543</v>
      </c>
      <c r="E831" s="352">
        <v>85000000</v>
      </c>
      <c r="F831" s="352">
        <f>E831*C831</f>
        <v>85000000</v>
      </c>
      <c r="G831" s="25"/>
      <c r="H831" s="11"/>
      <c r="I831" s="21"/>
      <c r="J831" s="21"/>
      <c r="K831" s="21"/>
      <c r="L831" s="21"/>
      <c r="M831" s="21"/>
      <c r="N831" s="21"/>
    </row>
    <row r="832" spans="1:14" ht="15.75" customHeight="1" x14ac:dyDescent="0.25">
      <c r="A832" s="350"/>
      <c r="B832" s="35" t="s">
        <v>591</v>
      </c>
      <c r="C832" s="350"/>
      <c r="D832" s="350"/>
      <c r="E832" s="350"/>
      <c r="F832" s="350"/>
      <c r="G832" s="25"/>
      <c r="H832" s="11"/>
      <c r="I832" s="21"/>
      <c r="J832" s="21"/>
      <c r="K832" s="21"/>
      <c r="L832" s="21"/>
      <c r="M832" s="21"/>
      <c r="N832" s="21"/>
    </row>
    <row r="833" spans="1:14" ht="15.75" customHeight="1" x14ac:dyDescent="0.25">
      <c r="A833" s="350"/>
      <c r="B833" s="35" t="s">
        <v>592</v>
      </c>
      <c r="C833" s="350"/>
      <c r="D833" s="350"/>
      <c r="E833" s="350"/>
      <c r="F833" s="350"/>
      <c r="G833" s="25"/>
      <c r="H833" s="11"/>
      <c r="I833" s="21"/>
      <c r="J833" s="21"/>
      <c r="K833" s="21"/>
      <c r="L833" s="21"/>
      <c r="M833" s="21"/>
      <c r="N833" s="21"/>
    </row>
    <row r="834" spans="1:14" ht="15.75" customHeight="1" x14ac:dyDescent="0.25">
      <c r="A834" s="350"/>
      <c r="B834" s="35" t="s">
        <v>593</v>
      </c>
      <c r="C834" s="350"/>
      <c r="D834" s="350"/>
      <c r="E834" s="350"/>
      <c r="F834" s="350"/>
      <c r="G834" s="25"/>
      <c r="H834" s="11"/>
      <c r="I834" s="21"/>
      <c r="J834" s="21"/>
      <c r="K834" s="21"/>
      <c r="L834" s="21"/>
      <c r="M834" s="21"/>
      <c r="N834" s="21"/>
    </row>
    <row r="835" spans="1:14" ht="15.75" customHeight="1" x14ac:dyDescent="0.25">
      <c r="A835" s="350"/>
      <c r="B835" s="35" t="s">
        <v>594</v>
      </c>
      <c r="C835" s="350"/>
      <c r="D835" s="350"/>
      <c r="E835" s="350"/>
      <c r="F835" s="350"/>
      <c r="G835" s="25"/>
      <c r="H835" s="11"/>
      <c r="I835" s="21"/>
      <c r="J835" s="21"/>
      <c r="K835" s="21"/>
      <c r="L835" s="21"/>
      <c r="M835" s="21"/>
      <c r="N835" s="21"/>
    </row>
    <row r="836" spans="1:14" ht="15.75" customHeight="1" x14ac:dyDescent="0.25">
      <c r="A836" s="350"/>
      <c r="B836" s="35" t="s">
        <v>595</v>
      </c>
      <c r="C836" s="350"/>
      <c r="D836" s="350"/>
      <c r="E836" s="350"/>
      <c r="F836" s="350"/>
      <c r="G836" s="25"/>
      <c r="H836" s="11"/>
      <c r="I836" s="21"/>
      <c r="J836" s="21"/>
      <c r="K836" s="21"/>
      <c r="L836" s="21"/>
      <c r="M836" s="21"/>
      <c r="N836" s="21"/>
    </row>
    <row r="837" spans="1:14" ht="15.75" customHeight="1" x14ac:dyDescent="0.25">
      <c r="A837" s="351"/>
      <c r="B837" s="35" t="s">
        <v>596</v>
      </c>
      <c r="C837" s="351"/>
      <c r="D837" s="351"/>
      <c r="E837" s="351"/>
      <c r="F837" s="351"/>
      <c r="G837" s="25"/>
      <c r="H837" s="11"/>
      <c r="I837" s="21"/>
      <c r="J837" s="21"/>
      <c r="K837" s="21"/>
      <c r="L837" s="21"/>
      <c r="M837" s="21"/>
      <c r="N837" s="21"/>
    </row>
    <row r="838" spans="1:14" ht="15.75" customHeight="1" x14ac:dyDescent="0.25">
      <c r="A838" s="7"/>
      <c r="B838" s="343" t="s">
        <v>342</v>
      </c>
      <c r="C838" s="344"/>
      <c r="D838" s="344"/>
      <c r="E838" s="334"/>
      <c r="F838" s="104">
        <f>SUM(F831)</f>
        <v>85000000</v>
      </c>
      <c r="G838" s="25"/>
      <c r="H838" s="11"/>
      <c r="I838" s="21"/>
      <c r="J838" s="21"/>
      <c r="K838" s="21"/>
      <c r="L838" s="21"/>
      <c r="M838" s="21"/>
      <c r="N838" s="21"/>
    </row>
    <row r="839" spans="1:14" ht="15.75" customHeight="1" x14ac:dyDescent="0.25">
      <c r="A839" s="7"/>
      <c r="B839" s="343" t="s">
        <v>343</v>
      </c>
      <c r="C839" s="344"/>
      <c r="D839" s="344"/>
      <c r="E839" s="334"/>
      <c r="F839" s="104">
        <v>9350000</v>
      </c>
      <c r="G839" s="25"/>
      <c r="H839" s="11"/>
      <c r="I839" s="21"/>
      <c r="J839" s="21"/>
      <c r="K839" s="21"/>
      <c r="L839" s="21"/>
      <c r="M839" s="21"/>
      <c r="N839" s="21"/>
    </row>
    <row r="840" spans="1:14" ht="15.75" customHeight="1" x14ac:dyDescent="0.25">
      <c r="A840" s="7"/>
      <c r="B840" s="345" t="s">
        <v>344</v>
      </c>
      <c r="C840" s="344"/>
      <c r="D840" s="344"/>
      <c r="E840" s="334"/>
      <c r="F840" s="107">
        <f>SUM(F838:F839)</f>
        <v>94350000</v>
      </c>
      <c r="G840" s="25"/>
      <c r="H840" s="11"/>
      <c r="I840" s="21"/>
      <c r="J840" s="21"/>
      <c r="K840" s="21"/>
      <c r="L840" s="21"/>
      <c r="M840" s="21"/>
      <c r="N840" s="21"/>
    </row>
    <row r="841" spans="1:14" ht="15.75" customHeight="1" x14ac:dyDescent="0.25">
      <c r="A841" s="21"/>
      <c r="B841" s="21"/>
      <c r="C841" s="11"/>
      <c r="D841" s="11"/>
      <c r="E841" s="21"/>
      <c r="F841" s="21"/>
      <c r="G841" s="25"/>
      <c r="H841" s="11"/>
      <c r="I841" s="21"/>
      <c r="J841" s="21"/>
      <c r="K841" s="21"/>
      <c r="L841" s="21"/>
      <c r="M841" s="21"/>
      <c r="N841" s="21"/>
    </row>
    <row r="842" spans="1:14" ht="15.75" customHeight="1" x14ac:dyDescent="0.25">
      <c r="A842" s="31" t="s">
        <v>14</v>
      </c>
      <c r="B842" s="31" t="s">
        <v>234</v>
      </c>
      <c r="C842" s="31" t="s">
        <v>16</v>
      </c>
      <c r="D842" s="31" t="s">
        <v>17</v>
      </c>
      <c r="E842" s="31" t="s">
        <v>235</v>
      </c>
      <c r="F842" s="31" t="s">
        <v>236</v>
      </c>
      <c r="G842" s="25"/>
      <c r="H842" s="11"/>
      <c r="I842" s="21"/>
      <c r="J842" s="21"/>
      <c r="K842" s="21"/>
      <c r="L842" s="21"/>
      <c r="M842" s="21"/>
      <c r="N842" s="21"/>
    </row>
    <row r="843" spans="1:14" ht="15.75" customHeight="1" x14ac:dyDescent="0.25">
      <c r="A843" s="7">
        <v>1</v>
      </c>
      <c r="B843" s="120" t="s">
        <v>597</v>
      </c>
      <c r="C843" s="7">
        <v>2</v>
      </c>
      <c r="D843" s="7" t="s">
        <v>363</v>
      </c>
      <c r="E843" s="104">
        <v>275000</v>
      </c>
      <c r="F843" s="104">
        <f>E843*C843</f>
        <v>550000</v>
      </c>
      <c r="G843" s="25"/>
      <c r="H843" s="11"/>
      <c r="I843" s="21"/>
      <c r="J843" s="21"/>
      <c r="K843" s="21"/>
      <c r="L843" s="21"/>
      <c r="M843" s="21"/>
      <c r="N843" s="21"/>
    </row>
    <row r="844" spans="1:14" ht="15.75" customHeight="1" x14ac:dyDescent="0.25">
      <c r="A844" s="7"/>
      <c r="B844" s="343" t="s">
        <v>342</v>
      </c>
      <c r="C844" s="344"/>
      <c r="D844" s="344"/>
      <c r="E844" s="334"/>
      <c r="F844" s="104">
        <f>F843</f>
        <v>550000</v>
      </c>
      <c r="G844" s="25"/>
      <c r="H844" s="11"/>
      <c r="I844" s="21"/>
      <c r="J844" s="21"/>
      <c r="K844" s="21"/>
      <c r="L844" s="21"/>
      <c r="M844" s="21"/>
      <c r="N844" s="21"/>
    </row>
    <row r="845" spans="1:14" ht="15.75" customHeight="1" x14ac:dyDescent="0.25">
      <c r="A845" s="7"/>
      <c r="B845" s="343" t="s">
        <v>343</v>
      </c>
      <c r="C845" s="344"/>
      <c r="D845" s="344"/>
      <c r="E845" s="334"/>
      <c r="F845" s="104">
        <v>60500</v>
      </c>
      <c r="G845" s="25"/>
      <c r="H845" s="11"/>
      <c r="I845" s="21"/>
      <c r="J845" s="21"/>
      <c r="K845" s="21"/>
      <c r="L845" s="21"/>
      <c r="M845" s="21"/>
      <c r="N845" s="21"/>
    </row>
    <row r="846" spans="1:14" ht="15.75" customHeight="1" x14ac:dyDescent="0.25">
      <c r="A846" s="7"/>
      <c r="B846" s="345" t="s">
        <v>344</v>
      </c>
      <c r="C846" s="344"/>
      <c r="D846" s="344"/>
      <c r="E846" s="334"/>
      <c r="F846" s="107">
        <f>SUM(F844:F845)</f>
        <v>610500</v>
      </c>
      <c r="G846" s="25"/>
      <c r="H846" s="11"/>
      <c r="I846" s="21"/>
      <c r="J846" s="21"/>
      <c r="K846" s="21"/>
      <c r="L846" s="21"/>
      <c r="M846" s="21"/>
      <c r="N846" s="21"/>
    </row>
    <row r="847" spans="1:14" ht="15.75" customHeight="1" x14ac:dyDescent="0.25">
      <c r="A847" s="21"/>
      <c r="B847" s="21"/>
      <c r="C847" s="11"/>
      <c r="D847" s="11"/>
      <c r="E847" s="21"/>
      <c r="F847" s="21"/>
      <c r="G847" s="25"/>
      <c r="H847" s="11"/>
      <c r="I847" s="21"/>
      <c r="J847" s="21"/>
      <c r="K847" s="21"/>
      <c r="L847" s="21"/>
      <c r="M847" s="21"/>
      <c r="N847" s="21"/>
    </row>
    <row r="848" spans="1:14" ht="15.75" customHeight="1" x14ac:dyDescent="0.25">
      <c r="A848" s="31" t="s">
        <v>351</v>
      </c>
      <c r="B848" s="31" t="s">
        <v>234</v>
      </c>
      <c r="C848" s="31" t="s">
        <v>16</v>
      </c>
      <c r="D848" s="31" t="s">
        <v>17</v>
      </c>
      <c r="E848" s="31" t="s">
        <v>235</v>
      </c>
      <c r="F848" s="31" t="s">
        <v>236</v>
      </c>
      <c r="G848" s="25"/>
      <c r="H848" s="11"/>
      <c r="I848" s="21"/>
      <c r="J848" s="21"/>
      <c r="K848" s="21"/>
      <c r="L848" s="21"/>
      <c r="M848" s="21"/>
      <c r="N848" s="21"/>
    </row>
    <row r="849" spans="1:14" ht="15.75" customHeight="1" x14ac:dyDescent="0.25">
      <c r="A849" s="7">
        <v>1</v>
      </c>
      <c r="B849" s="41" t="s">
        <v>598</v>
      </c>
      <c r="C849" s="7">
        <v>6</v>
      </c>
      <c r="D849" s="7" t="s">
        <v>363</v>
      </c>
      <c r="E849" s="104">
        <v>72500</v>
      </c>
      <c r="F849" s="104">
        <f>E849*C849</f>
        <v>435000</v>
      </c>
      <c r="G849" s="25"/>
      <c r="H849" s="11"/>
      <c r="I849" s="21"/>
      <c r="J849" s="21"/>
      <c r="K849" s="21"/>
      <c r="L849" s="21"/>
      <c r="M849" s="21"/>
      <c r="N849" s="21"/>
    </row>
    <row r="850" spans="1:14" ht="15.75" customHeight="1" x14ac:dyDescent="0.25">
      <c r="A850" s="7">
        <v>2</v>
      </c>
      <c r="B850" s="41" t="s">
        <v>599</v>
      </c>
      <c r="C850" s="7">
        <v>6</v>
      </c>
      <c r="D850" s="7" t="s">
        <v>363</v>
      </c>
      <c r="E850" s="104">
        <v>72500</v>
      </c>
      <c r="F850" s="104">
        <f>E850*C850</f>
        <v>435000</v>
      </c>
      <c r="G850" s="25"/>
      <c r="H850" s="11"/>
      <c r="I850" s="21"/>
      <c r="J850" s="21"/>
      <c r="K850" s="21"/>
      <c r="L850" s="21"/>
      <c r="M850" s="21"/>
      <c r="N850" s="21"/>
    </row>
    <row r="851" spans="1:14" ht="15.75" customHeight="1" x14ac:dyDescent="0.25">
      <c r="A851" s="7"/>
      <c r="B851" s="343" t="s">
        <v>342</v>
      </c>
      <c r="C851" s="344"/>
      <c r="D851" s="344"/>
      <c r="E851" s="334"/>
      <c r="F851" s="104">
        <f>SUM(F848:F850)</f>
        <v>870000</v>
      </c>
      <c r="G851" s="25"/>
      <c r="H851" s="11"/>
      <c r="I851" s="21"/>
      <c r="J851" s="21"/>
      <c r="K851" s="21"/>
      <c r="L851" s="21"/>
      <c r="M851" s="21"/>
      <c r="N851" s="21"/>
    </row>
    <row r="852" spans="1:14" ht="15.75" customHeight="1" x14ac:dyDescent="0.25">
      <c r="A852" s="7"/>
      <c r="B852" s="343" t="s">
        <v>343</v>
      </c>
      <c r="C852" s="344"/>
      <c r="D852" s="344"/>
      <c r="E852" s="334"/>
      <c r="F852" s="104">
        <v>95700</v>
      </c>
      <c r="G852" s="25"/>
      <c r="H852" s="11"/>
      <c r="I852" s="21"/>
      <c r="J852" s="21"/>
      <c r="K852" s="21"/>
      <c r="L852" s="21"/>
      <c r="M852" s="21"/>
      <c r="N852" s="21"/>
    </row>
    <row r="853" spans="1:14" ht="15.75" customHeight="1" x14ac:dyDescent="0.25">
      <c r="A853" s="7"/>
      <c r="B853" s="345" t="s">
        <v>344</v>
      </c>
      <c r="C853" s="344"/>
      <c r="D853" s="344"/>
      <c r="E853" s="334"/>
      <c r="F853" s="107">
        <f>SUM(F851:F852)</f>
        <v>965700</v>
      </c>
      <c r="G853" s="25"/>
      <c r="H853" s="11"/>
      <c r="I853" s="21"/>
      <c r="J853" s="21"/>
      <c r="K853" s="21"/>
      <c r="L853" s="21"/>
      <c r="M853" s="21"/>
      <c r="N853" s="21"/>
    </row>
    <row r="854" spans="1:14" ht="15.75" customHeight="1" x14ac:dyDescent="0.25">
      <c r="A854" s="21"/>
      <c r="B854" s="21"/>
      <c r="C854" s="11"/>
      <c r="D854" s="11"/>
      <c r="E854" s="21"/>
      <c r="F854" s="21"/>
      <c r="G854" s="25"/>
      <c r="H854" s="11"/>
      <c r="I854" s="21"/>
      <c r="J854" s="21"/>
      <c r="K854" s="21"/>
      <c r="L854" s="21"/>
      <c r="M854" s="21"/>
      <c r="N854" s="21"/>
    </row>
    <row r="855" spans="1:14" ht="15.75" customHeight="1" x14ac:dyDescent="0.25">
      <c r="A855" s="31" t="s">
        <v>14</v>
      </c>
      <c r="B855" s="31" t="s">
        <v>15</v>
      </c>
      <c r="C855" s="31" t="s">
        <v>16</v>
      </c>
      <c r="D855" s="31" t="s">
        <v>17</v>
      </c>
      <c r="E855" s="31" t="s">
        <v>235</v>
      </c>
      <c r="F855" s="31" t="s">
        <v>236</v>
      </c>
      <c r="G855" s="25"/>
      <c r="H855" s="11"/>
      <c r="I855" s="21"/>
      <c r="J855" s="21"/>
      <c r="K855" s="21"/>
      <c r="L855" s="21"/>
      <c r="M855" s="21"/>
      <c r="N855" s="21"/>
    </row>
    <row r="856" spans="1:14" ht="15.75" customHeight="1" x14ac:dyDescent="0.25">
      <c r="A856" s="7">
        <v>1</v>
      </c>
      <c r="B856" s="122" t="s">
        <v>600</v>
      </c>
      <c r="C856" s="117">
        <v>10</v>
      </c>
      <c r="D856" s="117" t="s">
        <v>19</v>
      </c>
      <c r="E856" s="104">
        <v>5500</v>
      </c>
      <c r="F856" s="104">
        <f>E856*C856</f>
        <v>55000</v>
      </c>
      <c r="G856" s="25"/>
      <c r="H856" s="11"/>
      <c r="I856" s="21"/>
      <c r="J856" s="21"/>
      <c r="K856" s="21"/>
      <c r="L856" s="21"/>
      <c r="M856" s="21"/>
      <c r="N856" s="21"/>
    </row>
    <row r="857" spans="1:14" ht="15.75" customHeight="1" x14ac:dyDescent="0.25">
      <c r="A857" s="7">
        <v>2</v>
      </c>
      <c r="B857" s="116" t="s">
        <v>601</v>
      </c>
      <c r="C857" s="117">
        <v>100</v>
      </c>
      <c r="D857" s="117" t="s">
        <v>602</v>
      </c>
      <c r="E857" s="104">
        <v>44745</v>
      </c>
      <c r="F857" s="104">
        <f>E857*C857</f>
        <v>4474500</v>
      </c>
      <c r="G857" s="25"/>
      <c r="H857" s="11"/>
      <c r="I857" s="21"/>
      <c r="J857" s="21"/>
      <c r="K857" s="21"/>
      <c r="L857" s="21"/>
      <c r="M857" s="21"/>
      <c r="N857" s="21"/>
    </row>
    <row r="858" spans="1:14" ht="15.75" customHeight="1" x14ac:dyDescent="0.25">
      <c r="A858" s="7">
        <v>3</v>
      </c>
      <c r="B858" s="116" t="s">
        <v>603</v>
      </c>
      <c r="C858" s="117">
        <v>60</v>
      </c>
      <c r="D858" s="117" t="s">
        <v>602</v>
      </c>
      <c r="E858" s="104">
        <v>44745</v>
      </c>
      <c r="F858" s="104">
        <f>E858*C858</f>
        <v>2684700</v>
      </c>
      <c r="G858" s="25"/>
      <c r="H858" s="11"/>
      <c r="I858" s="21"/>
      <c r="J858" s="21"/>
      <c r="K858" s="21"/>
      <c r="L858" s="21"/>
      <c r="M858" s="21"/>
      <c r="N858" s="21"/>
    </row>
    <row r="859" spans="1:14" ht="15.75" customHeight="1" x14ac:dyDescent="0.25">
      <c r="A859" s="7">
        <v>4</v>
      </c>
      <c r="B859" s="116" t="s">
        <v>604</v>
      </c>
      <c r="C859" s="117">
        <v>50</v>
      </c>
      <c r="D859" s="117" t="s">
        <v>19</v>
      </c>
      <c r="E859" s="104">
        <v>6500</v>
      </c>
      <c r="F859" s="104">
        <f>E859*C859</f>
        <v>325000</v>
      </c>
      <c r="G859" s="25"/>
      <c r="H859" s="11"/>
      <c r="I859" s="21"/>
      <c r="J859" s="21"/>
      <c r="K859" s="21"/>
      <c r="L859" s="21"/>
      <c r="M859" s="21"/>
      <c r="N859" s="21"/>
    </row>
    <row r="860" spans="1:14" ht="15.75" customHeight="1" x14ac:dyDescent="0.25">
      <c r="A860" s="7">
        <v>5</v>
      </c>
      <c r="B860" s="116" t="s">
        <v>605</v>
      </c>
      <c r="C860" s="117">
        <v>100</v>
      </c>
      <c r="D860" s="117" t="s">
        <v>19</v>
      </c>
      <c r="E860" s="104">
        <v>3500</v>
      </c>
      <c r="F860" s="104">
        <f>E860*C860</f>
        <v>350000</v>
      </c>
      <c r="G860" s="25"/>
      <c r="H860" s="11"/>
      <c r="I860" s="21"/>
      <c r="J860" s="21"/>
      <c r="K860" s="21"/>
      <c r="L860" s="21"/>
      <c r="M860" s="21"/>
      <c r="N860" s="21"/>
    </row>
    <row r="861" spans="1:14" ht="15.75" customHeight="1" x14ac:dyDescent="0.25">
      <c r="A861" s="7"/>
      <c r="B861" s="343" t="s">
        <v>342</v>
      </c>
      <c r="C861" s="344"/>
      <c r="D861" s="344"/>
      <c r="E861" s="334"/>
      <c r="F861" s="104">
        <f>SUM(F856:F860)</f>
        <v>7889200</v>
      </c>
      <c r="G861" s="25"/>
      <c r="H861" s="11"/>
      <c r="I861" s="21"/>
      <c r="J861" s="21"/>
      <c r="K861" s="21"/>
      <c r="L861" s="21"/>
      <c r="M861" s="21"/>
      <c r="N861" s="21"/>
    </row>
    <row r="862" spans="1:14" ht="15.75" customHeight="1" x14ac:dyDescent="0.25">
      <c r="A862" s="7"/>
      <c r="B862" s="343" t="s">
        <v>343</v>
      </c>
      <c r="C862" s="344"/>
      <c r="D862" s="344"/>
      <c r="E862" s="334"/>
      <c r="F862" s="104">
        <v>867812</v>
      </c>
      <c r="G862" s="25"/>
      <c r="H862" s="11"/>
      <c r="I862" s="21"/>
      <c r="J862" s="21"/>
      <c r="K862" s="21"/>
      <c r="L862" s="21"/>
      <c r="M862" s="21"/>
      <c r="N862" s="21"/>
    </row>
    <row r="863" spans="1:14" ht="15.75" customHeight="1" x14ac:dyDescent="0.25">
      <c r="A863" s="7"/>
      <c r="B863" s="345" t="s">
        <v>344</v>
      </c>
      <c r="C863" s="344"/>
      <c r="D863" s="344"/>
      <c r="E863" s="334"/>
      <c r="F863" s="107">
        <f>SUM(F861:F862)</f>
        <v>8757012</v>
      </c>
      <c r="G863" s="25"/>
      <c r="H863" s="11"/>
      <c r="I863" s="21"/>
      <c r="J863" s="21"/>
      <c r="K863" s="21"/>
      <c r="L863" s="21"/>
      <c r="M863" s="21"/>
      <c r="N863" s="21"/>
    </row>
    <row r="864" spans="1:14" ht="15.75" customHeight="1" x14ac:dyDescent="0.25">
      <c r="A864" s="21"/>
      <c r="B864" s="21"/>
      <c r="C864" s="11"/>
      <c r="D864" s="11"/>
      <c r="E864" s="21"/>
      <c r="F864" s="21"/>
      <c r="G864" s="25"/>
      <c r="H864" s="11"/>
      <c r="I864" s="21"/>
      <c r="J864" s="21"/>
      <c r="K864" s="21"/>
      <c r="L864" s="21"/>
      <c r="M864" s="21"/>
      <c r="N864" s="21"/>
    </row>
    <row r="865" spans="1:14" ht="15.75" customHeight="1" x14ac:dyDescent="0.25">
      <c r="A865" s="31" t="s">
        <v>14</v>
      </c>
      <c r="B865" s="31" t="s">
        <v>234</v>
      </c>
      <c r="C865" s="31" t="s">
        <v>16</v>
      </c>
      <c r="D865" s="31" t="s">
        <v>17</v>
      </c>
      <c r="E865" s="31" t="s">
        <v>235</v>
      </c>
      <c r="F865" s="31" t="s">
        <v>236</v>
      </c>
      <c r="G865" s="25"/>
      <c r="H865" s="11"/>
      <c r="I865" s="21"/>
      <c r="J865" s="21"/>
      <c r="K865" s="21"/>
      <c r="L865" s="21"/>
      <c r="M865" s="21"/>
      <c r="N865" s="21"/>
    </row>
    <row r="866" spans="1:14" ht="15.75" customHeight="1" x14ac:dyDescent="0.25">
      <c r="A866" s="7">
        <v>1</v>
      </c>
      <c r="B866" s="120" t="s">
        <v>606</v>
      </c>
      <c r="C866" s="7">
        <v>1</v>
      </c>
      <c r="D866" s="7" t="s">
        <v>19</v>
      </c>
      <c r="E866" s="104">
        <v>1500000</v>
      </c>
      <c r="F866" s="104">
        <f>E866*C866</f>
        <v>1500000</v>
      </c>
      <c r="G866" s="25"/>
      <c r="H866" s="11"/>
      <c r="I866" s="21"/>
      <c r="J866" s="21"/>
      <c r="K866" s="21"/>
      <c r="L866" s="21"/>
      <c r="M866" s="21"/>
      <c r="N866" s="21"/>
    </row>
    <row r="867" spans="1:14" ht="15.75" customHeight="1" x14ac:dyDescent="0.25">
      <c r="A867" s="7"/>
      <c r="B867" s="343" t="s">
        <v>342</v>
      </c>
      <c r="C867" s="344"/>
      <c r="D867" s="344"/>
      <c r="E867" s="334"/>
      <c r="F867" s="104">
        <f>F866</f>
        <v>1500000</v>
      </c>
      <c r="G867" s="25"/>
      <c r="H867" s="11"/>
      <c r="I867" s="21"/>
      <c r="J867" s="21"/>
      <c r="K867" s="21"/>
      <c r="L867" s="21"/>
      <c r="M867" s="21"/>
      <c r="N867" s="21"/>
    </row>
    <row r="868" spans="1:14" ht="15.75" customHeight="1" x14ac:dyDescent="0.25">
      <c r="A868" s="7"/>
      <c r="B868" s="343" t="s">
        <v>343</v>
      </c>
      <c r="C868" s="344"/>
      <c r="D868" s="344"/>
      <c r="E868" s="334"/>
      <c r="F868" s="104">
        <v>165000</v>
      </c>
      <c r="G868" s="25"/>
      <c r="H868" s="11"/>
      <c r="I868" s="21"/>
      <c r="J868" s="21"/>
      <c r="K868" s="21"/>
      <c r="L868" s="21"/>
      <c r="M868" s="21"/>
      <c r="N868" s="21"/>
    </row>
    <row r="869" spans="1:14" ht="15.75" customHeight="1" x14ac:dyDescent="0.25">
      <c r="A869" s="7"/>
      <c r="B869" s="345" t="s">
        <v>344</v>
      </c>
      <c r="C869" s="344"/>
      <c r="D869" s="344"/>
      <c r="E869" s="334"/>
      <c r="F869" s="107">
        <f>SUM(F867:F868)</f>
        <v>1665000</v>
      </c>
      <c r="G869" s="25"/>
      <c r="H869" s="11"/>
      <c r="I869" s="21"/>
      <c r="J869" s="21"/>
      <c r="K869" s="21"/>
      <c r="L869" s="21"/>
      <c r="M869" s="21"/>
      <c r="N869" s="21"/>
    </row>
    <row r="870" spans="1:14" ht="15.75" customHeight="1" x14ac:dyDescent="0.25">
      <c r="A870" s="21"/>
      <c r="B870" s="21"/>
      <c r="C870" s="11"/>
      <c r="D870" s="11"/>
      <c r="E870" s="21"/>
      <c r="F870" s="21"/>
      <c r="G870" s="25"/>
      <c r="H870" s="11"/>
      <c r="I870" s="21"/>
      <c r="J870" s="21"/>
      <c r="K870" s="21"/>
      <c r="L870" s="21"/>
      <c r="M870" s="21"/>
      <c r="N870" s="21"/>
    </row>
    <row r="871" spans="1:14" ht="15.75" customHeight="1" x14ac:dyDescent="0.25">
      <c r="A871" s="31" t="s">
        <v>351</v>
      </c>
      <c r="B871" s="31" t="s">
        <v>234</v>
      </c>
      <c r="C871" s="31" t="s">
        <v>16</v>
      </c>
      <c r="D871" s="31" t="s">
        <v>17</v>
      </c>
      <c r="E871" s="31" t="s">
        <v>235</v>
      </c>
      <c r="F871" s="31" t="s">
        <v>236</v>
      </c>
      <c r="G871" s="25"/>
      <c r="H871" s="11"/>
      <c r="I871" s="21"/>
      <c r="J871" s="21"/>
      <c r="K871" s="21"/>
      <c r="L871" s="21"/>
      <c r="M871" s="21"/>
      <c r="N871" s="21"/>
    </row>
    <row r="872" spans="1:14" ht="15.75" customHeight="1" x14ac:dyDescent="0.25">
      <c r="A872" s="7">
        <v>1</v>
      </c>
      <c r="B872" s="41" t="s">
        <v>542</v>
      </c>
      <c r="C872" s="7">
        <v>1</v>
      </c>
      <c r="D872" s="7" t="s">
        <v>543</v>
      </c>
      <c r="E872" s="104">
        <v>8500000</v>
      </c>
      <c r="F872" s="104">
        <f>E872*C872</f>
        <v>8500000</v>
      </c>
      <c r="G872" s="25"/>
      <c r="H872" s="11"/>
      <c r="I872" s="21"/>
      <c r="J872" s="21"/>
      <c r="K872" s="21"/>
      <c r="L872" s="21"/>
      <c r="M872" s="21"/>
      <c r="N872" s="21"/>
    </row>
    <row r="873" spans="1:14" ht="15.75" customHeight="1" x14ac:dyDescent="0.25">
      <c r="A873" s="7">
        <v>2</v>
      </c>
      <c r="B873" s="41" t="s">
        <v>607</v>
      </c>
      <c r="C873" s="7">
        <v>1</v>
      </c>
      <c r="D873" s="7" t="s">
        <v>543</v>
      </c>
      <c r="E873" s="104">
        <v>6500000</v>
      </c>
      <c r="F873" s="104">
        <f>E873*C873</f>
        <v>6500000</v>
      </c>
      <c r="G873" s="25"/>
      <c r="H873" s="11"/>
      <c r="I873" s="21"/>
      <c r="J873" s="21"/>
      <c r="K873" s="21"/>
      <c r="L873" s="21"/>
      <c r="M873" s="21"/>
      <c r="N873" s="21"/>
    </row>
    <row r="874" spans="1:14" ht="15.75" customHeight="1" x14ac:dyDescent="0.25">
      <c r="A874" s="7"/>
      <c r="B874" s="343" t="s">
        <v>342</v>
      </c>
      <c r="C874" s="344"/>
      <c r="D874" s="344"/>
      <c r="E874" s="334"/>
      <c r="F874" s="104">
        <f>SUM(F871:F873)</f>
        <v>15000000</v>
      </c>
      <c r="G874" s="25"/>
      <c r="H874" s="11"/>
      <c r="I874" s="21"/>
      <c r="J874" s="21"/>
      <c r="K874" s="21"/>
      <c r="L874" s="21"/>
      <c r="M874" s="21"/>
      <c r="N874" s="21"/>
    </row>
    <row r="875" spans="1:14" ht="15.75" customHeight="1" x14ac:dyDescent="0.25">
      <c r="A875" s="7"/>
      <c r="B875" s="343" t="s">
        <v>343</v>
      </c>
      <c r="C875" s="344"/>
      <c r="D875" s="344"/>
      <c r="E875" s="334"/>
      <c r="F875" s="104">
        <v>1650000</v>
      </c>
      <c r="G875" s="25"/>
      <c r="H875" s="11"/>
      <c r="I875" s="21"/>
      <c r="J875" s="21"/>
      <c r="K875" s="21"/>
      <c r="L875" s="21"/>
      <c r="M875" s="21"/>
      <c r="N875" s="21"/>
    </row>
    <row r="876" spans="1:14" ht="15.75" customHeight="1" x14ac:dyDescent="0.25">
      <c r="A876" s="7"/>
      <c r="B876" s="345" t="s">
        <v>344</v>
      </c>
      <c r="C876" s="344"/>
      <c r="D876" s="344"/>
      <c r="E876" s="334"/>
      <c r="F876" s="107">
        <f>SUM(F874:F875)</f>
        <v>16650000</v>
      </c>
      <c r="G876" s="25"/>
      <c r="H876" s="11"/>
      <c r="I876" s="21"/>
      <c r="J876" s="21"/>
      <c r="K876" s="21"/>
      <c r="L876" s="21"/>
      <c r="M876" s="21"/>
      <c r="N876" s="21"/>
    </row>
    <row r="877" spans="1:14" ht="15.75" customHeight="1" x14ac:dyDescent="0.25">
      <c r="A877" s="21"/>
      <c r="B877" s="21"/>
      <c r="C877" s="11"/>
      <c r="D877" s="11"/>
      <c r="E877" s="21"/>
      <c r="F877" s="21"/>
      <c r="G877" s="25"/>
      <c r="H877" s="11"/>
      <c r="I877" s="21"/>
      <c r="J877" s="21"/>
      <c r="K877" s="21"/>
      <c r="L877" s="21"/>
      <c r="M877" s="21"/>
      <c r="N877" s="21"/>
    </row>
    <row r="878" spans="1:14" ht="15.75" customHeight="1" x14ac:dyDescent="0.25">
      <c r="A878" s="31" t="s">
        <v>14</v>
      </c>
      <c r="B878" s="31" t="s">
        <v>234</v>
      </c>
      <c r="C878" s="31" t="s">
        <v>16</v>
      </c>
      <c r="D878" s="31" t="s">
        <v>17</v>
      </c>
      <c r="E878" s="31" t="s">
        <v>235</v>
      </c>
      <c r="F878" s="31" t="s">
        <v>236</v>
      </c>
      <c r="G878" s="25"/>
      <c r="H878" s="11"/>
      <c r="I878" s="21"/>
      <c r="J878" s="21"/>
      <c r="K878" s="21"/>
      <c r="L878" s="21"/>
      <c r="M878" s="21"/>
      <c r="N878" s="21"/>
    </row>
    <row r="879" spans="1:14" ht="15.75" customHeight="1" x14ac:dyDescent="0.25">
      <c r="A879" s="7">
        <v>1</v>
      </c>
      <c r="B879" s="120" t="s">
        <v>608</v>
      </c>
      <c r="C879" s="7">
        <v>4</v>
      </c>
      <c r="D879" s="7" t="s">
        <v>363</v>
      </c>
      <c r="E879" s="104">
        <v>702500</v>
      </c>
      <c r="F879" s="104">
        <f>E879*C879</f>
        <v>2810000</v>
      </c>
      <c r="G879" s="25"/>
      <c r="H879" s="11"/>
      <c r="I879" s="21"/>
      <c r="J879" s="21"/>
      <c r="K879" s="21"/>
      <c r="L879" s="21"/>
      <c r="M879" s="21"/>
      <c r="N879" s="21"/>
    </row>
    <row r="880" spans="1:14" ht="15.75" customHeight="1" x14ac:dyDescent="0.25">
      <c r="A880" s="7"/>
      <c r="B880" s="343" t="s">
        <v>342</v>
      </c>
      <c r="C880" s="344"/>
      <c r="D880" s="344"/>
      <c r="E880" s="334"/>
      <c r="F880" s="104">
        <f>F879</f>
        <v>2810000</v>
      </c>
      <c r="G880" s="25"/>
      <c r="H880" s="11"/>
      <c r="I880" s="21"/>
      <c r="J880" s="21"/>
      <c r="K880" s="21"/>
      <c r="L880" s="21"/>
      <c r="M880" s="21"/>
      <c r="N880" s="21"/>
    </row>
    <row r="881" spans="1:14" ht="15.75" customHeight="1" x14ac:dyDescent="0.25">
      <c r="A881" s="7"/>
      <c r="B881" s="343" t="s">
        <v>343</v>
      </c>
      <c r="C881" s="344"/>
      <c r="D881" s="344"/>
      <c r="E881" s="334"/>
      <c r="F881" s="104">
        <v>309100</v>
      </c>
      <c r="G881" s="25"/>
      <c r="H881" s="11"/>
      <c r="I881" s="21"/>
      <c r="J881" s="21"/>
      <c r="K881" s="21"/>
      <c r="L881" s="21"/>
      <c r="M881" s="21"/>
      <c r="N881" s="21"/>
    </row>
    <row r="882" spans="1:14" ht="15.75" customHeight="1" x14ac:dyDescent="0.25">
      <c r="A882" s="7"/>
      <c r="B882" s="345" t="s">
        <v>344</v>
      </c>
      <c r="C882" s="344"/>
      <c r="D882" s="344"/>
      <c r="E882" s="334"/>
      <c r="F882" s="107">
        <f>SUM(F880:F881)</f>
        <v>3119100</v>
      </c>
      <c r="G882" s="25"/>
      <c r="H882" s="11"/>
      <c r="I882" s="21"/>
      <c r="J882" s="21"/>
      <c r="K882" s="21"/>
      <c r="L882" s="21"/>
      <c r="M882" s="21"/>
      <c r="N882" s="21"/>
    </row>
    <row r="883" spans="1:14" ht="15.75" customHeight="1" x14ac:dyDescent="0.25">
      <c r="A883" s="21"/>
      <c r="B883" s="21"/>
      <c r="C883" s="11"/>
      <c r="D883" s="11"/>
      <c r="E883" s="21"/>
      <c r="F883" s="21"/>
      <c r="G883" s="25"/>
      <c r="H883" s="11"/>
      <c r="I883" s="21"/>
      <c r="J883" s="21"/>
      <c r="K883" s="21"/>
      <c r="L883" s="21"/>
      <c r="M883" s="21"/>
      <c r="N883" s="21"/>
    </row>
    <row r="884" spans="1:14" ht="15.75" customHeight="1" x14ac:dyDescent="0.25">
      <c r="A884" s="31" t="s">
        <v>14</v>
      </c>
      <c r="B884" s="31" t="s">
        <v>234</v>
      </c>
      <c r="C884" s="31" t="s">
        <v>16</v>
      </c>
      <c r="D884" s="31" t="s">
        <v>17</v>
      </c>
      <c r="E884" s="31" t="s">
        <v>235</v>
      </c>
      <c r="F884" s="31" t="s">
        <v>236</v>
      </c>
      <c r="G884" s="25"/>
      <c r="H884" s="11"/>
      <c r="I884" s="21"/>
      <c r="J884" s="21"/>
      <c r="K884" s="21"/>
      <c r="L884" s="21"/>
      <c r="M884" s="21"/>
      <c r="N884" s="21"/>
    </row>
    <row r="885" spans="1:14" ht="15.75" customHeight="1" x14ac:dyDescent="0.25">
      <c r="A885" s="7">
        <v>1</v>
      </c>
      <c r="B885" s="120" t="s">
        <v>609</v>
      </c>
      <c r="C885" s="7">
        <v>5</v>
      </c>
      <c r="D885" s="7" t="s">
        <v>243</v>
      </c>
      <c r="E885" s="104">
        <v>3468720</v>
      </c>
      <c r="F885" s="104">
        <f>E885*C885</f>
        <v>17343600</v>
      </c>
      <c r="G885" s="25"/>
      <c r="H885" s="11"/>
      <c r="I885" s="21"/>
      <c r="J885" s="21"/>
      <c r="K885" s="21"/>
      <c r="L885" s="21"/>
      <c r="M885" s="21"/>
      <c r="N885" s="21"/>
    </row>
    <row r="886" spans="1:14" ht="15.75" customHeight="1" x14ac:dyDescent="0.25">
      <c r="A886" s="7"/>
      <c r="B886" s="343" t="s">
        <v>342</v>
      </c>
      <c r="C886" s="344"/>
      <c r="D886" s="344"/>
      <c r="E886" s="334"/>
      <c r="F886" s="104">
        <f>F885</f>
        <v>17343600</v>
      </c>
      <c r="G886" s="25"/>
      <c r="H886" s="11"/>
      <c r="I886" s="21"/>
      <c r="J886" s="21"/>
      <c r="K886" s="21"/>
      <c r="L886" s="21"/>
      <c r="M886" s="21"/>
      <c r="N886" s="21"/>
    </row>
    <row r="887" spans="1:14" ht="15.75" customHeight="1" x14ac:dyDescent="0.25">
      <c r="A887" s="7"/>
      <c r="B887" s="343" t="s">
        <v>343</v>
      </c>
      <c r="C887" s="344"/>
      <c r="D887" s="344"/>
      <c r="E887" s="334"/>
      <c r="F887" s="104">
        <v>1907796</v>
      </c>
      <c r="G887" s="25"/>
      <c r="H887" s="11"/>
      <c r="I887" s="21"/>
      <c r="J887" s="21"/>
      <c r="K887" s="21"/>
      <c r="L887" s="21"/>
      <c r="M887" s="21"/>
      <c r="N887" s="21"/>
    </row>
    <row r="888" spans="1:14" ht="15.75" customHeight="1" x14ac:dyDescent="0.25">
      <c r="A888" s="7"/>
      <c r="B888" s="345" t="s">
        <v>344</v>
      </c>
      <c r="C888" s="344"/>
      <c r="D888" s="344"/>
      <c r="E888" s="334"/>
      <c r="F888" s="107">
        <f>SUM(F886:F887)</f>
        <v>19251396</v>
      </c>
      <c r="G888" s="25"/>
      <c r="H888" s="11"/>
      <c r="I888" s="21"/>
      <c r="J888" s="21"/>
      <c r="K888" s="21"/>
      <c r="L888" s="21"/>
      <c r="M888" s="21"/>
      <c r="N888" s="21"/>
    </row>
    <row r="889" spans="1:14" ht="15.75" customHeight="1" x14ac:dyDescent="0.25">
      <c r="A889" s="21"/>
      <c r="B889" s="21"/>
      <c r="C889" s="11"/>
      <c r="D889" s="11"/>
      <c r="E889" s="21"/>
      <c r="F889" s="21"/>
      <c r="G889" s="25"/>
      <c r="H889" s="11"/>
      <c r="I889" s="21"/>
      <c r="J889" s="21"/>
      <c r="K889" s="21"/>
      <c r="L889" s="21"/>
      <c r="M889" s="21"/>
      <c r="N889" s="21"/>
    </row>
    <row r="890" spans="1:14" ht="15.75" customHeight="1" x14ac:dyDescent="0.25">
      <c r="A890" s="31" t="s">
        <v>14</v>
      </c>
      <c r="B890" s="31" t="s">
        <v>234</v>
      </c>
      <c r="C890" s="31" t="s">
        <v>16</v>
      </c>
      <c r="D890" s="31" t="s">
        <v>17</v>
      </c>
      <c r="E890" s="31" t="s">
        <v>235</v>
      </c>
      <c r="F890" s="31" t="s">
        <v>236</v>
      </c>
      <c r="G890" s="25"/>
      <c r="H890" s="11"/>
      <c r="I890" s="21"/>
      <c r="J890" s="21"/>
      <c r="K890" s="21"/>
      <c r="L890" s="21"/>
      <c r="M890" s="21"/>
      <c r="N890" s="21"/>
    </row>
    <row r="891" spans="1:14" ht="15.75" customHeight="1" x14ac:dyDescent="0.25">
      <c r="A891" s="7">
        <v>1</v>
      </c>
      <c r="B891" s="120" t="s">
        <v>610</v>
      </c>
      <c r="C891" s="7">
        <v>5</v>
      </c>
      <c r="D891" s="7" t="s">
        <v>363</v>
      </c>
      <c r="E891" s="104">
        <v>12000</v>
      </c>
      <c r="F891" s="104">
        <f>E891*C891</f>
        <v>60000</v>
      </c>
      <c r="G891" s="25"/>
      <c r="H891" s="11"/>
      <c r="I891" s="21"/>
      <c r="J891" s="21"/>
      <c r="K891" s="21"/>
      <c r="L891" s="21"/>
      <c r="M891" s="21"/>
      <c r="N891" s="21"/>
    </row>
    <row r="892" spans="1:14" ht="15.75" customHeight="1" x14ac:dyDescent="0.25">
      <c r="A892" s="7"/>
      <c r="B892" s="343" t="s">
        <v>342</v>
      </c>
      <c r="C892" s="344"/>
      <c r="D892" s="344"/>
      <c r="E892" s="334"/>
      <c r="F892" s="104">
        <f>F891</f>
        <v>60000</v>
      </c>
      <c r="G892" s="25"/>
      <c r="H892" s="11"/>
      <c r="I892" s="21"/>
      <c r="J892" s="21"/>
      <c r="K892" s="21"/>
      <c r="L892" s="21"/>
      <c r="M892" s="21"/>
      <c r="N892" s="21"/>
    </row>
    <row r="893" spans="1:14" ht="15.75" customHeight="1" x14ac:dyDescent="0.25">
      <c r="A893" s="7"/>
      <c r="B893" s="343" t="s">
        <v>343</v>
      </c>
      <c r="C893" s="344"/>
      <c r="D893" s="344"/>
      <c r="E893" s="334"/>
      <c r="F893" s="104">
        <v>6600</v>
      </c>
      <c r="G893" s="25"/>
      <c r="H893" s="11"/>
      <c r="I893" s="21"/>
      <c r="J893" s="21"/>
      <c r="K893" s="21"/>
      <c r="L893" s="21"/>
      <c r="M893" s="21"/>
      <c r="N893" s="21"/>
    </row>
    <row r="894" spans="1:14" ht="15.75" customHeight="1" x14ac:dyDescent="0.25">
      <c r="A894" s="7"/>
      <c r="B894" s="345" t="s">
        <v>344</v>
      </c>
      <c r="C894" s="344"/>
      <c r="D894" s="344"/>
      <c r="E894" s="334"/>
      <c r="F894" s="107">
        <f>SUM(F892:F893)</f>
        <v>66600</v>
      </c>
      <c r="G894" s="25"/>
      <c r="H894" s="11"/>
      <c r="I894" s="21"/>
      <c r="J894" s="21"/>
      <c r="K894" s="21"/>
      <c r="L894" s="21"/>
      <c r="M894" s="21"/>
      <c r="N894" s="21"/>
    </row>
    <row r="895" spans="1:14" ht="15.75" customHeight="1" x14ac:dyDescent="0.25">
      <c r="A895" s="21"/>
      <c r="B895" s="21"/>
      <c r="C895" s="11"/>
      <c r="D895" s="11"/>
      <c r="E895" s="21"/>
      <c r="F895" s="21"/>
      <c r="G895" s="25"/>
      <c r="H895" s="11"/>
      <c r="I895" s="21"/>
      <c r="J895" s="21"/>
      <c r="K895" s="21"/>
      <c r="L895" s="21"/>
      <c r="M895" s="21"/>
      <c r="N895" s="21"/>
    </row>
    <row r="896" spans="1:14" ht="15.75" customHeight="1" x14ac:dyDescent="0.25">
      <c r="A896" s="31" t="s">
        <v>351</v>
      </c>
      <c r="B896" s="31" t="s">
        <v>234</v>
      </c>
      <c r="C896" s="31" t="s">
        <v>16</v>
      </c>
      <c r="D896" s="31" t="s">
        <v>17</v>
      </c>
      <c r="E896" s="31" t="s">
        <v>235</v>
      </c>
      <c r="F896" s="31" t="s">
        <v>236</v>
      </c>
      <c r="G896" s="25"/>
      <c r="H896" s="11"/>
      <c r="I896" s="21"/>
      <c r="J896" s="21"/>
      <c r="K896" s="21"/>
      <c r="L896" s="21"/>
      <c r="M896" s="21"/>
      <c r="N896" s="21"/>
    </row>
    <row r="897" spans="1:14" ht="15.75" customHeight="1" x14ac:dyDescent="0.25">
      <c r="A897" s="7">
        <v>1</v>
      </c>
      <c r="B897" s="41" t="s">
        <v>611</v>
      </c>
      <c r="C897" s="7">
        <v>4</v>
      </c>
      <c r="D897" s="7" t="s">
        <v>363</v>
      </c>
      <c r="E897" s="104">
        <v>271500</v>
      </c>
      <c r="F897" s="104">
        <f>E897*C897</f>
        <v>1086000</v>
      </c>
      <c r="G897" s="25"/>
      <c r="H897" s="11"/>
      <c r="I897" s="21"/>
      <c r="J897" s="21"/>
      <c r="K897" s="21"/>
      <c r="L897" s="21"/>
      <c r="M897" s="21"/>
      <c r="N897" s="21"/>
    </row>
    <row r="898" spans="1:14" ht="15.75" customHeight="1" x14ac:dyDescent="0.25">
      <c r="A898" s="7">
        <v>2</v>
      </c>
      <c r="B898" s="41" t="s">
        <v>612</v>
      </c>
      <c r="C898" s="7">
        <v>2</v>
      </c>
      <c r="D898" s="7" t="s">
        <v>363</v>
      </c>
      <c r="E898" s="104">
        <v>210000</v>
      </c>
      <c r="F898" s="104">
        <f>E898*C898</f>
        <v>420000</v>
      </c>
      <c r="G898" s="25"/>
      <c r="H898" s="11"/>
      <c r="I898" s="21"/>
      <c r="J898" s="21"/>
      <c r="K898" s="21"/>
      <c r="L898" s="21"/>
      <c r="M898" s="21"/>
      <c r="N898" s="21"/>
    </row>
    <row r="899" spans="1:14" ht="15.75" customHeight="1" x14ac:dyDescent="0.25">
      <c r="A899" s="7"/>
      <c r="B899" s="343" t="s">
        <v>342</v>
      </c>
      <c r="C899" s="344"/>
      <c r="D899" s="344"/>
      <c r="E899" s="334"/>
      <c r="F899" s="104">
        <f>SUM(F896:F898)</f>
        <v>1506000</v>
      </c>
      <c r="G899" s="25"/>
      <c r="H899" s="11"/>
      <c r="I899" s="21"/>
      <c r="J899" s="21"/>
      <c r="K899" s="21"/>
      <c r="L899" s="21"/>
      <c r="M899" s="21"/>
      <c r="N899" s="21"/>
    </row>
    <row r="900" spans="1:14" ht="15.75" customHeight="1" x14ac:dyDescent="0.25">
      <c r="A900" s="7"/>
      <c r="B900" s="343" t="s">
        <v>343</v>
      </c>
      <c r="C900" s="344"/>
      <c r="D900" s="344"/>
      <c r="E900" s="334"/>
      <c r="F900" s="104">
        <v>165660</v>
      </c>
      <c r="G900" s="25"/>
      <c r="H900" s="11"/>
      <c r="I900" s="21"/>
      <c r="J900" s="21"/>
      <c r="K900" s="21"/>
      <c r="L900" s="21"/>
      <c r="M900" s="21"/>
      <c r="N900" s="21"/>
    </row>
    <row r="901" spans="1:14" ht="15.75" customHeight="1" x14ac:dyDescent="0.25">
      <c r="A901" s="7"/>
      <c r="B901" s="345" t="s">
        <v>344</v>
      </c>
      <c r="C901" s="344"/>
      <c r="D901" s="344"/>
      <c r="E901" s="334"/>
      <c r="F901" s="107">
        <f>SUM(F899:F900)</f>
        <v>1671660</v>
      </c>
      <c r="G901" s="25"/>
      <c r="H901" s="11"/>
      <c r="I901" s="21"/>
      <c r="J901" s="21"/>
      <c r="K901" s="21"/>
      <c r="L901" s="21"/>
      <c r="M901" s="21"/>
      <c r="N901" s="21"/>
    </row>
    <row r="902" spans="1:14" ht="15.75" customHeight="1" x14ac:dyDescent="0.25">
      <c r="A902" s="21"/>
      <c r="B902" s="21"/>
      <c r="C902" s="11"/>
      <c r="D902" s="11"/>
      <c r="E902" s="21"/>
      <c r="F902" s="21"/>
      <c r="G902" s="25"/>
      <c r="H902" s="11"/>
      <c r="I902" s="21"/>
      <c r="J902" s="21"/>
      <c r="K902" s="21"/>
      <c r="L902" s="21"/>
      <c r="M902" s="21"/>
      <c r="N902" s="21"/>
    </row>
    <row r="903" spans="1:14" ht="15.75" customHeight="1" x14ac:dyDescent="0.25">
      <c r="A903" s="31" t="s">
        <v>14</v>
      </c>
      <c r="B903" s="31" t="s">
        <v>234</v>
      </c>
      <c r="C903" s="31" t="s">
        <v>16</v>
      </c>
      <c r="D903" s="31" t="s">
        <v>17</v>
      </c>
      <c r="E903" s="31" t="s">
        <v>235</v>
      </c>
      <c r="F903" s="31" t="s">
        <v>236</v>
      </c>
      <c r="G903" s="25"/>
      <c r="H903" s="11"/>
      <c r="I903" s="21"/>
      <c r="J903" s="21"/>
      <c r="K903" s="21"/>
      <c r="L903" s="21"/>
      <c r="M903" s="21"/>
      <c r="N903" s="21"/>
    </row>
    <row r="904" spans="1:14" ht="15.75" customHeight="1" x14ac:dyDescent="0.25">
      <c r="A904" s="7">
        <v>1</v>
      </c>
      <c r="B904" s="120" t="s">
        <v>613</v>
      </c>
      <c r="C904" s="7">
        <v>4</v>
      </c>
      <c r="D904" s="7" t="s">
        <v>363</v>
      </c>
      <c r="E904" s="104">
        <v>2050000</v>
      </c>
      <c r="F904" s="104">
        <f>E904*C904</f>
        <v>8200000</v>
      </c>
      <c r="G904" s="25"/>
      <c r="H904" s="11"/>
      <c r="I904" s="21"/>
      <c r="J904" s="21"/>
      <c r="K904" s="21"/>
      <c r="L904" s="21"/>
      <c r="M904" s="21"/>
      <c r="N904" s="21"/>
    </row>
    <row r="905" spans="1:14" ht="15.75" customHeight="1" x14ac:dyDescent="0.25">
      <c r="A905" s="7"/>
      <c r="B905" s="343" t="s">
        <v>342</v>
      </c>
      <c r="C905" s="344"/>
      <c r="D905" s="344"/>
      <c r="E905" s="334"/>
      <c r="F905" s="104">
        <f>F904</f>
        <v>8200000</v>
      </c>
      <c r="G905" s="25"/>
      <c r="H905" s="11"/>
      <c r="I905" s="21"/>
      <c r="J905" s="21"/>
      <c r="K905" s="21"/>
      <c r="L905" s="21"/>
      <c r="M905" s="21"/>
      <c r="N905" s="21"/>
    </row>
    <row r="906" spans="1:14" ht="15.75" customHeight="1" x14ac:dyDescent="0.25">
      <c r="A906" s="7"/>
      <c r="B906" s="343" t="s">
        <v>343</v>
      </c>
      <c r="C906" s="344"/>
      <c r="D906" s="344"/>
      <c r="E906" s="334"/>
      <c r="F906" s="104">
        <v>902000</v>
      </c>
      <c r="G906" s="25"/>
      <c r="H906" s="11"/>
      <c r="I906" s="21"/>
      <c r="J906" s="21"/>
      <c r="K906" s="21"/>
      <c r="L906" s="21"/>
      <c r="M906" s="21"/>
      <c r="N906" s="21"/>
    </row>
    <row r="907" spans="1:14" ht="15.75" customHeight="1" x14ac:dyDescent="0.25">
      <c r="A907" s="7"/>
      <c r="B907" s="345" t="s">
        <v>344</v>
      </c>
      <c r="C907" s="344"/>
      <c r="D907" s="344"/>
      <c r="E907" s="334"/>
      <c r="F907" s="107">
        <f>SUM(F905:F906)</f>
        <v>9102000</v>
      </c>
      <c r="G907" s="25"/>
      <c r="H907" s="11"/>
      <c r="I907" s="21"/>
      <c r="J907" s="21"/>
      <c r="K907" s="21"/>
      <c r="L907" s="21"/>
      <c r="M907" s="21"/>
      <c r="N907" s="21"/>
    </row>
    <row r="908" spans="1:14" ht="15.75" customHeight="1" x14ac:dyDescent="0.25">
      <c r="A908" s="21"/>
      <c r="B908" s="21"/>
      <c r="C908" s="11"/>
      <c r="D908" s="11"/>
      <c r="E908" s="21"/>
      <c r="F908" s="21"/>
      <c r="G908" s="25"/>
      <c r="H908" s="11"/>
      <c r="I908" s="21"/>
      <c r="J908" s="21"/>
      <c r="K908" s="21"/>
      <c r="L908" s="21"/>
      <c r="M908" s="21"/>
      <c r="N908" s="21"/>
    </row>
    <row r="909" spans="1:14" ht="15.75" customHeight="1" x14ac:dyDescent="0.25">
      <c r="A909" s="31" t="s">
        <v>14</v>
      </c>
      <c r="B909" s="31" t="s">
        <v>234</v>
      </c>
      <c r="C909" s="31" t="s">
        <v>16</v>
      </c>
      <c r="D909" s="31" t="s">
        <v>17</v>
      </c>
      <c r="E909" s="31" t="s">
        <v>235</v>
      </c>
      <c r="F909" s="31" t="s">
        <v>236</v>
      </c>
      <c r="G909" s="25"/>
      <c r="H909" s="11"/>
      <c r="I909" s="21"/>
      <c r="J909" s="21"/>
      <c r="K909" s="21"/>
      <c r="L909" s="21"/>
      <c r="M909" s="21"/>
      <c r="N909" s="21"/>
    </row>
    <row r="910" spans="1:14" ht="15.75" customHeight="1" x14ac:dyDescent="0.25">
      <c r="A910" s="7">
        <v>1</v>
      </c>
      <c r="B910" s="120" t="s">
        <v>614</v>
      </c>
      <c r="C910" s="7">
        <v>7</v>
      </c>
      <c r="D910" s="7" t="s">
        <v>19</v>
      </c>
      <c r="E910" s="104">
        <v>870000</v>
      </c>
      <c r="F910" s="104">
        <f>E910*C910</f>
        <v>6090000</v>
      </c>
      <c r="G910" s="25"/>
      <c r="H910" s="11"/>
      <c r="I910" s="21"/>
      <c r="J910" s="21"/>
      <c r="K910" s="21"/>
      <c r="L910" s="21"/>
      <c r="M910" s="21"/>
      <c r="N910" s="21"/>
    </row>
    <row r="911" spans="1:14" ht="15.75" customHeight="1" x14ac:dyDescent="0.25">
      <c r="A911" s="7"/>
      <c r="B911" s="343" t="s">
        <v>342</v>
      </c>
      <c r="C911" s="344"/>
      <c r="D911" s="344"/>
      <c r="E911" s="334"/>
      <c r="F911" s="104">
        <f>F910</f>
        <v>6090000</v>
      </c>
      <c r="G911" s="25"/>
      <c r="H911" s="11"/>
      <c r="I911" s="21"/>
      <c r="J911" s="21"/>
      <c r="K911" s="21"/>
      <c r="L911" s="21"/>
      <c r="M911" s="21"/>
      <c r="N911" s="21"/>
    </row>
    <row r="912" spans="1:14" ht="15.75" customHeight="1" x14ac:dyDescent="0.25">
      <c r="A912" s="7"/>
      <c r="B912" s="343" t="s">
        <v>343</v>
      </c>
      <c r="C912" s="344"/>
      <c r="D912" s="344"/>
      <c r="E912" s="334"/>
      <c r="F912" s="104">
        <v>669900</v>
      </c>
      <c r="G912" s="25"/>
      <c r="H912" s="11"/>
      <c r="I912" s="21"/>
      <c r="J912" s="21"/>
      <c r="K912" s="21"/>
      <c r="L912" s="21"/>
      <c r="M912" s="21"/>
      <c r="N912" s="21"/>
    </row>
    <row r="913" spans="1:14" ht="15.75" customHeight="1" x14ac:dyDescent="0.25">
      <c r="A913" s="7"/>
      <c r="B913" s="345" t="s">
        <v>344</v>
      </c>
      <c r="C913" s="344"/>
      <c r="D913" s="344"/>
      <c r="E913" s="334"/>
      <c r="F913" s="107">
        <f>SUM(F911:F912)</f>
        <v>6759900</v>
      </c>
      <c r="G913" s="25"/>
      <c r="H913" s="11"/>
      <c r="I913" s="21"/>
      <c r="J913" s="21"/>
      <c r="K913" s="21"/>
      <c r="L913" s="21"/>
      <c r="M913" s="21"/>
      <c r="N913" s="21"/>
    </row>
    <row r="914" spans="1:14" ht="15.75" customHeight="1" x14ac:dyDescent="0.25">
      <c r="A914" s="21"/>
      <c r="B914" s="21"/>
      <c r="C914" s="11"/>
      <c r="D914" s="11"/>
      <c r="E914" s="21"/>
      <c r="F914" s="21"/>
      <c r="G914" s="25"/>
      <c r="H914" s="11"/>
      <c r="I914" s="21"/>
      <c r="J914" s="21"/>
      <c r="K914" s="21"/>
      <c r="L914" s="21"/>
      <c r="M914" s="21"/>
      <c r="N914" s="21"/>
    </row>
    <row r="915" spans="1:14" ht="15.75" customHeight="1" x14ac:dyDescent="0.25">
      <c r="A915" s="31" t="s">
        <v>14</v>
      </c>
      <c r="B915" s="31" t="s">
        <v>15</v>
      </c>
      <c r="C915" s="31" t="s">
        <v>16</v>
      </c>
      <c r="D915" s="31" t="s">
        <v>17</v>
      </c>
      <c r="E915" s="31" t="s">
        <v>235</v>
      </c>
      <c r="F915" s="31" t="s">
        <v>236</v>
      </c>
      <c r="G915" s="25"/>
      <c r="H915" s="11"/>
      <c r="I915" s="21"/>
      <c r="J915" s="21"/>
      <c r="K915" s="21"/>
      <c r="L915" s="21"/>
      <c r="M915" s="21"/>
      <c r="N915" s="21"/>
    </row>
    <row r="916" spans="1:14" ht="15.75" customHeight="1" x14ac:dyDescent="0.25">
      <c r="A916" s="7">
        <v>1</v>
      </c>
      <c r="B916" s="120" t="s">
        <v>615</v>
      </c>
      <c r="C916" s="7">
        <v>2</v>
      </c>
      <c r="D916" s="7" t="s">
        <v>363</v>
      </c>
      <c r="E916" s="104">
        <v>136500</v>
      </c>
      <c r="F916" s="104">
        <f>E916*C916</f>
        <v>273000</v>
      </c>
      <c r="G916" s="25"/>
      <c r="H916" s="11"/>
      <c r="I916" s="21"/>
      <c r="J916" s="21"/>
      <c r="K916" s="21"/>
      <c r="L916" s="21"/>
      <c r="M916" s="21"/>
      <c r="N916" s="21"/>
    </row>
    <row r="917" spans="1:14" ht="15.75" customHeight="1" x14ac:dyDescent="0.25">
      <c r="A917" s="7">
        <v>2</v>
      </c>
      <c r="B917" s="124" t="s">
        <v>616</v>
      </c>
      <c r="C917" s="7">
        <v>2</v>
      </c>
      <c r="D917" s="7" t="s">
        <v>363</v>
      </c>
      <c r="E917" s="104">
        <v>65000</v>
      </c>
      <c r="F917" s="104">
        <f>E917*C917</f>
        <v>130000</v>
      </c>
      <c r="G917" s="25"/>
      <c r="H917" s="11"/>
      <c r="I917" s="21"/>
      <c r="J917" s="21"/>
      <c r="K917" s="21"/>
      <c r="L917" s="21"/>
      <c r="M917" s="21"/>
      <c r="N917" s="21"/>
    </row>
    <row r="918" spans="1:14" ht="15.75" customHeight="1" x14ac:dyDescent="0.25">
      <c r="A918" s="7">
        <v>3</v>
      </c>
      <c r="B918" s="38" t="s">
        <v>617</v>
      </c>
      <c r="C918" s="7">
        <v>2</v>
      </c>
      <c r="D918" s="7" t="s">
        <v>363</v>
      </c>
      <c r="E918" s="104">
        <v>91000</v>
      </c>
      <c r="F918" s="104">
        <f>E918*C918</f>
        <v>182000</v>
      </c>
      <c r="G918" s="25"/>
      <c r="H918" s="11"/>
      <c r="I918" s="21"/>
      <c r="J918" s="21"/>
      <c r="K918" s="21"/>
      <c r="L918" s="21"/>
      <c r="M918" s="21"/>
      <c r="N918" s="21"/>
    </row>
    <row r="919" spans="1:14" ht="15.75" customHeight="1" x14ac:dyDescent="0.25">
      <c r="A919" s="7">
        <v>4</v>
      </c>
      <c r="B919" s="38" t="s">
        <v>618</v>
      </c>
      <c r="C919" s="7">
        <v>2</v>
      </c>
      <c r="D919" s="7" t="s">
        <v>363</v>
      </c>
      <c r="E919" s="104">
        <v>110500</v>
      </c>
      <c r="F919" s="104">
        <f>E919*C919</f>
        <v>221000</v>
      </c>
      <c r="G919" s="25"/>
      <c r="H919" s="11"/>
      <c r="I919" s="21"/>
      <c r="J919" s="21"/>
      <c r="K919" s="21"/>
      <c r="L919" s="21"/>
      <c r="M919" s="21"/>
      <c r="N919" s="21"/>
    </row>
    <row r="920" spans="1:14" ht="15.75" customHeight="1" x14ac:dyDescent="0.25">
      <c r="A920" s="7"/>
      <c r="B920" s="105" t="s">
        <v>342</v>
      </c>
      <c r="C920" s="125"/>
      <c r="D920" s="125"/>
      <c r="E920" s="126"/>
      <c r="F920" s="104">
        <f>SUM(F916:F919)</f>
        <v>806000</v>
      </c>
      <c r="G920" s="25"/>
      <c r="H920" s="11"/>
      <c r="I920" s="21"/>
      <c r="J920" s="21"/>
      <c r="K920" s="21"/>
      <c r="L920" s="21"/>
      <c r="M920" s="21"/>
      <c r="N920" s="21"/>
    </row>
    <row r="921" spans="1:14" ht="15.75" customHeight="1" x14ac:dyDescent="0.25">
      <c r="A921" s="7"/>
      <c r="B921" s="343" t="s">
        <v>343</v>
      </c>
      <c r="C921" s="344"/>
      <c r="D921" s="344"/>
      <c r="E921" s="334"/>
      <c r="F921" s="104">
        <v>88660</v>
      </c>
      <c r="G921" s="25"/>
      <c r="H921" s="11"/>
      <c r="I921" s="21"/>
      <c r="J921" s="21"/>
      <c r="K921" s="21"/>
      <c r="L921" s="21"/>
      <c r="M921" s="21"/>
      <c r="N921" s="21"/>
    </row>
    <row r="922" spans="1:14" ht="15.75" customHeight="1" x14ac:dyDescent="0.25">
      <c r="A922" s="7"/>
      <c r="B922" s="345" t="s">
        <v>344</v>
      </c>
      <c r="C922" s="344"/>
      <c r="D922" s="344"/>
      <c r="E922" s="334"/>
      <c r="F922" s="107">
        <f>SUM(F920:F921)</f>
        <v>894660</v>
      </c>
      <c r="G922" s="25"/>
      <c r="H922" s="11"/>
      <c r="I922" s="21"/>
      <c r="J922" s="21"/>
      <c r="K922" s="21"/>
      <c r="L922" s="21"/>
      <c r="M922" s="21"/>
      <c r="N922" s="21"/>
    </row>
    <row r="923" spans="1:14" ht="15.75" customHeight="1" x14ac:dyDescent="0.25">
      <c r="A923" s="21"/>
      <c r="B923" s="21"/>
      <c r="C923" s="11"/>
      <c r="D923" s="11"/>
      <c r="E923" s="21"/>
      <c r="F923" s="21"/>
      <c r="G923" s="25"/>
      <c r="H923" s="11"/>
      <c r="I923" s="21"/>
      <c r="J923" s="21"/>
      <c r="K923" s="21"/>
      <c r="L923" s="21"/>
      <c r="M923" s="21"/>
      <c r="N923" s="21"/>
    </row>
    <row r="924" spans="1:14" ht="15.75" customHeight="1" x14ac:dyDescent="0.25">
      <c r="A924" s="31" t="s">
        <v>351</v>
      </c>
      <c r="B924" s="31" t="s">
        <v>234</v>
      </c>
      <c r="C924" s="31" t="s">
        <v>16</v>
      </c>
      <c r="D924" s="31" t="s">
        <v>17</v>
      </c>
      <c r="E924" s="31" t="s">
        <v>235</v>
      </c>
      <c r="F924" s="31" t="s">
        <v>236</v>
      </c>
      <c r="G924" s="25"/>
      <c r="H924" s="11"/>
      <c r="I924" s="21"/>
      <c r="J924" s="21"/>
      <c r="K924" s="21"/>
      <c r="L924" s="21"/>
      <c r="M924" s="21"/>
      <c r="N924" s="21"/>
    </row>
    <row r="925" spans="1:14" ht="15.75" customHeight="1" x14ac:dyDescent="0.25">
      <c r="A925" s="7">
        <v>1</v>
      </c>
      <c r="B925" s="41" t="s">
        <v>619</v>
      </c>
      <c r="C925" s="7">
        <v>1</v>
      </c>
      <c r="D925" s="7" t="s">
        <v>363</v>
      </c>
      <c r="E925" s="104">
        <v>310000</v>
      </c>
      <c r="F925" s="104">
        <f>E925*C925</f>
        <v>310000</v>
      </c>
      <c r="G925" s="25"/>
      <c r="H925" s="11"/>
      <c r="I925" s="21"/>
      <c r="J925" s="21"/>
      <c r="K925" s="21"/>
      <c r="L925" s="21"/>
      <c r="M925" s="21"/>
      <c r="N925" s="21"/>
    </row>
    <row r="926" spans="1:14" ht="15.75" customHeight="1" x14ac:dyDescent="0.25">
      <c r="A926" s="7">
        <v>2</v>
      </c>
      <c r="B926" s="41" t="s">
        <v>620</v>
      </c>
      <c r="C926" s="7">
        <v>1</v>
      </c>
      <c r="D926" s="7" t="s">
        <v>363</v>
      </c>
      <c r="E926" s="104">
        <v>312000</v>
      </c>
      <c r="F926" s="104">
        <f>E926*C926</f>
        <v>312000</v>
      </c>
      <c r="G926" s="25"/>
      <c r="H926" s="11"/>
      <c r="I926" s="21"/>
      <c r="J926" s="21"/>
      <c r="K926" s="21"/>
      <c r="L926" s="21"/>
      <c r="M926" s="21"/>
      <c r="N926" s="21"/>
    </row>
    <row r="927" spans="1:14" ht="15.75" customHeight="1" x14ac:dyDescent="0.25">
      <c r="A927" s="7"/>
      <c r="B927" s="343" t="s">
        <v>342</v>
      </c>
      <c r="C927" s="344"/>
      <c r="D927" s="344"/>
      <c r="E927" s="334"/>
      <c r="F927" s="104">
        <f>SUM(F924:F926)</f>
        <v>622000</v>
      </c>
      <c r="G927" s="25"/>
      <c r="H927" s="11"/>
      <c r="I927" s="21"/>
      <c r="J927" s="21"/>
      <c r="K927" s="21"/>
      <c r="L927" s="21"/>
      <c r="M927" s="21"/>
      <c r="N927" s="21"/>
    </row>
    <row r="928" spans="1:14" ht="15.75" customHeight="1" x14ac:dyDescent="0.25">
      <c r="A928" s="7"/>
      <c r="B928" s="343" t="s">
        <v>343</v>
      </c>
      <c r="C928" s="344"/>
      <c r="D928" s="344"/>
      <c r="E928" s="334"/>
      <c r="F928" s="104">
        <v>68420</v>
      </c>
      <c r="G928" s="25"/>
      <c r="H928" s="11"/>
      <c r="I928" s="21"/>
      <c r="J928" s="21"/>
      <c r="K928" s="21"/>
      <c r="L928" s="21"/>
      <c r="M928" s="21"/>
      <c r="N928" s="21"/>
    </row>
    <row r="929" spans="1:14" ht="15.75" customHeight="1" x14ac:dyDescent="0.25">
      <c r="A929" s="7"/>
      <c r="B929" s="345" t="s">
        <v>344</v>
      </c>
      <c r="C929" s="344"/>
      <c r="D929" s="344"/>
      <c r="E929" s="334"/>
      <c r="F929" s="107">
        <f>SUM(F927:F928)</f>
        <v>690420</v>
      </c>
      <c r="G929" s="25"/>
      <c r="H929" s="11"/>
      <c r="I929" s="21"/>
      <c r="J929" s="21"/>
      <c r="K929" s="21"/>
      <c r="L929" s="21"/>
      <c r="M929" s="21"/>
      <c r="N929" s="21"/>
    </row>
    <row r="930" spans="1:14" ht="15.75" customHeight="1" x14ac:dyDescent="0.25">
      <c r="A930" s="21"/>
      <c r="B930" s="21"/>
      <c r="C930" s="11"/>
      <c r="D930" s="11"/>
      <c r="E930" s="21"/>
      <c r="F930" s="21"/>
      <c r="G930" s="25"/>
      <c r="H930" s="11"/>
      <c r="I930" s="21"/>
      <c r="J930" s="21"/>
      <c r="K930" s="21"/>
      <c r="L930" s="21"/>
      <c r="M930" s="21"/>
      <c r="N930" s="21"/>
    </row>
    <row r="931" spans="1:14" ht="15.75" customHeight="1" x14ac:dyDescent="0.25">
      <c r="A931" s="31" t="s">
        <v>14</v>
      </c>
      <c r="B931" s="31" t="s">
        <v>234</v>
      </c>
      <c r="C931" s="31" t="s">
        <v>16</v>
      </c>
      <c r="D931" s="31" t="s">
        <v>17</v>
      </c>
      <c r="E931" s="31" t="s">
        <v>235</v>
      </c>
      <c r="F931" s="31" t="s">
        <v>236</v>
      </c>
      <c r="G931" s="25"/>
      <c r="H931" s="11"/>
      <c r="I931" s="21"/>
      <c r="J931" s="21"/>
      <c r="K931" s="21"/>
      <c r="L931" s="21"/>
      <c r="M931" s="21"/>
      <c r="N931" s="21"/>
    </row>
    <row r="932" spans="1:14" ht="15.75" customHeight="1" x14ac:dyDescent="0.25">
      <c r="A932" s="7">
        <v>1</v>
      </c>
      <c r="B932" s="120" t="s">
        <v>621</v>
      </c>
      <c r="C932" s="7">
        <v>1</v>
      </c>
      <c r="D932" s="7" t="s">
        <v>539</v>
      </c>
      <c r="E932" s="104">
        <v>175000</v>
      </c>
      <c r="F932" s="104">
        <f>E932*C932</f>
        <v>175000</v>
      </c>
      <c r="G932" s="25"/>
      <c r="H932" s="11"/>
      <c r="I932" s="21"/>
      <c r="J932" s="21"/>
      <c r="K932" s="21"/>
      <c r="L932" s="21"/>
      <c r="M932" s="21"/>
      <c r="N932" s="21"/>
    </row>
    <row r="933" spans="1:14" ht="15.75" customHeight="1" x14ac:dyDescent="0.25">
      <c r="A933" s="7"/>
      <c r="B933" s="343" t="s">
        <v>342</v>
      </c>
      <c r="C933" s="344"/>
      <c r="D933" s="344"/>
      <c r="E933" s="334"/>
      <c r="F933" s="104">
        <f>F932</f>
        <v>175000</v>
      </c>
      <c r="G933" s="25"/>
      <c r="H933" s="11"/>
      <c r="I933" s="21"/>
      <c r="J933" s="21"/>
      <c r="K933" s="21"/>
      <c r="L933" s="21"/>
      <c r="M933" s="21"/>
      <c r="N933" s="21"/>
    </row>
    <row r="934" spans="1:14" ht="15.75" customHeight="1" x14ac:dyDescent="0.25">
      <c r="A934" s="7"/>
      <c r="B934" s="343" t="s">
        <v>343</v>
      </c>
      <c r="C934" s="344"/>
      <c r="D934" s="344"/>
      <c r="E934" s="334"/>
      <c r="F934" s="104">
        <v>19250</v>
      </c>
      <c r="G934" s="25"/>
      <c r="H934" s="11"/>
      <c r="I934" s="21"/>
      <c r="J934" s="21"/>
      <c r="K934" s="21"/>
      <c r="L934" s="21"/>
      <c r="M934" s="21"/>
      <c r="N934" s="21"/>
    </row>
    <row r="935" spans="1:14" ht="15.75" customHeight="1" x14ac:dyDescent="0.25">
      <c r="A935" s="7"/>
      <c r="B935" s="345" t="s">
        <v>344</v>
      </c>
      <c r="C935" s="344"/>
      <c r="D935" s="344"/>
      <c r="E935" s="334"/>
      <c r="F935" s="107">
        <f>SUM(F933:F934)</f>
        <v>194250</v>
      </c>
      <c r="G935" s="25"/>
      <c r="H935" s="11"/>
      <c r="I935" s="21"/>
      <c r="J935" s="21"/>
      <c r="K935" s="21"/>
      <c r="L935" s="21"/>
      <c r="M935" s="21"/>
      <c r="N935" s="21"/>
    </row>
    <row r="936" spans="1:14" ht="15.75" customHeight="1" x14ac:dyDescent="0.25">
      <c r="A936" s="21"/>
      <c r="B936" s="21"/>
      <c r="C936" s="11"/>
      <c r="D936" s="11"/>
      <c r="E936" s="21"/>
      <c r="F936" s="21"/>
      <c r="G936" s="25"/>
      <c r="H936" s="11"/>
      <c r="I936" s="21"/>
      <c r="J936" s="21"/>
      <c r="K936" s="21"/>
      <c r="L936" s="21"/>
      <c r="M936" s="21"/>
      <c r="N936" s="21"/>
    </row>
    <row r="937" spans="1:14" ht="15.75" customHeight="1" x14ac:dyDescent="0.25">
      <c r="A937" s="31" t="s">
        <v>14</v>
      </c>
      <c r="B937" s="31" t="s">
        <v>234</v>
      </c>
      <c r="C937" s="31" t="s">
        <v>16</v>
      </c>
      <c r="D937" s="31" t="s">
        <v>17</v>
      </c>
      <c r="E937" s="31" t="s">
        <v>235</v>
      </c>
      <c r="F937" s="31" t="s">
        <v>236</v>
      </c>
      <c r="G937" s="25"/>
      <c r="H937" s="11"/>
      <c r="I937" s="21"/>
      <c r="J937" s="21"/>
      <c r="K937" s="21"/>
      <c r="L937" s="21"/>
      <c r="M937" s="21"/>
      <c r="N937" s="21"/>
    </row>
    <row r="938" spans="1:14" ht="15.75" customHeight="1" x14ac:dyDescent="0.25">
      <c r="A938" s="7">
        <v>1</v>
      </c>
      <c r="B938" s="120" t="s">
        <v>622</v>
      </c>
      <c r="C938" s="7">
        <v>1</v>
      </c>
      <c r="D938" s="7" t="s">
        <v>363</v>
      </c>
      <c r="E938" s="104">
        <v>817500</v>
      </c>
      <c r="F938" s="104">
        <f>E938*C938</f>
        <v>817500</v>
      </c>
      <c r="G938" s="25"/>
      <c r="H938" s="11"/>
      <c r="I938" s="21"/>
      <c r="J938" s="21"/>
      <c r="K938" s="21"/>
      <c r="L938" s="21"/>
      <c r="M938" s="21"/>
      <c r="N938" s="21"/>
    </row>
    <row r="939" spans="1:14" ht="15.75" customHeight="1" x14ac:dyDescent="0.25">
      <c r="A939" s="7"/>
      <c r="B939" s="343" t="s">
        <v>342</v>
      </c>
      <c r="C939" s="344"/>
      <c r="D939" s="344"/>
      <c r="E939" s="334"/>
      <c r="F939" s="104">
        <f>F938</f>
        <v>817500</v>
      </c>
      <c r="G939" s="25"/>
      <c r="H939" s="11"/>
      <c r="I939" s="21"/>
      <c r="J939" s="21"/>
      <c r="K939" s="21"/>
      <c r="L939" s="21"/>
      <c r="M939" s="21"/>
      <c r="N939" s="21"/>
    </row>
    <row r="940" spans="1:14" ht="15.75" customHeight="1" x14ac:dyDescent="0.25">
      <c r="A940" s="7"/>
      <c r="B940" s="343" t="s">
        <v>343</v>
      </c>
      <c r="C940" s="344"/>
      <c r="D940" s="344"/>
      <c r="E940" s="334"/>
      <c r="F940" s="104">
        <v>89925</v>
      </c>
      <c r="G940" s="25"/>
      <c r="H940" s="11"/>
      <c r="I940" s="21"/>
      <c r="J940" s="21"/>
      <c r="K940" s="21"/>
      <c r="L940" s="21"/>
      <c r="M940" s="21"/>
      <c r="N940" s="21"/>
    </row>
    <row r="941" spans="1:14" ht="15.75" customHeight="1" x14ac:dyDescent="0.25">
      <c r="A941" s="7"/>
      <c r="B941" s="345" t="s">
        <v>344</v>
      </c>
      <c r="C941" s="344"/>
      <c r="D941" s="344"/>
      <c r="E941" s="334"/>
      <c r="F941" s="107">
        <f>SUM(F939:F940)</f>
        <v>907425</v>
      </c>
      <c r="G941" s="25"/>
      <c r="H941" s="11"/>
      <c r="I941" s="21"/>
      <c r="J941" s="21"/>
      <c r="K941" s="21"/>
      <c r="L941" s="21"/>
      <c r="M941" s="21"/>
      <c r="N941" s="21"/>
    </row>
    <row r="942" spans="1:14" ht="15.75" customHeight="1" x14ac:dyDescent="0.25">
      <c r="A942" s="21"/>
      <c r="B942" s="21"/>
      <c r="C942" s="11"/>
      <c r="D942" s="11"/>
      <c r="E942" s="21"/>
      <c r="F942" s="21"/>
      <c r="G942" s="25"/>
      <c r="H942" s="11"/>
      <c r="I942" s="21"/>
      <c r="J942" s="21"/>
      <c r="K942" s="21"/>
      <c r="L942" s="21"/>
      <c r="M942" s="21"/>
      <c r="N942" s="21"/>
    </row>
    <row r="943" spans="1:14" ht="15.75" customHeight="1" x14ac:dyDescent="0.25">
      <c r="A943" s="31" t="s">
        <v>14</v>
      </c>
      <c r="B943" s="31" t="s">
        <v>234</v>
      </c>
      <c r="C943" s="31" t="s">
        <v>16</v>
      </c>
      <c r="D943" s="31" t="s">
        <v>17</v>
      </c>
      <c r="E943" s="31" t="s">
        <v>235</v>
      </c>
      <c r="F943" s="31" t="s">
        <v>236</v>
      </c>
      <c r="G943" s="25"/>
      <c r="H943" s="11"/>
      <c r="I943" s="21"/>
      <c r="J943" s="21"/>
      <c r="K943" s="21"/>
      <c r="L943" s="21"/>
      <c r="M943" s="21"/>
      <c r="N943" s="21"/>
    </row>
    <row r="944" spans="1:14" ht="15.75" customHeight="1" x14ac:dyDescent="0.25">
      <c r="A944" s="7">
        <v>1</v>
      </c>
      <c r="B944" s="120" t="s">
        <v>623</v>
      </c>
      <c r="C944" s="7">
        <v>4</v>
      </c>
      <c r="D944" s="7" t="s">
        <v>363</v>
      </c>
      <c r="E944" s="104">
        <v>72500</v>
      </c>
      <c r="F944" s="104">
        <f>E944*C944</f>
        <v>290000</v>
      </c>
      <c r="G944" s="25"/>
      <c r="H944" s="11"/>
      <c r="I944" s="21"/>
      <c r="J944" s="21"/>
      <c r="K944" s="21"/>
      <c r="L944" s="21"/>
      <c r="M944" s="21"/>
      <c r="N944" s="21"/>
    </row>
    <row r="945" spans="1:14" ht="15.75" customHeight="1" x14ac:dyDescent="0.25">
      <c r="A945" s="7"/>
      <c r="B945" s="343" t="s">
        <v>342</v>
      </c>
      <c r="C945" s="344"/>
      <c r="D945" s="344"/>
      <c r="E945" s="334"/>
      <c r="F945" s="104">
        <f>F944</f>
        <v>290000</v>
      </c>
      <c r="G945" s="25"/>
      <c r="H945" s="11"/>
      <c r="I945" s="21"/>
      <c r="J945" s="21"/>
      <c r="K945" s="21"/>
      <c r="L945" s="21"/>
      <c r="M945" s="21"/>
      <c r="N945" s="21"/>
    </row>
    <row r="946" spans="1:14" ht="15.75" customHeight="1" x14ac:dyDescent="0.25">
      <c r="A946" s="7"/>
      <c r="B946" s="343" t="s">
        <v>343</v>
      </c>
      <c r="C946" s="344"/>
      <c r="D946" s="344"/>
      <c r="E946" s="334"/>
      <c r="F946" s="104">
        <v>31900</v>
      </c>
      <c r="G946" s="25"/>
      <c r="H946" s="11"/>
      <c r="I946" s="21"/>
      <c r="J946" s="21"/>
      <c r="K946" s="21"/>
      <c r="L946" s="21"/>
      <c r="M946" s="21"/>
      <c r="N946" s="21"/>
    </row>
    <row r="947" spans="1:14" ht="15.75" customHeight="1" x14ac:dyDescent="0.25">
      <c r="A947" s="7"/>
      <c r="B947" s="345" t="s">
        <v>344</v>
      </c>
      <c r="C947" s="344"/>
      <c r="D947" s="344"/>
      <c r="E947" s="334"/>
      <c r="F947" s="107">
        <f>SUM(F945:F946)</f>
        <v>321900</v>
      </c>
      <c r="G947" s="25"/>
      <c r="H947" s="11"/>
      <c r="I947" s="21"/>
      <c r="J947" s="21"/>
      <c r="K947" s="21"/>
      <c r="L947" s="21"/>
      <c r="M947" s="21"/>
      <c r="N947" s="21"/>
    </row>
    <row r="948" spans="1:14" ht="15.75" customHeight="1" x14ac:dyDescent="0.25">
      <c r="A948" s="21"/>
      <c r="B948" s="21"/>
      <c r="C948" s="11"/>
      <c r="D948" s="11"/>
      <c r="E948" s="21"/>
      <c r="F948" s="21"/>
      <c r="G948" s="25"/>
      <c r="H948" s="11"/>
      <c r="I948" s="21"/>
      <c r="J948" s="21"/>
      <c r="K948" s="21"/>
      <c r="L948" s="21"/>
      <c r="M948" s="21"/>
      <c r="N948" s="21"/>
    </row>
    <row r="949" spans="1:14" ht="15.75" customHeight="1" x14ac:dyDescent="0.25">
      <c r="A949" s="31" t="s">
        <v>14</v>
      </c>
      <c r="B949" s="31" t="s">
        <v>234</v>
      </c>
      <c r="C949" s="31" t="s">
        <v>16</v>
      </c>
      <c r="D949" s="31" t="s">
        <v>17</v>
      </c>
      <c r="E949" s="31" t="s">
        <v>235</v>
      </c>
      <c r="F949" s="31" t="s">
        <v>236</v>
      </c>
      <c r="G949" s="25"/>
      <c r="H949" s="11"/>
      <c r="I949" s="21"/>
      <c r="J949" s="21"/>
      <c r="K949" s="21"/>
      <c r="L949" s="21"/>
      <c r="M949" s="21"/>
      <c r="N949" s="21"/>
    </row>
    <row r="950" spans="1:14" ht="15.75" customHeight="1" x14ac:dyDescent="0.25">
      <c r="A950" s="7">
        <v>1</v>
      </c>
      <c r="B950" s="120" t="s">
        <v>624</v>
      </c>
      <c r="C950" s="7">
        <v>20</v>
      </c>
      <c r="D950" s="7" t="s">
        <v>363</v>
      </c>
      <c r="E950" s="104">
        <v>173800</v>
      </c>
      <c r="F950" s="104">
        <f>E950*C950</f>
        <v>3476000</v>
      </c>
      <c r="G950" s="25"/>
      <c r="H950" s="11"/>
      <c r="I950" s="21"/>
      <c r="J950" s="21"/>
      <c r="K950" s="21"/>
      <c r="L950" s="21"/>
      <c r="M950" s="21"/>
      <c r="N950" s="21"/>
    </row>
    <row r="951" spans="1:14" ht="15.75" customHeight="1" x14ac:dyDescent="0.25">
      <c r="A951" s="7"/>
      <c r="B951" s="343" t="s">
        <v>342</v>
      </c>
      <c r="C951" s="344"/>
      <c r="D951" s="344"/>
      <c r="E951" s="334"/>
      <c r="F951" s="104">
        <f>F950</f>
        <v>3476000</v>
      </c>
      <c r="G951" s="25"/>
      <c r="H951" s="11"/>
      <c r="I951" s="21"/>
      <c r="J951" s="21"/>
      <c r="K951" s="21"/>
      <c r="L951" s="21"/>
      <c r="M951" s="21"/>
      <c r="N951" s="21"/>
    </row>
    <row r="952" spans="1:14" ht="15.75" customHeight="1" x14ac:dyDescent="0.25">
      <c r="A952" s="7"/>
      <c r="B952" s="343" t="s">
        <v>343</v>
      </c>
      <c r="C952" s="344"/>
      <c r="D952" s="344"/>
      <c r="E952" s="334"/>
      <c r="F952" s="104">
        <v>382360</v>
      </c>
      <c r="G952" s="25"/>
      <c r="H952" s="11"/>
      <c r="I952" s="21"/>
      <c r="J952" s="21"/>
      <c r="K952" s="21"/>
      <c r="L952" s="21"/>
      <c r="M952" s="21"/>
      <c r="N952" s="21"/>
    </row>
    <row r="953" spans="1:14" ht="15.75" customHeight="1" x14ac:dyDescent="0.25">
      <c r="A953" s="7"/>
      <c r="B953" s="345" t="s">
        <v>344</v>
      </c>
      <c r="C953" s="344"/>
      <c r="D953" s="344"/>
      <c r="E953" s="334"/>
      <c r="F953" s="107">
        <f>SUM(F951:F952)</f>
        <v>3858360</v>
      </c>
      <c r="G953" s="25"/>
      <c r="H953" s="11"/>
      <c r="I953" s="21"/>
      <c r="J953" s="21"/>
      <c r="K953" s="21"/>
      <c r="L953" s="21"/>
      <c r="M953" s="21"/>
      <c r="N953" s="21"/>
    </row>
    <row r="954" spans="1:14" ht="15.75" customHeight="1" x14ac:dyDescent="0.25">
      <c r="A954" s="21"/>
      <c r="B954" s="21"/>
      <c r="C954" s="11"/>
      <c r="D954" s="11"/>
      <c r="E954" s="21"/>
      <c r="F954" s="21"/>
      <c r="G954" s="25"/>
      <c r="H954" s="11"/>
      <c r="I954" s="21"/>
      <c r="J954" s="21"/>
      <c r="K954" s="21"/>
      <c r="L954" s="21"/>
      <c r="M954" s="21"/>
      <c r="N954" s="21"/>
    </row>
    <row r="955" spans="1:14" ht="15.75" customHeight="1" x14ac:dyDescent="0.25">
      <c r="A955" s="31" t="s">
        <v>351</v>
      </c>
      <c r="B955" s="31" t="s">
        <v>234</v>
      </c>
      <c r="C955" s="31" t="s">
        <v>16</v>
      </c>
      <c r="D955" s="31" t="s">
        <v>17</v>
      </c>
      <c r="E955" s="31" t="s">
        <v>235</v>
      </c>
      <c r="F955" s="31" t="s">
        <v>236</v>
      </c>
      <c r="G955" s="25"/>
      <c r="H955" s="11"/>
      <c r="I955" s="21"/>
      <c r="J955" s="21"/>
      <c r="K955" s="21"/>
      <c r="L955" s="21"/>
      <c r="M955" s="21"/>
      <c r="N955" s="21"/>
    </row>
    <row r="956" spans="1:14" ht="15.75" customHeight="1" x14ac:dyDescent="0.25">
      <c r="A956" s="7">
        <v>1</v>
      </c>
      <c r="B956" s="41" t="s">
        <v>625</v>
      </c>
      <c r="C956" s="7">
        <v>20</v>
      </c>
      <c r="D956" s="7" t="s">
        <v>539</v>
      </c>
      <c r="E956" s="104">
        <v>40000</v>
      </c>
      <c r="F956" s="104">
        <f>E956*C956</f>
        <v>800000</v>
      </c>
      <c r="G956" s="25"/>
      <c r="H956" s="11"/>
      <c r="I956" s="21"/>
      <c r="J956" s="21"/>
      <c r="K956" s="21"/>
      <c r="L956" s="21"/>
      <c r="M956" s="21"/>
      <c r="N956" s="21"/>
    </row>
    <row r="957" spans="1:14" ht="15.75" customHeight="1" x14ac:dyDescent="0.25">
      <c r="A957" s="7">
        <v>2</v>
      </c>
      <c r="B957" s="41" t="s">
        <v>579</v>
      </c>
      <c r="C957" s="7">
        <v>20</v>
      </c>
      <c r="D957" s="7" t="s">
        <v>539</v>
      </c>
      <c r="E957" s="104">
        <v>123600</v>
      </c>
      <c r="F957" s="104">
        <f>E957*C957</f>
        <v>2472000</v>
      </c>
      <c r="G957" s="25"/>
      <c r="H957" s="11"/>
      <c r="I957" s="21"/>
      <c r="J957" s="21"/>
      <c r="K957" s="21"/>
      <c r="L957" s="21"/>
      <c r="M957" s="21"/>
      <c r="N957" s="21"/>
    </row>
    <row r="958" spans="1:14" ht="15.75" customHeight="1" x14ac:dyDescent="0.25">
      <c r="A958" s="7"/>
      <c r="B958" s="343" t="s">
        <v>342</v>
      </c>
      <c r="C958" s="344"/>
      <c r="D958" s="344"/>
      <c r="E958" s="334"/>
      <c r="F958" s="104">
        <f>SUM(F955:F957)</f>
        <v>3272000</v>
      </c>
      <c r="G958" s="25"/>
      <c r="H958" s="11"/>
      <c r="I958" s="21"/>
      <c r="J958" s="21"/>
      <c r="K958" s="21"/>
      <c r="L958" s="21"/>
      <c r="M958" s="21"/>
      <c r="N958" s="21"/>
    </row>
    <row r="959" spans="1:14" ht="15.75" customHeight="1" x14ac:dyDescent="0.25">
      <c r="A959" s="7"/>
      <c r="B959" s="343" t="s">
        <v>343</v>
      </c>
      <c r="C959" s="344"/>
      <c r="D959" s="344"/>
      <c r="E959" s="334"/>
      <c r="F959" s="104">
        <v>359920</v>
      </c>
      <c r="G959" s="25"/>
      <c r="H959" s="11"/>
      <c r="I959" s="21"/>
      <c r="J959" s="21"/>
      <c r="K959" s="21"/>
      <c r="L959" s="21"/>
      <c r="M959" s="21"/>
      <c r="N959" s="21"/>
    </row>
    <row r="960" spans="1:14" ht="15.75" customHeight="1" x14ac:dyDescent="0.25">
      <c r="A960" s="7"/>
      <c r="B960" s="345" t="s">
        <v>344</v>
      </c>
      <c r="C960" s="344"/>
      <c r="D960" s="344"/>
      <c r="E960" s="334"/>
      <c r="F960" s="107">
        <f>SUM(F958:F959)</f>
        <v>3631920</v>
      </c>
      <c r="G960" s="25"/>
      <c r="H960" s="11"/>
      <c r="I960" s="21"/>
      <c r="J960" s="21"/>
      <c r="K960" s="21"/>
      <c r="L960" s="21"/>
      <c r="M960" s="21"/>
      <c r="N960" s="21"/>
    </row>
    <row r="961" spans="1:14" ht="15.75" customHeight="1" x14ac:dyDescent="0.25">
      <c r="A961" s="21"/>
      <c r="B961" s="21"/>
      <c r="C961" s="11"/>
      <c r="D961" s="11"/>
      <c r="E961" s="21"/>
      <c r="F961" s="21"/>
      <c r="G961" s="25"/>
      <c r="H961" s="11"/>
      <c r="I961" s="21"/>
      <c r="J961" s="21"/>
      <c r="K961" s="21"/>
      <c r="L961" s="21"/>
      <c r="M961" s="21"/>
      <c r="N961" s="21"/>
    </row>
    <row r="962" spans="1:14" ht="15.75" customHeight="1" x14ac:dyDescent="0.25">
      <c r="A962" s="31" t="s">
        <v>14</v>
      </c>
      <c r="B962" s="31" t="s">
        <v>234</v>
      </c>
      <c r="C962" s="31" t="s">
        <v>16</v>
      </c>
      <c r="D962" s="31" t="s">
        <v>17</v>
      </c>
      <c r="E962" s="31" t="s">
        <v>235</v>
      </c>
      <c r="F962" s="31" t="s">
        <v>236</v>
      </c>
      <c r="G962" s="25"/>
      <c r="H962" s="11"/>
      <c r="I962" s="21"/>
      <c r="J962" s="21"/>
      <c r="K962" s="21"/>
      <c r="L962" s="21"/>
      <c r="M962" s="21"/>
      <c r="N962" s="21"/>
    </row>
    <row r="963" spans="1:14" ht="15.75" customHeight="1" x14ac:dyDescent="0.25">
      <c r="A963" s="7">
        <v>1</v>
      </c>
      <c r="B963" s="120" t="s">
        <v>626</v>
      </c>
      <c r="C963" s="7">
        <v>50</v>
      </c>
      <c r="D963" s="7" t="s">
        <v>363</v>
      </c>
      <c r="E963" s="104">
        <v>35000</v>
      </c>
      <c r="F963" s="104">
        <f>E963*C963</f>
        <v>1750000</v>
      </c>
      <c r="G963" s="25"/>
      <c r="H963" s="11"/>
      <c r="I963" s="21"/>
      <c r="J963" s="21"/>
      <c r="K963" s="21"/>
      <c r="L963" s="21"/>
      <c r="M963" s="21"/>
      <c r="N963" s="21"/>
    </row>
    <row r="964" spans="1:14" ht="15.75" customHeight="1" x14ac:dyDescent="0.25">
      <c r="A964" s="7"/>
      <c r="B964" s="343" t="s">
        <v>342</v>
      </c>
      <c r="C964" s="344"/>
      <c r="D964" s="344"/>
      <c r="E964" s="334"/>
      <c r="F964" s="104">
        <f>F963</f>
        <v>1750000</v>
      </c>
      <c r="G964" s="25"/>
      <c r="H964" s="11"/>
      <c r="I964" s="21"/>
      <c r="J964" s="21"/>
      <c r="K964" s="21"/>
      <c r="L964" s="21"/>
      <c r="M964" s="21"/>
      <c r="N964" s="21"/>
    </row>
    <row r="965" spans="1:14" ht="15.75" customHeight="1" x14ac:dyDescent="0.25">
      <c r="A965" s="7"/>
      <c r="B965" s="343" t="s">
        <v>343</v>
      </c>
      <c r="C965" s="344"/>
      <c r="D965" s="344"/>
      <c r="E965" s="334"/>
      <c r="F965" s="104">
        <v>192500</v>
      </c>
      <c r="G965" s="25"/>
      <c r="H965" s="11"/>
      <c r="I965" s="21"/>
      <c r="J965" s="21"/>
      <c r="K965" s="21"/>
      <c r="L965" s="21"/>
      <c r="M965" s="21"/>
      <c r="N965" s="21"/>
    </row>
    <row r="966" spans="1:14" ht="15.75" customHeight="1" x14ac:dyDescent="0.25">
      <c r="A966" s="7"/>
      <c r="B966" s="345" t="s">
        <v>344</v>
      </c>
      <c r="C966" s="344"/>
      <c r="D966" s="344"/>
      <c r="E966" s="334"/>
      <c r="F966" s="107">
        <f>SUM(F964:F965)</f>
        <v>1942500</v>
      </c>
      <c r="G966" s="25"/>
      <c r="H966" s="11"/>
      <c r="I966" s="21"/>
      <c r="J966" s="21"/>
      <c r="K966" s="21"/>
      <c r="L966" s="21"/>
      <c r="M966" s="21"/>
      <c r="N966" s="21"/>
    </row>
    <row r="967" spans="1:14" ht="15.75" customHeight="1" x14ac:dyDescent="0.25">
      <c r="A967" s="21"/>
      <c r="B967" s="21"/>
      <c r="C967" s="11"/>
      <c r="D967" s="11"/>
      <c r="E967" s="21"/>
      <c r="F967" s="21"/>
      <c r="G967" s="25"/>
      <c r="H967" s="11"/>
      <c r="I967" s="21"/>
      <c r="J967" s="21"/>
      <c r="K967" s="21"/>
      <c r="L967" s="21"/>
      <c r="M967" s="21"/>
      <c r="N967" s="21"/>
    </row>
    <row r="968" spans="1:14" ht="15.75" customHeight="1" x14ac:dyDescent="0.25">
      <c r="A968" s="31" t="s">
        <v>351</v>
      </c>
      <c r="B968" s="31" t="s">
        <v>234</v>
      </c>
      <c r="C968" s="31" t="s">
        <v>16</v>
      </c>
      <c r="D968" s="31" t="s">
        <v>17</v>
      </c>
      <c r="E968" s="31" t="s">
        <v>235</v>
      </c>
      <c r="F968" s="31" t="s">
        <v>236</v>
      </c>
      <c r="G968" s="25"/>
      <c r="H968" s="11"/>
      <c r="I968" s="21"/>
      <c r="J968" s="21"/>
      <c r="K968" s="21"/>
      <c r="L968" s="21"/>
      <c r="M968" s="21"/>
      <c r="N968" s="21"/>
    </row>
    <row r="969" spans="1:14" ht="15.75" customHeight="1" x14ac:dyDescent="0.25">
      <c r="A969" s="7">
        <v>1</v>
      </c>
      <c r="B969" s="41" t="s">
        <v>627</v>
      </c>
      <c r="C969" s="7">
        <v>4</v>
      </c>
      <c r="D969" s="7" t="s">
        <v>19</v>
      </c>
      <c r="E969" s="104">
        <v>29500</v>
      </c>
      <c r="F969" s="104">
        <f>E969*C969</f>
        <v>118000</v>
      </c>
      <c r="G969" s="25"/>
      <c r="H969" s="11"/>
      <c r="I969" s="21"/>
      <c r="J969" s="21"/>
      <c r="K969" s="21"/>
      <c r="L969" s="21"/>
      <c r="M969" s="21"/>
      <c r="N969" s="21"/>
    </row>
    <row r="970" spans="1:14" ht="15.75" customHeight="1" x14ac:dyDescent="0.25">
      <c r="A970" s="7">
        <v>2</v>
      </c>
      <c r="B970" s="41" t="s">
        <v>628</v>
      </c>
      <c r="C970" s="7">
        <v>4</v>
      </c>
      <c r="D970" s="7" t="s">
        <v>19</v>
      </c>
      <c r="E970" s="104">
        <v>45500</v>
      </c>
      <c r="F970" s="104">
        <f>E970*C970</f>
        <v>182000</v>
      </c>
      <c r="G970" s="25"/>
      <c r="H970" s="11"/>
      <c r="I970" s="21"/>
      <c r="J970" s="21"/>
      <c r="K970" s="21"/>
      <c r="L970" s="21"/>
      <c r="M970" s="21"/>
      <c r="N970" s="21"/>
    </row>
    <row r="971" spans="1:14" ht="15.75" customHeight="1" x14ac:dyDescent="0.25">
      <c r="A971" s="7"/>
      <c r="B971" s="343" t="s">
        <v>342</v>
      </c>
      <c r="C971" s="344"/>
      <c r="D971" s="344"/>
      <c r="E971" s="334"/>
      <c r="F971" s="104">
        <f>SUM(F968:F970)</f>
        <v>300000</v>
      </c>
      <c r="G971" s="25"/>
      <c r="H971" s="11"/>
      <c r="I971" s="21"/>
      <c r="J971" s="21"/>
      <c r="K971" s="21"/>
      <c r="L971" s="21"/>
      <c r="M971" s="21"/>
      <c r="N971" s="21"/>
    </row>
    <row r="972" spans="1:14" ht="15.75" customHeight="1" x14ac:dyDescent="0.25">
      <c r="A972" s="7"/>
      <c r="B972" s="343" t="s">
        <v>343</v>
      </c>
      <c r="C972" s="344"/>
      <c r="D972" s="344"/>
      <c r="E972" s="334"/>
      <c r="F972" s="104">
        <v>33000</v>
      </c>
      <c r="G972" s="25"/>
      <c r="H972" s="11"/>
      <c r="I972" s="21"/>
      <c r="J972" s="21"/>
      <c r="K972" s="21"/>
      <c r="L972" s="21"/>
      <c r="M972" s="21"/>
      <c r="N972" s="21"/>
    </row>
    <row r="973" spans="1:14" ht="15.75" customHeight="1" x14ac:dyDescent="0.25">
      <c r="A973" s="7"/>
      <c r="B973" s="345" t="s">
        <v>344</v>
      </c>
      <c r="C973" s="344"/>
      <c r="D973" s="344"/>
      <c r="E973" s="334"/>
      <c r="F973" s="107">
        <f>SUM(F971:F972)</f>
        <v>333000</v>
      </c>
      <c r="G973" s="25"/>
      <c r="H973" s="11"/>
      <c r="I973" s="21"/>
      <c r="J973" s="21"/>
      <c r="K973" s="21"/>
      <c r="L973" s="21"/>
      <c r="M973" s="21"/>
      <c r="N973" s="21"/>
    </row>
    <row r="974" spans="1:14" ht="15.75" customHeight="1" x14ac:dyDescent="0.25">
      <c r="A974" s="21"/>
      <c r="B974" s="21"/>
      <c r="C974" s="11"/>
      <c r="D974" s="11"/>
      <c r="E974" s="21"/>
      <c r="F974" s="21"/>
      <c r="G974" s="25"/>
      <c r="H974" s="11"/>
      <c r="I974" s="21"/>
      <c r="J974" s="21"/>
      <c r="K974" s="21"/>
      <c r="L974" s="21"/>
      <c r="M974" s="21"/>
      <c r="N974" s="21"/>
    </row>
    <row r="975" spans="1:14" ht="15.75" customHeight="1" x14ac:dyDescent="0.25">
      <c r="A975" s="31" t="s">
        <v>14</v>
      </c>
      <c r="B975" s="31" t="s">
        <v>15</v>
      </c>
      <c r="C975" s="31" t="s">
        <v>16</v>
      </c>
      <c r="D975" s="31" t="s">
        <v>17</v>
      </c>
      <c r="E975" s="31" t="s">
        <v>235</v>
      </c>
      <c r="F975" s="31" t="s">
        <v>236</v>
      </c>
      <c r="G975" s="25"/>
      <c r="H975" s="11"/>
      <c r="I975" s="21"/>
      <c r="J975" s="21"/>
      <c r="K975" s="21"/>
      <c r="L975" s="21"/>
      <c r="M975" s="21"/>
      <c r="N975" s="21"/>
    </row>
    <row r="976" spans="1:14" ht="15.75" customHeight="1" x14ac:dyDescent="0.25">
      <c r="A976" s="7">
        <v>1</v>
      </c>
      <c r="B976" s="122" t="s">
        <v>629</v>
      </c>
      <c r="C976" s="117">
        <v>1</v>
      </c>
      <c r="D976" s="117" t="s">
        <v>243</v>
      </c>
      <c r="E976" s="104">
        <v>7120000</v>
      </c>
      <c r="F976" s="104">
        <f>E976*C976</f>
        <v>7120000</v>
      </c>
      <c r="G976" s="25"/>
      <c r="H976" s="11"/>
      <c r="I976" s="21"/>
      <c r="J976" s="21"/>
      <c r="K976" s="21"/>
      <c r="L976" s="21"/>
      <c r="M976" s="21"/>
      <c r="N976" s="21"/>
    </row>
    <row r="977" spans="1:14" ht="15.75" customHeight="1" x14ac:dyDescent="0.25">
      <c r="A977" s="7">
        <v>2</v>
      </c>
      <c r="B977" s="116" t="s">
        <v>630</v>
      </c>
      <c r="C977" s="117">
        <v>1</v>
      </c>
      <c r="D977" s="117" t="s">
        <v>243</v>
      </c>
      <c r="E977" s="104">
        <v>3485000</v>
      </c>
      <c r="F977" s="104">
        <f>E977*C977</f>
        <v>3485000</v>
      </c>
      <c r="G977" s="25"/>
      <c r="H977" s="11"/>
      <c r="I977" s="21"/>
      <c r="J977" s="21"/>
      <c r="K977" s="21"/>
      <c r="L977" s="21"/>
      <c r="M977" s="21"/>
      <c r="N977" s="21"/>
    </row>
    <row r="978" spans="1:14" ht="15.75" customHeight="1" x14ac:dyDescent="0.25">
      <c r="A978" s="7">
        <v>3</v>
      </c>
      <c r="B978" s="122" t="s">
        <v>631</v>
      </c>
      <c r="C978" s="117">
        <v>1</v>
      </c>
      <c r="D978" s="117" t="s">
        <v>243</v>
      </c>
      <c r="E978" s="104">
        <v>5250000</v>
      </c>
      <c r="F978" s="104">
        <f>E978*C978</f>
        <v>5250000</v>
      </c>
      <c r="G978" s="25"/>
      <c r="H978" s="11"/>
      <c r="I978" s="21"/>
      <c r="J978" s="21"/>
      <c r="K978" s="21"/>
      <c r="L978" s="21"/>
      <c r="M978" s="21"/>
      <c r="N978" s="21"/>
    </row>
    <row r="979" spans="1:14" ht="15.75" customHeight="1" x14ac:dyDescent="0.25">
      <c r="A979" s="7">
        <v>4</v>
      </c>
      <c r="B979" s="116" t="s">
        <v>632</v>
      </c>
      <c r="C979" s="117">
        <v>1</v>
      </c>
      <c r="D979" s="117" t="s">
        <v>243</v>
      </c>
      <c r="E979" s="104">
        <v>4410000</v>
      </c>
      <c r="F979" s="104">
        <f>E979*C979</f>
        <v>4410000</v>
      </c>
      <c r="G979" s="25"/>
      <c r="H979" s="11"/>
      <c r="I979" s="21"/>
      <c r="J979" s="21"/>
      <c r="K979" s="21"/>
      <c r="L979" s="21"/>
      <c r="M979" s="21"/>
      <c r="N979" s="21"/>
    </row>
    <row r="980" spans="1:14" ht="15.75" customHeight="1" x14ac:dyDescent="0.25">
      <c r="A980" s="7">
        <v>5</v>
      </c>
      <c r="B980" s="122" t="s">
        <v>633</v>
      </c>
      <c r="C980" s="117">
        <v>1</v>
      </c>
      <c r="D980" s="117" t="s">
        <v>243</v>
      </c>
      <c r="E980" s="104">
        <v>1615000</v>
      </c>
      <c r="F980" s="104">
        <f>E980*C980</f>
        <v>1615000</v>
      </c>
      <c r="G980" s="25"/>
      <c r="H980" s="11"/>
      <c r="I980" s="21"/>
      <c r="J980" s="21"/>
      <c r="K980" s="21"/>
      <c r="L980" s="21"/>
      <c r="M980" s="21"/>
      <c r="N980" s="21"/>
    </row>
    <row r="981" spans="1:14" ht="15.75" customHeight="1" x14ac:dyDescent="0.25">
      <c r="A981" s="7"/>
      <c r="B981" s="343" t="s">
        <v>342</v>
      </c>
      <c r="C981" s="344"/>
      <c r="D981" s="344"/>
      <c r="E981" s="334"/>
      <c r="F981" s="104">
        <f>SUM(F976:F980)</f>
        <v>21880000</v>
      </c>
      <c r="G981" s="25"/>
      <c r="H981" s="11"/>
      <c r="I981" s="21"/>
      <c r="J981" s="21"/>
      <c r="K981" s="21"/>
      <c r="L981" s="21"/>
      <c r="M981" s="21"/>
      <c r="N981" s="21"/>
    </row>
    <row r="982" spans="1:14" ht="15.75" customHeight="1" x14ac:dyDescent="0.25">
      <c r="A982" s="7"/>
      <c r="B982" s="343" t="s">
        <v>634</v>
      </c>
      <c r="C982" s="344"/>
      <c r="D982" s="344"/>
      <c r="E982" s="334"/>
      <c r="F982" s="104">
        <v>656400</v>
      </c>
      <c r="G982" s="25"/>
      <c r="H982" s="11"/>
      <c r="I982" s="21"/>
      <c r="J982" s="21"/>
      <c r="K982" s="21"/>
      <c r="L982" s="21"/>
      <c r="M982" s="21"/>
      <c r="N982" s="21"/>
    </row>
    <row r="983" spans="1:14" ht="15.75" customHeight="1" x14ac:dyDescent="0.25">
      <c r="A983" s="7"/>
      <c r="B983" s="343" t="s">
        <v>342</v>
      </c>
      <c r="C983" s="344"/>
      <c r="D983" s="344"/>
      <c r="E983" s="334"/>
      <c r="F983" s="104">
        <f>F981-F982</f>
        <v>21223600</v>
      </c>
      <c r="G983" s="25"/>
      <c r="H983" s="11"/>
      <c r="I983" s="21"/>
      <c r="J983" s="21"/>
      <c r="K983" s="21"/>
      <c r="L983" s="21"/>
      <c r="M983" s="21"/>
      <c r="N983" s="21"/>
    </row>
    <row r="984" spans="1:14" ht="15.75" customHeight="1" x14ac:dyDescent="0.25">
      <c r="A984" s="7"/>
      <c r="B984" s="343" t="s">
        <v>343</v>
      </c>
      <c r="C984" s="344"/>
      <c r="D984" s="344"/>
      <c r="E984" s="334"/>
      <c r="F984" s="104">
        <v>2334596</v>
      </c>
      <c r="G984" s="25"/>
      <c r="H984" s="11"/>
      <c r="I984" s="21"/>
      <c r="J984" s="21"/>
      <c r="K984" s="21"/>
      <c r="L984" s="21"/>
      <c r="M984" s="21"/>
      <c r="N984" s="21"/>
    </row>
    <row r="985" spans="1:14" ht="15.75" customHeight="1" x14ac:dyDescent="0.25">
      <c r="A985" s="7"/>
      <c r="B985" s="345" t="s">
        <v>344</v>
      </c>
      <c r="C985" s="344"/>
      <c r="D985" s="344"/>
      <c r="E985" s="334"/>
      <c r="F985" s="107">
        <f>SUM(F983:F984)</f>
        <v>23558196</v>
      </c>
      <c r="G985" s="25"/>
      <c r="H985" s="11"/>
      <c r="I985" s="21"/>
      <c r="J985" s="21"/>
      <c r="K985" s="21"/>
      <c r="L985" s="21"/>
      <c r="M985" s="21"/>
      <c r="N985" s="21"/>
    </row>
    <row r="986" spans="1:14" ht="15.75" customHeight="1" x14ac:dyDescent="0.25">
      <c r="A986" s="21"/>
      <c r="B986" s="21"/>
      <c r="C986" s="11"/>
      <c r="D986" s="11"/>
      <c r="E986" s="21"/>
      <c r="F986" s="21"/>
      <c r="G986" s="25"/>
      <c r="H986" s="11"/>
      <c r="I986" s="21"/>
      <c r="J986" s="21"/>
      <c r="K986" s="21"/>
      <c r="L986" s="21"/>
      <c r="M986" s="21"/>
      <c r="N986" s="21"/>
    </row>
    <row r="987" spans="1:14" ht="15.75" customHeight="1" x14ac:dyDescent="0.25">
      <c r="A987" s="31" t="s">
        <v>14</v>
      </c>
      <c r="B987" s="31" t="s">
        <v>234</v>
      </c>
      <c r="C987" s="31" t="s">
        <v>16</v>
      </c>
      <c r="D987" s="31" t="s">
        <v>17</v>
      </c>
      <c r="E987" s="31" t="s">
        <v>235</v>
      </c>
      <c r="F987" s="31" t="s">
        <v>236</v>
      </c>
      <c r="G987" s="25"/>
      <c r="H987" s="11"/>
      <c r="I987" s="21"/>
      <c r="J987" s="21"/>
      <c r="K987" s="21"/>
      <c r="L987" s="21"/>
      <c r="M987" s="21"/>
      <c r="N987" s="21"/>
    </row>
    <row r="988" spans="1:14" ht="15.75" customHeight="1" x14ac:dyDescent="0.25">
      <c r="A988" s="7">
        <v>1</v>
      </c>
      <c r="B988" s="120" t="s">
        <v>635</v>
      </c>
      <c r="C988" s="7">
        <v>30</v>
      </c>
      <c r="D988" s="7" t="s">
        <v>363</v>
      </c>
      <c r="E988" s="104">
        <v>28000</v>
      </c>
      <c r="F988" s="104">
        <f>E988*C988</f>
        <v>840000</v>
      </c>
      <c r="G988" s="25"/>
      <c r="H988" s="11"/>
      <c r="I988" s="21"/>
      <c r="J988" s="21"/>
      <c r="K988" s="21"/>
      <c r="L988" s="21"/>
      <c r="M988" s="21"/>
      <c r="N988" s="21"/>
    </row>
    <row r="989" spans="1:14" ht="15.75" customHeight="1" x14ac:dyDescent="0.25">
      <c r="A989" s="7"/>
      <c r="B989" s="343" t="s">
        <v>342</v>
      </c>
      <c r="C989" s="344"/>
      <c r="D989" s="344"/>
      <c r="E989" s="334"/>
      <c r="F989" s="104">
        <f>F988</f>
        <v>840000</v>
      </c>
      <c r="G989" s="25"/>
      <c r="H989" s="11"/>
      <c r="I989" s="21"/>
      <c r="J989" s="21"/>
      <c r="K989" s="21"/>
      <c r="L989" s="21"/>
      <c r="M989" s="21"/>
      <c r="N989" s="21"/>
    </row>
    <row r="990" spans="1:14" ht="15.75" customHeight="1" x14ac:dyDescent="0.25">
      <c r="A990" s="7"/>
      <c r="B990" s="343" t="s">
        <v>343</v>
      </c>
      <c r="C990" s="344"/>
      <c r="D990" s="344"/>
      <c r="E990" s="334"/>
      <c r="F990" s="104">
        <v>92400</v>
      </c>
      <c r="G990" s="25"/>
      <c r="H990" s="11"/>
      <c r="I990" s="21"/>
      <c r="J990" s="21"/>
      <c r="K990" s="21"/>
      <c r="L990" s="21"/>
      <c r="M990" s="21"/>
      <c r="N990" s="21"/>
    </row>
    <row r="991" spans="1:14" ht="15.75" customHeight="1" x14ac:dyDescent="0.25">
      <c r="A991" s="7"/>
      <c r="B991" s="345" t="s">
        <v>344</v>
      </c>
      <c r="C991" s="344"/>
      <c r="D991" s="344"/>
      <c r="E991" s="334"/>
      <c r="F991" s="107">
        <f>SUM(F989:F990)</f>
        <v>932400</v>
      </c>
      <c r="G991" s="25"/>
      <c r="H991" s="11"/>
      <c r="I991" s="21"/>
      <c r="J991" s="21"/>
      <c r="K991" s="21"/>
      <c r="L991" s="21"/>
      <c r="M991" s="21"/>
      <c r="N991" s="21"/>
    </row>
    <row r="992" spans="1:14" ht="15.75" customHeight="1" x14ac:dyDescent="0.25">
      <c r="A992" s="21"/>
      <c r="B992" s="21"/>
      <c r="C992" s="11"/>
      <c r="D992" s="11"/>
      <c r="E992" s="21"/>
      <c r="F992" s="21"/>
      <c r="G992" s="25"/>
      <c r="H992" s="11"/>
      <c r="I992" s="21"/>
      <c r="J992" s="21"/>
      <c r="K992" s="21"/>
      <c r="L992" s="21"/>
      <c r="M992" s="21"/>
      <c r="N992" s="21"/>
    </row>
    <row r="993" spans="1:14" ht="15.75" customHeight="1" x14ac:dyDescent="0.25">
      <c r="A993" s="31" t="s">
        <v>351</v>
      </c>
      <c r="B993" s="31" t="s">
        <v>234</v>
      </c>
      <c r="C993" s="31" t="s">
        <v>16</v>
      </c>
      <c r="D993" s="31" t="s">
        <v>17</v>
      </c>
      <c r="E993" s="31" t="s">
        <v>235</v>
      </c>
      <c r="F993" s="31" t="s">
        <v>236</v>
      </c>
      <c r="G993" s="25"/>
      <c r="H993" s="11"/>
      <c r="I993" s="21"/>
      <c r="J993" s="21"/>
      <c r="K993" s="21"/>
      <c r="L993" s="21"/>
      <c r="M993" s="21"/>
      <c r="N993" s="21"/>
    </row>
    <row r="994" spans="1:14" ht="15.75" customHeight="1" x14ac:dyDescent="0.25">
      <c r="A994" s="7">
        <v>1</v>
      </c>
      <c r="B994" s="35" t="s">
        <v>636</v>
      </c>
      <c r="C994" s="7">
        <v>2</v>
      </c>
      <c r="D994" s="7" t="s">
        <v>353</v>
      </c>
      <c r="E994" s="104">
        <v>1170000</v>
      </c>
      <c r="F994" s="104">
        <f>E994*C994</f>
        <v>2340000</v>
      </c>
      <c r="G994" s="25"/>
      <c r="H994" s="11"/>
      <c r="I994" s="21"/>
      <c r="J994" s="21"/>
      <c r="K994" s="21"/>
      <c r="L994" s="21"/>
      <c r="M994" s="21"/>
      <c r="N994" s="21"/>
    </row>
    <row r="995" spans="1:14" ht="15.75" customHeight="1" x14ac:dyDescent="0.25">
      <c r="A995" s="7">
        <v>2</v>
      </c>
      <c r="B995" s="35" t="s">
        <v>637</v>
      </c>
      <c r="C995" s="7">
        <v>2</v>
      </c>
      <c r="D995" s="7" t="s">
        <v>353</v>
      </c>
      <c r="E995" s="104">
        <v>232500</v>
      </c>
      <c r="F995" s="104">
        <f>E995*C995</f>
        <v>465000</v>
      </c>
      <c r="G995" s="25"/>
      <c r="H995" s="11"/>
      <c r="I995" s="21"/>
      <c r="J995" s="21"/>
      <c r="K995" s="21"/>
      <c r="L995" s="21"/>
      <c r="M995" s="21"/>
      <c r="N995" s="21"/>
    </row>
    <row r="996" spans="1:14" ht="15.75" customHeight="1" x14ac:dyDescent="0.25">
      <c r="A996" s="7">
        <v>3</v>
      </c>
      <c r="B996" s="35" t="s">
        <v>638</v>
      </c>
      <c r="C996" s="7">
        <v>10</v>
      </c>
      <c r="D996" s="7" t="s">
        <v>353</v>
      </c>
      <c r="E996" s="104">
        <v>85000</v>
      </c>
      <c r="F996" s="104">
        <f>E996*C996</f>
        <v>850000</v>
      </c>
      <c r="G996" s="25"/>
      <c r="H996" s="11"/>
      <c r="I996" s="21"/>
      <c r="J996" s="21"/>
      <c r="K996" s="21"/>
      <c r="L996" s="21"/>
      <c r="M996" s="21"/>
      <c r="N996" s="21"/>
    </row>
    <row r="997" spans="1:14" ht="15.75" customHeight="1" x14ac:dyDescent="0.25">
      <c r="A997" s="7"/>
      <c r="B997" s="343" t="s">
        <v>342</v>
      </c>
      <c r="C997" s="344"/>
      <c r="D997" s="344"/>
      <c r="E997" s="334"/>
      <c r="F997" s="104">
        <f>SUM(F994:F996)</f>
        <v>3655000</v>
      </c>
      <c r="G997" s="25"/>
      <c r="H997" s="11"/>
      <c r="I997" s="21"/>
      <c r="J997" s="21"/>
      <c r="K997" s="21"/>
      <c r="L997" s="21"/>
      <c r="M997" s="21"/>
      <c r="N997" s="21"/>
    </row>
    <row r="998" spans="1:14" ht="15.75" customHeight="1" x14ac:dyDescent="0.25">
      <c r="A998" s="7"/>
      <c r="B998" s="343" t="s">
        <v>343</v>
      </c>
      <c r="C998" s="344"/>
      <c r="D998" s="344"/>
      <c r="E998" s="334"/>
      <c r="F998" s="104">
        <v>402050</v>
      </c>
      <c r="G998" s="25"/>
      <c r="H998" s="11"/>
      <c r="I998" s="21"/>
      <c r="J998" s="21"/>
      <c r="K998" s="21"/>
      <c r="L998" s="21"/>
      <c r="M998" s="21"/>
      <c r="N998" s="21"/>
    </row>
    <row r="999" spans="1:14" ht="15.75" customHeight="1" x14ac:dyDescent="0.25">
      <c r="A999" s="7"/>
      <c r="B999" s="345" t="s">
        <v>344</v>
      </c>
      <c r="C999" s="344"/>
      <c r="D999" s="344"/>
      <c r="E999" s="334"/>
      <c r="F999" s="107">
        <f>SUM(F997:F998)</f>
        <v>4057050</v>
      </c>
      <c r="G999" s="25"/>
      <c r="H999" s="11"/>
      <c r="I999" s="21"/>
      <c r="J999" s="21"/>
      <c r="K999" s="21"/>
      <c r="L999" s="21"/>
      <c r="M999" s="21"/>
      <c r="N999" s="21"/>
    </row>
    <row r="1000" spans="1:14" ht="15.75" customHeight="1" x14ac:dyDescent="0.25">
      <c r="A1000" s="21"/>
      <c r="B1000" s="21"/>
      <c r="C1000" s="11"/>
      <c r="D1000" s="11"/>
      <c r="E1000" s="21"/>
      <c r="F1000" s="21"/>
      <c r="G1000" s="25"/>
      <c r="H1000" s="11"/>
      <c r="I1000" s="21"/>
      <c r="J1000" s="21"/>
      <c r="K1000" s="21"/>
      <c r="L1000" s="21"/>
      <c r="M1000" s="21"/>
      <c r="N1000" s="21"/>
    </row>
    <row r="1001" spans="1:14" ht="15.75" customHeight="1" x14ac:dyDescent="0.25">
      <c r="A1001" s="31" t="s">
        <v>14</v>
      </c>
      <c r="B1001" s="31" t="s">
        <v>234</v>
      </c>
      <c r="C1001" s="31" t="s">
        <v>16</v>
      </c>
      <c r="D1001" s="31" t="s">
        <v>17</v>
      </c>
      <c r="E1001" s="31" t="s">
        <v>235</v>
      </c>
      <c r="F1001" s="31" t="s">
        <v>236</v>
      </c>
      <c r="G1001" s="25"/>
      <c r="H1001" s="11"/>
      <c r="I1001" s="21"/>
      <c r="J1001" s="21"/>
      <c r="K1001" s="21"/>
      <c r="L1001" s="21"/>
      <c r="M1001" s="21"/>
      <c r="N1001" s="21"/>
    </row>
    <row r="1002" spans="1:14" ht="15.75" customHeight="1" x14ac:dyDescent="0.25">
      <c r="A1002" s="7">
        <v>1</v>
      </c>
      <c r="B1002" s="120" t="s">
        <v>639</v>
      </c>
      <c r="C1002" s="7">
        <v>2</v>
      </c>
      <c r="D1002" s="7" t="s">
        <v>243</v>
      </c>
      <c r="E1002" s="104">
        <v>455000</v>
      </c>
      <c r="F1002" s="104">
        <f>E1002*C1002</f>
        <v>910000</v>
      </c>
      <c r="G1002" s="25"/>
      <c r="H1002" s="11"/>
      <c r="I1002" s="21"/>
      <c r="J1002" s="21"/>
      <c r="K1002" s="21"/>
      <c r="L1002" s="21"/>
      <c r="M1002" s="21"/>
      <c r="N1002" s="21"/>
    </row>
    <row r="1003" spans="1:14" ht="15.75" customHeight="1" x14ac:dyDescent="0.25">
      <c r="A1003" s="7"/>
      <c r="B1003" s="343" t="s">
        <v>342</v>
      </c>
      <c r="C1003" s="344"/>
      <c r="D1003" s="344"/>
      <c r="E1003" s="334"/>
      <c r="F1003" s="104">
        <f>F1002</f>
        <v>910000</v>
      </c>
      <c r="G1003" s="25"/>
      <c r="H1003" s="11"/>
      <c r="I1003" s="21"/>
      <c r="J1003" s="21"/>
      <c r="K1003" s="21"/>
      <c r="L1003" s="21"/>
      <c r="M1003" s="21"/>
      <c r="N1003" s="21"/>
    </row>
    <row r="1004" spans="1:14" ht="15.75" customHeight="1" x14ac:dyDescent="0.25">
      <c r="A1004" s="7"/>
      <c r="B1004" s="343" t="s">
        <v>343</v>
      </c>
      <c r="C1004" s="344"/>
      <c r="D1004" s="344"/>
      <c r="E1004" s="334"/>
      <c r="F1004" s="104">
        <v>100100</v>
      </c>
      <c r="G1004" s="25"/>
      <c r="H1004" s="11"/>
      <c r="I1004" s="21"/>
      <c r="J1004" s="21"/>
      <c r="K1004" s="21"/>
      <c r="L1004" s="21"/>
      <c r="M1004" s="21"/>
      <c r="N1004" s="21"/>
    </row>
    <row r="1005" spans="1:14" ht="15.75" customHeight="1" x14ac:dyDescent="0.25">
      <c r="A1005" s="7"/>
      <c r="B1005" s="345" t="s">
        <v>344</v>
      </c>
      <c r="C1005" s="344"/>
      <c r="D1005" s="344"/>
      <c r="E1005" s="334"/>
      <c r="F1005" s="107">
        <f>SUM(F1003:F1004)</f>
        <v>1010100</v>
      </c>
      <c r="G1005" s="25"/>
      <c r="H1005" s="11"/>
      <c r="I1005" s="21"/>
      <c r="J1005" s="21"/>
      <c r="K1005" s="21"/>
      <c r="L1005" s="21"/>
      <c r="M1005" s="21"/>
      <c r="N1005" s="21"/>
    </row>
    <row r="1006" spans="1:14" ht="15.75" customHeight="1" x14ac:dyDescent="0.25">
      <c r="A1006" s="21"/>
      <c r="B1006" s="21"/>
      <c r="C1006" s="11"/>
      <c r="D1006" s="11"/>
      <c r="E1006" s="21"/>
      <c r="F1006" s="21"/>
      <c r="G1006" s="25"/>
      <c r="H1006" s="11"/>
      <c r="I1006" s="21"/>
      <c r="J1006" s="21"/>
      <c r="K1006" s="21"/>
      <c r="L1006" s="21"/>
      <c r="M1006" s="21"/>
      <c r="N1006" s="21"/>
    </row>
    <row r="1007" spans="1:14" ht="15.75" customHeight="1" x14ac:dyDescent="0.25">
      <c r="A1007" s="31" t="s">
        <v>351</v>
      </c>
      <c r="B1007" s="31" t="s">
        <v>234</v>
      </c>
      <c r="C1007" s="31" t="s">
        <v>16</v>
      </c>
      <c r="D1007" s="31" t="s">
        <v>17</v>
      </c>
      <c r="E1007" s="31" t="s">
        <v>235</v>
      </c>
      <c r="F1007" s="31" t="s">
        <v>236</v>
      </c>
      <c r="G1007" s="25"/>
      <c r="H1007" s="11"/>
      <c r="I1007" s="21"/>
      <c r="J1007" s="21"/>
      <c r="K1007" s="21"/>
      <c r="L1007" s="21"/>
      <c r="M1007" s="21"/>
      <c r="N1007" s="21"/>
    </row>
    <row r="1008" spans="1:14" ht="15.75" customHeight="1" x14ac:dyDescent="0.25">
      <c r="A1008" s="349">
        <v>1</v>
      </c>
      <c r="B1008" s="123" t="s">
        <v>590</v>
      </c>
      <c r="C1008" s="349">
        <v>1</v>
      </c>
      <c r="D1008" s="349" t="s">
        <v>543</v>
      </c>
      <c r="E1008" s="352">
        <v>42500000</v>
      </c>
      <c r="F1008" s="352">
        <f>E1008*C1008</f>
        <v>42500000</v>
      </c>
      <c r="G1008" s="25"/>
      <c r="H1008" s="11"/>
      <c r="I1008" s="21"/>
      <c r="J1008" s="21"/>
      <c r="K1008" s="21"/>
      <c r="L1008" s="21"/>
      <c r="M1008" s="21"/>
      <c r="N1008" s="21"/>
    </row>
    <row r="1009" spans="1:14" ht="15.75" customHeight="1" x14ac:dyDescent="0.25">
      <c r="A1009" s="350"/>
      <c r="B1009" s="35" t="s">
        <v>591</v>
      </c>
      <c r="C1009" s="350"/>
      <c r="D1009" s="350"/>
      <c r="E1009" s="350"/>
      <c r="F1009" s="350"/>
      <c r="G1009" s="25"/>
      <c r="H1009" s="11"/>
      <c r="I1009" s="21"/>
      <c r="J1009" s="21"/>
      <c r="K1009" s="21"/>
      <c r="L1009" s="21"/>
      <c r="M1009" s="21"/>
      <c r="N1009" s="21"/>
    </row>
    <row r="1010" spans="1:14" ht="15.75" customHeight="1" x14ac:dyDescent="0.25">
      <c r="A1010" s="350"/>
      <c r="B1010" s="35" t="s">
        <v>592</v>
      </c>
      <c r="C1010" s="350"/>
      <c r="D1010" s="350"/>
      <c r="E1010" s="350"/>
      <c r="F1010" s="350"/>
      <c r="G1010" s="25"/>
      <c r="H1010" s="11"/>
      <c r="I1010" s="21"/>
      <c r="J1010" s="21"/>
      <c r="K1010" s="21"/>
      <c r="L1010" s="21"/>
      <c r="M1010" s="21"/>
      <c r="N1010" s="21"/>
    </row>
    <row r="1011" spans="1:14" ht="15.75" customHeight="1" x14ac:dyDescent="0.25">
      <c r="A1011" s="350"/>
      <c r="B1011" s="35" t="s">
        <v>593</v>
      </c>
      <c r="C1011" s="350"/>
      <c r="D1011" s="350"/>
      <c r="E1011" s="350"/>
      <c r="F1011" s="350"/>
      <c r="G1011" s="25"/>
      <c r="H1011" s="11"/>
      <c r="I1011" s="21"/>
      <c r="J1011" s="21"/>
      <c r="K1011" s="21"/>
      <c r="L1011" s="21"/>
      <c r="M1011" s="21"/>
      <c r="N1011" s="21"/>
    </row>
    <row r="1012" spans="1:14" ht="15.75" customHeight="1" x14ac:dyDescent="0.25">
      <c r="A1012" s="350"/>
      <c r="B1012" s="35" t="s">
        <v>594</v>
      </c>
      <c r="C1012" s="350"/>
      <c r="D1012" s="350"/>
      <c r="E1012" s="350"/>
      <c r="F1012" s="350"/>
      <c r="G1012" s="25"/>
      <c r="H1012" s="11"/>
      <c r="I1012" s="21"/>
      <c r="J1012" s="21"/>
      <c r="K1012" s="21"/>
      <c r="L1012" s="21"/>
      <c r="M1012" s="21"/>
      <c r="N1012" s="21"/>
    </row>
    <row r="1013" spans="1:14" ht="15.75" customHeight="1" x14ac:dyDescent="0.25">
      <c r="A1013" s="350"/>
      <c r="B1013" s="35" t="s">
        <v>595</v>
      </c>
      <c r="C1013" s="350"/>
      <c r="D1013" s="350"/>
      <c r="E1013" s="350"/>
      <c r="F1013" s="350"/>
      <c r="G1013" s="25"/>
      <c r="H1013" s="11"/>
      <c r="I1013" s="21"/>
      <c r="J1013" s="21"/>
      <c r="K1013" s="21"/>
      <c r="L1013" s="21"/>
      <c r="M1013" s="21"/>
      <c r="N1013" s="21"/>
    </row>
    <row r="1014" spans="1:14" ht="15.75" customHeight="1" x14ac:dyDescent="0.25">
      <c r="A1014" s="351"/>
      <c r="B1014" s="35" t="s">
        <v>596</v>
      </c>
      <c r="C1014" s="351"/>
      <c r="D1014" s="351"/>
      <c r="E1014" s="351"/>
      <c r="F1014" s="351"/>
      <c r="G1014" s="25"/>
      <c r="H1014" s="11"/>
      <c r="I1014" s="21"/>
      <c r="J1014" s="21"/>
      <c r="K1014" s="21"/>
      <c r="L1014" s="21"/>
      <c r="M1014" s="21"/>
      <c r="N1014" s="21"/>
    </row>
    <row r="1015" spans="1:14" ht="15.75" customHeight="1" x14ac:dyDescent="0.25">
      <c r="A1015" s="7"/>
      <c r="B1015" s="343" t="s">
        <v>342</v>
      </c>
      <c r="C1015" s="344"/>
      <c r="D1015" s="344"/>
      <c r="E1015" s="334"/>
      <c r="F1015" s="104">
        <f>SUM(F1008)</f>
        <v>42500000</v>
      </c>
      <c r="G1015" s="25"/>
      <c r="H1015" s="11"/>
      <c r="I1015" s="21"/>
      <c r="J1015" s="21"/>
      <c r="K1015" s="21"/>
      <c r="L1015" s="21"/>
      <c r="M1015" s="21"/>
      <c r="N1015" s="21"/>
    </row>
    <row r="1016" spans="1:14" ht="15.75" customHeight="1" x14ac:dyDescent="0.25">
      <c r="A1016" s="7"/>
      <c r="B1016" s="343" t="s">
        <v>343</v>
      </c>
      <c r="C1016" s="344"/>
      <c r="D1016" s="344"/>
      <c r="E1016" s="334"/>
      <c r="F1016" s="104"/>
      <c r="G1016" s="25"/>
      <c r="H1016" s="11"/>
      <c r="I1016" s="21"/>
      <c r="J1016" s="21"/>
      <c r="K1016" s="21"/>
      <c r="L1016" s="21"/>
      <c r="M1016" s="21"/>
      <c r="N1016" s="21"/>
    </row>
    <row r="1017" spans="1:14" ht="15.75" customHeight="1" x14ac:dyDescent="0.25">
      <c r="A1017" s="7"/>
      <c r="B1017" s="345" t="s">
        <v>344</v>
      </c>
      <c r="C1017" s="344"/>
      <c r="D1017" s="344"/>
      <c r="E1017" s="334"/>
      <c r="F1017" s="107">
        <f>SUM(F1015:F1016)</f>
        <v>42500000</v>
      </c>
      <c r="G1017" s="25"/>
      <c r="H1017" s="11"/>
      <c r="I1017" s="21"/>
      <c r="J1017" s="21"/>
      <c r="K1017" s="21"/>
      <c r="L1017" s="21"/>
      <c r="M1017" s="21"/>
      <c r="N1017" s="21"/>
    </row>
    <row r="1018" spans="1:14" ht="15.75" customHeight="1" x14ac:dyDescent="0.25">
      <c r="A1018" s="21"/>
      <c r="B1018" s="21"/>
      <c r="C1018" s="11"/>
      <c r="D1018" s="11"/>
      <c r="E1018" s="21"/>
      <c r="F1018" s="21"/>
      <c r="G1018" s="25"/>
      <c r="H1018" s="11"/>
      <c r="I1018" s="21"/>
      <c r="J1018" s="21"/>
      <c r="K1018" s="21"/>
      <c r="L1018" s="21"/>
      <c r="M1018" s="21"/>
      <c r="N1018" s="21"/>
    </row>
    <row r="1019" spans="1:14" ht="15.75" customHeight="1" x14ac:dyDescent="0.25">
      <c r="A1019" s="31" t="s">
        <v>351</v>
      </c>
      <c r="B1019" s="31" t="s">
        <v>234</v>
      </c>
      <c r="C1019" s="31" t="s">
        <v>16</v>
      </c>
      <c r="D1019" s="31" t="s">
        <v>17</v>
      </c>
      <c r="E1019" s="31" t="s">
        <v>235</v>
      </c>
      <c r="F1019" s="31" t="s">
        <v>236</v>
      </c>
      <c r="G1019" s="25"/>
      <c r="H1019" s="11"/>
      <c r="I1019" s="21"/>
      <c r="J1019" s="21"/>
      <c r="K1019" s="21"/>
      <c r="L1019" s="21"/>
      <c r="M1019" s="21"/>
      <c r="N1019" s="21"/>
    </row>
    <row r="1020" spans="1:14" ht="15.75" customHeight="1" x14ac:dyDescent="0.25">
      <c r="A1020" s="7">
        <v>1</v>
      </c>
      <c r="B1020" s="35" t="s">
        <v>465</v>
      </c>
      <c r="C1020" s="7">
        <v>2</v>
      </c>
      <c r="D1020" s="7" t="s">
        <v>353</v>
      </c>
      <c r="E1020" s="104">
        <v>1050000</v>
      </c>
      <c r="F1020" s="104">
        <f>E1020*C1020</f>
        <v>2100000</v>
      </c>
      <c r="G1020" s="25"/>
      <c r="H1020" s="11"/>
      <c r="I1020" s="21"/>
      <c r="J1020" s="21"/>
      <c r="K1020" s="21"/>
      <c r="L1020" s="21"/>
      <c r="M1020" s="21"/>
      <c r="N1020" s="21"/>
    </row>
    <row r="1021" spans="1:14" ht="15.75" customHeight="1" x14ac:dyDescent="0.25">
      <c r="A1021" s="7">
        <v>2</v>
      </c>
      <c r="B1021" s="35" t="s">
        <v>640</v>
      </c>
      <c r="C1021" s="7">
        <v>1</v>
      </c>
      <c r="D1021" s="7" t="s">
        <v>353</v>
      </c>
      <c r="E1021" s="104">
        <v>820000</v>
      </c>
      <c r="F1021" s="104">
        <f>E1021*C1021</f>
        <v>820000</v>
      </c>
      <c r="G1021" s="25"/>
      <c r="H1021" s="11"/>
      <c r="I1021" s="21"/>
      <c r="J1021" s="21"/>
      <c r="K1021" s="21"/>
      <c r="L1021" s="21"/>
      <c r="M1021" s="21"/>
      <c r="N1021" s="21"/>
    </row>
    <row r="1022" spans="1:14" ht="15.75" customHeight="1" x14ac:dyDescent="0.25">
      <c r="A1022" s="7">
        <v>3</v>
      </c>
      <c r="B1022" s="35" t="s">
        <v>467</v>
      </c>
      <c r="C1022" s="7">
        <v>1</v>
      </c>
      <c r="D1022" s="7" t="s">
        <v>353</v>
      </c>
      <c r="E1022" s="104">
        <v>375000</v>
      </c>
      <c r="F1022" s="104">
        <f>E1022*C1022</f>
        <v>375000</v>
      </c>
      <c r="G1022" s="25"/>
      <c r="H1022" s="11"/>
      <c r="I1022" s="21"/>
      <c r="J1022" s="21"/>
      <c r="K1022" s="21"/>
      <c r="L1022" s="21"/>
      <c r="M1022" s="21"/>
      <c r="N1022" s="21"/>
    </row>
    <row r="1023" spans="1:14" ht="15.75" customHeight="1" x14ac:dyDescent="0.25">
      <c r="A1023" s="7"/>
      <c r="B1023" s="343" t="s">
        <v>342</v>
      </c>
      <c r="C1023" s="344"/>
      <c r="D1023" s="344"/>
      <c r="E1023" s="334"/>
      <c r="F1023" s="104">
        <f>SUM(F1020:F1022)</f>
        <v>3295000</v>
      </c>
      <c r="G1023" s="25"/>
      <c r="H1023" s="11"/>
      <c r="I1023" s="21"/>
      <c r="J1023" s="21"/>
      <c r="K1023" s="21"/>
      <c r="L1023" s="21"/>
      <c r="M1023" s="21"/>
      <c r="N1023" s="21"/>
    </row>
    <row r="1024" spans="1:14" ht="15.75" customHeight="1" x14ac:dyDescent="0.25">
      <c r="A1024" s="7"/>
      <c r="B1024" s="343" t="s">
        <v>343</v>
      </c>
      <c r="C1024" s="344"/>
      <c r="D1024" s="344"/>
      <c r="E1024" s="334"/>
      <c r="F1024" s="104">
        <v>362450</v>
      </c>
      <c r="G1024" s="25"/>
      <c r="H1024" s="11"/>
      <c r="I1024" s="21"/>
      <c r="J1024" s="21"/>
      <c r="K1024" s="21"/>
      <c r="L1024" s="21"/>
      <c r="M1024" s="21"/>
      <c r="N1024" s="21"/>
    </row>
    <row r="1025" spans="1:14" ht="15.75" customHeight="1" x14ac:dyDescent="0.25">
      <c r="A1025" s="7"/>
      <c r="B1025" s="345" t="s">
        <v>344</v>
      </c>
      <c r="C1025" s="344"/>
      <c r="D1025" s="344"/>
      <c r="E1025" s="334"/>
      <c r="F1025" s="107">
        <f>SUM(F1023:F1024)</f>
        <v>3657450</v>
      </c>
      <c r="G1025" s="25"/>
      <c r="H1025" s="11"/>
      <c r="I1025" s="21"/>
      <c r="J1025" s="21"/>
      <c r="K1025" s="21"/>
      <c r="L1025" s="21"/>
      <c r="M1025" s="21"/>
      <c r="N1025" s="21"/>
    </row>
    <row r="1026" spans="1:14" ht="15.75" customHeight="1" x14ac:dyDescent="0.25">
      <c r="A1026" s="21"/>
      <c r="B1026" s="21"/>
      <c r="C1026" s="11"/>
      <c r="D1026" s="11"/>
      <c r="E1026" s="21"/>
      <c r="F1026" s="21"/>
      <c r="G1026" s="25"/>
      <c r="H1026" s="11"/>
      <c r="I1026" s="21"/>
      <c r="J1026" s="21"/>
      <c r="K1026" s="21"/>
      <c r="L1026" s="21"/>
      <c r="M1026" s="21"/>
      <c r="N1026" s="21"/>
    </row>
    <row r="1027" spans="1:14" ht="15.75" customHeight="1" x14ac:dyDescent="0.25">
      <c r="A1027" s="31" t="s">
        <v>14</v>
      </c>
      <c r="B1027" s="31" t="s">
        <v>234</v>
      </c>
      <c r="C1027" s="31" t="s">
        <v>16</v>
      </c>
      <c r="D1027" s="31" t="s">
        <v>17</v>
      </c>
      <c r="E1027" s="31" t="s">
        <v>235</v>
      </c>
      <c r="F1027" s="31" t="s">
        <v>236</v>
      </c>
      <c r="G1027" s="25"/>
      <c r="H1027" s="11"/>
      <c r="I1027" s="21"/>
      <c r="J1027" s="21"/>
      <c r="K1027" s="21"/>
      <c r="L1027" s="21"/>
      <c r="M1027" s="21"/>
      <c r="N1027" s="21"/>
    </row>
    <row r="1028" spans="1:14" ht="15.75" customHeight="1" x14ac:dyDescent="0.25">
      <c r="A1028" s="7">
        <v>1</v>
      </c>
      <c r="B1028" s="120" t="s">
        <v>641</v>
      </c>
      <c r="C1028" s="7">
        <v>16</v>
      </c>
      <c r="D1028" s="7" t="s">
        <v>251</v>
      </c>
      <c r="E1028" s="104">
        <v>44500</v>
      </c>
      <c r="F1028" s="104">
        <f>E1028*C1028</f>
        <v>712000</v>
      </c>
      <c r="G1028" s="25"/>
      <c r="H1028" s="11"/>
      <c r="I1028" s="21"/>
      <c r="J1028" s="21"/>
      <c r="K1028" s="21"/>
      <c r="L1028" s="21"/>
      <c r="M1028" s="21"/>
      <c r="N1028" s="21"/>
    </row>
    <row r="1029" spans="1:14" ht="15.75" customHeight="1" x14ac:dyDescent="0.25">
      <c r="A1029" s="7"/>
      <c r="B1029" s="343" t="s">
        <v>342</v>
      </c>
      <c r="C1029" s="344"/>
      <c r="D1029" s="344"/>
      <c r="E1029" s="334"/>
      <c r="F1029" s="104">
        <f>F1028</f>
        <v>712000</v>
      </c>
      <c r="G1029" s="25"/>
      <c r="H1029" s="11"/>
      <c r="I1029" s="21"/>
      <c r="J1029" s="21"/>
      <c r="K1029" s="21"/>
      <c r="L1029" s="21"/>
      <c r="M1029" s="21"/>
      <c r="N1029" s="21"/>
    </row>
    <row r="1030" spans="1:14" ht="15.75" customHeight="1" x14ac:dyDescent="0.25">
      <c r="A1030" s="7"/>
      <c r="B1030" s="343" t="s">
        <v>343</v>
      </c>
      <c r="C1030" s="344"/>
      <c r="D1030" s="344"/>
      <c r="E1030" s="334"/>
      <c r="F1030" s="104">
        <v>78320</v>
      </c>
      <c r="G1030" s="25"/>
      <c r="H1030" s="11"/>
      <c r="I1030" s="21"/>
      <c r="J1030" s="21"/>
      <c r="K1030" s="21"/>
      <c r="L1030" s="21"/>
      <c r="M1030" s="21"/>
      <c r="N1030" s="21"/>
    </row>
    <row r="1031" spans="1:14" ht="15.75" customHeight="1" x14ac:dyDescent="0.25">
      <c r="A1031" s="7"/>
      <c r="B1031" s="345" t="s">
        <v>344</v>
      </c>
      <c r="C1031" s="344"/>
      <c r="D1031" s="344"/>
      <c r="E1031" s="334"/>
      <c r="F1031" s="107">
        <f>SUM(F1029:F1030)</f>
        <v>790320</v>
      </c>
      <c r="G1031" s="25"/>
      <c r="H1031" s="11"/>
      <c r="I1031" s="21"/>
      <c r="J1031" s="21"/>
      <c r="K1031" s="21"/>
      <c r="L1031" s="21"/>
      <c r="M1031" s="21"/>
      <c r="N1031" s="21"/>
    </row>
    <row r="1032" spans="1:14" ht="15.75" customHeight="1" x14ac:dyDescent="0.25">
      <c r="A1032" s="21"/>
      <c r="B1032" s="21"/>
      <c r="C1032" s="11"/>
      <c r="D1032" s="11"/>
      <c r="E1032" s="21"/>
      <c r="F1032" s="21"/>
      <c r="G1032" s="25"/>
      <c r="H1032" s="11"/>
      <c r="I1032" s="21"/>
      <c r="J1032" s="21"/>
      <c r="K1032" s="21"/>
      <c r="L1032" s="21"/>
      <c r="M1032" s="21"/>
      <c r="N1032" s="21"/>
    </row>
    <row r="1033" spans="1:14" ht="15.75" customHeight="1" x14ac:dyDescent="0.25">
      <c r="A1033" s="31" t="s">
        <v>351</v>
      </c>
      <c r="B1033" s="31" t="s">
        <v>234</v>
      </c>
      <c r="C1033" s="31" t="s">
        <v>16</v>
      </c>
      <c r="D1033" s="31" t="s">
        <v>17</v>
      </c>
      <c r="E1033" s="31" t="s">
        <v>235</v>
      </c>
      <c r="F1033" s="31" t="s">
        <v>236</v>
      </c>
      <c r="G1033" s="25"/>
      <c r="H1033" s="11"/>
      <c r="I1033" s="21"/>
      <c r="J1033" s="21"/>
      <c r="K1033" s="21"/>
      <c r="L1033" s="21"/>
      <c r="M1033" s="21"/>
      <c r="N1033" s="21"/>
    </row>
    <row r="1034" spans="1:14" ht="15.75" customHeight="1" x14ac:dyDescent="0.25">
      <c r="A1034" s="7">
        <v>1</v>
      </c>
      <c r="B1034" s="41" t="s">
        <v>642</v>
      </c>
      <c r="C1034" s="7">
        <v>1</v>
      </c>
      <c r="D1034" s="7" t="s">
        <v>243</v>
      </c>
      <c r="E1034" s="104">
        <v>3323000</v>
      </c>
      <c r="F1034" s="104">
        <f>E1034*C1034</f>
        <v>3323000</v>
      </c>
      <c r="G1034" s="25"/>
      <c r="H1034" s="11"/>
      <c r="I1034" s="21"/>
      <c r="J1034" s="21"/>
      <c r="K1034" s="21"/>
      <c r="L1034" s="21"/>
      <c r="M1034" s="21"/>
      <c r="N1034" s="21"/>
    </row>
    <row r="1035" spans="1:14" ht="15.75" customHeight="1" x14ac:dyDescent="0.25">
      <c r="A1035" s="7">
        <v>2</v>
      </c>
      <c r="B1035" s="41" t="s">
        <v>643</v>
      </c>
      <c r="C1035" s="7">
        <v>2</v>
      </c>
      <c r="D1035" s="7" t="s">
        <v>243</v>
      </c>
      <c r="E1035" s="104">
        <v>3915000</v>
      </c>
      <c r="F1035" s="104">
        <f>E1035*C1035</f>
        <v>7830000</v>
      </c>
      <c r="G1035" s="25"/>
      <c r="H1035" s="11"/>
      <c r="I1035" s="21"/>
      <c r="J1035" s="21"/>
      <c r="K1035" s="21"/>
      <c r="L1035" s="21"/>
      <c r="M1035" s="21"/>
      <c r="N1035" s="21"/>
    </row>
    <row r="1036" spans="1:14" ht="15.75" customHeight="1" x14ac:dyDescent="0.25">
      <c r="A1036" s="7"/>
      <c r="B1036" s="343" t="s">
        <v>342</v>
      </c>
      <c r="C1036" s="344"/>
      <c r="D1036" s="344"/>
      <c r="E1036" s="334"/>
      <c r="F1036" s="104">
        <f>SUM(F1033:F1035)</f>
        <v>11153000</v>
      </c>
      <c r="G1036" s="25"/>
      <c r="H1036" s="11"/>
      <c r="I1036" s="21"/>
      <c r="J1036" s="21"/>
      <c r="K1036" s="21"/>
      <c r="L1036" s="21"/>
      <c r="M1036" s="21"/>
      <c r="N1036" s="21"/>
    </row>
    <row r="1037" spans="1:14" ht="15.75" customHeight="1" x14ac:dyDescent="0.25">
      <c r="A1037" s="7"/>
      <c r="B1037" s="343" t="s">
        <v>343</v>
      </c>
      <c r="C1037" s="344"/>
      <c r="D1037" s="344"/>
      <c r="E1037" s="334"/>
      <c r="F1037" s="104">
        <v>1226830</v>
      </c>
      <c r="G1037" s="25"/>
      <c r="H1037" s="11"/>
      <c r="I1037" s="21"/>
      <c r="J1037" s="21"/>
      <c r="K1037" s="21"/>
      <c r="L1037" s="21"/>
      <c r="M1037" s="21"/>
      <c r="N1037" s="21"/>
    </row>
    <row r="1038" spans="1:14" ht="15.75" customHeight="1" x14ac:dyDescent="0.25">
      <c r="A1038" s="7"/>
      <c r="B1038" s="345" t="s">
        <v>344</v>
      </c>
      <c r="C1038" s="344"/>
      <c r="D1038" s="344"/>
      <c r="E1038" s="334"/>
      <c r="F1038" s="107">
        <f>SUM(F1036:F1037)</f>
        <v>12379830</v>
      </c>
      <c r="G1038" s="25"/>
      <c r="H1038" s="11"/>
      <c r="I1038" s="21"/>
      <c r="J1038" s="21"/>
      <c r="K1038" s="21"/>
      <c r="L1038" s="21"/>
      <c r="M1038" s="21"/>
      <c r="N1038" s="21"/>
    </row>
    <row r="1039" spans="1:14" ht="15.75" customHeight="1" x14ac:dyDescent="0.25">
      <c r="A1039" s="21"/>
      <c r="B1039" s="21"/>
      <c r="C1039" s="11"/>
      <c r="D1039" s="11"/>
      <c r="E1039" s="21"/>
      <c r="F1039" s="21"/>
      <c r="G1039" s="25"/>
      <c r="H1039" s="11"/>
      <c r="I1039" s="21"/>
      <c r="J1039" s="21"/>
      <c r="K1039" s="21"/>
      <c r="L1039" s="21"/>
      <c r="M1039" s="21"/>
      <c r="N1039" s="21"/>
    </row>
    <row r="1040" spans="1:14" ht="15.75" customHeight="1" x14ac:dyDescent="0.25">
      <c r="A1040" s="31" t="s">
        <v>351</v>
      </c>
      <c r="B1040" s="31" t="s">
        <v>234</v>
      </c>
      <c r="C1040" s="31" t="s">
        <v>16</v>
      </c>
      <c r="D1040" s="31" t="s">
        <v>17</v>
      </c>
      <c r="E1040" s="31" t="s">
        <v>235</v>
      </c>
      <c r="F1040" s="31" t="s">
        <v>236</v>
      </c>
      <c r="G1040" s="25"/>
      <c r="H1040" s="11"/>
      <c r="I1040" s="21"/>
      <c r="J1040" s="21"/>
      <c r="K1040" s="21"/>
      <c r="L1040" s="21"/>
      <c r="M1040" s="21"/>
      <c r="N1040" s="21"/>
    </row>
    <row r="1041" spans="1:14" ht="15.75" customHeight="1" x14ac:dyDescent="0.25">
      <c r="A1041" s="7">
        <v>1</v>
      </c>
      <c r="B1041" s="41" t="s">
        <v>644</v>
      </c>
      <c r="C1041" s="7">
        <v>10</v>
      </c>
      <c r="D1041" s="7" t="s">
        <v>363</v>
      </c>
      <c r="E1041" s="104">
        <v>65000</v>
      </c>
      <c r="F1041" s="104">
        <f>E1041*C1041</f>
        <v>650000</v>
      </c>
      <c r="G1041" s="25"/>
      <c r="H1041" s="11"/>
      <c r="I1041" s="21"/>
      <c r="J1041" s="21"/>
      <c r="K1041" s="21"/>
      <c r="L1041" s="21"/>
      <c r="M1041" s="21"/>
      <c r="N1041" s="21"/>
    </row>
    <row r="1042" spans="1:14" ht="15.75" customHeight="1" x14ac:dyDescent="0.25">
      <c r="A1042" s="7">
        <v>2</v>
      </c>
      <c r="B1042" s="41" t="s">
        <v>645</v>
      </c>
      <c r="C1042" s="7">
        <v>10</v>
      </c>
      <c r="D1042" s="7" t="s">
        <v>363</v>
      </c>
      <c r="E1042" s="104">
        <v>78000</v>
      </c>
      <c r="F1042" s="104">
        <f>E1042*C1042</f>
        <v>780000</v>
      </c>
      <c r="G1042" s="25"/>
      <c r="H1042" s="11"/>
      <c r="I1042" s="21"/>
      <c r="J1042" s="21"/>
      <c r="K1042" s="21"/>
      <c r="L1042" s="21"/>
      <c r="M1042" s="21"/>
      <c r="N1042" s="21"/>
    </row>
    <row r="1043" spans="1:14" ht="15.75" customHeight="1" x14ac:dyDescent="0.25">
      <c r="A1043" s="7"/>
      <c r="B1043" s="343" t="s">
        <v>342</v>
      </c>
      <c r="C1043" s="344"/>
      <c r="D1043" s="344"/>
      <c r="E1043" s="334"/>
      <c r="F1043" s="104">
        <f>SUM(F1041:F1042)</f>
        <v>1430000</v>
      </c>
      <c r="G1043" s="25"/>
      <c r="H1043" s="11"/>
      <c r="I1043" s="21"/>
      <c r="J1043" s="21"/>
      <c r="K1043" s="21"/>
      <c r="L1043" s="21"/>
      <c r="M1043" s="21"/>
      <c r="N1043" s="21"/>
    </row>
    <row r="1044" spans="1:14" ht="15.75" customHeight="1" x14ac:dyDescent="0.25">
      <c r="A1044" s="7"/>
      <c r="B1044" s="343" t="s">
        <v>343</v>
      </c>
      <c r="C1044" s="344"/>
      <c r="D1044" s="344"/>
      <c r="E1044" s="334"/>
      <c r="F1044" s="104">
        <v>157300</v>
      </c>
      <c r="G1044" s="25"/>
      <c r="H1044" s="11"/>
      <c r="I1044" s="21"/>
      <c r="J1044" s="21"/>
      <c r="K1044" s="21"/>
      <c r="L1044" s="21"/>
      <c r="M1044" s="21"/>
      <c r="N1044" s="21"/>
    </row>
    <row r="1045" spans="1:14" ht="15.75" customHeight="1" x14ac:dyDescent="0.25">
      <c r="A1045" s="7"/>
      <c r="B1045" s="345" t="s">
        <v>344</v>
      </c>
      <c r="C1045" s="344"/>
      <c r="D1045" s="344"/>
      <c r="E1045" s="334"/>
      <c r="F1045" s="107">
        <f>SUM(F1043:F1044)</f>
        <v>1587300</v>
      </c>
      <c r="G1045" s="25"/>
      <c r="H1045" s="11"/>
      <c r="I1045" s="21"/>
      <c r="J1045" s="21"/>
      <c r="K1045" s="21"/>
      <c r="L1045" s="21"/>
      <c r="M1045" s="21"/>
      <c r="N1045" s="21"/>
    </row>
    <row r="1046" spans="1:14" ht="15.75" customHeight="1" x14ac:dyDescent="0.25">
      <c r="A1046" s="21"/>
      <c r="B1046" s="21"/>
      <c r="C1046" s="11"/>
      <c r="D1046" s="11"/>
      <c r="E1046" s="21"/>
      <c r="F1046" s="21"/>
      <c r="G1046" s="25"/>
      <c r="H1046" s="11"/>
      <c r="I1046" s="21"/>
      <c r="J1046" s="21"/>
      <c r="K1046" s="21"/>
      <c r="L1046" s="21"/>
      <c r="M1046" s="21"/>
      <c r="N1046" s="21"/>
    </row>
    <row r="1047" spans="1:14" ht="15.75" customHeight="1" x14ac:dyDescent="0.25">
      <c r="A1047" s="31" t="s">
        <v>14</v>
      </c>
      <c r="B1047" s="31" t="s">
        <v>15</v>
      </c>
      <c r="C1047" s="31" t="s">
        <v>16</v>
      </c>
      <c r="D1047" s="31" t="s">
        <v>17</v>
      </c>
      <c r="E1047" s="31" t="s">
        <v>235</v>
      </c>
      <c r="F1047" s="31" t="s">
        <v>236</v>
      </c>
      <c r="G1047" s="25"/>
      <c r="H1047" s="11"/>
      <c r="I1047" s="21"/>
      <c r="J1047" s="21"/>
      <c r="K1047" s="21"/>
      <c r="L1047" s="21"/>
      <c r="M1047" s="21"/>
      <c r="N1047" s="21"/>
    </row>
    <row r="1048" spans="1:14" ht="15.75" customHeight="1" x14ac:dyDescent="0.25">
      <c r="A1048" s="7">
        <v>1</v>
      </c>
      <c r="B1048" s="120" t="s">
        <v>646</v>
      </c>
      <c r="C1048" s="7">
        <v>200</v>
      </c>
      <c r="D1048" s="7" t="s">
        <v>19</v>
      </c>
      <c r="E1048" s="104">
        <v>2090</v>
      </c>
      <c r="F1048" s="104">
        <f>E1048*C1048</f>
        <v>418000</v>
      </c>
      <c r="G1048" s="25"/>
      <c r="H1048" s="11"/>
      <c r="I1048" s="21"/>
      <c r="J1048" s="21"/>
      <c r="K1048" s="21"/>
      <c r="L1048" s="21"/>
      <c r="M1048" s="21"/>
      <c r="N1048" s="21"/>
    </row>
    <row r="1049" spans="1:14" ht="15.75" customHeight="1" x14ac:dyDescent="0.25">
      <c r="A1049" s="7">
        <v>2</v>
      </c>
      <c r="B1049" s="124" t="s">
        <v>647</v>
      </c>
      <c r="C1049" s="7">
        <v>200</v>
      </c>
      <c r="D1049" s="7" t="s">
        <v>19</v>
      </c>
      <c r="E1049" s="104">
        <v>2090</v>
      </c>
      <c r="F1049" s="104">
        <f>E1049*C1049</f>
        <v>418000</v>
      </c>
      <c r="G1049" s="25"/>
      <c r="H1049" s="11"/>
      <c r="I1049" s="21"/>
      <c r="J1049" s="21"/>
      <c r="K1049" s="21"/>
      <c r="L1049" s="21"/>
      <c r="M1049" s="21"/>
      <c r="N1049" s="21"/>
    </row>
    <row r="1050" spans="1:14" ht="15.75" customHeight="1" x14ac:dyDescent="0.25">
      <c r="A1050" s="7">
        <v>3</v>
      </c>
      <c r="B1050" s="38" t="s">
        <v>648</v>
      </c>
      <c r="C1050" s="7">
        <v>20</v>
      </c>
      <c r="D1050" s="7" t="s">
        <v>19</v>
      </c>
      <c r="E1050" s="104">
        <v>182000</v>
      </c>
      <c r="F1050" s="104">
        <f>E1050*C1050</f>
        <v>3640000</v>
      </c>
      <c r="G1050" s="25"/>
      <c r="H1050" s="11"/>
      <c r="I1050" s="21"/>
      <c r="J1050" s="21"/>
      <c r="K1050" s="21"/>
      <c r="L1050" s="21"/>
      <c r="M1050" s="21"/>
      <c r="N1050" s="21"/>
    </row>
    <row r="1051" spans="1:14" ht="15.75" customHeight="1" x14ac:dyDescent="0.25">
      <c r="A1051" s="7">
        <v>4</v>
      </c>
      <c r="B1051" s="38" t="s">
        <v>649</v>
      </c>
      <c r="C1051" s="7">
        <v>200</v>
      </c>
      <c r="D1051" s="7" t="s">
        <v>19</v>
      </c>
      <c r="E1051" s="104">
        <v>2090</v>
      </c>
      <c r="F1051" s="104">
        <f>E1051*C1051</f>
        <v>418000</v>
      </c>
      <c r="G1051" s="25"/>
      <c r="H1051" s="11"/>
      <c r="I1051" s="21"/>
      <c r="J1051" s="21"/>
      <c r="K1051" s="21"/>
      <c r="L1051" s="21"/>
      <c r="M1051" s="21"/>
      <c r="N1051" s="21"/>
    </row>
    <row r="1052" spans="1:14" ht="15.75" customHeight="1" x14ac:dyDescent="0.25">
      <c r="A1052" s="7"/>
      <c r="B1052" s="105" t="s">
        <v>342</v>
      </c>
      <c r="C1052" s="125"/>
      <c r="D1052" s="125"/>
      <c r="E1052" s="126"/>
      <c r="F1052" s="104">
        <f>SUM(F1048:F1051)</f>
        <v>4894000</v>
      </c>
      <c r="G1052" s="25"/>
      <c r="H1052" s="11"/>
      <c r="I1052" s="21"/>
      <c r="J1052" s="21"/>
      <c r="K1052" s="21"/>
      <c r="L1052" s="21"/>
      <c r="M1052" s="21"/>
      <c r="N1052" s="21"/>
    </row>
    <row r="1053" spans="1:14" ht="15.75" customHeight="1" x14ac:dyDescent="0.25">
      <c r="A1053" s="7"/>
      <c r="B1053" s="343" t="s">
        <v>343</v>
      </c>
      <c r="C1053" s="344"/>
      <c r="D1053" s="344"/>
      <c r="E1053" s="334"/>
      <c r="F1053" s="104">
        <v>538340</v>
      </c>
      <c r="G1053" s="25"/>
      <c r="H1053" s="11"/>
      <c r="I1053" s="21"/>
      <c r="J1053" s="21"/>
      <c r="K1053" s="21"/>
      <c r="L1053" s="21"/>
      <c r="M1053" s="21"/>
      <c r="N1053" s="21"/>
    </row>
    <row r="1054" spans="1:14" ht="15.75" customHeight="1" x14ac:dyDescent="0.25">
      <c r="A1054" s="7"/>
      <c r="B1054" s="345" t="s">
        <v>344</v>
      </c>
      <c r="C1054" s="344"/>
      <c r="D1054" s="344"/>
      <c r="E1054" s="334"/>
      <c r="F1054" s="107">
        <f>SUM(F1052:F1053)</f>
        <v>5432340</v>
      </c>
      <c r="G1054" s="25"/>
      <c r="H1054" s="11"/>
      <c r="I1054" s="21"/>
      <c r="J1054" s="21"/>
      <c r="K1054" s="21"/>
      <c r="L1054" s="21"/>
      <c r="M1054" s="21"/>
      <c r="N1054" s="21"/>
    </row>
    <row r="1055" spans="1:14" ht="15.75" customHeight="1" x14ac:dyDescent="0.25">
      <c r="A1055" s="21"/>
      <c r="B1055" s="21"/>
      <c r="C1055" s="11"/>
      <c r="D1055" s="11"/>
      <c r="E1055" s="21"/>
      <c r="F1055" s="21"/>
      <c r="G1055" s="25"/>
      <c r="H1055" s="11"/>
      <c r="I1055" s="21"/>
      <c r="J1055" s="21"/>
      <c r="K1055" s="21"/>
      <c r="L1055" s="21"/>
      <c r="M1055" s="21"/>
      <c r="N1055" s="21"/>
    </row>
    <row r="1056" spans="1:14" ht="15.75" customHeight="1" x14ac:dyDescent="0.25">
      <c r="A1056" s="31" t="s">
        <v>14</v>
      </c>
      <c r="B1056" s="31" t="s">
        <v>234</v>
      </c>
      <c r="C1056" s="31" t="s">
        <v>16</v>
      </c>
      <c r="D1056" s="31" t="s">
        <v>17</v>
      </c>
      <c r="E1056" s="31" t="s">
        <v>235</v>
      </c>
      <c r="F1056" s="31" t="s">
        <v>236</v>
      </c>
      <c r="G1056" s="25"/>
      <c r="H1056" s="11"/>
      <c r="I1056" s="21"/>
      <c r="J1056" s="21"/>
      <c r="K1056" s="21"/>
      <c r="L1056" s="21"/>
      <c r="M1056" s="21"/>
      <c r="N1056" s="21"/>
    </row>
    <row r="1057" spans="1:14" ht="15.75" customHeight="1" x14ac:dyDescent="0.25">
      <c r="A1057" s="7">
        <v>1</v>
      </c>
      <c r="B1057" s="120" t="s">
        <v>650</v>
      </c>
      <c r="C1057" s="7">
        <v>1</v>
      </c>
      <c r="D1057" s="7" t="s">
        <v>363</v>
      </c>
      <c r="E1057" s="104">
        <v>8500000</v>
      </c>
      <c r="F1057" s="104">
        <f>E1057*C1057</f>
        <v>8500000</v>
      </c>
      <c r="G1057" s="25"/>
      <c r="H1057" s="11"/>
      <c r="I1057" s="21"/>
      <c r="J1057" s="21"/>
      <c r="K1057" s="21"/>
      <c r="L1057" s="21"/>
      <c r="M1057" s="21"/>
      <c r="N1057" s="21"/>
    </row>
    <row r="1058" spans="1:14" ht="15.75" customHeight="1" x14ac:dyDescent="0.25">
      <c r="A1058" s="7"/>
      <c r="B1058" s="343" t="s">
        <v>342</v>
      </c>
      <c r="C1058" s="344"/>
      <c r="D1058" s="344"/>
      <c r="E1058" s="334"/>
      <c r="F1058" s="104">
        <f>F1057</f>
        <v>8500000</v>
      </c>
      <c r="G1058" s="25"/>
      <c r="H1058" s="11"/>
      <c r="I1058" s="21"/>
      <c r="J1058" s="21"/>
      <c r="K1058" s="21"/>
      <c r="L1058" s="21"/>
      <c r="M1058" s="21"/>
      <c r="N1058" s="21"/>
    </row>
    <row r="1059" spans="1:14" ht="15.75" customHeight="1" x14ac:dyDescent="0.25">
      <c r="A1059" s="7"/>
      <c r="B1059" s="343" t="s">
        <v>343</v>
      </c>
      <c r="C1059" s="344"/>
      <c r="D1059" s="344"/>
      <c r="E1059" s="334"/>
      <c r="F1059" s="104">
        <v>935000</v>
      </c>
      <c r="G1059" s="25"/>
      <c r="H1059" s="11"/>
      <c r="I1059" s="21"/>
      <c r="J1059" s="21"/>
      <c r="K1059" s="21"/>
      <c r="L1059" s="21"/>
      <c r="M1059" s="21"/>
      <c r="N1059" s="21"/>
    </row>
    <row r="1060" spans="1:14" ht="15.75" customHeight="1" x14ac:dyDescent="0.25">
      <c r="A1060" s="7"/>
      <c r="B1060" s="345" t="s">
        <v>344</v>
      </c>
      <c r="C1060" s="344"/>
      <c r="D1060" s="344"/>
      <c r="E1060" s="334"/>
      <c r="F1060" s="107">
        <f>SUM(F1058:F1059)</f>
        <v>9435000</v>
      </c>
      <c r="G1060" s="25"/>
      <c r="H1060" s="11"/>
      <c r="I1060" s="21"/>
      <c r="J1060" s="21"/>
      <c r="K1060" s="21"/>
      <c r="L1060" s="21"/>
      <c r="M1060" s="21"/>
      <c r="N1060" s="21"/>
    </row>
    <row r="1061" spans="1:14" ht="15.75" customHeight="1" x14ac:dyDescent="0.25">
      <c r="A1061" s="21"/>
      <c r="B1061" s="21"/>
      <c r="C1061" s="11"/>
      <c r="D1061" s="11"/>
      <c r="E1061" s="21"/>
      <c r="F1061" s="21"/>
      <c r="G1061" s="25"/>
      <c r="H1061" s="11"/>
      <c r="I1061" s="21"/>
      <c r="J1061" s="21"/>
      <c r="K1061" s="21"/>
      <c r="L1061" s="21"/>
      <c r="M1061" s="21"/>
      <c r="N1061" s="21"/>
    </row>
    <row r="1062" spans="1:14" ht="15.75" customHeight="1" x14ac:dyDescent="0.25">
      <c r="A1062" s="31" t="s">
        <v>351</v>
      </c>
      <c r="B1062" s="31" t="s">
        <v>234</v>
      </c>
      <c r="C1062" s="31" t="s">
        <v>16</v>
      </c>
      <c r="D1062" s="31" t="s">
        <v>17</v>
      </c>
      <c r="E1062" s="31" t="s">
        <v>235</v>
      </c>
      <c r="F1062" s="31" t="s">
        <v>236</v>
      </c>
      <c r="G1062" s="25"/>
      <c r="H1062" s="11"/>
      <c r="I1062" s="21"/>
      <c r="J1062" s="21"/>
      <c r="K1062" s="21"/>
      <c r="L1062" s="21"/>
      <c r="M1062" s="21"/>
      <c r="N1062" s="21"/>
    </row>
    <row r="1063" spans="1:14" ht="15.75" customHeight="1" x14ac:dyDescent="0.25">
      <c r="A1063" s="7">
        <v>1</v>
      </c>
      <c r="B1063" s="41" t="s">
        <v>651</v>
      </c>
      <c r="C1063" s="7">
        <v>80</v>
      </c>
      <c r="D1063" s="7" t="s">
        <v>652</v>
      </c>
      <c r="E1063" s="104">
        <v>29000</v>
      </c>
      <c r="F1063" s="104">
        <f>E1063*C1063</f>
        <v>2320000</v>
      </c>
      <c r="G1063" s="25"/>
      <c r="H1063" s="11"/>
      <c r="I1063" s="21"/>
      <c r="J1063" s="21"/>
      <c r="K1063" s="21"/>
      <c r="L1063" s="21"/>
      <c r="M1063" s="21"/>
      <c r="N1063" s="21"/>
    </row>
    <row r="1064" spans="1:14" ht="15.75" customHeight="1" x14ac:dyDescent="0.25">
      <c r="A1064" s="7">
        <v>2</v>
      </c>
      <c r="B1064" s="41" t="s">
        <v>653</v>
      </c>
      <c r="C1064" s="7">
        <v>80</v>
      </c>
      <c r="D1064" s="7" t="s">
        <v>652</v>
      </c>
      <c r="E1064" s="104">
        <v>29000</v>
      </c>
      <c r="F1064" s="104">
        <f>E1064*C1064</f>
        <v>2320000</v>
      </c>
      <c r="G1064" s="25"/>
      <c r="H1064" s="11"/>
      <c r="I1064" s="21"/>
      <c r="J1064" s="21"/>
      <c r="K1064" s="21"/>
      <c r="L1064" s="21"/>
      <c r="M1064" s="21"/>
      <c r="N1064" s="21"/>
    </row>
    <row r="1065" spans="1:14" ht="15.75" customHeight="1" x14ac:dyDescent="0.25">
      <c r="A1065" s="7"/>
      <c r="B1065" s="343" t="s">
        <v>342</v>
      </c>
      <c r="C1065" s="344"/>
      <c r="D1065" s="344"/>
      <c r="E1065" s="334"/>
      <c r="F1065" s="104">
        <f>SUM(F1063:F1064)</f>
        <v>4640000</v>
      </c>
      <c r="G1065" s="25"/>
      <c r="H1065" s="11"/>
      <c r="I1065" s="21"/>
      <c r="J1065" s="21"/>
      <c r="K1065" s="21"/>
      <c r="L1065" s="21"/>
      <c r="M1065" s="21"/>
      <c r="N1065" s="21"/>
    </row>
    <row r="1066" spans="1:14" ht="15.75" customHeight="1" x14ac:dyDescent="0.25">
      <c r="A1066" s="7"/>
      <c r="B1066" s="343" t="s">
        <v>343</v>
      </c>
      <c r="C1066" s="344"/>
      <c r="D1066" s="344"/>
      <c r="E1066" s="334"/>
      <c r="F1066" s="104">
        <v>510400</v>
      </c>
      <c r="G1066" s="25"/>
      <c r="H1066" s="11"/>
      <c r="I1066" s="21"/>
      <c r="J1066" s="21"/>
      <c r="K1066" s="21"/>
      <c r="L1066" s="21"/>
      <c r="M1066" s="21"/>
      <c r="N1066" s="21"/>
    </row>
    <row r="1067" spans="1:14" ht="15.75" customHeight="1" x14ac:dyDescent="0.25">
      <c r="A1067" s="7"/>
      <c r="B1067" s="345" t="s">
        <v>344</v>
      </c>
      <c r="C1067" s="344"/>
      <c r="D1067" s="344"/>
      <c r="E1067" s="334"/>
      <c r="F1067" s="107">
        <f>SUM(F1065:F1066)</f>
        <v>5150400</v>
      </c>
      <c r="G1067" s="25"/>
      <c r="H1067" s="11"/>
      <c r="I1067" s="21"/>
      <c r="J1067" s="21"/>
      <c r="K1067" s="21"/>
      <c r="L1067" s="21"/>
      <c r="M1067" s="21"/>
      <c r="N1067" s="21"/>
    </row>
    <row r="1068" spans="1:14" ht="15.75" customHeight="1" x14ac:dyDescent="0.25">
      <c r="A1068" s="21"/>
      <c r="B1068" s="21"/>
      <c r="C1068" s="11"/>
      <c r="D1068" s="11"/>
      <c r="E1068" s="21"/>
      <c r="F1068" s="21"/>
      <c r="G1068" s="25"/>
      <c r="H1068" s="11"/>
      <c r="I1068" s="21"/>
      <c r="J1068" s="21"/>
      <c r="K1068" s="21"/>
      <c r="L1068" s="21"/>
      <c r="M1068" s="21"/>
      <c r="N1068" s="21"/>
    </row>
    <row r="1069" spans="1:14" ht="15.75" customHeight="1" x14ac:dyDescent="0.25">
      <c r="A1069" s="31" t="s">
        <v>14</v>
      </c>
      <c r="B1069" s="31" t="s">
        <v>234</v>
      </c>
      <c r="C1069" s="31" t="s">
        <v>16</v>
      </c>
      <c r="D1069" s="31" t="s">
        <v>17</v>
      </c>
      <c r="E1069" s="31" t="s">
        <v>235</v>
      </c>
      <c r="F1069" s="31" t="s">
        <v>236</v>
      </c>
      <c r="G1069" s="25"/>
      <c r="H1069" s="11"/>
      <c r="I1069" s="21"/>
      <c r="J1069" s="21"/>
      <c r="K1069" s="21"/>
      <c r="L1069" s="21"/>
      <c r="M1069" s="21"/>
      <c r="N1069" s="21"/>
    </row>
    <row r="1070" spans="1:14" ht="15.75" customHeight="1" x14ac:dyDescent="0.25">
      <c r="A1070" s="7">
        <v>1</v>
      </c>
      <c r="B1070" s="120" t="s">
        <v>654</v>
      </c>
      <c r="C1070" s="7">
        <v>2</v>
      </c>
      <c r="D1070" s="7" t="s">
        <v>19</v>
      </c>
      <c r="E1070" s="104">
        <v>831250</v>
      </c>
      <c r="F1070" s="104">
        <f>E1070*C1070</f>
        <v>1662500</v>
      </c>
      <c r="G1070" s="25"/>
      <c r="H1070" s="11"/>
      <c r="I1070" s="21"/>
      <c r="J1070" s="21"/>
      <c r="K1070" s="21"/>
      <c r="L1070" s="21"/>
      <c r="M1070" s="21"/>
      <c r="N1070" s="21"/>
    </row>
    <row r="1071" spans="1:14" ht="15.75" customHeight="1" x14ac:dyDescent="0.25">
      <c r="A1071" s="7"/>
      <c r="B1071" s="343" t="s">
        <v>342</v>
      </c>
      <c r="C1071" s="344"/>
      <c r="D1071" s="344"/>
      <c r="E1071" s="334"/>
      <c r="F1071" s="104">
        <f>F1070</f>
        <v>1662500</v>
      </c>
      <c r="G1071" s="25"/>
      <c r="H1071" s="11"/>
      <c r="I1071" s="21"/>
      <c r="J1071" s="21"/>
      <c r="K1071" s="21"/>
      <c r="L1071" s="21"/>
      <c r="M1071" s="21"/>
      <c r="N1071" s="21"/>
    </row>
    <row r="1072" spans="1:14" ht="15.75" customHeight="1" x14ac:dyDescent="0.25">
      <c r="A1072" s="7"/>
      <c r="B1072" s="343" t="s">
        <v>343</v>
      </c>
      <c r="C1072" s="344"/>
      <c r="D1072" s="344"/>
      <c r="E1072" s="334"/>
      <c r="F1072" s="104">
        <v>182875</v>
      </c>
      <c r="G1072" s="25"/>
      <c r="H1072" s="11"/>
      <c r="I1072" s="21"/>
      <c r="J1072" s="21"/>
      <c r="K1072" s="21"/>
      <c r="L1072" s="21"/>
      <c r="M1072" s="21"/>
      <c r="N1072" s="21"/>
    </row>
    <row r="1073" spans="1:14" ht="15.75" customHeight="1" x14ac:dyDescent="0.25">
      <c r="A1073" s="7"/>
      <c r="B1073" s="345" t="s">
        <v>344</v>
      </c>
      <c r="C1073" s="344"/>
      <c r="D1073" s="344"/>
      <c r="E1073" s="334"/>
      <c r="F1073" s="107">
        <f>SUM(F1071:F1072)</f>
        <v>1845375</v>
      </c>
      <c r="G1073" s="25"/>
      <c r="H1073" s="11"/>
      <c r="I1073" s="21"/>
      <c r="J1073" s="21"/>
      <c r="K1073" s="21"/>
      <c r="L1073" s="21"/>
      <c r="M1073" s="21"/>
      <c r="N1073" s="21"/>
    </row>
    <row r="1074" spans="1:14" ht="15.75" customHeight="1" x14ac:dyDescent="0.25">
      <c r="A1074" s="21"/>
      <c r="B1074" s="21"/>
      <c r="C1074" s="11"/>
      <c r="D1074" s="11"/>
      <c r="E1074" s="21"/>
      <c r="F1074" s="21"/>
      <c r="G1074" s="25"/>
      <c r="H1074" s="11"/>
      <c r="I1074" s="21"/>
      <c r="J1074" s="21"/>
      <c r="K1074" s="21"/>
      <c r="L1074" s="21"/>
      <c r="M1074" s="21"/>
      <c r="N1074" s="21"/>
    </row>
    <row r="1075" spans="1:14" ht="15.75" customHeight="1" x14ac:dyDescent="0.25">
      <c r="A1075" s="31" t="s">
        <v>14</v>
      </c>
      <c r="B1075" s="31" t="s">
        <v>234</v>
      </c>
      <c r="C1075" s="31" t="s">
        <v>16</v>
      </c>
      <c r="D1075" s="31" t="s">
        <v>17</v>
      </c>
      <c r="E1075" s="31" t="s">
        <v>235</v>
      </c>
      <c r="F1075" s="31" t="s">
        <v>236</v>
      </c>
      <c r="G1075" s="25"/>
      <c r="H1075" s="11"/>
      <c r="I1075" s="21"/>
      <c r="J1075" s="21"/>
      <c r="K1075" s="21"/>
      <c r="L1075" s="21"/>
      <c r="M1075" s="21"/>
      <c r="N1075" s="21"/>
    </row>
    <row r="1076" spans="1:14" ht="15.75" customHeight="1" x14ac:dyDescent="0.25">
      <c r="A1076" s="7">
        <v>1</v>
      </c>
      <c r="B1076" s="120" t="s">
        <v>655</v>
      </c>
      <c r="C1076" s="7">
        <v>1</v>
      </c>
      <c r="D1076" s="7" t="s">
        <v>243</v>
      </c>
      <c r="E1076" s="104">
        <v>35500000</v>
      </c>
      <c r="F1076" s="104">
        <f>E1076*C1076</f>
        <v>35500000</v>
      </c>
      <c r="G1076" s="25"/>
      <c r="H1076" s="11"/>
      <c r="I1076" s="21"/>
      <c r="J1076" s="21"/>
      <c r="K1076" s="21"/>
      <c r="L1076" s="21"/>
      <c r="M1076" s="21"/>
      <c r="N1076" s="21"/>
    </row>
    <row r="1077" spans="1:14" ht="15.75" customHeight="1" x14ac:dyDescent="0.25">
      <c r="A1077" s="7"/>
      <c r="B1077" s="343" t="s">
        <v>342</v>
      </c>
      <c r="C1077" s="344"/>
      <c r="D1077" s="344"/>
      <c r="E1077" s="334"/>
      <c r="F1077" s="104">
        <f>F1076</f>
        <v>35500000</v>
      </c>
      <c r="G1077" s="25"/>
      <c r="H1077" s="11"/>
      <c r="I1077" s="21"/>
      <c r="J1077" s="21"/>
      <c r="K1077" s="21"/>
      <c r="L1077" s="21"/>
      <c r="M1077" s="21"/>
      <c r="N1077" s="21"/>
    </row>
    <row r="1078" spans="1:14" ht="15.75" customHeight="1" x14ac:dyDescent="0.25">
      <c r="A1078" s="7"/>
      <c r="B1078" s="343" t="s">
        <v>343</v>
      </c>
      <c r="C1078" s="344"/>
      <c r="D1078" s="344"/>
      <c r="E1078" s="334"/>
      <c r="F1078" s="104">
        <v>3905000</v>
      </c>
      <c r="G1078" s="25"/>
      <c r="H1078" s="11"/>
      <c r="I1078" s="21"/>
      <c r="J1078" s="21"/>
      <c r="K1078" s="21"/>
      <c r="L1078" s="21"/>
      <c r="M1078" s="21"/>
      <c r="N1078" s="21"/>
    </row>
    <row r="1079" spans="1:14" ht="15.75" customHeight="1" x14ac:dyDescent="0.25">
      <c r="A1079" s="7"/>
      <c r="B1079" s="345" t="s">
        <v>344</v>
      </c>
      <c r="C1079" s="344"/>
      <c r="D1079" s="344"/>
      <c r="E1079" s="334"/>
      <c r="F1079" s="107">
        <f>SUM(F1077:F1078)</f>
        <v>39405000</v>
      </c>
      <c r="G1079" s="25"/>
      <c r="H1079" s="11"/>
      <c r="I1079" s="21"/>
      <c r="J1079" s="21"/>
      <c r="K1079" s="21"/>
      <c r="L1079" s="21"/>
      <c r="M1079" s="21"/>
      <c r="N1079" s="21"/>
    </row>
    <row r="1080" spans="1:14" ht="15.75" customHeight="1" x14ac:dyDescent="0.25">
      <c r="A1080" s="11"/>
      <c r="B1080" s="25"/>
      <c r="C1080" s="11"/>
      <c r="D1080" s="11"/>
      <c r="E1080" s="25"/>
      <c r="F1080" s="114"/>
      <c r="G1080" s="25"/>
      <c r="H1080" s="11"/>
      <c r="I1080" s="21"/>
      <c r="J1080" s="21"/>
      <c r="K1080" s="21"/>
      <c r="L1080" s="21"/>
      <c r="M1080" s="21"/>
      <c r="N1080" s="21"/>
    </row>
    <row r="1081" spans="1:14" ht="15.75" customHeight="1" x14ac:dyDescent="0.25">
      <c r="A1081" s="31" t="s">
        <v>14</v>
      </c>
      <c r="B1081" s="31" t="s">
        <v>234</v>
      </c>
      <c r="C1081" s="31" t="s">
        <v>16</v>
      </c>
      <c r="D1081" s="31" t="s">
        <v>17</v>
      </c>
      <c r="E1081" s="31" t="s">
        <v>235</v>
      </c>
      <c r="F1081" s="31" t="s">
        <v>236</v>
      </c>
      <c r="G1081" s="25"/>
      <c r="H1081" s="11"/>
      <c r="I1081" s="21"/>
      <c r="J1081" s="21"/>
      <c r="K1081" s="21"/>
      <c r="L1081" s="21"/>
      <c r="M1081" s="21"/>
      <c r="N1081" s="21"/>
    </row>
    <row r="1082" spans="1:14" ht="15.75" customHeight="1" x14ac:dyDescent="0.25">
      <c r="A1082" s="7">
        <v>1</v>
      </c>
      <c r="B1082" s="120" t="s">
        <v>656</v>
      </c>
      <c r="C1082" s="7">
        <v>50</v>
      </c>
      <c r="D1082" s="7" t="s">
        <v>363</v>
      </c>
      <c r="E1082" s="104">
        <v>10925</v>
      </c>
      <c r="F1082" s="104">
        <f>E1082*C1082</f>
        <v>546250</v>
      </c>
      <c r="G1082" s="25"/>
      <c r="H1082" s="11"/>
      <c r="I1082" s="21"/>
      <c r="J1082" s="21"/>
      <c r="K1082" s="21"/>
      <c r="L1082" s="21"/>
      <c r="M1082" s="21"/>
      <c r="N1082" s="21"/>
    </row>
    <row r="1083" spans="1:14" ht="15.75" customHeight="1" x14ac:dyDescent="0.25">
      <c r="A1083" s="7"/>
      <c r="B1083" s="343" t="s">
        <v>342</v>
      </c>
      <c r="C1083" s="344"/>
      <c r="D1083" s="344"/>
      <c r="E1083" s="334"/>
      <c r="F1083" s="104">
        <f>F1082</f>
        <v>546250</v>
      </c>
      <c r="G1083" s="25"/>
      <c r="H1083" s="11"/>
      <c r="I1083" s="21"/>
      <c r="J1083" s="21"/>
      <c r="K1083" s="21"/>
      <c r="L1083" s="21"/>
      <c r="M1083" s="21"/>
      <c r="N1083" s="21"/>
    </row>
    <row r="1084" spans="1:14" ht="15.75" customHeight="1" x14ac:dyDescent="0.25">
      <c r="A1084" s="7"/>
      <c r="B1084" s="343" t="s">
        <v>343</v>
      </c>
      <c r="C1084" s="344"/>
      <c r="D1084" s="344"/>
      <c r="E1084" s="334"/>
      <c r="F1084" s="104">
        <v>60087.5</v>
      </c>
      <c r="G1084" s="25"/>
      <c r="H1084" s="11"/>
      <c r="I1084" s="21"/>
      <c r="J1084" s="21"/>
      <c r="K1084" s="21"/>
      <c r="L1084" s="21"/>
      <c r="M1084" s="21"/>
      <c r="N1084" s="21"/>
    </row>
    <row r="1085" spans="1:14" ht="15.75" customHeight="1" x14ac:dyDescent="0.25">
      <c r="A1085" s="7"/>
      <c r="B1085" s="345" t="s">
        <v>344</v>
      </c>
      <c r="C1085" s="344"/>
      <c r="D1085" s="344"/>
      <c r="E1085" s="334"/>
      <c r="F1085" s="107">
        <f>SUM(F1083:F1084)</f>
        <v>606337.5</v>
      </c>
      <c r="G1085" s="25"/>
      <c r="H1085" s="11"/>
      <c r="I1085" s="21"/>
      <c r="J1085" s="21"/>
      <c r="K1085" s="21"/>
      <c r="L1085" s="21"/>
      <c r="M1085" s="21"/>
      <c r="N1085" s="21"/>
    </row>
    <row r="1086" spans="1:14" ht="15.75" customHeight="1" x14ac:dyDescent="0.25">
      <c r="A1086" s="21"/>
      <c r="B1086" s="21"/>
      <c r="C1086" s="11"/>
      <c r="D1086" s="11"/>
      <c r="E1086" s="21"/>
      <c r="F1086" s="21"/>
      <c r="G1086" s="25"/>
      <c r="H1086" s="11"/>
      <c r="I1086" s="21"/>
      <c r="J1086" s="21"/>
      <c r="K1086" s="21"/>
      <c r="L1086" s="21"/>
      <c r="M1086" s="21"/>
      <c r="N1086" s="21"/>
    </row>
    <row r="1087" spans="1:14" ht="15.75" customHeight="1" x14ac:dyDescent="0.25">
      <c r="A1087" s="31" t="s">
        <v>14</v>
      </c>
      <c r="B1087" s="31" t="s">
        <v>15</v>
      </c>
      <c r="C1087" s="31" t="s">
        <v>16</v>
      </c>
      <c r="D1087" s="31" t="s">
        <v>17</v>
      </c>
      <c r="E1087" s="31" t="s">
        <v>235</v>
      </c>
      <c r="F1087" s="31" t="s">
        <v>236</v>
      </c>
      <c r="G1087" s="25"/>
      <c r="H1087" s="11"/>
      <c r="I1087" s="21"/>
      <c r="J1087" s="21"/>
      <c r="K1087" s="21"/>
      <c r="L1087" s="21"/>
      <c r="M1087" s="21"/>
      <c r="N1087" s="21"/>
    </row>
    <row r="1088" spans="1:14" ht="15.75" customHeight="1" x14ac:dyDescent="0.25">
      <c r="A1088" s="7">
        <v>1</v>
      </c>
      <c r="B1088" s="127" t="s">
        <v>657</v>
      </c>
      <c r="C1088" s="117">
        <v>2</v>
      </c>
      <c r="D1088" s="117" t="s">
        <v>353</v>
      </c>
      <c r="E1088" s="104">
        <v>792878</v>
      </c>
      <c r="F1088" s="104">
        <f t="shared" ref="F1088:F1093" si="4">E1088*C1088</f>
        <v>1585756</v>
      </c>
      <c r="G1088" s="25"/>
      <c r="H1088" s="11"/>
      <c r="I1088" s="21"/>
      <c r="J1088" s="21"/>
      <c r="K1088" s="21"/>
      <c r="L1088" s="21"/>
      <c r="M1088" s="21"/>
      <c r="N1088" s="21"/>
    </row>
    <row r="1089" spans="1:14" ht="15.75" customHeight="1" x14ac:dyDescent="0.25">
      <c r="A1089" s="7">
        <v>2</v>
      </c>
      <c r="B1089" s="128" t="s">
        <v>658</v>
      </c>
      <c r="C1089" s="117">
        <v>3</v>
      </c>
      <c r="D1089" s="117" t="s">
        <v>353</v>
      </c>
      <c r="E1089" s="104">
        <v>793945</v>
      </c>
      <c r="F1089" s="104">
        <f t="shared" si="4"/>
        <v>2381835</v>
      </c>
      <c r="G1089" s="25"/>
      <c r="H1089" s="11"/>
      <c r="I1089" s="21"/>
      <c r="J1089" s="21"/>
      <c r="K1089" s="21"/>
      <c r="L1089" s="21"/>
      <c r="M1089" s="21"/>
      <c r="N1089" s="21"/>
    </row>
    <row r="1090" spans="1:14" ht="15.75" customHeight="1" x14ac:dyDescent="0.25">
      <c r="A1090" s="7">
        <v>3</v>
      </c>
      <c r="B1090" s="128" t="s">
        <v>659</v>
      </c>
      <c r="C1090" s="117">
        <v>4</v>
      </c>
      <c r="D1090" s="117" t="s">
        <v>353</v>
      </c>
      <c r="E1090" s="104">
        <v>792005</v>
      </c>
      <c r="F1090" s="104">
        <f t="shared" si="4"/>
        <v>3168020</v>
      </c>
      <c r="G1090" s="25"/>
      <c r="H1090" s="11"/>
      <c r="I1090" s="21"/>
      <c r="J1090" s="21"/>
      <c r="K1090" s="21"/>
      <c r="L1090" s="21"/>
      <c r="M1090" s="21"/>
      <c r="N1090" s="21"/>
    </row>
    <row r="1091" spans="1:14" ht="15.75" customHeight="1" x14ac:dyDescent="0.25">
      <c r="A1091" s="7">
        <v>4</v>
      </c>
      <c r="B1091" s="128" t="s">
        <v>660</v>
      </c>
      <c r="C1091" s="117">
        <v>6</v>
      </c>
      <c r="D1091" s="117" t="s">
        <v>353</v>
      </c>
      <c r="E1091" s="104">
        <v>792975</v>
      </c>
      <c r="F1091" s="104">
        <f t="shared" si="4"/>
        <v>4757850</v>
      </c>
      <c r="G1091" s="25"/>
      <c r="H1091" s="11"/>
      <c r="I1091" s="21"/>
      <c r="J1091" s="21"/>
      <c r="K1091" s="21"/>
      <c r="L1091" s="21"/>
      <c r="M1091" s="21"/>
      <c r="N1091" s="21"/>
    </row>
    <row r="1092" spans="1:14" ht="15.75" customHeight="1" x14ac:dyDescent="0.25">
      <c r="A1092" s="7">
        <v>5</v>
      </c>
      <c r="B1092" s="128" t="s">
        <v>661</v>
      </c>
      <c r="C1092" s="117">
        <v>2</v>
      </c>
      <c r="D1092" s="117" t="s">
        <v>353</v>
      </c>
      <c r="E1092" s="104">
        <v>792005</v>
      </c>
      <c r="F1092" s="104">
        <f t="shared" si="4"/>
        <v>1584010</v>
      </c>
      <c r="G1092" s="25"/>
      <c r="H1092" s="11"/>
      <c r="I1092" s="21"/>
      <c r="J1092" s="21"/>
      <c r="K1092" s="21"/>
      <c r="L1092" s="21"/>
      <c r="M1092" s="21"/>
      <c r="N1092" s="21"/>
    </row>
    <row r="1093" spans="1:14" ht="15.75" customHeight="1" x14ac:dyDescent="0.25">
      <c r="A1093" s="7">
        <v>6</v>
      </c>
      <c r="B1093" s="128" t="s">
        <v>662</v>
      </c>
      <c r="C1093" s="117">
        <v>1</v>
      </c>
      <c r="D1093" s="117" t="s">
        <v>353</v>
      </c>
      <c r="E1093" s="104">
        <v>1316290</v>
      </c>
      <c r="F1093" s="104">
        <f t="shared" si="4"/>
        <v>1316290</v>
      </c>
      <c r="G1093" s="25"/>
      <c r="H1093" s="11"/>
      <c r="I1093" s="21"/>
      <c r="J1093" s="21"/>
      <c r="K1093" s="21"/>
      <c r="L1093" s="21"/>
      <c r="M1093" s="21"/>
      <c r="N1093" s="21"/>
    </row>
    <row r="1094" spans="1:14" ht="15.75" customHeight="1" x14ac:dyDescent="0.25">
      <c r="A1094" s="7"/>
      <c r="B1094" s="343" t="s">
        <v>342</v>
      </c>
      <c r="C1094" s="344"/>
      <c r="D1094" s="344"/>
      <c r="E1094" s="334"/>
      <c r="F1094" s="104">
        <f>SUM(F1088:F1093)</f>
        <v>14793761</v>
      </c>
      <c r="G1094" s="25"/>
      <c r="H1094" s="11"/>
      <c r="I1094" s="21"/>
      <c r="J1094" s="21"/>
      <c r="K1094" s="21"/>
      <c r="L1094" s="21"/>
      <c r="M1094" s="21"/>
      <c r="N1094" s="21"/>
    </row>
    <row r="1095" spans="1:14" ht="15.75" customHeight="1" x14ac:dyDescent="0.25">
      <c r="A1095" s="7"/>
      <c r="B1095" s="343" t="s">
        <v>343</v>
      </c>
      <c r="C1095" s="344"/>
      <c r="D1095" s="344"/>
      <c r="E1095" s="334"/>
      <c r="F1095" s="104">
        <v>1627313.71</v>
      </c>
      <c r="G1095" s="25"/>
      <c r="H1095" s="11"/>
      <c r="I1095" s="21"/>
      <c r="J1095" s="21"/>
      <c r="K1095" s="21"/>
      <c r="L1095" s="21"/>
      <c r="M1095" s="21"/>
      <c r="N1095" s="21"/>
    </row>
    <row r="1096" spans="1:14" ht="15.75" customHeight="1" x14ac:dyDescent="0.25">
      <c r="A1096" s="7"/>
      <c r="B1096" s="345" t="s">
        <v>344</v>
      </c>
      <c r="C1096" s="344"/>
      <c r="D1096" s="344"/>
      <c r="E1096" s="334"/>
      <c r="F1096" s="107">
        <f>SUM(F1094:F1095)</f>
        <v>16421074.710000001</v>
      </c>
      <c r="G1096" s="25"/>
      <c r="H1096" s="11"/>
      <c r="I1096" s="21"/>
      <c r="J1096" s="21"/>
      <c r="K1096" s="21"/>
      <c r="L1096" s="21"/>
      <c r="M1096" s="21"/>
      <c r="N1096" s="21"/>
    </row>
    <row r="1097" spans="1:14" ht="15.75" customHeight="1" x14ac:dyDescent="0.25">
      <c r="A1097" s="21"/>
      <c r="B1097" s="21"/>
      <c r="C1097" s="11"/>
      <c r="D1097" s="11"/>
      <c r="E1097" s="21"/>
      <c r="F1097" s="21"/>
      <c r="G1097" s="25"/>
      <c r="H1097" s="11"/>
      <c r="I1097" s="21"/>
      <c r="J1097" s="21"/>
      <c r="K1097" s="21"/>
      <c r="L1097" s="21"/>
      <c r="M1097" s="21"/>
      <c r="N1097" s="21"/>
    </row>
    <row r="1098" spans="1:14" ht="15.75" customHeight="1" x14ac:dyDescent="0.25">
      <c r="A1098" s="31" t="s">
        <v>14</v>
      </c>
      <c r="B1098" s="31" t="s">
        <v>234</v>
      </c>
      <c r="C1098" s="31" t="s">
        <v>16</v>
      </c>
      <c r="D1098" s="31" t="s">
        <v>17</v>
      </c>
      <c r="E1098" s="31" t="s">
        <v>235</v>
      </c>
      <c r="F1098" s="31" t="s">
        <v>236</v>
      </c>
      <c r="G1098" s="25"/>
      <c r="H1098" s="11"/>
      <c r="I1098" s="21"/>
      <c r="J1098" s="21"/>
      <c r="K1098" s="21"/>
      <c r="L1098" s="21"/>
      <c r="M1098" s="21"/>
      <c r="N1098" s="21"/>
    </row>
    <row r="1099" spans="1:14" ht="15.75" customHeight="1" x14ac:dyDescent="0.25">
      <c r="A1099" s="7">
        <v>1</v>
      </c>
      <c r="B1099" s="120" t="s">
        <v>663</v>
      </c>
      <c r="C1099" s="7">
        <v>2</v>
      </c>
      <c r="D1099" s="7" t="s">
        <v>406</v>
      </c>
      <c r="E1099" s="104">
        <v>210000</v>
      </c>
      <c r="F1099" s="104">
        <f>E1099*C1099</f>
        <v>420000</v>
      </c>
      <c r="G1099" s="25"/>
      <c r="H1099" s="11"/>
      <c r="I1099" s="21"/>
      <c r="J1099" s="21"/>
      <c r="K1099" s="21"/>
      <c r="L1099" s="21"/>
      <c r="M1099" s="21"/>
      <c r="N1099" s="21"/>
    </row>
    <row r="1100" spans="1:14" ht="15.75" customHeight="1" x14ac:dyDescent="0.25">
      <c r="A1100" s="7"/>
      <c r="B1100" s="343" t="s">
        <v>342</v>
      </c>
      <c r="C1100" s="344"/>
      <c r="D1100" s="344"/>
      <c r="E1100" s="334"/>
      <c r="F1100" s="104">
        <f>F1099</f>
        <v>420000</v>
      </c>
      <c r="G1100" s="25"/>
      <c r="H1100" s="11"/>
      <c r="I1100" s="21"/>
      <c r="J1100" s="21"/>
      <c r="K1100" s="21"/>
      <c r="L1100" s="21"/>
      <c r="M1100" s="21"/>
      <c r="N1100" s="21"/>
    </row>
    <row r="1101" spans="1:14" ht="15.75" customHeight="1" x14ac:dyDescent="0.25">
      <c r="A1101" s="7"/>
      <c r="B1101" s="343" t="s">
        <v>343</v>
      </c>
      <c r="C1101" s="344"/>
      <c r="D1101" s="344"/>
      <c r="E1101" s="334"/>
      <c r="F1101" s="104">
        <v>46200</v>
      </c>
      <c r="G1101" s="25"/>
      <c r="H1101" s="11"/>
      <c r="I1101" s="21"/>
      <c r="J1101" s="21"/>
      <c r="K1101" s="21"/>
      <c r="L1101" s="21"/>
      <c r="M1101" s="21"/>
      <c r="N1101" s="21"/>
    </row>
    <row r="1102" spans="1:14" ht="15.75" customHeight="1" x14ac:dyDescent="0.25">
      <c r="A1102" s="7"/>
      <c r="B1102" s="345" t="s">
        <v>344</v>
      </c>
      <c r="C1102" s="344"/>
      <c r="D1102" s="344"/>
      <c r="E1102" s="334"/>
      <c r="F1102" s="107">
        <f>SUM(F1100:F1101)</f>
        <v>466200</v>
      </c>
      <c r="G1102" s="25"/>
      <c r="H1102" s="11"/>
      <c r="I1102" s="21"/>
      <c r="J1102" s="21"/>
      <c r="K1102" s="21"/>
      <c r="L1102" s="21"/>
      <c r="M1102" s="21"/>
      <c r="N1102" s="21"/>
    </row>
    <row r="1103" spans="1:14" ht="15.75" customHeight="1" x14ac:dyDescent="0.25">
      <c r="A1103" s="21"/>
      <c r="B1103" s="21"/>
      <c r="C1103" s="11"/>
      <c r="D1103" s="11"/>
      <c r="E1103" s="21"/>
      <c r="F1103" s="21"/>
      <c r="G1103" s="25"/>
      <c r="H1103" s="11"/>
      <c r="I1103" s="21"/>
      <c r="J1103" s="21"/>
      <c r="K1103" s="21"/>
      <c r="L1103" s="21"/>
      <c r="M1103" s="21"/>
      <c r="N1103" s="21"/>
    </row>
    <row r="1104" spans="1:14" ht="15.75" customHeight="1" x14ac:dyDescent="0.25">
      <c r="A1104" s="31" t="s">
        <v>14</v>
      </c>
      <c r="B1104" s="31" t="s">
        <v>15</v>
      </c>
      <c r="C1104" s="31" t="s">
        <v>16</v>
      </c>
      <c r="D1104" s="31" t="s">
        <v>17</v>
      </c>
      <c r="E1104" s="31" t="s">
        <v>235</v>
      </c>
      <c r="F1104" s="31" t="s">
        <v>236</v>
      </c>
      <c r="G1104" s="25"/>
      <c r="H1104" s="11"/>
      <c r="I1104" s="21"/>
      <c r="J1104" s="21"/>
      <c r="K1104" s="21"/>
      <c r="L1104" s="21"/>
      <c r="M1104" s="21"/>
      <c r="N1104" s="21"/>
    </row>
    <row r="1105" spans="1:14" ht="15.75" customHeight="1" x14ac:dyDescent="0.25">
      <c r="A1105" s="7">
        <v>1</v>
      </c>
      <c r="B1105" s="120" t="s">
        <v>664</v>
      </c>
      <c r="C1105" s="7">
        <v>16</v>
      </c>
      <c r="D1105" s="7" t="s">
        <v>406</v>
      </c>
      <c r="E1105" s="104">
        <v>242500</v>
      </c>
      <c r="F1105" s="104">
        <f>E1105*C1105</f>
        <v>3880000</v>
      </c>
      <c r="G1105" s="25"/>
      <c r="H1105" s="11"/>
      <c r="I1105" s="21"/>
      <c r="J1105" s="21"/>
      <c r="K1105" s="21"/>
      <c r="L1105" s="21"/>
      <c r="M1105" s="21"/>
      <c r="N1105" s="21"/>
    </row>
    <row r="1106" spans="1:14" ht="15.75" customHeight="1" x14ac:dyDescent="0.25">
      <c r="A1106" s="7">
        <v>2</v>
      </c>
      <c r="B1106" s="124" t="s">
        <v>665</v>
      </c>
      <c r="C1106" s="7">
        <v>2</v>
      </c>
      <c r="D1106" s="7" t="s">
        <v>406</v>
      </c>
      <c r="E1106" s="104">
        <v>349200</v>
      </c>
      <c r="F1106" s="104">
        <f>E1106*C1106</f>
        <v>698400</v>
      </c>
      <c r="G1106" s="25"/>
      <c r="H1106" s="11"/>
      <c r="I1106" s="21"/>
      <c r="J1106" s="21"/>
      <c r="K1106" s="21"/>
      <c r="L1106" s="21"/>
      <c r="M1106" s="21"/>
      <c r="N1106" s="21"/>
    </row>
    <row r="1107" spans="1:14" ht="15.75" customHeight="1" x14ac:dyDescent="0.25">
      <c r="A1107" s="7">
        <v>3</v>
      </c>
      <c r="B1107" s="38" t="s">
        <v>666</v>
      </c>
      <c r="C1107" s="7">
        <v>4</v>
      </c>
      <c r="D1107" s="7" t="s">
        <v>406</v>
      </c>
      <c r="E1107" s="104">
        <v>383150</v>
      </c>
      <c r="F1107" s="104">
        <f>E1107*C1107</f>
        <v>1532600</v>
      </c>
      <c r="G1107" s="25"/>
      <c r="H1107" s="11"/>
      <c r="I1107" s="21"/>
      <c r="J1107" s="21"/>
      <c r="K1107" s="21"/>
      <c r="L1107" s="21"/>
      <c r="M1107" s="21"/>
      <c r="N1107" s="21"/>
    </row>
    <row r="1108" spans="1:14" ht="15.75" customHeight="1" x14ac:dyDescent="0.25">
      <c r="A1108" s="7">
        <v>4</v>
      </c>
      <c r="B1108" s="38" t="s">
        <v>667</v>
      </c>
      <c r="C1108" s="7">
        <v>12</v>
      </c>
      <c r="D1108" s="7" t="s">
        <v>355</v>
      </c>
      <c r="E1108" s="104">
        <v>989400</v>
      </c>
      <c r="F1108" s="104">
        <f>E1108*C1108</f>
        <v>11872800</v>
      </c>
      <c r="G1108" s="25"/>
      <c r="H1108" s="11"/>
      <c r="I1108" s="21"/>
      <c r="J1108" s="21"/>
      <c r="K1108" s="21"/>
      <c r="L1108" s="21"/>
      <c r="M1108" s="21"/>
      <c r="N1108" s="21"/>
    </row>
    <row r="1109" spans="1:14" ht="15.75" customHeight="1" x14ac:dyDescent="0.25">
      <c r="A1109" s="7"/>
      <c r="B1109" s="105" t="s">
        <v>342</v>
      </c>
      <c r="C1109" s="125"/>
      <c r="D1109" s="125"/>
      <c r="E1109" s="126"/>
      <c r="F1109" s="104">
        <f>SUM(F1105:F1108)</f>
        <v>17983800</v>
      </c>
      <c r="G1109" s="25"/>
      <c r="H1109" s="11"/>
      <c r="I1109" s="21"/>
      <c r="J1109" s="21"/>
      <c r="K1109" s="21"/>
      <c r="L1109" s="21"/>
      <c r="M1109" s="21"/>
      <c r="N1109" s="21"/>
    </row>
    <row r="1110" spans="1:14" ht="15.75" customHeight="1" x14ac:dyDescent="0.25">
      <c r="A1110" s="7"/>
      <c r="B1110" s="343" t="s">
        <v>343</v>
      </c>
      <c r="C1110" s="344"/>
      <c r="D1110" s="344"/>
      <c r="E1110" s="334"/>
      <c r="F1110" s="104">
        <v>1978218</v>
      </c>
      <c r="G1110" s="25"/>
      <c r="H1110" s="11"/>
      <c r="I1110" s="21"/>
      <c r="J1110" s="21"/>
      <c r="K1110" s="21"/>
      <c r="L1110" s="21"/>
      <c r="M1110" s="21"/>
      <c r="N1110" s="21"/>
    </row>
    <row r="1111" spans="1:14" ht="15.75" customHeight="1" x14ac:dyDescent="0.25">
      <c r="A1111" s="7"/>
      <c r="B1111" s="345" t="s">
        <v>344</v>
      </c>
      <c r="C1111" s="344"/>
      <c r="D1111" s="344"/>
      <c r="E1111" s="334"/>
      <c r="F1111" s="107">
        <f>SUM(F1109:F1110)</f>
        <v>19962018</v>
      </c>
      <c r="G1111" s="25"/>
      <c r="H1111" s="11"/>
      <c r="I1111" s="21"/>
      <c r="J1111" s="21"/>
      <c r="K1111" s="21"/>
      <c r="L1111" s="21"/>
      <c r="M1111" s="21"/>
      <c r="N1111" s="21"/>
    </row>
    <row r="1112" spans="1:14" ht="15.75" customHeight="1" x14ac:dyDescent="0.25">
      <c r="A1112" s="21"/>
      <c r="B1112" s="21"/>
      <c r="C1112" s="11"/>
      <c r="D1112" s="11"/>
      <c r="E1112" s="21"/>
      <c r="F1112" s="21"/>
      <c r="G1112" s="25"/>
      <c r="H1112" s="11"/>
      <c r="I1112" s="21"/>
      <c r="J1112" s="21"/>
      <c r="K1112" s="21"/>
      <c r="L1112" s="21"/>
      <c r="M1112" s="21"/>
      <c r="N1112" s="21"/>
    </row>
    <row r="1113" spans="1:14" ht="15.75" customHeight="1" x14ac:dyDescent="0.25">
      <c r="A1113" s="31" t="s">
        <v>14</v>
      </c>
      <c r="B1113" s="31" t="s">
        <v>234</v>
      </c>
      <c r="C1113" s="31" t="s">
        <v>16</v>
      </c>
      <c r="D1113" s="31" t="s">
        <v>17</v>
      </c>
      <c r="E1113" s="31" t="s">
        <v>235</v>
      </c>
      <c r="F1113" s="31" t="s">
        <v>236</v>
      </c>
      <c r="G1113" s="25"/>
      <c r="H1113" s="11"/>
      <c r="I1113" s="21"/>
      <c r="J1113" s="21"/>
      <c r="K1113" s="21"/>
      <c r="L1113" s="21"/>
      <c r="M1113" s="21"/>
      <c r="N1113" s="21"/>
    </row>
    <row r="1114" spans="1:14" ht="15.75" customHeight="1" x14ac:dyDescent="0.25">
      <c r="A1114" s="7">
        <v>1</v>
      </c>
      <c r="B1114" s="120" t="s">
        <v>668</v>
      </c>
      <c r="C1114" s="7">
        <v>2</v>
      </c>
      <c r="D1114" s="7" t="s">
        <v>363</v>
      </c>
      <c r="E1114" s="104">
        <v>795500</v>
      </c>
      <c r="F1114" s="104">
        <f>E1114*C1114</f>
        <v>1591000</v>
      </c>
      <c r="G1114" s="25"/>
      <c r="H1114" s="11"/>
      <c r="I1114" s="21"/>
      <c r="J1114" s="21"/>
      <c r="K1114" s="21"/>
      <c r="L1114" s="21"/>
      <c r="M1114" s="21"/>
      <c r="N1114" s="21"/>
    </row>
    <row r="1115" spans="1:14" ht="15.75" customHeight="1" x14ac:dyDescent="0.25">
      <c r="A1115" s="7"/>
      <c r="B1115" s="343" t="s">
        <v>342</v>
      </c>
      <c r="C1115" s="344"/>
      <c r="D1115" s="344"/>
      <c r="E1115" s="334"/>
      <c r="F1115" s="104">
        <f>F1114</f>
        <v>1591000</v>
      </c>
      <c r="G1115" s="25"/>
      <c r="H1115" s="11"/>
      <c r="I1115" s="21"/>
      <c r="J1115" s="21"/>
      <c r="K1115" s="21"/>
      <c r="L1115" s="21"/>
      <c r="M1115" s="21"/>
      <c r="N1115" s="21"/>
    </row>
    <row r="1116" spans="1:14" ht="15.75" customHeight="1" x14ac:dyDescent="0.25">
      <c r="A1116" s="7"/>
      <c r="B1116" s="343" t="s">
        <v>343</v>
      </c>
      <c r="C1116" s="344"/>
      <c r="D1116" s="344"/>
      <c r="E1116" s="334"/>
      <c r="F1116" s="104">
        <v>175010</v>
      </c>
      <c r="G1116" s="25"/>
      <c r="H1116" s="11"/>
      <c r="I1116" s="21"/>
      <c r="J1116" s="21"/>
      <c r="K1116" s="21"/>
      <c r="L1116" s="21"/>
      <c r="M1116" s="21"/>
      <c r="N1116" s="21"/>
    </row>
    <row r="1117" spans="1:14" ht="15.75" customHeight="1" x14ac:dyDescent="0.25">
      <c r="A1117" s="7"/>
      <c r="B1117" s="345" t="s">
        <v>344</v>
      </c>
      <c r="C1117" s="344"/>
      <c r="D1117" s="344"/>
      <c r="E1117" s="334"/>
      <c r="F1117" s="107">
        <f>SUM(F1115:F1116)</f>
        <v>1766010</v>
      </c>
      <c r="G1117" s="25"/>
      <c r="H1117" s="11"/>
      <c r="I1117" s="21"/>
      <c r="J1117" s="21"/>
      <c r="K1117" s="21"/>
      <c r="L1117" s="21"/>
      <c r="M1117" s="21"/>
      <c r="N1117" s="21"/>
    </row>
    <row r="1118" spans="1:14" ht="15.75" customHeight="1" x14ac:dyDescent="0.25">
      <c r="A1118" s="21"/>
      <c r="B1118" s="21"/>
      <c r="C1118" s="11"/>
      <c r="D1118" s="11"/>
      <c r="E1118" s="21"/>
      <c r="F1118" s="21"/>
      <c r="G1118" s="25"/>
      <c r="H1118" s="11"/>
      <c r="I1118" s="21"/>
      <c r="J1118" s="21"/>
      <c r="K1118" s="21"/>
      <c r="L1118" s="21"/>
      <c r="M1118" s="21"/>
      <c r="N1118" s="21"/>
    </row>
    <row r="1119" spans="1:14" ht="15.75" customHeight="1" x14ac:dyDescent="0.25">
      <c r="A1119" s="31" t="s">
        <v>14</v>
      </c>
      <c r="B1119" s="31" t="s">
        <v>234</v>
      </c>
      <c r="C1119" s="31" t="s">
        <v>16</v>
      </c>
      <c r="D1119" s="31" t="s">
        <v>17</v>
      </c>
      <c r="E1119" s="31" t="s">
        <v>235</v>
      </c>
      <c r="F1119" s="31" t="s">
        <v>236</v>
      </c>
      <c r="G1119" s="25"/>
      <c r="H1119" s="11"/>
      <c r="I1119" s="21"/>
      <c r="J1119" s="21"/>
      <c r="K1119" s="21"/>
      <c r="L1119" s="21"/>
      <c r="M1119" s="21"/>
      <c r="N1119" s="21"/>
    </row>
    <row r="1120" spans="1:14" ht="15.75" customHeight="1" x14ac:dyDescent="0.25">
      <c r="A1120" s="7">
        <v>1</v>
      </c>
      <c r="B1120" s="120" t="s">
        <v>669</v>
      </c>
      <c r="C1120" s="7">
        <v>2</v>
      </c>
      <c r="D1120" s="7" t="s">
        <v>363</v>
      </c>
      <c r="E1120" s="104">
        <v>850000</v>
      </c>
      <c r="F1120" s="104">
        <f>E1120*C1120</f>
        <v>1700000</v>
      </c>
      <c r="G1120" s="25"/>
      <c r="H1120" s="11"/>
      <c r="I1120" s="21"/>
      <c r="J1120" s="21"/>
      <c r="K1120" s="21"/>
      <c r="L1120" s="21"/>
      <c r="M1120" s="21"/>
      <c r="N1120" s="21"/>
    </row>
    <row r="1121" spans="1:14" ht="15.75" customHeight="1" x14ac:dyDescent="0.25">
      <c r="A1121" s="7"/>
      <c r="B1121" s="343" t="s">
        <v>342</v>
      </c>
      <c r="C1121" s="344"/>
      <c r="D1121" s="344"/>
      <c r="E1121" s="334"/>
      <c r="F1121" s="104">
        <f>F1120</f>
        <v>1700000</v>
      </c>
      <c r="G1121" s="25"/>
      <c r="H1121" s="11"/>
      <c r="I1121" s="21"/>
      <c r="J1121" s="21"/>
      <c r="K1121" s="21"/>
      <c r="L1121" s="21"/>
      <c r="M1121" s="21"/>
      <c r="N1121" s="21"/>
    </row>
    <row r="1122" spans="1:14" ht="15.75" customHeight="1" x14ac:dyDescent="0.25">
      <c r="A1122" s="7"/>
      <c r="B1122" s="343" t="s">
        <v>343</v>
      </c>
      <c r="C1122" s="344"/>
      <c r="D1122" s="344"/>
      <c r="E1122" s="334"/>
      <c r="F1122" s="104">
        <v>187000</v>
      </c>
      <c r="G1122" s="25"/>
      <c r="H1122" s="11"/>
      <c r="I1122" s="21"/>
      <c r="J1122" s="21"/>
      <c r="K1122" s="21"/>
      <c r="L1122" s="21"/>
      <c r="M1122" s="21"/>
      <c r="N1122" s="21"/>
    </row>
    <row r="1123" spans="1:14" ht="15.75" customHeight="1" x14ac:dyDescent="0.25">
      <c r="A1123" s="7"/>
      <c r="B1123" s="345" t="s">
        <v>344</v>
      </c>
      <c r="C1123" s="344"/>
      <c r="D1123" s="344"/>
      <c r="E1123" s="334"/>
      <c r="F1123" s="107">
        <f>SUM(F1121:F1122)</f>
        <v>1887000</v>
      </c>
      <c r="G1123" s="25"/>
      <c r="H1123" s="11"/>
      <c r="I1123" s="21"/>
      <c r="J1123" s="21"/>
      <c r="K1123" s="21"/>
      <c r="L1123" s="21"/>
      <c r="M1123" s="21"/>
      <c r="N1123" s="21"/>
    </row>
    <row r="1124" spans="1:14" ht="15.75" customHeight="1" x14ac:dyDescent="0.25">
      <c r="A1124" s="21"/>
      <c r="B1124" s="21"/>
      <c r="C1124" s="11"/>
      <c r="D1124" s="11"/>
      <c r="E1124" s="21"/>
      <c r="F1124" s="21"/>
      <c r="G1124" s="25"/>
      <c r="H1124" s="11"/>
      <c r="I1124" s="21"/>
      <c r="J1124" s="21"/>
      <c r="K1124" s="21"/>
      <c r="L1124" s="21"/>
      <c r="M1124" s="21"/>
      <c r="N1124" s="21"/>
    </row>
    <row r="1125" spans="1:14" ht="15.75" customHeight="1" x14ac:dyDescent="0.25">
      <c r="A1125" s="31" t="s">
        <v>351</v>
      </c>
      <c r="B1125" s="31" t="s">
        <v>234</v>
      </c>
      <c r="C1125" s="31" t="s">
        <v>16</v>
      </c>
      <c r="D1125" s="31" t="s">
        <v>17</v>
      </c>
      <c r="E1125" s="31" t="s">
        <v>235</v>
      </c>
      <c r="F1125" s="31" t="s">
        <v>236</v>
      </c>
      <c r="G1125" s="25"/>
      <c r="H1125" s="11"/>
      <c r="I1125" s="21"/>
      <c r="J1125" s="21"/>
      <c r="K1125" s="21"/>
      <c r="L1125" s="21"/>
      <c r="M1125" s="21"/>
      <c r="N1125" s="21"/>
    </row>
    <row r="1126" spans="1:14" ht="15.75" customHeight="1" x14ac:dyDescent="0.25">
      <c r="A1126" s="7">
        <v>1</v>
      </c>
      <c r="B1126" s="41" t="s">
        <v>670</v>
      </c>
      <c r="C1126" s="7">
        <v>60</v>
      </c>
      <c r="D1126" s="7" t="s">
        <v>539</v>
      </c>
      <c r="E1126" s="104">
        <v>33250</v>
      </c>
      <c r="F1126" s="104">
        <f>E1126*C1126</f>
        <v>1995000</v>
      </c>
      <c r="G1126" s="25"/>
      <c r="H1126" s="11"/>
      <c r="I1126" s="21"/>
      <c r="J1126" s="21"/>
      <c r="K1126" s="21"/>
      <c r="L1126" s="21"/>
      <c r="M1126" s="21"/>
      <c r="N1126" s="21"/>
    </row>
    <row r="1127" spans="1:14" ht="15.75" customHeight="1" x14ac:dyDescent="0.25">
      <c r="A1127" s="7">
        <v>2</v>
      </c>
      <c r="B1127" s="41" t="s">
        <v>671</v>
      </c>
      <c r="C1127" s="7">
        <v>100</v>
      </c>
      <c r="D1127" s="7" t="s">
        <v>539</v>
      </c>
      <c r="E1127" s="104">
        <v>44745</v>
      </c>
      <c r="F1127" s="104">
        <f>E1127*C1127</f>
        <v>4474500</v>
      </c>
      <c r="G1127" s="25"/>
      <c r="H1127" s="11"/>
      <c r="I1127" s="21"/>
      <c r="J1127" s="21"/>
      <c r="K1127" s="21"/>
      <c r="L1127" s="21"/>
      <c r="M1127" s="21"/>
      <c r="N1127" s="21"/>
    </row>
    <row r="1128" spans="1:14" ht="15.75" customHeight="1" x14ac:dyDescent="0.25">
      <c r="A1128" s="7"/>
      <c r="B1128" s="343" t="s">
        <v>342</v>
      </c>
      <c r="C1128" s="344"/>
      <c r="D1128" s="344"/>
      <c r="E1128" s="334"/>
      <c r="F1128" s="104">
        <f>SUM(F1126:F1127)</f>
        <v>6469500</v>
      </c>
      <c r="G1128" s="25"/>
      <c r="H1128" s="11"/>
      <c r="I1128" s="21"/>
      <c r="J1128" s="21"/>
      <c r="K1128" s="21"/>
      <c r="L1128" s="21"/>
      <c r="M1128" s="21"/>
      <c r="N1128" s="21"/>
    </row>
    <row r="1129" spans="1:14" ht="15.75" customHeight="1" x14ac:dyDescent="0.25">
      <c r="A1129" s="7"/>
      <c r="B1129" s="343" t="s">
        <v>343</v>
      </c>
      <c r="C1129" s="344"/>
      <c r="D1129" s="344"/>
      <c r="E1129" s="334"/>
      <c r="F1129" s="104">
        <v>711645</v>
      </c>
      <c r="G1129" s="25"/>
      <c r="H1129" s="11"/>
      <c r="I1129" s="21"/>
      <c r="J1129" s="21"/>
      <c r="K1129" s="21"/>
      <c r="L1129" s="21"/>
      <c r="M1129" s="21"/>
      <c r="N1129" s="21"/>
    </row>
    <row r="1130" spans="1:14" ht="15.75" customHeight="1" x14ac:dyDescent="0.25">
      <c r="A1130" s="7"/>
      <c r="B1130" s="345" t="s">
        <v>344</v>
      </c>
      <c r="C1130" s="344"/>
      <c r="D1130" s="344"/>
      <c r="E1130" s="334"/>
      <c r="F1130" s="107">
        <f>SUM(F1128:F1129)</f>
        <v>7181145</v>
      </c>
      <c r="G1130" s="25"/>
      <c r="H1130" s="11"/>
      <c r="I1130" s="21"/>
      <c r="J1130" s="21"/>
      <c r="K1130" s="21"/>
      <c r="L1130" s="21"/>
      <c r="M1130" s="21"/>
      <c r="N1130" s="21"/>
    </row>
    <row r="1131" spans="1:14" ht="15.75" customHeight="1" x14ac:dyDescent="0.25">
      <c r="A1131" s="21"/>
      <c r="B1131" s="21"/>
      <c r="C1131" s="11"/>
      <c r="D1131" s="11"/>
      <c r="E1131" s="21"/>
      <c r="F1131" s="21"/>
      <c r="G1131" s="25"/>
      <c r="H1131" s="11"/>
      <c r="I1131" s="21"/>
      <c r="J1131" s="21"/>
      <c r="K1131" s="21"/>
      <c r="L1131" s="21"/>
      <c r="M1131" s="21"/>
      <c r="N1131" s="21"/>
    </row>
    <row r="1132" spans="1:14" ht="15.75" customHeight="1" x14ac:dyDescent="0.25">
      <c r="A1132" s="31" t="s">
        <v>14</v>
      </c>
      <c r="B1132" s="31" t="s">
        <v>234</v>
      </c>
      <c r="C1132" s="31" t="s">
        <v>16</v>
      </c>
      <c r="D1132" s="31" t="s">
        <v>17</v>
      </c>
      <c r="E1132" s="31" t="s">
        <v>235</v>
      </c>
      <c r="F1132" s="31" t="s">
        <v>236</v>
      </c>
      <c r="G1132" s="25"/>
      <c r="H1132" s="11"/>
      <c r="I1132" s="21"/>
      <c r="J1132" s="21"/>
      <c r="K1132" s="21"/>
      <c r="L1132" s="21"/>
      <c r="M1132" s="21"/>
      <c r="N1132" s="21"/>
    </row>
    <row r="1133" spans="1:14" ht="15.75" customHeight="1" x14ac:dyDescent="0.25">
      <c r="A1133" s="7">
        <v>1</v>
      </c>
      <c r="B1133" s="120" t="s">
        <v>672</v>
      </c>
      <c r="C1133" s="7">
        <v>5</v>
      </c>
      <c r="D1133" s="7" t="s">
        <v>363</v>
      </c>
      <c r="E1133" s="104">
        <v>72000</v>
      </c>
      <c r="F1133" s="104">
        <f>E1133*C1133</f>
        <v>360000</v>
      </c>
      <c r="G1133" s="25"/>
      <c r="H1133" s="11"/>
      <c r="I1133" s="21"/>
      <c r="J1133" s="21"/>
      <c r="K1133" s="21"/>
      <c r="L1133" s="21"/>
      <c r="M1133" s="21"/>
      <c r="N1133" s="21"/>
    </row>
    <row r="1134" spans="1:14" ht="15.75" customHeight="1" x14ac:dyDescent="0.25">
      <c r="A1134" s="7"/>
      <c r="B1134" s="343" t="s">
        <v>342</v>
      </c>
      <c r="C1134" s="344"/>
      <c r="D1134" s="344"/>
      <c r="E1134" s="334"/>
      <c r="F1134" s="104">
        <f>F1133</f>
        <v>360000</v>
      </c>
      <c r="G1134" s="25"/>
      <c r="H1134" s="11"/>
      <c r="I1134" s="21"/>
      <c r="J1134" s="21"/>
      <c r="K1134" s="21"/>
      <c r="L1134" s="21"/>
      <c r="M1134" s="21"/>
      <c r="N1134" s="21"/>
    </row>
    <row r="1135" spans="1:14" ht="15.75" customHeight="1" x14ac:dyDescent="0.25">
      <c r="A1135" s="7"/>
      <c r="B1135" s="343" t="s">
        <v>343</v>
      </c>
      <c r="C1135" s="344"/>
      <c r="D1135" s="344"/>
      <c r="E1135" s="334"/>
      <c r="F1135" s="104">
        <v>39600</v>
      </c>
      <c r="G1135" s="25"/>
      <c r="H1135" s="11"/>
      <c r="I1135" s="21"/>
      <c r="J1135" s="21"/>
      <c r="K1135" s="21"/>
      <c r="L1135" s="21"/>
      <c r="M1135" s="21"/>
      <c r="N1135" s="21"/>
    </row>
    <row r="1136" spans="1:14" ht="15.75" customHeight="1" x14ac:dyDescent="0.25">
      <c r="A1136" s="7"/>
      <c r="B1136" s="345" t="s">
        <v>344</v>
      </c>
      <c r="C1136" s="344"/>
      <c r="D1136" s="344"/>
      <c r="E1136" s="334"/>
      <c r="F1136" s="107">
        <f>SUM(F1134:F1135)</f>
        <v>399600</v>
      </c>
      <c r="G1136" s="25"/>
      <c r="H1136" s="11"/>
      <c r="I1136" s="21"/>
      <c r="J1136" s="21"/>
      <c r="K1136" s="21"/>
      <c r="L1136" s="21"/>
      <c r="M1136" s="21"/>
      <c r="N1136" s="21"/>
    </row>
    <row r="1137" spans="1:14" ht="15.75" customHeight="1" x14ac:dyDescent="0.25">
      <c r="A1137" s="21"/>
      <c r="B1137" s="21"/>
      <c r="C1137" s="11"/>
      <c r="D1137" s="11"/>
      <c r="E1137" s="21"/>
      <c r="F1137" s="21"/>
      <c r="G1137" s="25"/>
      <c r="H1137" s="11"/>
      <c r="I1137" s="21"/>
      <c r="J1137" s="21"/>
      <c r="K1137" s="21"/>
      <c r="L1137" s="21"/>
      <c r="M1137" s="21"/>
      <c r="N1137" s="21"/>
    </row>
    <row r="1138" spans="1:14" ht="15.75" customHeight="1" x14ac:dyDescent="0.25">
      <c r="A1138" s="31" t="s">
        <v>14</v>
      </c>
      <c r="B1138" s="31" t="s">
        <v>234</v>
      </c>
      <c r="C1138" s="31" t="s">
        <v>16</v>
      </c>
      <c r="D1138" s="31" t="s">
        <v>17</v>
      </c>
      <c r="E1138" s="31" t="s">
        <v>235</v>
      </c>
      <c r="F1138" s="31" t="s">
        <v>236</v>
      </c>
      <c r="G1138" s="25"/>
      <c r="H1138" s="11"/>
      <c r="I1138" s="21"/>
      <c r="J1138" s="21"/>
      <c r="K1138" s="21"/>
      <c r="L1138" s="21"/>
      <c r="M1138" s="21"/>
      <c r="N1138" s="21"/>
    </row>
    <row r="1139" spans="1:14" ht="15.75" customHeight="1" x14ac:dyDescent="0.25">
      <c r="A1139" s="7">
        <v>1</v>
      </c>
      <c r="B1139" s="120" t="s">
        <v>673</v>
      </c>
      <c r="C1139" s="7">
        <v>2</v>
      </c>
      <c r="D1139" s="7" t="s">
        <v>363</v>
      </c>
      <c r="E1139" s="104">
        <v>750000</v>
      </c>
      <c r="F1139" s="104">
        <f>E1139*C1139</f>
        <v>1500000</v>
      </c>
      <c r="G1139" s="25"/>
      <c r="H1139" s="11"/>
      <c r="I1139" s="21"/>
      <c r="J1139" s="21"/>
      <c r="K1139" s="21"/>
      <c r="L1139" s="21"/>
      <c r="M1139" s="21"/>
      <c r="N1139" s="21"/>
    </row>
    <row r="1140" spans="1:14" ht="15.75" customHeight="1" x14ac:dyDescent="0.25">
      <c r="A1140" s="7"/>
      <c r="B1140" s="343" t="s">
        <v>342</v>
      </c>
      <c r="C1140" s="344"/>
      <c r="D1140" s="344"/>
      <c r="E1140" s="334"/>
      <c r="F1140" s="104">
        <f>F1139</f>
        <v>1500000</v>
      </c>
      <c r="G1140" s="25"/>
      <c r="H1140" s="11"/>
      <c r="I1140" s="21"/>
      <c r="J1140" s="21"/>
      <c r="K1140" s="21"/>
      <c r="L1140" s="21"/>
      <c r="M1140" s="21"/>
      <c r="N1140" s="21"/>
    </row>
    <row r="1141" spans="1:14" ht="15.75" customHeight="1" x14ac:dyDescent="0.25">
      <c r="A1141" s="7"/>
      <c r="B1141" s="343" t="s">
        <v>343</v>
      </c>
      <c r="C1141" s="344"/>
      <c r="D1141" s="344"/>
      <c r="E1141" s="334"/>
      <c r="F1141" s="104">
        <v>165000</v>
      </c>
      <c r="G1141" s="25"/>
      <c r="H1141" s="11"/>
      <c r="I1141" s="21"/>
      <c r="J1141" s="21"/>
      <c r="K1141" s="21"/>
      <c r="L1141" s="21"/>
      <c r="M1141" s="21"/>
      <c r="N1141" s="21"/>
    </row>
    <row r="1142" spans="1:14" ht="15.75" customHeight="1" x14ac:dyDescent="0.25">
      <c r="A1142" s="7"/>
      <c r="B1142" s="345" t="s">
        <v>344</v>
      </c>
      <c r="C1142" s="344"/>
      <c r="D1142" s="344"/>
      <c r="E1142" s="334"/>
      <c r="F1142" s="107">
        <f>SUM(F1140:F1141)</f>
        <v>1665000</v>
      </c>
      <c r="G1142" s="25"/>
      <c r="H1142" s="11"/>
      <c r="I1142" s="21"/>
      <c r="J1142" s="21"/>
      <c r="K1142" s="21"/>
      <c r="L1142" s="21"/>
      <c r="M1142" s="21"/>
      <c r="N1142" s="21"/>
    </row>
    <row r="1143" spans="1:14" ht="15.75" customHeight="1" x14ac:dyDescent="0.25">
      <c r="A1143" s="21"/>
      <c r="B1143" s="21"/>
      <c r="C1143" s="11"/>
      <c r="D1143" s="11"/>
      <c r="E1143" s="21"/>
      <c r="F1143" s="21"/>
      <c r="G1143" s="25"/>
      <c r="H1143" s="11"/>
      <c r="I1143" s="21"/>
      <c r="J1143" s="21"/>
      <c r="K1143" s="21"/>
      <c r="L1143" s="21"/>
      <c r="M1143" s="21"/>
      <c r="N1143" s="21"/>
    </row>
    <row r="1144" spans="1:14" ht="15.75" customHeight="1" x14ac:dyDescent="0.25">
      <c r="A1144" s="31" t="s">
        <v>14</v>
      </c>
      <c r="B1144" s="31" t="s">
        <v>234</v>
      </c>
      <c r="C1144" s="31" t="s">
        <v>16</v>
      </c>
      <c r="D1144" s="31" t="s">
        <v>17</v>
      </c>
      <c r="E1144" s="31" t="s">
        <v>235</v>
      </c>
      <c r="F1144" s="31" t="s">
        <v>236</v>
      </c>
      <c r="G1144" s="25"/>
      <c r="H1144" s="11"/>
      <c r="I1144" s="21"/>
      <c r="J1144" s="21"/>
      <c r="K1144" s="21"/>
      <c r="L1144" s="21"/>
      <c r="M1144" s="21"/>
      <c r="N1144" s="21"/>
    </row>
    <row r="1145" spans="1:14" ht="15.75" customHeight="1" x14ac:dyDescent="0.25">
      <c r="A1145" s="7">
        <v>1</v>
      </c>
      <c r="B1145" s="120" t="s">
        <v>674</v>
      </c>
      <c r="C1145" s="7">
        <v>30</v>
      </c>
      <c r="D1145" s="7" t="s">
        <v>363</v>
      </c>
      <c r="E1145" s="104">
        <v>32000</v>
      </c>
      <c r="F1145" s="104">
        <f>E1145*C1145</f>
        <v>960000</v>
      </c>
      <c r="G1145" s="25"/>
      <c r="H1145" s="11"/>
      <c r="I1145" s="21"/>
      <c r="J1145" s="21"/>
      <c r="K1145" s="21"/>
      <c r="L1145" s="21"/>
      <c r="M1145" s="21"/>
      <c r="N1145" s="21"/>
    </row>
    <row r="1146" spans="1:14" ht="15.75" customHeight="1" x14ac:dyDescent="0.25">
      <c r="A1146" s="7"/>
      <c r="B1146" s="343" t="s">
        <v>342</v>
      </c>
      <c r="C1146" s="344"/>
      <c r="D1146" s="344"/>
      <c r="E1146" s="334"/>
      <c r="F1146" s="104">
        <f>F1145</f>
        <v>960000</v>
      </c>
      <c r="G1146" s="25"/>
      <c r="H1146" s="11"/>
      <c r="I1146" s="21"/>
      <c r="J1146" s="21"/>
      <c r="K1146" s="21"/>
      <c r="L1146" s="21"/>
      <c r="M1146" s="21"/>
      <c r="N1146" s="21"/>
    </row>
    <row r="1147" spans="1:14" ht="15.75" customHeight="1" x14ac:dyDescent="0.25">
      <c r="A1147" s="7"/>
      <c r="B1147" s="343" t="s">
        <v>343</v>
      </c>
      <c r="C1147" s="344"/>
      <c r="D1147" s="344"/>
      <c r="E1147" s="334"/>
      <c r="F1147" s="104">
        <v>105600</v>
      </c>
      <c r="G1147" s="25"/>
      <c r="H1147" s="11"/>
      <c r="I1147" s="21"/>
      <c r="J1147" s="21"/>
      <c r="K1147" s="21"/>
      <c r="L1147" s="21"/>
      <c r="M1147" s="21"/>
      <c r="N1147" s="21"/>
    </row>
    <row r="1148" spans="1:14" ht="15.75" customHeight="1" x14ac:dyDescent="0.25">
      <c r="A1148" s="7"/>
      <c r="B1148" s="345" t="s">
        <v>344</v>
      </c>
      <c r="C1148" s="344"/>
      <c r="D1148" s="344"/>
      <c r="E1148" s="334"/>
      <c r="F1148" s="107">
        <f>SUM(F1146:F1147)</f>
        <v>1065600</v>
      </c>
      <c r="G1148" s="25"/>
      <c r="H1148" s="11"/>
      <c r="I1148" s="21"/>
      <c r="J1148" s="21"/>
      <c r="K1148" s="21"/>
      <c r="L1148" s="21"/>
      <c r="M1148" s="21"/>
      <c r="N1148" s="21"/>
    </row>
    <row r="1149" spans="1:14" ht="15.75" customHeight="1" x14ac:dyDescent="0.25">
      <c r="A1149" s="21"/>
      <c r="B1149" s="21"/>
      <c r="C1149" s="11"/>
      <c r="D1149" s="11"/>
      <c r="E1149" s="21"/>
      <c r="F1149" s="21"/>
      <c r="G1149" s="25"/>
      <c r="H1149" s="11"/>
      <c r="I1149" s="21"/>
      <c r="J1149" s="21"/>
      <c r="K1149" s="21"/>
      <c r="L1149" s="21"/>
      <c r="M1149" s="21"/>
      <c r="N1149" s="21"/>
    </row>
    <row r="1150" spans="1:14" ht="15.75" customHeight="1" x14ac:dyDescent="0.25">
      <c r="A1150" s="31" t="s">
        <v>14</v>
      </c>
      <c r="B1150" s="31" t="s">
        <v>234</v>
      </c>
      <c r="C1150" s="31" t="s">
        <v>16</v>
      </c>
      <c r="D1150" s="31" t="s">
        <v>17</v>
      </c>
      <c r="E1150" s="31" t="s">
        <v>235</v>
      </c>
      <c r="F1150" s="31" t="s">
        <v>236</v>
      </c>
      <c r="G1150" s="25"/>
      <c r="H1150" s="11"/>
      <c r="I1150" s="21"/>
      <c r="J1150" s="21"/>
      <c r="K1150" s="21"/>
      <c r="L1150" s="21"/>
      <c r="M1150" s="21"/>
      <c r="N1150" s="21"/>
    </row>
    <row r="1151" spans="1:14" ht="15.75" customHeight="1" x14ac:dyDescent="0.25">
      <c r="A1151" s="7">
        <v>1</v>
      </c>
      <c r="B1151" s="124" t="s">
        <v>675</v>
      </c>
      <c r="C1151" s="129">
        <v>4</v>
      </c>
      <c r="D1151" s="7" t="s">
        <v>363</v>
      </c>
      <c r="E1151" s="130">
        <v>1650000</v>
      </c>
      <c r="F1151" s="130">
        <f>E1151*C1151</f>
        <v>6600000</v>
      </c>
      <c r="G1151" s="25"/>
      <c r="H1151" s="11"/>
      <c r="I1151" s="21"/>
      <c r="J1151" s="21"/>
      <c r="K1151" s="21"/>
      <c r="L1151" s="21"/>
      <c r="M1151" s="21"/>
      <c r="N1151" s="21"/>
    </row>
    <row r="1152" spans="1:14" ht="15.75" customHeight="1" x14ac:dyDescent="0.25">
      <c r="A1152" s="7">
        <v>2</v>
      </c>
      <c r="B1152" s="120" t="s">
        <v>676</v>
      </c>
      <c r="C1152" s="129">
        <v>4</v>
      </c>
      <c r="D1152" s="7" t="s">
        <v>363</v>
      </c>
      <c r="E1152" s="130">
        <v>70000</v>
      </c>
      <c r="F1152" s="130">
        <f>E1152*C1152</f>
        <v>280000</v>
      </c>
      <c r="G1152" s="25"/>
      <c r="H1152" s="11"/>
      <c r="I1152" s="21"/>
      <c r="J1152" s="21"/>
      <c r="K1152" s="21"/>
      <c r="L1152" s="21"/>
      <c r="M1152" s="21"/>
      <c r="N1152" s="21"/>
    </row>
    <row r="1153" spans="1:14" ht="15.75" customHeight="1" x14ac:dyDescent="0.25">
      <c r="A1153" s="7">
        <v>3</v>
      </c>
      <c r="B1153" s="131" t="s">
        <v>677</v>
      </c>
      <c r="C1153" s="129">
        <v>4</v>
      </c>
      <c r="D1153" s="7" t="s">
        <v>363</v>
      </c>
      <c r="E1153" s="130">
        <v>260000</v>
      </c>
      <c r="F1153" s="130">
        <f>E1153*C1153</f>
        <v>1040000</v>
      </c>
      <c r="G1153" s="25"/>
      <c r="H1153" s="11"/>
      <c r="I1153" s="21"/>
      <c r="J1153" s="21"/>
      <c r="K1153" s="21"/>
      <c r="L1153" s="21"/>
      <c r="M1153" s="21"/>
      <c r="N1153" s="21"/>
    </row>
    <row r="1154" spans="1:14" ht="15.75" customHeight="1" x14ac:dyDescent="0.25">
      <c r="A1154" s="7"/>
      <c r="B1154" s="343" t="s">
        <v>342</v>
      </c>
      <c r="C1154" s="344"/>
      <c r="D1154" s="344"/>
      <c r="E1154" s="334"/>
      <c r="F1154" s="104">
        <f>SUM(F1151:F1153)</f>
        <v>7920000</v>
      </c>
      <c r="G1154" s="25"/>
      <c r="H1154" s="11"/>
      <c r="I1154" s="21"/>
      <c r="J1154" s="21"/>
      <c r="K1154" s="21"/>
      <c r="L1154" s="21"/>
      <c r="M1154" s="21"/>
      <c r="N1154" s="21"/>
    </row>
    <row r="1155" spans="1:14" ht="15.75" customHeight="1" x14ac:dyDescent="0.25">
      <c r="A1155" s="7"/>
      <c r="B1155" s="343" t="s">
        <v>343</v>
      </c>
      <c r="C1155" s="344"/>
      <c r="D1155" s="344"/>
      <c r="E1155" s="334"/>
      <c r="F1155" s="104">
        <v>871200</v>
      </c>
      <c r="G1155" s="25"/>
      <c r="H1155" s="11"/>
      <c r="I1155" s="21"/>
      <c r="J1155" s="21"/>
      <c r="K1155" s="21"/>
      <c r="L1155" s="21"/>
      <c r="M1155" s="21"/>
      <c r="N1155" s="21"/>
    </row>
    <row r="1156" spans="1:14" ht="15.75" customHeight="1" x14ac:dyDescent="0.25">
      <c r="A1156" s="7"/>
      <c r="B1156" s="345" t="s">
        <v>344</v>
      </c>
      <c r="C1156" s="344"/>
      <c r="D1156" s="344"/>
      <c r="E1156" s="334"/>
      <c r="F1156" s="107">
        <f>SUM(F1154:F1155)</f>
        <v>8791200</v>
      </c>
      <c r="G1156" s="25"/>
      <c r="H1156" s="11"/>
      <c r="I1156" s="21"/>
      <c r="J1156" s="21"/>
      <c r="K1156" s="21"/>
      <c r="L1156" s="21"/>
      <c r="M1156" s="21"/>
      <c r="N1156" s="21"/>
    </row>
    <row r="1157" spans="1:14" ht="15.75" customHeight="1" x14ac:dyDescent="0.25">
      <c r="A1157" s="21"/>
      <c r="B1157" s="21"/>
      <c r="C1157" s="11"/>
      <c r="D1157" s="11"/>
      <c r="E1157" s="21"/>
      <c r="F1157" s="21"/>
      <c r="G1157" s="25"/>
      <c r="H1157" s="11"/>
      <c r="I1157" s="21"/>
      <c r="J1157" s="21"/>
      <c r="K1157" s="21"/>
      <c r="L1157" s="21"/>
      <c r="M1157" s="21"/>
      <c r="N1157" s="21"/>
    </row>
    <row r="1158" spans="1:14" ht="15.75" customHeight="1" x14ac:dyDescent="0.25">
      <c r="A1158" s="31" t="s">
        <v>14</v>
      </c>
      <c r="B1158" s="31" t="s">
        <v>15</v>
      </c>
      <c r="C1158" s="31" t="s">
        <v>16</v>
      </c>
      <c r="D1158" s="31" t="s">
        <v>17</v>
      </c>
      <c r="E1158" s="31" t="s">
        <v>235</v>
      </c>
      <c r="F1158" s="31" t="s">
        <v>236</v>
      </c>
      <c r="G1158" s="25"/>
      <c r="H1158" s="11"/>
      <c r="I1158" s="21"/>
      <c r="J1158" s="21"/>
      <c r="K1158" s="21"/>
      <c r="L1158" s="21"/>
      <c r="M1158" s="21"/>
      <c r="N1158" s="21"/>
    </row>
    <row r="1159" spans="1:14" ht="15.75" customHeight="1" x14ac:dyDescent="0.25">
      <c r="A1159" s="7">
        <v>1</v>
      </c>
      <c r="B1159" s="132" t="s">
        <v>678</v>
      </c>
      <c r="C1159" s="133">
        <v>4</v>
      </c>
      <c r="D1159" s="7" t="s">
        <v>247</v>
      </c>
      <c r="E1159" s="104">
        <v>202000</v>
      </c>
      <c r="F1159" s="104">
        <f t="shared" ref="F1159:F1164" si="5">E1159*C1159</f>
        <v>808000</v>
      </c>
      <c r="G1159" s="25"/>
      <c r="H1159" s="11"/>
      <c r="I1159" s="21"/>
      <c r="J1159" s="21"/>
      <c r="K1159" s="21"/>
      <c r="L1159" s="21"/>
      <c r="M1159" s="21"/>
      <c r="N1159" s="21"/>
    </row>
    <row r="1160" spans="1:14" ht="15.75" customHeight="1" x14ac:dyDescent="0.25">
      <c r="A1160" s="7">
        <v>2</v>
      </c>
      <c r="B1160" s="132" t="s">
        <v>679</v>
      </c>
      <c r="C1160" s="133">
        <v>5</v>
      </c>
      <c r="D1160" s="7" t="s">
        <v>247</v>
      </c>
      <c r="E1160" s="104">
        <v>183000</v>
      </c>
      <c r="F1160" s="104">
        <f t="shared" si="5"/>
        <v>915000</v>
      </c>
      <c r="G1160" s="25"/>
      <c r="H1160" s="11"/>
      <c r="I1160" s="21"/>
      <c r="J1160" s="21"/>
      <c r="K1160" s="21"/>
      <c r="L1160" s="21"/>
      <c r="M1160" s="21"/>
      <c r="N1160" s="21"/>
    </row>
    <row r="1161" spans="1:14" ht="15.75" customHeight="1" x14ac:dyDescent="0.25">
      <c r="A1161" s="7">
        <v>3</v>
      </c>
      <c r="B1161" s="132" t="s">
        <v>680</v>
      </c>
      <c r="C1161" s="133">
        <v>2</v>
      </c>
      <c r="D1161" s="7" t="s">
        <v>247</v>
      </c>
      <c r="E1161" s="104">
        <v>146500</v>
      </c>
      <c r="F1161" s="104">
        <f t="shared" si="5"/>
        <v>293000</v>
      </c>
      <c r="G1161" s="25"/>
      <c r="H1161" s="11"/>
      <c r="I1161" s="21"/>
      <c r="J1161" s="21"/>
      <c r="K1161" s="21"/>
      <c r="L1161" s="21"/>
      <c r="M1161" s="21"/>
      <c r="N1161" s="21"/>
    </row>
    <row r="1162" spans="1:14" ht="15.75" customHeight="1" x14ac:dyDescent="0.25">
      <c r="A1162" s="7">
        <v>4</v>
      </c>
      <c r="B1162" s="132" t="s">
        <v>681</v>
      </c>
      <c r="C1162" s="133">
        <v>5</v>
      </c>
      <c r="D1162" s="7" t="s">
        <v>247</v>
      </c>
      <c r="E1162" s="104">
        <v>1750000</v>
      </c>
      <c r="F1162" s="104">
        <f t="shared" si="5"/>
        <v>8750000</v>
      </c>
      <c r="G1162" s="25"/>
      <c r="H1162" s="11"/>
      <c r="I1162" s="21"/>
      <c r="J1162" s="21"/>
      <c r="K1162" s="21"/>
      <c r="L1162" s="21"/>
      <c r="M1162" s="21"/>
      <c r="N1162" s="21"/>
    </row>
    <row r="1163" spans="1:14" ht="15.75" customHeight="1" x14ac:dyDescent="0.25">
      <c r="A1163" s="7">
        <v>5</v>
      </c>
      <c r="B1163" s="132" t="s">
        <v>682</v>
      </c>
      <c r="C1163" s="134">
        <v>1</v>
      </c>
      <c r="D1163" s="7" t="s">
        <v>247</v>
      </c>
      <c r="E1163" s="104">
        <v>573000</v>
      </c>
      <c r="F1163" s="104">
        <f t="shared" si="5"/>
        <v>573000</v>
      </c>
      <c r="G1163" s="25"/>
      <c r="H1163" s="11"/>
      <c r="I1163" s="21"/>
      <c r="J1163" s="21"/>
      <c r="K1163" s="21"/>
      <c r="L1163" s="21"/>
      <c r="M1163" s="21"/>
      <c r="N1163" s="21"/>
    </row>
    <row r="1164" spans="1:14" ht="15.75" customHeight="1" x14ac:dyDescent="0.25">
      <c r="A1164" s="7">
        <v>6</v>
      </c>
      <c r="B1164" s="132" t="s">
        <v>683</v>
      </c>
      <c r="C1164" s="133">
        <v>5</v>
      </c>
      <c r="D1164" s="7" t="s">
        <v>247</v>
      </c>
      <c r="E1164" s="104">
        <v>337500</v>
      </c>
      <c r="F1164" s="104">
        <f t="shared" si="5"/>
        <v>1687500</v>
      </c>
      <c r="G1164" s="25"/>
      <c r="H1164" s="11"/>
      <c r="I1164" s="21"/>
      <c r="J1164" s="21"/>
      <c r="K1164" s="21"/>
      <c r="L1164" s="21"/>
      <c r="M1164" s="21"/>
      <c r="N1164" s="21"/>
    </row>
    <row r="1165" spans="1:14" ht="15.75" customHeight="1" x14ac:dyDescent="0.25">
      <c r="A1165" s="7"/>
      <c r="B1165" s="346" t="s">
        <v>342</v>
      </c>
      <c r="C1165" s="347"/>
      <c r="D1165" s="347"/>
      <c r="E1165" s="348"/>
      <c r="F1165" s="104">
        <f>SUM(F1159:F1164)</f>
        <v>13026500</v>
      </c>
      <c r="G1165" s="25"/>
      <c r="H1165" s="11"/>
      <c r="I1165" s="21"/>
      <c r="J1165" s="21"/>
      <c r="K1165" s="21"/>
      <c r="L1165" s="21"/>
      <c r="M1165" s="21"/>
      <c r="N1165" s="21"/>
    </row>
    <row r="1166" spans="1:14" ht="15.75" customHeight="1" x14ac:dyDescent="0.25">
      <c r="A1166" s="7"/>
      <c r="B1166" s="343" t="s">
        <v>343</v>
      </c>
      <c r="C1166" s="344"/>
      <c r="D1166" s="344"/>
      <c r="E1166" s="334"/>
      <c r="F1166" s="104">
        <v>1432915</v>
      </c>
      <c r="G1166" s="25"/>
      <c r="H1166" s="11"/>
      <c r="I1166" s="21"/>
      <c r="J1166" s="21"/>
      <c r="K1166" s="21"/>
      <c r="L1166" s="21"/>
      <c r="M1166" s="21"/>
      <c r="N1166" s="21"/>
    </row>
    <row r="1167" spans="1:14" ht="15.75" customHeight="1" x14ac:dyDescent="0.25">
      <c r="A1167" s="7"/>
      <c r="B1167" s="345" t="s">
        <v>344</v>
      </c>
      <c r="C1167" s="344"/>
      <c r="D1167" s="344"/>
      <c r="E1167" s="334"/>
      <c r="F1167" s="107">
        <f>SUM(F1165:F1166)</f>
        <v>14459415</v>
      </c>
      <c r="G1167" s="25"/>
      <c r="H1167" s="11"/>
      <c r="I1167" s="21"/>
      <c r="J1167" s="21"/>
      <c r="K1167" s="21"/>
      <c r="L1167" s="21"/>
      <c r="M1167" s="21"/>
      <c r="N1167" s="21"/>
    </row>
    <row r="1168" spans="1:14" ht="15.75" customHeight="1" x14ac:dyDescent="0.25">
      <c r="A1168" s="21"/>
      <c r="B1168" s="21"/>
      <c r="C1168" s="11"/>
      <c r="D1168" s="11"/>
      <c r="E1168" s="21"/>
      <c r="F1168" s="21"/>
      <c r="G1168" s="25"/>
      <c r="H1168" s="11"/>
      <c r="I1168" s="21"/>
      <c r="J1168" s="21"/>
      <c r="K1168" s="21"/>
      <c r="L1168" s="21"/>
      <c r="M1168" s="21"/>
      <c r="N1168" s="21"/>
    </row>
    <row r="1169" spans="1:14" ht="15.75" customHeight="1" x14ac:dyDescent="0.25">
      <c r="A1169" s="31" t="s">
        <v>14</v>
      </c>
      <c r="B1169" s="31" t="s">
        <v>15</v>
      </c>
      <c r="C1169" s="31" t="s">
        <v>16</v>
      </c>
      <c r="D1169" s="31" t="s">
        <v>17</v>
      </c>
      <c r="E1169" s="31" t="s">
        <v>235</v>
      </c>
      <c r="F1169" s="31" t="s">
        <v>236</v>
      </c>
      <c r="G1169" s="25"/>
      <c r="H1169" s="11"/>
      <c r="I1169" s="21"/>
      <c r="J1169" s="21"/>
      <c r="K1169" s="21"/>
      <c r="L1169" s="21"/>
      <c r="M1169" s="21"/>
      <c r="N1169" s="21"/>
    </row>
    <row r="1170" spans="1:14" ht="15.75" customHeight="1" x14ac:dyDescent="0.25">
      <c r="A1170" s="7">
        <v>1</v>
      </c>
      <c r="B1170" s="120" t="s">
        <v>684</v>
      </c>
      <c r="C1170" s="7">
        <v>1</v>
      </c>
      <c r="D1170" s="7" t="s">
        <v>363</v>
      </c>
      <c r="E1170" s="104">
        <v>248500</v>
      </c>
      <c r="F1170" s="104">
        <f>E1170*C1170</f>
        <v>248500</v>
      </c>
      <c r="G1170" s="25"/>
      <c r="H1170" s="11"/>
      <c r="I1170" s="21"/>
      <c r="J1170" s="21"/>
      <c r="K1170" s="21"/>
      <c r="L1170" s="21"/>
      <c r="M1170" s="21"/>
      <c r="N1170" s="21"/>
    </row>
    <row r="1171" spans="1:14" ht="15.75" customHeight="1" x14ac:dyDescent="0.25">
      <c r="A1171" s="7">
        <v>2</v>
      </c>
      <c r="B1171" s="124" t="s">
        <v>685</v>
      </c>
      <c r="C1171" s="7">
        <v>1</v>
      </c>
      <c r="D1171" s="7" t="s">
        <v>363</v>
      </c>
      <c r="E1171" s="104">
        <v>690000</v>
      </c>
      <c r="F1171" s="104">
        <f>E1171*C1171</f>
        <v>690000</v>
      </c>
      <c r="G1171" s="25"/>
      <c r="H1171" s="11"/>
      <c r="I1171" s="21"/>
      <c r="J1171" s="21"/>
      <c r="K1171" s="21"/>
      <c r="L1171" s="21"/>
      <c r="M1171" s="21"/>
      <c r="N1171" s="21"/>
    </row>
    <row r="1172" spans="1:14" ht="15.75" customHeight="1" x14ac:dyDescent="0.25">
      <c r="A1172" s="7">
        <v>3</v>
      </c>
      <c r="B1172" s="38" t="s">
        <v>686</v>
      </c>
      <c r="C1172" s="7">
        <v>2</v>
      </c>
      <c r="D1172" s="7" t="s">
        <v>363</v>
      </c>
      <c r="E1172" s="104">
        <v>10500</v>
      </c>
      <c r="F1172" s="104">
        <f>E1172*C1172</f>
        <v>21000</v>
      </c>
      <c r="G1172" s="25"/>
      <c r="H1172" s="11"/>
      <c r="I1172" s="21"/>
      <c r="J1172" s="21"/>
      <c r="K1172" s="21"/>
      <c r="L1172" s="21"/>
      <c r="M1172" s="21"/>
      <c r="N1172" s="21"/>
    </row>
    <row r="1173" spans="1:14" ht="15.75" customHeight="1" x14ac:dyDescent="0.25">
      <c r="A1173" s="7">
        <v>4</v>
      </c>
      <c r="B1173" s="38" t="s">
        <v>687</v>
      </c>
      <c r="C1173" s="7">
        <v>1</v>
      </c>
      <c r="D1173" s="7" t="s">
        <v>363</v>
      </c>
      <c r="E1173" s="104">
        <v>72000</v>
      </c>
      <c r="F1173" s="104">
        <f>E1173*C1173</f>
        <v>72000</v>
      </c>
      <c r="G1173" s="25"/>
      <c r="H1173" s="11"/>
      <c r="I1173" s="21"/>
      <c r="J1173" s="21"/>
      <c r="K1173" s="21"/>
      <c r="L1173" s="21"/>
      <c r="M1173" s="21"/>
      <c r="N1173" s="21"/>
    </row>
    <row r="1174" spans="1:14" ht="15.75" customHeight="1" x14ac:dyDescent="0.25">
      <c r="A1174" s="7"/>
      <c r="B1174" s="105" t="s">
        <v>342</v>
      </c>
      <c r="C1174" s="125"/>
      <c r="D1174" s="125"/>
      <c r="E1174" s="126"/>
      <c r="F1174" s="104">
        <f>SUM(F1170:F1173)</f>
        <v>1031500</v>
      </c>
      <c r="G1174" s="25"/>
      <c r="H1174" s="11"/>
      <c r="I1174" s="21"/>
      <c r="J1174" s="21"/>
      <c r="K1174" s="21"/>
      <c r="L1174" s="21"/>
      <c r="M1174" s="21"/>
      <c r="N1174" s="21"/>
    </row>
    <row r="1175" spans="1:14" ht="15.75" customHeight="1" x14ac:dyDescent="0.25">
      <c r="A1175" s="7"/>
      <c r="B1175" s="343" t="s">
        <v>343</v>
      </c>
      <c r="C1175" s="344"/>
      <c r="D1175" s="344"/>
      <c r="E1175" s="334"/>
      <c r="F1175" s="104">
        <v>113465</v>
      </c>
      <c r="G1175" s="25"/>
      <c r="H1175" s="11"/>
      <c r="I1175" s="21"/>
      <c r="J1175" s="21"/>
      <c r="K1175" s="21"/>
      <c r="L1175" s="21"/>
      <c r="M1175" s="21"/>
      <c r="N1175" s="21"/>
    </row>
    <row r="1176" spans="1:14" ht="15.75" customHeight="1" x14ac:dyDescent="0.25">
      <c r="A1176" s="7"/>
      <c r="B1176" s="345" t="s">
        <v>344</v>
      </c>
      <c r="C1176" s="344"/>
      <c r="D1176" s="344"/>
      <c r="E1176" s="334"/>
      <c r="F1176" s="107">
        <f>SUM(F1174:F1175)</f>
        <v>1144965</v>
      </c>
      <c r="G1176" s="25"/>
      <c r="H1176" s="11"/>
      <c r="I1176" s="21"/>
      <c r="J1176" s="21"/>
      <c r="K1176" s="21"/>
      <c r="L1176" s="21"/>
      <c r="M1176" s="21"/>
      <c r="N1176" s="21"/>
    </row>
    <row r="1177" spans="1:14" ht="15.75" customHeight="1" x14ac:dyDescent="0.25">
      <c r="A1177" s="21"/>
      <c r="B1177" s="21"/>
      <c r="C1177" s="11"/>
      <c r="D1177" s="11"/>
      <c r="E1177" s="21"/>
      <c r="F1177" s="21"/>
      <c r="G1177" s="25"/>
      <c r="H1177" s="11"/>
      <c r="I1177" s="21"/>
      <c r="J1177" s="21"/>
      <c r="K1177" s="21"/>
      <c r="L1177" s="21"/>
      <c r="M1177" s="21"/>
      <c r="N1177" s="21"/>
    </row>
    <row r="1178" spans="1:14" ht="15.75" customHeight="1" x14ac:dyDescent="0.25">
      <c r="A1178" s="31" t="s">
        <v>14</v>
      </c>
      <c r="B1178" s="31" t="s">
        <v>234</v>
      </c>
      <c r="C1178" s="31" t="s">
        <v>16</v>
      </c>
      <c r="D1178" s="31" t="s">
        <v>17</v>
      </c>
      <c r="E1178" s="31" t="s">
        <v>235</v>
      </c>
      <c r="F1178" s="31" t="s">
        <v>236</v>
      </c>
      <c r="G1178" s="25"/>
      <c r="H1178" s="11"/>
      <c r="I1178" s="21"/>
      <c r="J1178" s="21"/>
      <c r="K1178" s="21"/>
      <c r="L1178" s="21"/>
      <c r="M1178" s="21"/>
      <c r="N1178" s="21"/>
    </row>
    <row r="1179" spans="1:14" ht="15.75" customHeight="1" x14ac:dyDescent="0.25">
      <c r="A1179" s="7">
        <v>1</v>
      </c>
      <c r="B1179" s="120" t="s">
        <v>688</v>
      </c>
      <c r="C1179" s="7">
        <v>30</v>
      </c>
      <c r="D1179" s="7" t="s">
        <v>363</v>
      </c>
      <c r="E1179" s="104">
        <v>122500</v>
      </c>
      <c r="F1179" s="104">
        <f>E1179*C1179</f>
        <v>3675000</v>
      </c>
      <c r="G1179" s="25"/>
      <c r="H1179" s="11"/>
      <c r="I1179" s="21"/>
      <c r="J1179" s="21"/>
      <c r="K1179" s="21"/>
      <c r="L1179" s="21"/>
      <c r="M1179" s="21"/>
      <c r="N1179" s="21"/>
    </row>
    <row r="1180" spans="1:14" ht="15.75" customHeight="1" x14ac:dyDescent="0.25">
      <c r="A1180" s="7"/>
      <c r="B1180" s="343" t="s">
        <v>342</v>
      </c>
      <c r="C1180" s="344"/>
      <c r="D1180" s="344"/>
      <c r="E1180" s="334"/>
      <c r="F1180" s="104">
        <f>F1179</f>
        <v>3675000</v>
      </c>
      <c r="G1180" s="25"/>
      <c r="H1180" s="11"/>
      <c r="I1180" s="21"/>
      <c r="J1180" s="21"/>
      <c r="K1180" s="21"/>
      <c r="L1180" s="21"/>
      <c r="M1180" s="21"/>
      <c r="N1180" s="21"/>
    </row>
    <row r="1181" spans="1:14" ht="15.75" customHeight="1" x14ac:dyDescent="0.25">
      <c r="A1181" s="7"/>
      <c r="B1181" s="343" t="s">
        <v>343</v>
      </c>
      <c r="C1181" s="344"/>
      <c r="D1181" s="344"/>
      <c r="E1181" s="334"/>
      <c r="F1181" s="104">
        <v>404250</v>
      </c>
      <c r="G1181" s="25"/>
      <c r="H1181" s="11"/>
      <c r="I1181" s="21"/>
      <c r="J1181" s="21"/>
      <c r="K1181" s="21"/>
      <c r="L1181" s="21"/>
      <c r="M1181" s="21"/>
      <c r="N1181" s="21"/>
    </row>
    <row r="1182" spans="1:14" ht="15.75" customHeight="1" x14ac:dyDescent="0.25">
      <c r="A1182" s="7"/>
      <c r="B1182" s="345" t="s">
        <v>344</v>
      </c>
      <c r="C1182" s="344"/>
      <c r="D1182" s="344"/>
      <c r="E1182" s="334"/>
      <c r="F1182" s="107">
        <f>SUM(F1180:F1181)</f>
        <v>4079250</v>
      </c>
      <c r="G1182" s="25"/>
      <c r="H1182" s="11"/>
      <c r="I1182" s="21"/>
      <c r="J1182" s="21"/>
      <c r="K1182" s="21"/>
      <c r="L1182" s="21"/>
      <c r="M1182" s="21"/>
      <c r="N1182" s="21"/>
    </row>
    <row r="1183" spans="1:14" ht="15.75" customHeight="1" x14ac:dyDescent="0.25">
      <c r="A1183" s="21"/>
      <c r="B1183" s="21"/>
      <c r="C1183" s="11"/>
      <c r="D1183" s="11"/>
      <c r="E1183" s="21"/>
      <c r="F1183" s="21"/>
      <c r="G1183" s="25"/>
      <c r="H1183" s="11"/>
      <c r="I1183" s="21"/>
      <c r="J1183" s="21"/>
      <c r="K1183" s="21"/>
      <c r="L1183" s="21"/>
      <c r="M1183" s="21"/>
      <c r="N1183" s="21"/>
    </row>
    <row r="1184" spans="1:14" ht="15.75" customHeight="1" x14ac:dyDescent="0.25">
      <c r="A1184" s="31" t="s">
        <v>351</v>
      </c>
      <c r="B1184" s="31" t="s">
        <v>234</v>
      </c>
      <c r="C1184" s="31" t="s">
        <v>16</v>
      </c>
      <c r="D1184" s="31" t="s">
        <v>17</v>
      </c>
      <c r="E1184" s="31" t="s">
        <v>235</v>
      </c>
      <c r="F1184" s="31" t="s">
        <v>236</v>
      </c>
      <c r="G1184" s="25"/>
      <c r="H1184" s="11"/>
      <c r="I1184" s="21"/>
      <c r="J1184" s="21"/>
      <c r="K1184" s="21"/>
      <c r="L1184" s="21"/>
      <c r="M1184" s="21"/>
      <c r="N1184" s="21"/>
    </row>
    <row r="1185" spans="1:14" ht="15.75" customHeight="1" x14ac:dyDescent="0.25">
      <c r="A1185" s="7">
        <v>1</v>
      </c>
      <c r="B1185" s="41" t="s">
        <v>689</v>
      </c>
      <c r="C1185" s="7">
        <v>20</v>
      </c>
      <c r="D1185" s="7" t="s">
        <v>370</v>
      </c>
      <c r="E1185" s="104">
        <v>8500</v>
      </c>
      <c r="F1185" s="104">
        <f>E1185*C1185</f>
        <v>170000</v>
      </c>
      <c r="G1185" s="25"/>
      <c r="H1185" s="11"/>
      <c r="I1185" s="21"/>
      <c r="J1185" s="21"/>
      <c r="K1185" s="21"/>
      <c r="L1185" s="21"/>
      <c r="M1185" s="21"/>
      <c r="N1185" s="21"/>
    </row>
    <row r="1186" spans="1:14" ht="15.75" customHeight="1" x14ac:dyDescent="0.25">
      <c r="A1186" s="7">
        <v>2</v>
      </c>
      <c r="B1186" s="41" t="s">
        <v>690</v>
      </c>
      <c r="C1186" s="7">
        <v>2</v>
      </c>
      <c r="D1186" s="7" t="s">
        <v>539</v>
      </c>
      <c r="E1186" s="104">
        <v>170000</v>
      </c>
      <c r="F1186" s="104">
        <f>E1186*C1186</f>
        <v>340000</v>
      </c>
      <c r="G1186" s="25"/>
      <c r="H1186" s="11"/>
      <c r="I1186" s="21"/>
      <c r="J1186" s="21"/>
      <c r="K1186" s="21"/>
      <c r="L1186" s="21"/>
      <c r="M1186" s="21"/>
      <c r="N1186" s="21"/>
    </row>
    <row r="1187" spans="1:14" ht="15.75" customHeight="1" x14ac:dyDescent="0.25">
      <c r="A1187" s="7"/>
      <c r="B1187" s="343" t="s">
        <v>342</v>
      </c>
      <c r="C1187" s="344"/>
      <c r="D1187" s="344"/>
      <c r="E1187" s="334"/>
      <c r="F1187" s="104">
        <f>SUM(F1185:F1186)</f>
        <v>510000</v>
      </c>
      <c r="G1187" s="25"/>
      <c r="H1187" s="11"/>
      <c r="I1187" s="21"/>
      <c r="J1187" s="21"/>
      <c r="K1187" s="21"/>
      <c r="L1187" s="21"/>
      <c r="M1187" s="21"/>
      <c r="N1187" s="21"/>
    </row>
    <row r="1188" spans="1:14" ht="15.75" customHeight="1" x14ac:dyDescent="0.25">
      <c r="A1188" s="7"/>
      <c r="B1188" s="343" t="s">
        <v>343</v>
      </c>
      <c r="C1188" s="344"/>
      <c r="D1188" s="344"/>
      <c r="E1188" s="334"/>
      <c r="F1188" s="104">
        <v>56100</v>
      </c>
      <c r="G1188" s="25"/>
      <c r="H1188" s="11"/>
      <c r="I1188" s="21"/>
      <c r="J1188" s="21"/>
      <c r="K1188" s="21"/>
      <c r="L1188" s="21"/>
      <c r="M1188" s="21"/>
      <c r="N1188" s="21"/>
    </row>
    <row r="1189" spans="1:14" ht="15.75" customHeight="1" x14ac:dyDescent="0.25">
      <c r="A1189" s="7"/>
      <c r="B1189" s="345" t="s">
        <v>344</v>
      </c>
      <c r="C1189" s="344"/>
      <c r="D1189" s="344"/>
      <c r="E1189" s="334"/>
      <c r="F1189" s="107">
        <f>SUM(F1187:F1188)</f>
        <v>566100</v>
      </c>
      <c r="G1189" s="25"/>
      <c r="H1189" s="11"/>
      <c r="I1189" s="21"/>
      <c r="J1189" s="21"/>
      <c r="K1189" s="21"/>
      <c r="L1189" s="21"/>
      <c r="M1189" s="21"/>
      <c r="N1189" s="21"/>
    </row>
    <row r="1190" spans="1:14" ht="15.75" customHeight="1" x14ac:dyDescent="0.25">
      <c r="A1190" s="21"/>
      <c r="B1190" s="21"/>
      <c r="C1190" s="11"/>
      <c r="D1190" s="11"/>
      <c r="E1190" s="21"/>
      <c r="F1190" s="21"/>
      <c r="G1190" s="25"/>
      <c r="H1190" s="11"/>
      <c r="I1190" s="21"/>
      <c r="J1190" s="21"/>
      <c r="K1190" s="21"/>
      <c r="L1190" s="21"/>
      <c r="M1190" s="21"/>
      <c r="N1190" s="21"/>
    </row>
    <row r="1191" spans="1:14" ht="15.75" customHeight="1" x14ac:dyDescent="0.25">
      <c r="A1191" s="31" t="s">
        <v>351</v>
      </c>
      <c r="B1191" s="31" t="s">
        <v>234</v>
      </c>
      <c r="C1191" s="31" t="s">
        <v>16</v>
      </c>
      <c r="D1191" s="31" t="s">
        <v>17</v>
      </c>
      <c r="E1191" s="31" t="s">
        <v>235</v>
      </c>
      <c r="F1191" s="31" t="s">
        <v>236</v>
      </c>
      <c r="G1191" s="25"/>
      <c r="H1191" s="11"/>
      <c r="I1191" s="21"/>
      <c r="J1191" s="21"/>
      <c r="K1191" s="21"/>
      <c r="L1191" s="21"/>
      <c r="M1191" s="21"/>
      <c r="N1191" s="21"/>
    </row>
    <row r="1192" spans="1:14" ht="15.75" customHeight="1" x14ac:dyDescent="0.25">
      <c r="A1192" s="7">
        <v>1</v>
      </c>
      <c r="B1192" s="41" t="s">
        <v>691</v>
      </c>
      <c r="C1192" s="7">
        <v>4</v>
      </c>
      <c r="D1192" s="7" t="s">
        <v>363</v>
      </c>
      <c r="E1192" s="104">
        <v>29585</v>
      </c>
      <c r="F1192" s="104">
        <f>E1192*C1192</f>
        <v>118340</v>
      </c>
      <c r="G1192" s="25"/>
      <c r="H1192" s="11"/>
      <c r="I1192" s="21"/>
      <c r="J1192" s="21"/>
      <c r="K1192" s="21"/>
      <c r="L1192" s="21"/>
      <c r="M1192" s="21"/>
      <c r="N1192" s="21"/>
    </row>
    <row r="1193" spans="1:14" ht="15.75" customHeight="1" x14ac:dyDescent="0.25">
      <c r="A1193" s="7">
        <v>2</v>
      </c>
      <c r="B1193" s="41" t="s">
        <v>692</v>
      </c>
      <c r="C1193" s="7">
        <v>5</v>
      </c>
      <c r="D1193" s="7" t="s">
        <v>363</v>
      </c>
      <c r="E1193" s="104">
        <v>59655</v>
      </c>
      <c r="F1193" s="104">
        <f>E1193*C1193</f>
        <v>298275</v>
      </c>
      <c r="G1193" s="25"/>
      <c r="H1193" s="11"/>
      <c r="I1193" s="21"/>
      <c r="J1193" s="21"/>
      <c r="K1193" s="21"/>
      <c r="L1193" s="21"/>
      <c r="M1193" s="21"/>
      <c r="N1193" s="21"/>
    </row>
    <row r="1194" spans="1:14" ht="15.75" customHeight="1" x14ac:dyDescent="0.25">
      <c r="A1194" s="7"/>
      <c r="B1194" s="343" t="s">
        <v>342</v>
      </c>
      <c r="C1194" s="344"/>
      <c r="D1194" s="344"/>
      <c r="E1194" s="334"/>
      <c r="F1194" s="104">
        <f>SUM(F1192:F1193)</f>
        <v>416615</v>
      </c>
      <c r="G1194" s="25"/>
      <c r="H1194" s="11"/>
      <c r="I1194" s="21"/>
      <c r="J1194" s="21"/>
      <c r="K1194" s="21"/>
      <c r="L1194" s="21"/>
      <c r="M1194" s="21"/>
      <c r="N1194" s="21"/>
    </row>
    <row r="1195" spans="1:14" ht="15.75" customHeight="1" x14ac:dyDescent="0.25">
      <c r="A1195" s="7"/>
      <c r="B1195" s="343" t="s">
        <v>343</v>
      </c>
      <c r="C1195" s="344"/>
      <c r="D1195" s="344"/>
      <c r="E1195" s="334"/>
      <c r="F1195" s="108">
        <v>45827.65</v>
      </c>
      <c r="G1195" s="25"/>
      <c r="H1195" s="11"/>
      <c r="I1195" s="21"/>
      <c r="J1195" s="21"/>
      <c r="K1195" s="21"/>
      <c r="L1195" s="21"/>
      <c r="M1195" s="21"/>
      <c r="N1195" s="21"/>
    </row>
    <row r="1196" spans="1:14" ht="15.75" customHeight="1" x14ac:dyDescent="0.25">
      <c r="A1196" s="7"/>
      <c r="B1196" s="345" t="s">
        <v>344</v>
      </c>
      <c r="C1196" s="344"/>
      <c r="D1196" s="344"/>
      <c r="E1196" s="334"/>
      <c r="F1196" s="109">
        <f>SUM(F1194:F1195)</f>
        <v>462442.65</v>
      </c>
      <c r="G1196" s="25"/>
      <c r="H1196" s="11"/>
      <c r="I1196" s="21"/>
      <c r="J1196" s="21"/>
      <c r="K1196" s="21"/>
      <c r="L1196" s="21"/>
      <c r="M1196" s="21"/>
      <c r="N1196" s="21"/>
    </row>
    <row r="1197" spans="1:14" ht="15.75" customHeight="1" x14ac:dyDescent="0.25">
      <c r="A1197" s="21"/>
      <c r="B1197" s="21"/>
      <c r="C1197" s="11"/>
      <c r="D1197" s="11"/>
      <c r="E1197" s="21"/>
      <c r="F1197" s="21"/>
      <c r="G1197" s="25"/>
      <c r="H1197" s="11"/>
      <c r="I1197" s="21"/>
      <c r="J1197" s="21"/>
      <c r="K1197" s="21"/>
      <c r="L1197" s="21"/>
      <c r="M1197" s="21"/>
      <c r="N1197" s="21"/>
    </row>
    <row r="1198" spans="1:14" ht="15.75" customHeight="1" x14ac:dyDescent="0.25">
      <c r="A1198" s="31" t="s">
        <v>14</v>
      </c>
      <c r="B1198" s="31" t="s">
        <v>15</v>
      </c>
      <c r="C1198" s="31" t="s">
        <v>16</v>
      </c>
      <c r="D1198" s="31" t="s">
        <v>17</v>
      </c>
      <c r="E1198" s="31" t="s">
        <v>235</v>
      </c>
      <c r="F1198" s="31" t="s">
        <v>236</v>
      </c>
      <c r="G1198" s="25"/>
      <c r="H1198" s="11"/>
      <c r="I1198" s="21"/>
      <c r="J1198" s="21"/>
      <c r="K1198" s="21"/>
      <c r="L1198" s="21"/>
      <c r="M1198" s="21"/>
      <c r="N1198" s="21"/>
    </row>
    <row r="1199" spans="1:14" ht="15.75" customHeight="1" x14ac:dyDescent="0.25">
      <c r="A1199" s="10">
        <v>1</v>
      </c>
      <c r="B1199" s="41" t="s">
        <v>693</v>
      </c>
      <c r="C1199" s="135">
        <v>4</v>
      </c>
      <c r="D1199" s="10" t="s">
        <v>363</v>
      </c>
      <c r="E1199" s="104">
        <v>835000</v>
      </c>
      <c r="F1199" s="104">
        <f t="shared" ref="F1199:F1207" si="6">E1199*C1199</f>
        <v>3340000</v>
      </c>
      <c r="G1199" s="25"/>
      <c r="H1199" s="11"/>
      <c r="I1199" s="21"/>
      <c r="J1199" s="21"/>
      <c r="K1199" s="21"/>
      <c r="L1199" s="21"/>
      <c r="M1199" s="21"/>
      <c r="N1199" s="21"/>
    </row>
    <row r="1200" spans="1:14" ht="15.75" customHeight="1" x14ac:dyDescent="0.25">
      <c r="A1200" s="10">
        <v>2</v>
      </c>
      <c r="B1200" s="41" t="s">
        <v>694</v>
      </c>
      <c r="C1200" s="133">
        <v>4</v>
      </c>
      <c r="D1200" s="7" t="s">
        <v>363</v>
      </c>
      <c r="E1200" s="104">
        <v>125000</v>
      </c>
      <c r="F1200" s="104">
        <f t="shared" si="6"/>
        <v>500000</v>
      </c>
      <c r="G1200" s="25"/>
      <c r="H1200" s="11"/>
      <c r="I1200" s="21"/>
      <c r="J1200" s="21"/>
      <c r="K1200" s="21"/>
      <c r="L1200" s="21"/>
      <c r="M1200" s="21"/>
      <c r="N1200" s="21"/>
    </row>
    <row r="1201" spans="1:14" ht="15.75" customHeight="1" x14ac:dyDescent="0.25">
      <c r="A1201" s="10">
        <v>3</v>
      </c>
      <c r="B1201" s="122" t="s">
        <v>695</v>
      </c>
      <c r="C1201" s="133">
        <v>4</v>
      </c>
      <c r="D1201" s="7" t="s">
        <v>363</v>
      </c>
      <c r="E1201" s="104">
        <v>840000</v>
      </c>
      <c r="F1201" s="104">
        <f t="shared" si="6"/>
        <v>3360000</v>
      </c>
      <c r="G1201" s="25"/>
      <c r="H1201" s="11"/>
      <c r="I1201" s="21"/>
      <c r="J1201" s="21"/>
      <c r="K1201" s="21"/>
      <c r="L1201" s="21"/>
      <c r="M1201" s="21"/>
      <c r="N1201" s="21"/>
    </row>
    <row r="1202" spans="1:14" ht="15.75" customHeight="1" x14ac:dyDescent="0.25">
      <c r="A1202" s="10">
        <v>4</v>
      </c>
      <c r="B1202" s="41" t="s">
        <v>696</v>
      </c>
      <c r="C1202" s="136">
        <v>1</v>
      </c>
      <c r="D1202" s="133" t="s">
        <v>363</v>
      </c>
      <c r="E1202" s="104">
        <v>890000</v>
      </c>
      <c r="F1202" s="104">
        <f t="shared" si="6"/>
        <v>890000</v>
      </c>
      <c r="G1202" s="25"/>
      <c r="H1202" s="11"/>
      <c r="I1202" s="21"/>
      <c r="J1202" s="21"/>
      <c r="K1202" s="21"/>
      <c r="L1202" s="21"/>
      <c r="M1202" s="21"/>
      <c r="N1202" s="21"/>
    </row>
    <row r="1203" spans="1:14" ht="15.75" customHeight="1" x14ac:dyDescent="0.25">
      <c r="A1203" s="10">
        <v>5</v>
      </c>
      <c r="B1203" s="41" t="s">
        <v>694</v>
      </c>
      <c r="C1203" s="137">
        <v>1</v>
      </c>
      <c r="D1203" s="7" t="s">
        <v>363</v>
      </c>
      <c r="E1203" s="104">
        <v>125000</v>
      </c>
      <c r="F1203" s="104">
        <f t="shared" si="6"/>
        <v>125000</v>
      </c>
      <c r="G1203" s="25"/>
      <c r="H1203" s="11"/>
      <c r="I1203" s="21"/>
      <c r="J1203" s="21"/>
      <c r="K1203" s="21"/>
      <c r="L1203" s="21"/>
      <c r="M1203" s="21"/>
      <c r="N1203" s="21"/>
    </row>
    <row r="1204" spans="1:14" ht="15.75" customHeight="1" x14ac:dyDescent="0.25">
      <c r="A1204" s="10">
        <v>6</v>
      </c>
      <c r="B1204" s="41" t="s">
        <v>695</v>
      </c>
      <c r="C1204" s="133">
        <v>1</v>
      </c>
      <c r="D1204" s="7" t="s">
        <v>363</v>
      </c>
      <c r="E1204" s="104">
        <v>840000</v>
      </c>
      <c r="F1204" s="104">
        <f t="shared" si="6"/>
        <v>840000</v>
      </c>
      <c r="G1204" s="25"/>
      <c r="H1204" s="11"/>
      <c r="I1204" s="21"/>
      <c r="J1204" s="21"/>
      <c r="K1204" s="21"/>
      <c r="L1204" s="21"/>
      <c r="M1204" s="21"/>
      <c r="N1204" s="21"/>
    </row>
    <row r="1205" spans="1:14" ht="15.75" customHeight="1" x14ac:dyDescent="0.25">
      <c r="A1205" s="10">
        <v>7</v>
      </c>
      <c r="B1205" s="41" t="s">
        <v>697</v>
      </c>
      <c r="C1205" s="133">
        <v>1</v>
      </c>
      <c r="D1205" s="7" t="s">
        <v>363</v>
      </c>
      <c r="E1205" s="104">
        <v>20500000</v>
      </c>
      <c r="F1205" s="104">
        <f t="shared" si="6"/>
        <v>20500000</v>
      </c>
      <c r="G1205" s="25"/>
      <c r="H1205" s="11"/>
      <c r="I1205" s="21"/>
      <c r="J1205" s="21"/>
      <c r="K1205" s="21"/>
      <c r="L1205" s="21"/>
      <c r="M1205" s="21"/>
      <c r="N1205" s="21"/>
    </row>
    <row r="1206" spans="1:14" ht="15.75" customHeight="1" x14ac:dyDescent="0.25">
      <c r="A1206" s="10">
        <v>8</v>
      </c>
      <c r="B1206" s="41" t="s">
        <v>698</v>
      </c>
      <c r="C1206" s="138">
        <v>20</v>
      </c>
      <c r="D1206" s="139" t="s">
        <v>363</v>
      </c>
      <c r="E1206" s="104">
        <v>17500</v>
      </c>
      <c r="F1206" s="104">
        <f t="shared" si="6"/>
        <v>350000</v>
      </c>
      <c r="G1206" s="25"/>
      <c r="H1206" s="11"/>
      <c r="I1206" s="21"/>
      <c r="J1206" s="21"/>
      <c r="K1206" s="21"/>
      <c r="L1206" s="21"/>
      <c r="M1206" s="21"/>
      <c r="N1206" s="21"/>
    </row>
    <row r="1207" spans="1:14" ht="15.75" customHeight="1" x14ac:dyDescent="0.25">
      <c r="A1207" s="10">
        <v>9</v>
      </c>
      <c r="B1207" s="41" t="s">
        <v>699</v>
      </c>
      <c r="C1207" s="138">
        <v>2</v>
      </c>
      <c r="D1207" s="139" t="s">
        <v>363</v>
      </c>
      <c r="E1207" s="104">
        <v>145000</v>
      </c>
      <c r="F1207" s="104">
        <f t="shared" si="6"/>
        <v>290000</v>
      </c>
      <c r="G1207" s="25"/>
      <c r="H1207" s="11"/>
      <c r="I1207" s="21"/>
      <c r="J1207" s="21"/>
      <c r="K1207" s="21"/>
      <c r="L1207" s="21"/>
      <c r="M1207" s="21"/>
      <c r="N1207" s="21"/>
    </row>
    <row r="1208" spans="1:14" ht="15.75" customHeight="1" x14ac:dyDescent="0.25">
      <c r="A1208" s="7"/>
      <c r="B1208" s="343" t="s">
        <v>342</v>
      </c>
      <c r="C1208" s="344"/>
      <c r="D1208" s="344"/>
      <c r="E1208" s="334"/>
      <c r="F1208" s="104">
        <f>SUM(F1199:F1207)</f>
        <v>30195000</v>
      </c>
      <c r="G1208" s="25"/>
      <c r="H1208" s="11"/>
      <c r="I1208" s="21"/>
      <c r="J1208" s="21"/>
      <c r="K1208" s="21"/>
      <c r="L1208" s="21"/>
      <c r="M1208" s="21"/>
      <c r="N1208" s="21"/>
    </row>
    <row r="1209" spans="1:14" ht="15.75" customHeight="1" x14ac:dyDescent="0.25">
      <c r="A1209" s="7"/>
      <c r="B1209" s="343" t="s">
        <v>700</v>
      </c>
      <c r="C1209" s="344"/>
      <c r="D1209" s="344"/>
      <c r="E1209" s="334"/>
      <c r="F1209" s="104">
        <v>1509750</v>
      </c>
      <c r="G1209" s="25"/>
      <c r="H1209" s="11"/>
      <c r="I1209" s="21"/>
      <c r="J1209" s="21"/>
      <c r="K1209" s="21"/>
      <c r="L1209" s="21"/>
      <c r="M1209" s="21"/>
      <c r="N1209" s="21"/>
    </row>
    <row r="1210" spans="1:14" ht="15.75" customHeight="1" x14ac:dyDescent="0.25">
      <c r="A1210" s="7"/>
      <c r="B1210" s="343" t="s">
        <v>342</v>
      </c>
      <c r="C1210" s="344"/>
      <c r="D1210" s="344"/>
      <c r="E1210" s="334"/>
      <c r="F1210" s="104">
        <f>F1208-F1209</f>
        <v>28685250</v>
      </c>
      <c r="G1210" s="25"/>
      <c r="H1210" s="11"/>
      <c r="I1210" s="21"/>
      <c r="J1210" s="21"/>
      <c r="K1210" s="21"/>
      <c r="L1210" s="21"/>
      <c r="M1210" s="21"/>
      <c r="N1210" s="21"/>
    </row>
    <row r="1211" spans="1:14" ht="15.75" customHeight="1" x14ac:dyDescent="0.25">
      <c r="A1211" s="7"/>
      <c r="B1211" s="343" t="s">
        <v>343</v>
      </c>
      <c r="C1211" s="344"/>
      <c r="D1211" s="344"/>
      <c r="E1211" s="334"/>
      <c r="F1211" s="104">
        <v>3155377.5</v>
      </c>
      <c r="G1211" s="25"/>
      <c r="H1211" s="11"/>
      <c r="I1211" s="21"/>
      <c r="J1211" s="21"/>
      <c r="K1211" s="21"/>
      <c r="L1211" s="21"/>
      <c r="M1211" s="21"/>
      <c r="N1211" s="21"/>
    </row>
    <row r="1212" spans="1:14" ht="15.75" customHeight="1" x14ac:dyDescent="0.25">
      <c r="A1212" s="7"/>
      <c r="B1212" s="345" t="s">
        <v>344</v>
      </c>
      <c r="C1212" s="344"/>
      <c r="D1212" s="344"/>
      <c r="E1212" s="334"/>
      <c r="F1212" s="107">
        <f>SUM(F1210:F1211)</f>
        <v>31840627.5</v>
      </c>
      <c r="G1212" s="25"/>
      <c r="H1212" s="11"/>
      <c r="I1212" s="21"/>
      <c r="J1212" s="21"/>
      <c r="K1212" s="21"/>
      <c r="L1212" s="21"/>
      <c r="M1212" s="21"/>
      <c r="N1212" s="21"/>
    </row>
    <row r="1213" spans="1:14" ht="15.75" customHeight="1" x14ac:dyDescent="0.25">
      <c r="A1213" s="21"/>
      <c r="B1213" s="21"/>
      <c r="C1213" s="11"/>
      <c r="D1213" s="11"/>
      <c r="E1213" s="21"/>
      <c r="F1213" s="21"/>
      <c r="G1213" s="25"/>
      <c r="H1213" s="11"/>
      <c r="I1213" s="21"/>
      <c r="J1213" s="21"/>
      <c r="K1213" s="21"/>
      <c r="L1213" s="21"/>
      <c r="M1213" s="21"/>
      <c r="N1213" s="21"/>
    </row>
    <row r="1214" spans="1:14" ht="15.75" customHeight="1" x14ac:dyDescent="0.25">
      <c r="A1214" s="31" t="s">
        <v>14</v>
      </c>
      <c r="B1214" s="31" t="s">
        <v>234</v>
      </c>
      <c r="C1214" s="31" t="s">
        <v>16</v>
      </c>
      <c r="D1214" s="31" t="s">
        <v>17</v>
      </c>
      <c r="E1214" s="31" t="s">
        <v>235</v>
      </c>
      <c r="F1214" s="31" t="s">
        <v>236</v>
      </c>
      <c r="G1214" s="25"/>
      <c r="H1214" s="11"/>
      <c r="I1214" s="21"/>
      <c r="J1214" s="21"/>
      <c r="K1214" s="21"/>
      <c r="L1214" s="21"/>
      <c r="M1214" s="21"/>
      <c r="N1214" s="21"/>
    </row>
    <row r="1215" spans="1:14" ht="15.75" customHeight="1" x14ac:dyDescent="0.25">
      <c r="A1215" s="7">
        <v>1</v>
      </c>
      <c r="B1215" s="120" t="s">
        <v>701</v>
      </c>
      <c r="C1215" s="7">
        <v>1</v>
      </c>
      <c r="D1215" s="7" t="s">
        <v>347</v>
      </c>
      <c r="E1215" s="104">
        <v>340000</v>
      </c>
      <c r="F1215" s="104">
        <f>E1215*C1215</f>
        <v>340000</v>
      </c>
      <c r="G1215" s="25"/>
      <c r="H1215" s="11"/>
      <c r="I1215" s="21"/>
      <c r="J1215" s="21"/>
      <c r="K1215" s="21"/>
      <c r="L1215" s="21"/>
      <c r="M1215" s="21"/>
      <c r="N1215" s="21"/>
    </row>
    <row r="1216" spans="1:14" ht="15.75" customHeight="1" x14ac:dyDescent="0.25">
      <c r="A1216" s="7"/>
      <c r="B1216" s="343" t="s">
        <v>342</v>
      </c>
      <c r="C1216" s="344"/>
      <c r="D1216" s="344"/>
      <c r="E1216" s="334"/>
      <c r="F1216" s="104">
        <f>F1215</f>
        <v>340000</v>
      </c>
      <c r="G1216" s="25"/>
      <c r="H1216" s="11"/>
      <c r="I1216" s="21"/>
      <c r="J1216" s="21"/>
      <c r="K1216" s="21"/>
      <c r="L1216" s="21"/>
      <c r="M1216" s="21"/>
      <c r="N1216" s="21"/>
    </row>
    <row r="1217" spans="1:14" ht="15.75" customHeight="1" x14ac:dyDescent="0.25">
      <c r="A1217" s="7"/>
      <c r="B1217" s="343" t="s">
        <v>343</v>
      </c>
      <c r="C1217" s="344"/>
      <c r="D1217" s="344"/>
      <c r="E1217" s="334"/>
      <c r="F1217" s="104">
        <v>37400</v>
      </c>
      <c r="G1217" s="25"/>
      <c r="H1217" s="11"/>
      <c r="I1217" s="21"/>
      <c r="J1217" s="21"/>
      <c r="K1217" s="21"/>
      <c r="L1217" s="21"/>
      <c r="M1217" s="21"/>
      <c r="N1217" s="21"/>
    </row>
    <row r="1218" spans="1:14" ht="15.75" customHeight="1" x14ac:dyDescent="0.25">
      <c r="A1218" s="7"/>
      <c r="B1218" s="345" t="s">
        <v>344</v>
      </c>
      <c r="C1218" s="344"/>
      <c r="D1218" s="344"/>
      <c r="E1218" s="334"/>
      <c r="F1218" s="107">
        <f>SUM(F1216:F1217)</f>
        <v>377400</v>
      </c>
      <c r="G1218" s="25"/>
      <c r="H1218" s="11"/>
      <c r="I1218" s="21"/>
      <c r="J1218" s="21"/>
      <c r="K1218" s="21"/>
      <c r="L1218" s="21"/>
      <c r="M1218" s="21"/>
      <c r="N1218" s="21"/>
    </row>
    <row r="1219" spans="1:14" ht="15.75" customHeight="1" x14ac:dyDescent="0.25">
      <c r="A1219" s="21"/>
      <c r="B1219" s="21"/>
      <c r="C1219" s="11"/>
      <c r="D1219" s="11"/>
      <c r="E1219" s="21"/>
      <c r="F1219" s="21"/>
      <c r="G1219" s="25"/>
      <c r="H1219" s="11"/>
      <c r="I1219" s="21"/>
      <c r="J1219" s="21"/>
      <c r="K1219" s="21"/>
      <c r="L1219" s="21"/>
      <c r="M1219" s="21"/>
      <c r="N1219" s="21"/>
    </row>
    <row r="1220" spans="1:14" ht="15.75" customHeight="1" x14ac:dyDescent="0.25">
      <c r="A1220" s="31" t="s">
        <v>14</v>
      </c>
      <c r="B1220" s="31" t="s">
        <v>234</v>
      </c>
      <c r="C1220" s="31" t="s">
        <v>16</v>
      </c>
      <c r="D1220" s="31" t="s">
        <v>17</v>
      </c>
      <c r="E1220" s="31" t="s">
        <v>235</v>
      </c>
      <c r="F1220" s="31" t="s">
        <v>236</v>
      </c>
      <c r="G1220" s="25"/>
      <c r="H1220" s="11"/>
      <c r="I1220" s="21"/>
      <c r="J1220" s="21"/>
      <c r="K1220" s="21"/>
      <c r="L1220" s="21"/>
      <c r="M1220" s="21"/>
      <c r="N1220" s="21"/>
    </row>
    <row r="1221" spans="1:14" ht="15.75" customHeight="1" x14ac:dyDescent="0.25">
      <c r="A1221" s="7">
        <v>1</v>
      </c>
      <c r="B1221" s="120" t="s">
        <v>702</v>
      </c>
      <c r="C1221" s="7">
        <v>5</v>
      </c>
      <c r="D1221" s="7" t="s">
        <v>19</v>
      </c>
      <c r="E1221" s="104">
        <v>230000</v>
      </c>
      <c r="F1221" s="104">
        <f>E1221*C1221</f>
        <v>1150000</v>
      </c>
      <c r="G1221" s="25"/>
      <c r="H1221" s="11"/>
      <c r="I1221" s="21"/>
      <c r="J1221" s="21"/>
      <c r="K1221" s="21"/>
      <c r="L1221" s="21"/>
      <c r="M1221" s="21"/>
      <c r="N1221" s="21"/>
    </row>
    <row r="1222" spans="1:14" ht="15.75" customHeight="1" x14ac:dyDescent="0.25">
      <c r="A1222" s="7"/>
      <c r="B1222" s="343" t="s">
        <v>342</v>
      </c>
      <c r="C1222" s="344"/>
      <c r="D1222" s="344"/>
      <c r="E1222" s="334"/>
      <c r="F1222" s="104">
        <f>F1221</f>
        <v>1150000</v>
      </c>
      <c r="G1222" s="25"/>
      <c r="H1222" s="11"/>
      <c r="I1222" s="21"/>
      <c r="J1222" s="21"/>
      <c r="K1222" s="21"/>
      <c r="L1222" s="21"/>
      <c r="M1222" s="21"/>
      <c r="N1222" s="21"/>
    </row>
    <row r="1223" spans="1:14" ht="15.75" customHeight="1" x14ac:dyDescent="0.25">
      <c r="A1223" s="7"/>
      <c r="B1223" s="343" t="s">
        <v>343</v>
      </c>
      <c r="C1223" s="344"/>
      <c r="D1223" s="344"/>
      <c r="E1223" s="334"/>
      <c r="F1223" s="104">
        <v>126500</v>
      </c>
      <c r="G1223" s="25"/>
      <c r="H1223" s="11"/>
      <c r="I1223" s="21"/>
      <c r="J1223" s="21"/>
      <c r="K1223" s="21"/>
      <c r="L1223" s="21"/>
      <c r="M1223" s="21"/>
      <c r="N1223" s="21"/>
    </row>
    <row r="1224" spans="1:14" ht="15.75" customHeight="1" x14ac:dyDescent="0.25">
      <c r="A1224" s="7"/>
      <c r="B1224" s="345" t="s">
        <v>344</v>
      </c>
      <c r="C1224" s="344"/>
      <c r="D1224" s="344"/>
      <c r="E1224" s="334"/>
      <c r="F1224" s="107">
        <f>SUM(F1222:F1223)</f>
        <v>1276500</v>
      </c>
      <c r="G1224" s="25"/>
      <c r="H1224" s="11"/>
      <c r="I1224" s="21"/>
      <c r="J1224" s="21"/>
      <c r="K1224" s="21"/>
      <c r="L1224" s="21"/>
      <c r="M1224" s="21"/>
      <c r="N1224" s="21"/>
    </row>
    <row r="1225" spans="1:14" ht="15.75" customHeight="1" x14ac:dyDescent="0.25">
      <c r="A1225" s="21"/>
      <c r="B1225" s="21"/>
      <c r="C1225" s="11"/>
      <c r="D1225" s="11"/>
      <c r="E1225" s="21"/>
      <c r="F1225" s="21"/>
      <c r="G1225" s="25"/>
      <c r="H1225" s="11"/>
      <c r="I1225" s="21"/>
      <c r="J1225" s="21"/>
      <c r="K1225" s="21"/>
      <c r="L1225" s="21"/>
      <c r="M1225" s="21"/>
      <c r="N1225" s="21"/>
    </row>
    <row r="1226" spans="1:14" ht="15.75" customHeight="1" x14ac:dyDescent="0.25">
      <c r="A1226" s="31" t="s">
        <v>14</v>
      </c>
      <c r="B1226" s="31" t="s">
        <v>234</v>
      </c>
      <c r="C1226" s="31" t="s">
        <v>16</v>
      </c>
      <c r="D1226" s="31" t="s">
        <v>17</v>
      </c>
      <c r="E1226" s="31" t="s">
        <v>235</v>
      </c>
      <c r="F1226" s="31" t="s">
        <v>236</v>
      </c>
      <c r="G1226" s="25"/>
      <c r="H1226" s="11"/>
      <c r="I1226" s="21"/>
      <c r="J1226" s="21"/>
      <c r="K1226" s="21"/>
      <c r="L1226" s="21"/>
      <c r="M1226" s="21"/>
      <c r="N1226" s="21"/>
    </row>
    <row r="1227" spans="1:14" ht="15.75" customHeight="1" x14ac:dyDescent="0.25">
      <c r="A1227" s="7">
        <v>1</v>
      </c>
      <c r="B1227" s="120" t="s">
        <v>703</v>
      </c>
      <c r="C1227" s="7">
        <v>200</v>
      </c>
      <c r="D1227" s="7" t="s">
        <v>370</v>
      </c>
      <c r="E1227" s="104">
        <v>14500</v>
      </c>
      <c r="F1227" s="104">
        <f>E1227*C1227</f>
        <v>2900000</v>
      </c>
      <c r="G1227" s="25"/>
      <c r="H1227" s="11"/>
      <c r="I1227" s="21"/>
      <c r="J1227" s="21"/>
      <c r="K1227" s="21"/>
      <c r="L1227" s="21"/>
      <c r="M1227" s="21"/>
      <c r="N1227" s="21"/>
    </row>
    <row r="1228" spans="1:14" ht="15.75" customHeight="1" x14ac:dyDescent="0.25">
      <c r="A1228" s="7"/>
      <c r="B1228" s="343" t="s">
        <v>342</v>
      </c>
      <c r="C1228" s="344"/>
      <c r="D1228" s="344"/>
      <c r="E1228" s="334"/>
      <c r="F1228" s="104">
        <f>F1227</f>
        <v>2900000</v>
      </c>
      <c r="G1228" s="25"/>
      <c r="H1228" s="11"/>
      <c r="I1228" s="21"/>
      <c r="J1228" s="21"/>
      <c r="K1228" s="21"/>
      <c r="L1228" s="21"/>
      <c r="M1228" s="21"/>
      <c r="N1228" s="21"/>
    </row>
    <row r="1229" spans="1:14" ht="15.75" customHeight="1" x14ac:dyDescent="0.25">
      <c r="A1229" s="7"/>
      <c r="B1229" s="343" t="s">
        <v>343</v>
      </c>
      <c r="C1229" s="344"/>
      <c r="D1229" s="344"/>
      <c r="E1229" s="334"/>
      <c r="F1229" s="104">
        <v>319000</v>
      </c>
      <c r="G1229" s="25"/>
      <c r="H1229" s="11"/>
      <c r="I1229" s="21"/>
      <c r="J1229" s="21"/>
      <c r="K1229" s="21"/>
      <c r="L1229" s="21"/>
      <c r="M1229" s="21"/>
      <c r="N1229" s="21"/>
    </row>
    <row r="1230" spans="1:14" ht="15.75" customHeight="1" x14ac:dyDescent="0.25">
      <c r="A1230" s="7"/>
      <c r="B1230" s="345" t="s">
        <v>344</v>
      </c>
      <c r="C1230" s="344"/>
      <c r="D1230" s="344"/>
      <c r="E1230" s="334"/>
      <c r="F1230" s="107">
        <f>SUM(F1228:F1229)</f>
        <v>3219000</v>
      </c>
      <c r="G1230" s="25"/>
      <c r="H1230" s="11"/>
      <c r="I1230" s="21"/>
      <c r="J1230" s="21"/>
      <c r="K1230" s="21"/>
      <c r="L1230" s="21"/>
      <c r="M1230" s="21"/>
      <c r="N1230" s="21"/>
    </row>
    <row r="1231" spans="1:14" ht="15.75" customHeight="1" x14ac:dyDescent="0.25">
      <c r="A1231" s="21"/>
      <c r="B1231" s="21"/>
      <c r="C1231" s="11"/>
      <c r="D1231" s="11"/>
      <c r="E1231" s="21"/>
      <c r="F1231" s="21"/>
      <c r="G1231" s="25"/>
      <c r="H1231" s="11"/>
      <c r="I1231" s="21"/>
      <c r="J1231" s="21"/>
      <c r="K1231" s="21"/>
      <c r="L1231" s="21"/>
      <c r="M1231" s="21"/>
      <c r="N1231" s="21"/>
    </row>
    <row r="1232" spans="1:14" ht="15.75" customHeight="1" x14ac:dyDescent="0.25">
      <c r="A1232" s="31" t="s">
        <v>351</v>
      </c>
      <c r="B1232" s="31" t="s">
        <v>234</v>
      </c>
      <c r="C1232" s="31" t="s">
        <v>16</v>
      </c>
      <c r="D1232" s="31" t="s">
        <v>17</v>
      </c>
      <c r="E1232" s="31" t="s">
        <v>235</v>
      </c>
      <c r="F1232" s="31" t="s">
        <v>236</v>
      </c>
      <c r="G1232" s="25"/>
      <c r="H1232" s="11"/>
      <c r="I1232" s="21"/>
      <c r="J1232" s="21"/>
      <c r="K1232" s="21"/>
      <c r="L1232" s="21"/>
      <c r="M1232" s="21"/>
      <c r="N1232" s="21"/>
    </row>
    <row r="1233" spans="1:14" ht="15.75" customHeight="1" x14ac:dyDescent="0.25">
      <c r="A1233" s="7">
        <v>1</v>
      </c>
      <c r="B1233" s="41" t="s">
        <v>704</v>
      </c>
      <c r="C1233" s="7">
        <v>2</v>
      </c>
      <c r="D1233" s="7" t="s">
        <v>247</v>
      </c>
      <c r="E1233" s="104">
        <v>362500</v>
      </c>
      <c r="F1233" s="104">
        <f>E1233*C1233</f>
        <v>725000</v>
      </c>
      <c r="G1233" s="25"/>
      <c r="H1233" s="11"/>
      <c r="I1233" s="21"/>
      <c r="J1233" s="21"/>
      <c r="K1233" s="21"/>
      <c r="L1233" s="21"/>
      <c r="M1233" s="21"/>
      <c r="N1233" s="21"/>
    </row>
    <row r="1234" spans="1:14" ht="15.75" customHeight="1" x14ac:dyDescent="0.25">
      <c r="A1234" s="7">
        <v>2</v>
      </c>
      <c r="B1234" s="41" t="s">
        <v>705</v>
      </c>
      <c r="C1234" s="7">
        <v>2</v>
      </c>
      <c r="D1234" s="7" t="s">
        <v>247</v>
      </c>
      <c r="E1234" s="104">
        <v>60800</v>
      </c>
      <c r="F1234" s="104">
        <f>E1234*C1234</f>
        <v>121600</v>
      </c>
      <c r="G1234" s="25"/>
      <c r="H1234" s="11"/>
      <c r="I1234" s="21"/>
      <c r="J1234" s="21"/>
      <c r="K1234" s="21"/>
      <c r="L1234" s="21"/>
      <c r="M1234" s="21"/>
      <c r="N1234" s="21"/>
    </row>
    <row r="1235" spans="1:14" ht="15.75" customHeight="1" x14ac:dyDescent="0.25">
      <c r="A1235" s="7"/>
      <c r="B1235" s="343" t="s">
        <v>342</v>
      </c>
      <c r="C1235" s="344"/>
      <c r="D1235" s="344"/>
      <c r="E1235" s="334"/>
      <c r="F1235" s="104">
        <f>SUM(F1233:F1234)</f>
        <v>846600</v>
      </c>
      <c r="G1235" s="25"/>
      <c r="H1235" s="11"/>
      <c r="I1235" s="21"/>
      <c r="J1235" s="21"/>
      <c r="K1235" s="21"/>
      <c r="L1235" s="21"/>
      <c r="M1235" s="21"/>
      <c r="N1235" s="21"/>
    </row>
    <row r="1236" spans="1:14" ht="15.75" customHeight="1" x14ac:dyDescent="0.25">
      <c r="A1236" s="7"/>
      <c r="B1236" s="343" t="s">
        <v>343</v>
      </c>
      <c r="C1236" s="344"/>
      <c r="D1236" s="344"/>
      <c r="E1236" s="334"/>
      <c r="F1236" s="104">
        <v>93126</v>
      </c>
      <c r="G1236" s="25"/>
      <c r="H1236" s="11"/>
      <c r="I1236" s="21"/>
      <c r="J1236" s="21"/>
      <c r="K1236" s="21"/>
      <c r="L1236" s="21"/>
      <c r="M1236" s="21"/>
      <c r="N1236" s="21"/>
    </row>
    <row r="1237" spans="1:14" ht="15.75" customHeight="1" x14ac:dyDescent="0.25">
      <c r="A1237" s="7"/>
      <c r="B1237" s="345" t="s">
        <v>344</v>
      </c>
      <c r="C1237" s="344"/>
      <c r="D1237" s="344"/>
      <c r="E1237" s="334"/>
      <c r="F1237" s="107">
        <f>SUM(F1235:F1236)</f>
        <v>939726</v>
      </c>
      <c r="G1237" s="25"/>
      <c r="H1237" s="11"/>
      <c r="I1237" s="21"/>
      <c r="J1237" s="21"/>
      <c r="K1237" s="21"/>
      <c r="L1237" s="21"/>
      <c r="M1237" s="21"/>
      <c r="N1237" s="21"/>
    </row>
    <row r="1238" spans="1:14" ht="15.75" customHeight="1" x14ac:dyDescent="0.25">
      <c r="A1238" s="21"/>
      <c r="B1238" s="21"/>
      <c r="C1238" s="11"/>
      <c r="D1238" s="11"/>
      <c r="E1238" s="21"/>
      <c r="F1238" s="21"/>
      <c r="G1238" s="25"/>
      <c r="H1238" s="11"/>
      <c r="I1238" s="21"/>
      <c r="J1238" s="21"/>
      <c r="K1238" s="21"/>
      <c r="L1238" s="21"/>
      <c r="M1238" s="21"/>
      <c r="N1238" s="21"/>
    </row>
    <row r="1239" spans="1:14" ht="15.75" customHeight="1" x14ac:dyDescent="0.25">
      <c r="A1239" s="31" t="s">
        <v>14</v>
      </c>
      <c r="B1239" s="31" t="s">
        <v>15</v>
      </c>
      <c r="C1239" s="31" t="s">
        <v>16</v>
      </c>
      <c r="D1239" s="31" t="s">
        <v>17</v>
      </c>
      <c r="E1239" s="31" t="s">
        <v>235</v>
      </c>
      <c r="F1239" s="31" t="s">
        <v>236</v>
      </c>
      <c r="G1239" s="25"/>
      <c r="H1239" s="11"/>
      <c r="I1239" s="21"/>
      <c r="J1239" s="21"/>
      <c r="K1239" s="21"/>
      <c r="L1239" s="21"/>
      <c r="M1239" s="21"/>
      <c r="N1239" s="21"/>
    </row>
    <row r="1240" spans="1:14" ht="15.75" customHeight="1" x14ac:dyDescent="0.25">
      <c r="A1240" s="7">
        <v>1</v>
      </c>
      <c r="B1240" s="120" t="s">
        <v>706</v>
      </c>
      <c r="C1240" s="7">
        <v>1</v>
      </c>
      <c r="D1240" s="7" t="s">
        <v>247</v>
      </c>
      <c r="E1240" s="104">
        <v>1050000</v>
      </c>
      <c r="F1240" s="104">
        <f>E1240*C1240</f>
        <v>1050000</v>
      </c>
      <c r="G1240" s="25"/>
      <c r="H1240" s="11"/>
      <c r="I1240" s="21"/>
      <c r="J1240" s="21"/>
      <c r="K1240" s="21"/>
      <c r="L1240" s="21"/>
      <c r="M1240" s="21"/>
      <c r="N1240" s="21"/>
    </row>
    <row r="1241" spans="1:14" ht="15.75" customHeight="1" x14ac:dyDescent="0.25">
      <c r="A1241" s="7">
        <v>2</v>
      </c>
      <c r="B1241" s="124" t="s">
        <v>707</v>
      </c>
      <c r="C1241" s="7">
        <v>2</v>
      </c>
      <c r="D1241" s="7" t="s">
        <v>247</v>
      </c>
      <c r="E1241" s="104">
        <v>82000</v>
      </c>
      <c r="F1241" s="104">
        <f>E1241*C1241</f>
        <v>164000</v>
      </c>
      <c r="G1241" s="25"/>
      <c r="H1241" s="11"/>
      <c r="I1241" s="21"/>
      <c r="J1241" s="21"/>
      <c r="K1241" s="21"/>
      <c r="L1241" s="21"/>
      <c r="M1241" s="21"/>
      <c r="N1241" s="21"/>
    </row>
    <row r="1242" spans="1:14" ht="15.75" customHeight="1" x14ac:dyDescent="0.25">
      <c r="A1242" s="7">
        <v>3</v>
      </c>
      <c r="B1242" s="38" t="s">
        <v>708</v>
      </c>
      <c r="C1242" s="7">
        <v>3</v>
      </c>
      <c r="D1242" s="7" t="s">
        <v>247</v>
      </c>
      <c r="E1242" s="104">
        <v>82000</v>
      </c>
      <c r="F1242" s="104">
        <f>E1242*C1242</f>
        <v>246000</v>
      </c>
      <c r="G1242" s="25"/>
      <c r="H1242" s="11"/>
      <c r="I1242" s="21"/>
      <c r="J1242" s="21"/>
      <c r="K1242" s="21"/>
      <c r="L1242" s="21"/>
      <c r="M1242" s="21"/>
      <c r="N1242" s="21"/>
    </row>
    <row r="1243" spans="1:14" ht="15.75" customHeight="1" x14ac:dyDescent="0.25">
      <c r="A1243" s="7">
        <v>4</v>
      </c>
      <c r="B1243" s="38" t="s">
        <v>709</v>
      </c>
      <c r="C1243" s="7">
        <v>1</v>
      </c>
      <c r="D1243" s="7" t="s">
        <v>251</v>
      </c>
      <c r="E1243" s="104">
        <v>448000</v>
      </c>
      <c r="F1243" s="104">
        <f>E1243*C1243</f>
        <v>448000</v>
      </c>
      <c r="G1243" s="25"/>
      <c r="H1243" s="11"/>
      <c r="I1243" s="21"/>
      <c r="J1243" s="21"/>
      <c r="K1243" s="21"/>
      <c r="L1243" s="21"/>
      <c r="M1243" s="21"/>
      <c r="N1243" s="21"/>
    </row>
    <row r="1244" spans="1:14" ht="15.75" customHeight="1" x14ac:dyDescent="0.25">
      <c r="A1244" s="7"/>
      <c r="B1244" s="105" t="s">
        <v>342</v>
      </c>
      <c r="C1244" s="125"/>
      <c r="D1244" s="125"/>
      <c r="E1244" s="126"/>
      <c r="F1244" s="104">
        <f>SUM(F1240:F1243)</f>
        <v>1908000</v>
      </c>
      <c r="G1244" s="25"/>
      <c r="H1244" s="11"/>
      <c r="I1244" s="21"/>
      <c r="J1244" s="21"/>
      <c r="K1244" s="21"/>
      <c r="L1244" s="21"/>
      <c r="M1244" s="21"/>
      <c r="N1244" s="21"/>
    </row>
    <row r="1245" spans="1:14" ht="15.75" customHeight="1" x14ac:dyDescent="0.25">
      <c r="A1245" s="7"/>
      <c r="B1245" s="343" t="s">
        <v>343</v>
      </c>
      <c r="C1245" s="344"/>
      <c r="D1245" s="344"/>
      <c r="E1245" s="334"/>
      <c r="F1245" s="104">
        <v>209880</v>
      </c>
      <c r="G1245" s="25"/>
      <c r="H1245" s="11"/>
      <c r="I1245" s="21"/>
      <c r="J1245" s="21"/>
      <c r="K1245" s="21"/>
      <c r="L1245" s="21"/>
      <c r="M1245" s="21"/>
      <c r="N1245" s="21"/>
    </row>
    <row r="1246" spans="1:14" ht="15.75" customHeight="1" x14ac:dyDescent="0.25">
      <c r="A1246" s="7"/>
      <c r="B1246" s="345" t="s">
        <v>344</v>
      </c>
      <c r="C1246" s="344"/>
      <c r="D1246" s="344"/>
      <c r="E1246" s="334"/>
      <c r="F1246" s="107">
        <f>SUM(F1244:F1245)</f>
        <v>2117880</v>
      </c>
      <c r="G1246" s="25"/>
      <c r="H1246" s="11"/>
      <c r="I1246" s="21"/>
      <c r="J1246" s="21"/>
      <c r="K1246" s="21"/>
      <c r="L1246" s="21"/>
      <c r="M1246" s="21"/>
      <c r="N1246" s="21"/>
    </row>
    <row r="1247" spans="1:14" ht="15.75" customHeight="1" x14ac:dyDescent="0.25">
      <c r="A1247" s="21"/>
      <c r="B1247" s="21"/>
      <c r="C1247" s="11"/>
      <c r="D1247" s="11"/>
      <c r="E1247" s="21"/>
      <c r="F1247" s="21"/>
      <c r="G1247" s="25"/>
      <c r="H1247" s="11"/>
      <c r="I1247" s="21"/>
      <c r="J1247" s="21"/>
      <c r="K1247" s="21"/>
      <c r="L1247" s="21"/>
      <c r="M1247" s="21"/>
      <c r="N1247" s="21"/>
    </row>
    <row r="1248" spans="1:14" ht="15.75" customHeight="1" x14ac:dyDescent="0.25">
      <c r="A1248" s="31" t="s">
        <v>14</v>
      </c>
      <c r="B1248" s="31" t="s">
        <v>234</v>
      </c>
      <c r="C1248" s="31" t="s">
        <v>16</v>
      </c>
      <c r="D1248" s="31" t="s">
        <v>17</v>
      </c>
      <c r="E1248" s="31" t="s">
        <v>235</v>
      </c>
      <c r="F1248" s="31" t="s">
        <v>236</v>
      </c>
      <c r="G1248" s="25"/>
      <c r="H1248" s="11"/>
      <c r="I1248" s="21"/>
      <c r="J1248" s="21"/>
      <c r="K1248" s="21"/>
      <c r="L1248" s="21"/>
      <c r="M1248" s="21"/>
      <c r="N1248" s="21"/>
    </row>
    <row r="1249" spans="1:14" ht="15.75" customHeight="1" x14ac:dyDescent="0.25">
      <c r="A1249" s="7">
        <v>1</v>
      </c>
      <c r="B1249" s="120" t="s">
        <v>710</v>
      </c>
      <c r="C1249" s="7">
        <v>1</v>
      </c>
      <c r="D1249" s="7" t="s">
        <v>19</v>
      </c>
      <c r="E1249" s="104">
        <v>9100000</v>
      </c>
      <c r="F1249" s="104">
        <f>E1249*C1249</f>
        <v>9100000</v>
      </c>
      <c r="G1249" s="25"/>
      <c r="H1249" s="11"/>
      <c r="I1249" s="21"/>
      <c r="J1249" s="21"/>
      <c r="K1249" s="21"/>
      <c r="L1249" s="21"/>
      <c r="M1249" s="21"/>
      <c r="N1249" s="21"/>
    </row>
    <row r="1250" spans="1:14" ht="15.75" customHeight="1" x14ac:dyDescent="0.25">
      <c r="A1250" s="7"/>
      <c r="B1250" s="343" t="s">
        <v>342</v>
      </c>
      <c r="C1250" s="344"/>
      <c r="D1250" s="344"/>
      <c r="E1250" s="334"/>
      <c r="F1250" s="104">
        <f>F1249</f>
        <v>9100000</v>
      </c>
      <c r="G1250" s="25"/>
      <c r="H1250" s="11"/>
      <c r="I1250" s="21"/>
      <c r="J1250" s="21"/>
      <c r="K1250" s="21"/>
      <c r="L1250" s="21"/>
      <c r="M1250" s="21"/>
      <c r="N1250" s="21"/>
    </row>
    <row r="1251" spans="1:14" ht="15.75" customHeight="1" x14ac:dyDescent="0.25">
      <c r="A1251" s="7"/>
      <c r="B1251" s="343" t="s">
        <v>343</v>
      </c>
      <c r="C1251" s="344"/>
      <c r="D1251" s="344"/>
      <c r="E1251" s="334"/>
      <c r="F1251" s="104">
        <v>1001000</v>
      </c>
      <c r="G1251" s="25"/>
      <c r="H1251" s="11"/>
      <c r="I1251" s="21"/>
      <c r="J1251" s="21"/>
      <c r="K1251" s="21"/>
      <c r="L1251" s="21"/>
      <c r="M1251" s="21"/>
      <c r="N1251" s="21"/>
    </row>
    <row r="1252" spans="1:14" ht="15.75" customHeight="1" x14ac:dyDescent="0.25">
      <c r="A1252" s="7"/>
      <c r="B1252" s="345" t="s">
        <v>344</v>
      </c>
      <c r="C1252" s="344"/>
      <c r="D1252" s="344"/>
      <c r="E1252" s="334"/>
      <c r="F1252" s="107">
        <f>SUM(F1250:F1251)</f>
        <v>10101000</v>
      </c>
      <c r="G1252" s="25"/>
      <c r="H1252" s="11"/>
      <c r="I1252" s="21"/>
      <c r="J1252" s="21"/>
      <c r="K1252" s="21"/>
      <c r="L1252" s="21"/>
      <c r="M1252" s="21"/>
      <c r="N1252" s="21"/>
    </row>
    <row r="1253" spans="1:14" ht="15.75" customHeight="1" x14ac:dyDescent="0.25">
      <c r="A1253" s="21"/>
      <c r="B1253" s="21"/>
      <c r="C1253" s="11"/>
      <c r="D1253" s="11"/>
      <c r="E1253" s="21"/>
      <c r="F1253" s="21"/>
      <c r="G1253" s="25"/>
      <c r="H1253" s="11"/>
      <c r="I1253" s="21"/>
      <c r="J1253" s="21"/>
      <c r="K1253" s="21"/>
      <c r="L1253" s="21"/>
      <c r="M1253" s="21"/>
      <c r="N1253" s="21"/>
    </row>
    <row r="1254" spans="1:14" ht="15.75" customHeight="1" x14ac:dyDescent="0.25">
      <c r="A1254" s="31" t="s">
        <v>14</v>
      </c>
      <c r="B1254" s="31" t="s">
        <v>234</v>
      </c>
      <c r="C1254" s="31" t="s">
        <v>16</v>
      </c>
      <c r="D1254" s="31" t="s">
        <v>17</v>
      </c>
      <c r="E1254" s="31" t="s">
        <v>235</v>
      </c>
      <c r="F1254" s="31" t="s">
        <v>236</v>
      </c>
      <c r="G1254" s="25"/>
      <c r="H1254" s="11"/>
      <c r="I1254" s="21"/>
      <c r="J1254" s="21"/>
      <c r="K1254" s="21"/>
      <c r="L1254" s="21"/>
      <c r="M1254" s="21"/>
      <c r="N1254" s="21"/>
    </row>
    <row r="1255" spans="1:14" ht="15.75" customHeight="1" x14ac:dyDescent="0.25">
      <c r="A1255" s="7">
        <v>1</v>
      </c>
      <c r="B1255" s="120" t="s">
        <v>711</v>
      </c>
      <c r="C1255" s="7">
        <v>20</v>
      </c>
      <c r="D1255" s="7" t="s">
        <v>406</v>
      </c>
      <c r="E1255" s="104">
        <v>461720</v>
      </c>
      <c r="F1255" s="104">
        <f>E1255*C1255</f>
        <v>9234400</v>
      </c>
      <c r="G1255" s="25"/>
      <c r="H1255" s="11"/>
      <c r="I1255" s="21"/>
      <c r="J1255" s="21"/>
      <c r="K1255" s="21"/>
      <c r="L1255" s="21"/>
      <c r="M1255" s="21"/>
      <c r="N1255" s="21"/>
    </row>
    <row r="1256" spans="1:14" ht="15.75" customHeight="1" x14ac:dyDescent="0.25">
      <c r="A1256" s="7"/>
      <c r="B1256" s="343" t="s">
        <v>342</v>
      </c>
      <c r="C1256" s="344"/>
      <c r="D1256" s="344"/>
      <c r="E1256" s="334"/>
      <c r="F1256" s="104">
        <f>F1255</f>
        <v>9234400</v>
      </c>
      <c r="G1256" s="25"/>
      <c r="H1256" s="11"/>
      <c r="I1256" s="21"/>
      <c r="J1256" s="21"/>
      <c r="K1256" s="21"/>
      <c r="L1256" s="21"/>
      <c r="M1256" s="21"/>
      <c r="N1256" s="21"/>
    </row>
    <row r="1257" spans="1:14" ht="15.75" customHeight="1" x14ac:dyDescent="0.25">
      <c r="A1257" s="7"/>
      <c r="B1257" s="343" t="s">
        <v>343</v>
      </c>
      <c r="C1257" s="344"/>
      <c r="D1257" s="344"/>
      <c r="E1257" s="334"/>
      <c r="F1257" s="104">
        <v>1015784</v>
      </c>
      <c r="G1257" s="25"/>
      <c r="H1257" s="11"/>
      <c r="I1257" s="21"/>
      <c r="J1257" s="21"/>
      <c r="K1257" s="21"/>
      <c r="L1257" s="21"/>
      <c r="M1257" s="21"/>
      <c r="N1257" s="21"/>
    </row>
    <row r="1258" spans="1:14" ht="15.75" customHeight="1" x14ac:dyDescent="0.25">
      <c r="A1258" s="7"/>
      <c r="B1258" s="345" t="s">
        <v>344</v>
      </c>
      <c r="C1258" s="344"/>
      <c r="D1258" s="344"/>
      <c r="E1258" s="334"/>
      <c r="F1258" s="107">
        <f>SUM(F1256:F1257)</f>
        <v>10250184</v>
      </c>
      <c r="G1258" s="25"/>
      <c r="H1258" s="11"/>
      <c r="I1258" s="21"/>
      <c r="J1258" s="21"/>
      <c r="K1258" s="21"/>
      <c r="L1258" s="21"/>
      <c r="M1258" s="21"/>
      <c r="N1258" s="21"/>
    </row>
    <row r="1259" spans="1:14" ht="15.75" customHeight="1" x14ac:dyDescent="0.25">
      <c r="A1259" s="21"/>
      <c r="B1259" s="21"/>
      <c r="C1259" s="11"/>
      <c r="D1259" s="11"/>
      <c r="E1259" s="21"/>
      <c r="F1259" s="21"/>
      <c r="G1259" s="25"/>
      <c r="H1259" s="11"/>
      <c r="I1259" s="21"/>
      <c r="J1259" s="21"/>
      <c r="K1259" s="21"/>
      <c r="L1259" s="21"/>
      <c r="M1259" s="21"/>
      <c r="N1259" s="21"/>
    </row>
    <row r="1260" spans="1:14" ht="15.75" customHeight="1" x14ac:dyDescent="0.25">
      <c r="A1260" s="31" t="s">
        <v>14</v>
      </c>
      <c r="B1260" s="31" t="s">
        <v>234</v>
      </c>
      <c r="C1260" s="31" t="s">
        <v>16</v>
      </c>
      <c r="D1260" s="31" t="s">
        <v>17</v>
      </c>
      <c r="E1260" s="31" t="s">
        <v>235</v>
      </c>
      <c r="F1260" s="31" t="s">
        <v>236</v>
      </c>
      <c r="G1260" s="25"/>
      <c r="H1260" s="11"/>
      <c r="I1260" s="21"/>
      <c r="J1260" s="21"/>
      <c r="K1260" s="21"/>
      <c r="L1260" s="21"/>
      <c r="M1260" s="21"/>
      <c r="N1260" s="21"/>
    </row>
    <row r="1261" spans="1:14" ht="15.75" customHeight="1" x14ac:dyDescent="0.25">
      <c r="A1261" s="7">
        <v>1</v>
      </c>
      <c r="B1261" s="120" t="s">
        <v>712</v>
      </c>
      <c r="C1261" s="7">
        <v>2</v>
      </c>
      <c r="D1261" s="7" t="s">
        <v>713</v>
      </c>
      <c r="E1261" s="104">
        <v>4753000</v>
      </c>
      <c r="F1261" s="104">
        <f>E1261*C1261</f>
        <v>9506000</v>
      </c>
      <c r="G1261" s="25"/>
      <c r="H1261" s="11"/>
      <c r="I1261" s="21"/>
      <c r="J1261" s="21"/>
      <c r="K1261" s="21"/>
      <c r="L1261" s="21"/>
      <c r="M1261" s="21"/>
      <c r="N1261" s="21"/>
    </row>
    <row r="1262" spans="1:14" ht="15.75" customHeight="1" x14ac:dyDescent="0.25">
      <c r="A1262" s="7"/>
      <c r="B1262" s="343" t="s">
        <v>342</v>
      </c>
      <c r="C1262" s="344"/>
      <c r="D1262" s="344"/>
      <c r="E1262" s="334"/>
      <c r="F1262" s="104">
        <f>F1261</f>
        <v>9506000</v>
      </c>
      <c r="G1262" s="25"/>
      <c r="H1262" s="11"/>
      <c r="I1262" s="21"/>
      <c r="J1262" s="21"/>
      <c r="K1262" s="21"/>
      <c r="L1262" s="21"/>
      <c r="M1262" s="21"/>
      <c r="N1262" s="21"/>
    </row>
    <row r="1263" spans="1:14" ht="15.75" customHeight="1" x14ac:dyDescent="0.25">
      <c r="A1263" s="7"/>
      <c r="B1263" s="343" t="s">
        <v>343</v>
      </c>
      <c r="C1263" s="344"/>
      <c r="D1263" s="344"/>
      <c r="E1263" s="334"/>
      <c r="F1263" s="104">
        <v>1045660</v>
      </c>
      <c r="G1263" s="25"/>
      <c r="H1263" s="11"/>
      <c r="I1263" s="21"/>
      <c r="J1263" s="21"/>
      <c r="K1263" s="21"/>
      <c r="L1263" s="21"/>
      <c r="M1263" s="21"/>
      <c r="N1263" s="21"/>
    </row>
    <row r="1264" spans="1:14" ht="15.75" customHeight="1" x14ac:dyDescent="0.25">
      <c r="A1264" s="7"/>
      <c r="B1264" s="345" t="s">
        <v>344</v>
      </c>
      <c r="C1264" s="344"/>
      <c r="D1264" s="344"/>
      <c r="E1264" s="334"/>
      <c r="F1264" s="107">
        <f>SUM(F1262:F1263)</f>
        <v>10551660</v>
      </c>
      <c r="G1264" s="25"/>
      <c r="H1264" s="11"/>
      <c r="I1264" s="21"/>
      <c r="J1264" s="21"/>
      <c r="K1264" s="21"/>
      <c r="L1264" s="21"/>
      <c r="M1264" s="21"/>
      <c r="N1264" s="21"/>
    </row>
    <row r="1265" spans="1:14" ht="15.75" customHeight="1" x14ac:dyDescent="0.25">
      <c r="A1265" s="21"/>
      <c r="B1265" s="21"/>
      <c r="C1265" s="11"/>
      <c r="D1265" s="11"/>
      <c r="E1265" s="21"/>
      <c r="F1265" s="21"/>
      <c r="G1265" s="25"/>
      <c r="H1265" s="11"/>
      <c r="I1265" s="21"/>
      <c r="J1265" s="21"/>
      <c r="K1265" s="21"/>
      <c r="L1265" s="21"/>
      <c r="M1265" s="21"/>
      <c r="N1265" s="21"/>
    </row>
    <row r="1266" spans="1:14" ht="15.75" customHeight="1" x14ac:dyDescent="0.25">
      <c r="A1266" s="31" t="s">
        <v>14</v>
      </c>
      <c r="B1266" s="31" t="s">
        <v>234</v>
      </c>
      <c r="C1266" s="31" t="s">
        <v>16</v>
      </c>
      <c r="D1266" s="31" t="s">
        <v>17</v>
      </c>
      <c r="E1266" s="31" t="s">
        <v>235</v>
      </c>
      <c r="F1266" s="31" t="s">
        <v>236</v>
      </c>
      <c r="G1266" s="25"/>
      <c r="H1266" s="11"/>
      <c r="I1266" s="21"/>
      <c r="J1266" s="21"/>
      <c r="K1266" s="21"/>
      <c r="L1266" s="21"/>
      <c r="M1266" s="21"/>
      <c r="N1266" s="21"/>
    </row>
    <row r="1267" spans="1:14" ht="15.75" customHeight="1" x14ac:dyDescent="0.25">
      <c r="A1267" s="7">
        <v>1</v>
      </c>
      <c r="B1267" s="120" t="s">
        <v>714</v>
      </c>
      <c r="C1267" s="7">
        <v>2</v>
      </c>
      <c r="D1267" s="7" t="s">
        <v>363</v>
      </c>
      <c r="E1267" s="104">
        <v>95000</v>
      </c>
      <c r="F1267" s="104">
        <f>E1267*C1267</f>
        <v>190000</v>
      </c>
      <c r="G1267" s="25"/>
      <c r="H1267" s="11"/>
      <c r="I1267" s="21"/>
      <c r="J1267" s="21"/>
      <c r="K1267" s="21"/>
      <c r="L1267" s="21"/>
      <c r="M1267" s="21"/>
      <c r="N1267" s="21"/>
    </row>
    <row r="1268" spans="1:14" ht="15.75" customHeight="1" x14ac:dyDescent="0.25">
      <c r="A1268" s="7"/>
      <c r="B1268" s="343" t="s">
        <v>342</v>
      </c>
      <c r="C1268" s="344"/>
      <c r="D1268" s="344"/>
      <c r="E1268" s="334"/>
      <c r="F1268" s="104">
        <f>F1267</f>
        <v>190000</v>
      </c>
      <c r="G1268" s="25"/>
      <c r="H1268" s="11"/>
      <c r="I1268" s="21"/>
      <c r="J1268" s="21"/>
      <c r="K1268" s="21"/>
      <c r="L1268" s="21"/>
      <c r="M1268" s="21"/>
      <c r="N1268" s="21"/>
    </row>
    <row r="1269" spans="1:14" ht="15.75" customHeight="1" x14ac:dyDescent="0.25">
      <c r="A1269" s="7"/>
      <c r="B1269" s="343" t="s">
        <v>343</v>
      </c>
      <c r="C1269" s="344"/>
      <c r="D1269" s="344"/>
      <c r="E1269" s="334"/>
      <c r="F1269" s="104">
        <v>20900</v>
      </c>
      <c r="G1269" s="25"/>
      <c r="H1269" s="11"/>
      <c r="I1269" s="21"/>
      <c r="J1269" s="21"/>
      <c r="K1269" s="21"/>
      <c r="L1269" s="21"/>
      <c r="M1269" s="21"/>
      <c r="N1269" s="21"/>
    </row>
    <row r="1270" spans="1:14" ht="15.75" customHeight="1" x14ac:dyDescent="0.25">
      <c r="A1270" s="7"/>
      <c r="B1270" s="345" t="s">
        <v>344</v>
      </c>
      <c r="C1270" s="344"/>
      <c r="D1270" s="344"/>
      <c r="E1270" s="334"/>
      <c r="F1270" s="107">
        <f>SUM(F1268:F1269)</f>
        <v>210900</v>
      </c>
      <c r="G1270" s="25"/>
      <c r="H1270" s="11"/>
      <c r="I1270" s="21"/>
      <c r="J1270" s="21"/>
      <c r="K1270" s="21"/>
      <c r="L1270" s="21"/>
      <c r="M1270" s="21"/>
      <c r="N1270" s="21"/>
    </row>
    <row r="1271" spans="1:14" ht="15.75" customHeight="1" x14ac:dyDescent="0.25">
      <c r="A1271" s="21"/>
      <c r="B1271" s="21"/>
      <c r="C1271" s="11"/>
      <c r="D1271" s="11"/>
      <c r="E1271" s="21"/>
      <c r="F1271" s="21"/>
      <c r="G1271" s="25"/>
      <c r="H1271" s="11"/>
      <c r="I1271" s="21"/>
      <c r="J1271" s="21"/>
      <c r="K1271" s="21"/>
      <c r="L1271" s="21"/>
      <c r="M1271" s="21"/>
      <c r="N1271" s="21"/>
    </row>
    <row r="1272" spans="1:14" ht="15.75" customHeight="1" x14ac:dyDescent="0.25">
      <c r="A1272" s="31" t="s">
        <v>14</v>
      </c>
      <c r="B1272" s="31" t="s">
        <v>15</v>
      </c>
      <c r="C1272" s="31" t="s">
        <v>16</v>
      </c>
      <c r="D1272" s="31" t="s">
        <v>17</v>
      </c>
      <c r="E1272" s="31" t="s">
        <v>235</v>
      </c>
      <c r="F1272" s="31" t="s">
        <v>236</v>
      </c>
      <c r="G1272" s="25"/>
      <c r="H1272" s="11"/>
      <c r="I1272" s="21"/>
      <c r="J1272" s="21"/>
      <c r="K1272" s="21"/>
      <c r="L1272" s="21"/>
      <c r="M1272" s="21"/>
      <c r="N1272" s="21"/>
    </row>
    <row r="1273" spans="1:14" ht="15.75" customHeight="1" x14ac:dyDescent="0.25">
      <c r="A1273" s="7">
        <v>1</v>
      </c>
      <c r="B1273" s="120" t="s">
        <v>715</v>
      </c>
      <c r="C1273" s="7">
        <v>1</v>
      </c>
      <c r="D1273" s="7" t="s">
        <v>363</v>
      </c>
      <c r="E1273" s="104">
        <v>1187500</v>
      </c>
      <c r="F1273" s="104">
        <f>E1273*C1273</f>
        <v>1187500</v>
      </c>
      <c r="G1273" s="25"/>
      <c r="H1273" s="11"/>
      <c r="I1273" s="21"/>
      <c r="J1273" s="21"/>
      <c r="K1273" s="21"/>
      <c r="L1273" s="21"/>
      <c r="M1273" s="21"/>
      <c r="N1273" s="21"/>
    </row>
    <row r="1274" spans="1:14" ht="15.75" customHeight="1" x14ac:dyDescent="0.25">
      <c r="A1274" s="7">
        <v>2</v>
      </c>
      <c r="B1274" s="124" t="s">
        <v>716</v>
      </c>
      <c r="C1274" s="7">
        <v>1</v>
      </c>
      <c r="D1274" s="7" t="s">
        <v>363</v>
      </c>
      <c r="E1274" s="104">
        <v>902500</v>
      </c>
      <c r="F1274" s="104">
        <f>E1274*C1274</f>
        <v>902500</v>
      </c>
      <c r="G1274" s="25"/>
      <c r="H1274" s="11"/>
      <c r="I1274" s="21"/>
      <c r="J1274" s="21"/>
      <c r="K1274" s="21"/>
      <c r="L1274" s="21"/>
      <c r="M1274" s="21"/>
      <c r="N1274" s="21"/>
    </row>
    <row r="1275" spans="1:14" ht="15.75" customHeight="1" x14ac:dyDescent="0.25">
      <c r="A1275" s="7">
        <v>3</v>
      </c>
      <c r="B1275" s="38" t="s">
        <v>717</v>
      </c>
      <c r="C1275" s="7">
        <v>1</v>
      </c>
      <c r="D1275" s="7" t="s">
        <v>363</v>
      </c>
      <c r="E1275" s="104">
        <v>1220750</v>
      </c>
      <c r="F1275" s="104">
        <f>E1275*C1275</f>
        <v>1220750</v>
      </c>
      <c r="G1275" s="25"/>
      <c r="H1275" s="11"/>
      <c r="I1275" s="21"/>
      <c r="J1275" s="21"/>
      <c r="K1275" s="21"/>
      <c r="L1275" s="21"/>
      <c r="M1275" s="21"/>
      <c r="N1275" s="21"/>
    </row>
    <row r="1276" spans="1:14" ht="15.75" customHeight="1" x14ac:dyDescent="0.25">
      <c r="A1276" s="7">
        <v>4</v>
      </c>
      <c r="B1276" s="38" t="s">
        <v>718</v>
      </c>
      <c r="C1276" s="7">
        <v>1</v>
      </c>
      <c r="D1276" s="7" t="s">
        <v>363</v>
      </c>
      <c r="E1276" s="104">
        <v>1662500</v>
      </c>
      <c r="F1276" s="104">
        <f>E1276*C1276</f>
        <v>1662500</v>
      </c>
      <c r="G1276" s="25"/>
      <c r="H1276" s="11"/>
      <c r="I1276" s="21"/>
      <c r="J1276" s="21"/>
      <c r="K1276" s="21"/>
      <c r="L1276" s="21"/>
      <c r="M1276" s="21"/>
      <c r="N1276" s="21"/>
    </row>
    <row r="1277" spans="1:14" ht="15.75" customHeight="1" x14ac:dyDescent="0.25">
      <c r="A1277" s="7"/>
      <c r="B1277" s="105" t="s">
        <v>342</v>
      </c>
      <c r="C1277" s="125"/>
      <c r="D1277" s="125"/>
      <c r="E1277" s="126"/>
      <c r="F1277" s="104">
        <f>SUM(F1273:F1276)</f>
        <v>4973250</v>
      </c>
      <c r="G1277" s="25"/>
      <c r="H1277" s="11"/>
      <c r="I1277" s="21"/>
      <c r="J1277" s="21"/>
      <c r="K1277" s="21"/>
      <c r="L1277" s="21"/>
      <c r="M1277" s="21"/>
      <c r="N1277" s="21"/>
    </row>
    <row r="1278" spans="1:14" ht="15.75" customHeight="1" x14ac:dyDescent="0.25">
      <c r="A1278" s="7"/>
      <c r="B1278" s="343" t="s">
        <v>343</v>
      </c>
      <c r="C1278" s="344"/>
      <c r="D1278" s="344"/>
      <c r="E1278" s="334"/>
      <c r="F1278" s="104">
        <v>547057.5</v>
      </c>
      <c r="G1278" s="25"/>
      <c r="H1278" s="11"/>
      <c r="I1278" s="21"/>
      <c r="J1278" s="21"/>
      <c r="K1278" s="21"/>
      <c r="L1278" s="21"/>
      <c r="M1278" s="21"/>
      <c r="N1278" s="21"/>
    </row>
    <row r="1279" spans="1:14" ht="15.75" customHeight="1" x14ac:dyDescent="0.25">
      <c r="A1279" s="7"/>
      <c r="B1279" s="345" t="s">
        <v>344</v>
      </c>
      <c r="C1279" s="344"/>
      <c r="D1279" s="344"/>
      <c r="E1279" s="334"/>
      <c r="F1279" s="107">
        <f>SUM(F1277:F1278)</f>
        <v>5520307.5</v>
      </c>
      <c r="G1279" s="25"/>
      <c r="H1279" s="11"/>
      <c r="I1279" s="21"/>
      <c r="J1279" s="21"/>
      <c r="K1279" s="21"/>
      <c r="L1279" s="21"/>
      <c r="M1279" s="21"/>
      <c r="N1279" s="21"/>
    </row>
    <row r="1280" spans="1:14" ht="15.75" customHeight="1" x14ac:dyDescent="0.25">
      <c r="A1280" s="21"/>
      <c r="B1280" s="21"/>
      <c r="C1280" s="11"/>
      <c r="D1280" s="11"/>
      <c r="E1280" s="21"/>
      <c r="F1280" s="21"/>
      <c r="G1280" s="25"/>
      <c r="H1280" s="11"/>
      <c r="I1280" s="21"/>
      <c r="J1280" s="21"/>
      <c r="K1280" s="21"/>
      <c r="L1280" s="21"/>
      <c r="M1280" s="21"/>
      <c r="N1280" s="21"/>
    </row>
    <row r="1281" spans="1:14" ht="15.75" customHeight="1" x14ac:dyDescent="0.25">
      <c r="A1281" s="31" t="s">
        <v>351</v>
      </c>
      <c r="B1281" s="31" t="s">
        <v>234</v>
      </c>
      <c r="C1281" s="31" t="s">
        <v>16</v>
      </c>
      <c r="D1281" s="31" t="s">
        <v>17</v>
      </c>
      <c r="E1281" s="31" t="s">
        <v>235</v>
      </c>
      <c r="F1281" s="31" t="s">
        <v>236</v>
      </c>
      <c r="G1281" s="25"/>
      <c r="H1281" s="11"/>
      <c r="I1281" s="21"/>
      <c r="J1281" s="21"/>
      <c r="K1281" s="21"/>
      <c r="L1281" s="21"/>
      <c r="M1281" s="21"/>
      <c r="N1281" s="21"/>
    </row>
    <row r="1282" spans="1:14" ht="15.75" customHeight="1" x14ac:dyDescent="0.25">
      <c r="A1282" s="7">
        <v>1</v>
      </c>
      <c r="B1282" s="41" t="s">
        <v>719</v>
      </c>
      <c r="C1282" s="7">
        <v>6</v>
      </c>
      <c r="D1282" s="7" t="s">
        <v>363</v>
      </c>
      <c r="E1282" s="104">
        <v>117000</v>
      </c>
      <c r="F1282" s="104">
        <f>E1282*C1282</f>
        <v>702000</v>
      </c>
      <c r="G1282" s="25"/>
      <c r="H1282" s="11"/>
      <c r="I1282" s="21"/>
      <c r="J1282" s="21"/>
      <c r="K1282" s="21"/>
      <c r="L1282" s="21"/>
      <c r="M1282" s="21"/>
      <c r="N1282" s="21"/>
    </row>
    <row r="1283" spans="1:14" ht="15.75" customHeight="1" x14ac:dyDescent="0.25">
      <c r="A1283" s="7">
        <v>2</v>
      </c>
      <c r="B1283" s="41" t="s">
        <v>720</v>
      </c>
      <c r="C1283" s="7">
        <v>6</v>
      </c>
      <c r="D1283" s="7" t="s">
        <v>363</v>
      </c>
      <c r="E1283" s="104">
        <v>897000</v>
      </c>
      <c r="F1283" s="104">
        <f>E1283*C1283</f>
        <v>5382000</v>
      </c>
      <c r="G1283" s="25"/>
      <c r="H1283" s="11"/>
      <c r="I1283" s="21"/>
      <c r="J1283" s="21"/>
      <c r="K1283" s="21"/>
      <c r="L1283" s="21"/>
      <c r="M1283" s="21"/>
      <c r="N1283" s="21"/>
    </row>
    <row r="1284" spans="1:14" ht="15.75" customHeight="1" x14ac:dyDescent="0.25">
      <c r="A1284" s="7"/>
      <c r="B1284" s="343" t="s">
        <v>342</v>
      </c>
      <c r="C1284" s="344"/>
      <c r="D1284" s="344"/>
      <c r="E1284" s="334"/>
      <c r="F1284" s="104">
        <f>SUM(F1282:F1283)</f>
        <v>6084000</v>
      </c>
      <c r="G1284" s="25"/>
      <c r="H1284" s="11"/>
      <c r="I1284" s="21"/>
      <c r="J1284" s="21"/>
      <c r="K1284" s="21"/>
      <c r="L1284" s="21"/>
      <c r="M1284" s="21"/>
      <c r="N1284" s="21"/>
    </row>
    <row r="1285" spans="1:14" ht="15.75" customHeight="1" x14ac:dyDescent="0.25">
      <c r="A1285" s="7"/>
      <c r="B1285" s="343" t="s">
        <v>343</v>
      </c>
      <c r="C1285" s="344"/>
      <c r="D1285" s="344"/>
      <c r="E1285" s="334"/>
      <c r="F1285" s="104">
        <v>669240</v>
      </c>
      <c r="G1285" s="25"/>
      <c r="H1285" s="11"/>
      <c r="I1285" s="21"/>
      <c r="J1285" s="21"/>
      <c r="K1285" s="21"/>
      <c r="L1285" s="21"/>
      <c r="M1285" s="21"/>
      <c r="N1285" s="21"/>
    </row>
    <row r="1286" spans="1:14" ht="15.75" customHeight="1" x14ac:dyDescent="0.25">
      <c r="A1286" s="7"/>
      <c r="B1286" s="345" t="s">
        <v>344</v>
      </c>
      <c r="C1286" s="344"/>
      <c r="D1286" s="344"/>
      <c r="E1286" s="334"/>
      <c r="F1286" s="107">
        <f>SUM(F1284:F1285)</f>
        <v>6753240</v>
      </c>
      <c r="G1286" s="25"/>
      <c r="H1286" s="11"/>
      <c r="I1286" s="21"/>
      <c r="J1286" s="21"/>
      <c r="K1286" s="21"/>
      <c r="L1286" s="21"/>
      <c r="M1286" s="21"/>
      <c r="N1286" s="21"/>
    </row>
    <row r="1287" spans="1:14" ht="15.75" customHeight="1" x14ac:dyDescent="0.25">
      <c r="A1287" s="21"/>
      <c r="B1287" s="21"/>
      <c r="C1287" s="11"/>
      <c r="D1287" s="11"/>
      <c r="E1287" s="21"/>
      <c r="F1287" s="21"/>
      <c r="G1287" s="25"/>
      <c r="H1287" s="11"/>
      <c r="I1287" s="21"/>
      <c r="J1287" s="21"/>
      <c r="K1287" s="21"/>
      <c r="L1287" s="21"/>
      <c r="M1287" s="21"/>
      <c r="N1287" s="21"/>
    </row>
    <row r="1288" spans="1:14" ht="15.75" customHeight="1" x14ac:dyDescent="0.25">
      <c r="A1288" s="31" t="s">
        <v>351</v>
      </c>
      <c r="B1288" s="31" t="s">
        <v>234</v>
      </c>
      <c r="C1288" s="31" t="s">
        <v>16</v>
      </c>
      <c r="D1288" s="31" t="s">
        <v>17</v>
      </c>
      <c r="E1288" s="31" t="s">
        <v>235</v>
      </c>
      <c r="F1288" s="31" t="s">
        <v>236</v>
      </c>
      <c r="G1288" s="25"/>
      <c r="H1288" s="11"/>
      <c r="I1288" s="21"/>
      <c r="J1288" s="21"/>
      <c r="K1288" s="21"/>
      <c r="L1288" s="21"/>
      <c r="M1288" s="21"/>
      <c r="N1288" s="21"/>
    </row>
    <row r="1289" spans="1:14" ht="15.75" customHeight="1" x14ac:dyDescent="0.25">
      <c r="A1289" s="7">
        <v>1</v>
      </c>
      <c r="B1289" s="41" t="s">
        <v>721</v>
      </c>
      <c r="C1289" s="7">
        <v>20</v>
      </c>
      <c r="D1289" s="7" t="s">
        <v>426</v>
      </c>
      <c r="E1289" s="104">
        <v>71250</v>
      </c>
      <c r="F1289" s="104">
        <f>E1289*C1289</f>
        <v>1425000</v>
      </c>
      <c r="G1289" s="25"/>
      <c r="H1289" s="11"/>
      <c r="I1289" s="21"/>
      <c r="J1289" s="21"/>
      <c r="K1289" s="21"/>
      <c r="L1289" s="21"/>
      <c r="M1289" s="21"/>
      <c r="N1289" s="21"/>
    </row>
    <row r="1290" spans="1:14" ht="15.75" customHeight="1" x14ac:dyDescent="0.25">
      <c r="A1290" s="7">
        <v>2</v>
      </c>
      <c r="B1290" s="41" t="s">
        <v>722</v>
      </c>
      <c r="C1290" s="7">
        <v>10</v>
      </c>
      <c r="D1290" s="7" t="s">
        <v>363</v>
      </c>
      <c r="E1290" s="104">
        <v>28500</v>
      </c>
      <c r="F1290" s="104">
        <f>E1290*C1290</f>
        <v>285000</v>
      </c>
      <c r="G1290" s="25"/>
      <c r="H1290" s="11"/>
      <c r="I1290" s="21"/>
      <c r="J1290" s="21"/>
      <c r="K1290" s="21"/>
      <c r="L1290" s="21"/>
      <c r="M1290" s="21"/>
      <c r="N1290" s="21"/>
    </row>
    <row r="1291" spans="1:14" ht="15.75" customHeight="1" x14ac:dyDescent="0.25">
      <c r="A1291" s="7"/>
      <c r="B1291" s="343" t="s">
        <v>342</v>
      </c>
      <c r="C1291" s="344"/>
      <c r="D1291" s="344"/>
      <c r="E1291" s="334"/>
      <c r="F1291" s="104">
        <f>SUM(F1289:F1290)</f>
        <v>1710000</v>
      </c>
      <c r="G1291" s="25"/>
      <c r="H1291" s="11"/>
      <c r="I1291" s="21"/>
      <c r="J1291" s="21"/>
      <c r="K1291" s="21"/>
      <c r="L1291" s="21"/>
      <c r="M1291" s="21"/>
      <c r="N1291" s="21"/>
    </row>
    <row r="1292" spans="1:14" ht="15.75" customHeight="1" x14ac:dyDescent="0.25">
      <c r="A1292" s="7"/>
      <c r="B1292" s="343" t="s">
        <v>343</v>
      </c>
      <c r="C1292" s="344"/>
      <c r="D1292" s="344"/>
      <c r="E1292" s="334"/>
      <c r="F1292" s="104">
        <v>188100</v>
      </c>
      <c r="G1292" s="25"/>
      <c r="H1292" s="11"/>
      <c r="I1292" s="21"/>
      <c r="J1292" s="21"/>
      <c r="K1292" s="21"/>
      <c r="L1292" s="21"/>
      <c r="M1292" s="21"/>
      <c r="N1292" s="21"/>
    </row>
    <row r="1293" spans="1:14" ht="15.75" customHeight="1" x14ac:dyDescent="0.25">
      <c r="A1293" s="7"/>
      <c r="B1293" s="345" t="s">
        <v>344</v>
      </c>
      <c r="C1293" s="344"/>
      <c r="D1293" s="344"/>
      <c r="E1293" s="334"/>
      <c r="F1293" s="107">
        <f>SUM(F1291:F1292)</f>
        <v>1898100</v>
      </c>
      <c r="G1293" s="25"/>
      <c r="H1293" s="11"/>
      <c r="I1293" s="21"/>
      <c r="J1293" s="21"/>
      <c r="K1293" s="21"/>
      <c r="L1293" s="21"/>
      <c r="M1293" s="21"/>
      <c r="N1293" s="21"/>
    </row>
    <row r="1294" spans="1:14" ht="15.75" customHeight="1" x14ac:dyDescent="0.25">
      <c r="A1294" s="21"/>
      <c r="B1294" s="21"/>
      <c r="C1294" s="11"/>
      <c r="D1294" s="11"/>
      <c r="E1294" s="21"/>
      <c r="F1294" s="21"/>
      <c r="G1294" s="25"/>
      <c r="H1294" s="11"/>
      <c r="I1294" s="21"/>
      <c r="J1294" s="21"/>
      <c r="K1294" s="21"/>
      <c r="L1294" s="21"/>
      <c r="M1294" s="21"/>
      <c r="N1294" s="21"/>
    </row>
    <row r="1295" spans="1:14" ht="15.75" customHeight="1" x14ac:dyDescent="0.25">
      <c r="A1295" s="31" t="s">
        <v>14</v>
      </c>
      <c r="B1295" s="31" t="s">
        <v>234</v>
      </c>
      <c r="C1295" s="31" t="s">
        <v>16</v>
      </c>
      <c r="D1295" s="31" t="s">
        <v>17</v>
      </c>
      <c r="E1295" s="31" t="s">
        <v>235</v>
      </c>
      <c r="F1295" s="31" t="s">
        <v>236</v>
      </c>
      <c r="G1295" s="25"/>
      <c r="H1295" s="11"/>
      <c r="I1295" s="21"/>
      <c r="J1295" s="21"/>
      <c r="K1295" s="21"/>
      <c r="L1295" s="21"/>
      <c r="M1295" s="21"/>
      <c r="N1295" s="21"/>
    </row>
    <row r="1296" spans="1:14" ht="15.75" customHeight="1" x14ac:dyDescent="0.25">
      <c r="A1296" s="7">
        <v>1</v>
      </c>
      <c r="B1296" s="120" t="s">
        <v>723</v>
      </c>
      <c r="C1296" s="7">
        <v>30</v>
      </c>
      <c r="D1296" s="7" t="s">
        <v>363</v>
      </c>
      <c r="E1296" s="104">
        <v>46100</v>
      </c>
      <c r="F1296" s="104">
        <f>E1296*C1296</f>
        <v>1383000</v>
      </c>
      <c r="G1296" s="25"/>
      <c r="H1296" s="11"/>
      <c r="I1296" s="21"/>
      <c r="J1296" s="21"/>
      <c r="K1296" s="21"/>
      <c r="L1296" s="21"/>
      <c r="M1296" s="21"/>
      <c r="N1296" s="21"/>
    </row>
    <row r="1297" spans="1:14" ht="15.75" customHeight="1" x14ac:dyDescent="0.25">
      <c r="A1297" s="7"/>
      <c r="B1297" s="343" t="s">
        <v>342</v>
      </c>
      <c r="C1297" s="344"/>
      <c r="D1297" s="344"/>
      <c r="E1297" s="334"/>
      <c r="F1297" s="104">
        <f>F1296</f>
        <v>1383000</v>
      </c>
      <c r="G1297" s="25"/>
      <c r="H1297" s="11"/>
      <c r="I1297" s="21"/>
      <c r="J1297" s="21"/>
      <c r="K1297" s="21"/>
      <c r="L1297" s="21"/>
      <c r="M1297" s="21"/>
      <c r="N1297" s="21"/>
    </row>
    <row r="1298" spans="1:14" ht="15.75" customHeight="1" x14ac:dyDescent="0.25">
      <c r="A1298" s="7"/>
      <c r="B1298" s="343" t="s">
        <v>343</v>
      </c>
      <c r="C1298" s="344"/>
      <c r="D1298" s="344"/>
      <c r="E1298" s="334"/>
      <c r="F1298" s="104">
        <v>152130</v>
      </c>
      <c r="G1298" s="25"/>
      <c r="H1298" s="11"/>
      <c r="I1298" s="21"/>
      <c r="J1298" s="21"/>
      <c r="K1298" s="21"/>
      <c r="L1298" s="21"/>
      <c r="M1298" s="21"/>
      <c r="N1298" s="21"/>
    </row>
    <row r="1299" spans="1:14" ht="15.75" customHeight="1" x14ac:dyDescent="0.25">
      <c r="A1299" s="7"/>
      <c r="B1299" s="345" t="s">
        <v>344</v>
      </c>
      <c r="C1299" s="344"/>
      <c r="D1299" s="344"/>
      <c r="E1299" s="334"/>
      <c r="F1299" s="107">
        <f>SUM(F1297:F1298)</f>
        <v>1535130</v>
      </c>
      <c r="G1299" s="25"/>
      <c r="H1299" s="11"/>
      <c r="I1299" s="21"/>
      <c r="J1299" s="21"/>
      <c r="K1299" s="21"/>
      <c r="L1299" s="21"/>
      <c r="M1299" s="21"/>
      <c r="N1299" s="21"/>
    </row>
    <row r="1300" spans="1:14" ht="15.75" customHeight="1" x14ac:dyDescent="0.25">
      <c r="A1300" s="21"/>
      <c r="B1300" s="21"/>
      <c r="C1300" s="11"/>
      <c r="D1300" s="11"/>
      <c r="E1300" s="21"/>
      <c r="F1300" s="21"/>
      <c r="G1300" s="25"/>
      <c r="H1300" s="11"/>
      <c r="I1300" s="21"/>
      <c r="J1300" s="21"/>
      <c r="K1300" s="21"/>
      <c r="L1300" s="21"/>
      <c r="M1300" s="21"/>
      <c r="N1300" s="21"/>
    </row>
    <row r="1301" spans="1:14" ht="15.75" customHeight="1" x14ac:dyDescent="0.25">
      <c r="A1301" s="31" t="s">
        <v>14</v>
      </c>
      <c r="B1301" s="31" t="s">
        <v>234</v>
      </c>
      <c r="C1301" s="31" t="s">
        <v>16</v>
      </c>
      <c r="D1301" s="31" t="s">
        <v>17</v>
      </c>
      <c r="E1301" s="31" t="s">
        <v>235</v>
      </c>
      <c r="F1301" s="31" t="s">
        <v>236</v>
      </c>
      <c r="G1301" s="25"/>
      <c r="H1301" s="11"/>
      <c r="I1301" s="21"/>
      <c r="J1301" s="21"/>
      <c r="K1301" s="21"/>
      <c r="L1301" s="21"/>
      <c r="M1301" s="21"/>
      <c r="N1301" s="21"/>
    </row>
    <row r="1302" spans="1:14" ht="15.75" customHeight="1" x14ac:dyDescent="0.25">
      <c r="A1302" s="7">
        <v>1</v>
      </c>
      <c r="B1302" s="120" t="s">
        <v>724</v>
      </c>
      <c r="C1302" s="7">
        <v>10</v>
      </c>
      <c r="D1302" s="7" t="s">
        <v>363</v>
      </c>
      <c r="E1302" s="104">
        <v>42000</v>
      </c>
      <c r="F1302" s="104">
        <f>E1302*C1302</f>
        <v>420000</v>
      </c>
      <c r="G1302" s="25"/>
      <c r="H1302" s="11"/>
      <c r="I1302" s="21"/>
      <c r="J1302" s="21"/>
      <c r="K1302" s="21"/>
      <c r="L1302" s="21"/>
      <c r="M1302" s="21"/>
      <c r="N1302" s="21"/>
    </row>
    <row r="1303" spans="1:14" ht="15.75" customHeight="1" x14ac:dyDescent="0.25">
      <c r="A1303" s="7"/>
      <c r="B1303" s="343" t="s">
        <v>342</v>
      </c>
      <c r="C1303" s="344"/>
      <c r="D1303" s="344"/>
      <c r="E1303" s="334"/>
      <c r="F1303" s="104">
        <f>F1302</f>
        <v>420000</v>
      </c>
      <c r="G1303" s="25"/>
      <c r="H1303" s="11"/>
      <c r="I1303" s="21"/>
      <c r="J1303" s="21"/>
      <c r="K1303" s="21"/>
      <c r="L1303" s="21"/>
      <c r="M1303" s="21"/>
      <c r="N1303" s="21"/>
    </row>
    <row r="1304" spans="1:14" ht="15.75" customHeight="1" x14ac:dyDescent="0.25">
      <c r="A1304" s="7"/>
      <c r="B1304" s="343" t="s">
        <v>343</v>
      </c>
      <c r="C1304" s="344"/>
      <c r="D1304" s="344"/>
      <c r="E1304" s="334"/>
      <c r="F1304" s="104">
        <v>46200</v>
      </c>
      <c r="G1304" s="25"/>
      <c r="H1304" s="11"/>
      <c r="I1304" s="21"/>
      <c r="J1304" s="21"/>
      <c r="K1304" s="21"/>
      <c r="L1304" s="21"/>
      <c r="M1304" s="21"/>
      <c r="N1304" s="21"/>
    </row>
    <row r="1305" spans="1:14" ht="15.75" customHeight="1" x14ac:dyDescent="0.25">
      <c r="A1305" s="7"/>
      <c r="B1305" s="345" t="s">
        <v>344</v>
      </c>
      <c r="C1305" s="344"/>
      <c r="D1305" s="344"/>
      <c r="E1305" s="334"/>
      <c r="F1305" s="107">
        <f>SUM(F1303:F1304)</f>
        <v>466200</v>
      </c>
      <c r="G1305" s="25"/>
      <c r="H1305" s="11"/>
      <c r="I1305" s="21"/>
      <c r="J1305" s="21"/>
      <c r="K1305" s="21"/>
      <c r="L1305" s="21"/>
      <c r="M1305" s="21"/>
      <c r="N1305" s="21"/>
    </row>
    <row r="1306" spans="1:14" ht="15.75" customHeight="1" x14ac:dyDescent="0.25">
      <c r="A1306" s="21"/>
      <c r="B1306" s="21"/>
      <c r="C1306" s="11"/>
      <c r="D1306" s="11"/>
      <c r="E1306" s="21"/>
      <c r="F1306" s="21"/>
      <c r="G1306" s="25"/>
      <c r="H1306" s="11"/>
      <c r="I1306" s="21"/>
      <c r="J1306" s="21"/>
      <c r="K1306" s="21"/>
      <c r="L1306" s="21"/>
      <c r="M1306" s="21"/>
      <c r="N1306" s="21"/>
    </row>
    <row r="1307" spans="1:14" ht="15.75" customHeight="1" x14ac:dyDescent="0.25">
      <c r="A1307" s="31" t="s">
        <v>14</v>
      </c>
      <c r="B1307" s="31" t="s">
        <v>234</v>
      </c>
      <c r="C1307" s="31" t="s">
        <v>16</v>
      </c>
      <c r="D1307" s="31" t="s">
        <v>17</v>
      </c>
      <c r="E1307" s="31" t="s">
        <v>235</v>
      </c>
      <c r="F1307" s="31" t="s">
        <v>236</v>
      </c>
      <c r="G1307" s="25"/>
      <c r="H1307" s="11"/>
      <c r="I1307" s="21"/>
      <c r="J1307" s="21"/>
      <c r="K1307" s="21"/>
      <c r="L1307" s="21"/>
      <c r="M1307" s="21"/>
      <c r="N1307" s="21"/>
    </row>
    <row r="1308" spans="1:14" ht="15.75" customHeight="1" x14ac:dyDescent="0.25">
      <c r="A1308" s="7">
        <v>1</v>
      </c>
      <c r="B1308" s="120" t="s">
        <v>725</v>
      </c>
      <c r="C1308" s="7">
        <v>1</v>
      </c>
      <c r="D1308" s="7" t="s">
        <v>363</v>
      </c>
      <c r="E1308" s="104">
        <v>347066</v>
      </c>
      <c r="F1308" s="104">
        <f>E1308*C1308</f>
        <v>347066</v>
      </c>
      <c r="G1308" s="25"/>
      <c r="H1308" s="11"/>
      <c r="I1308" s="21"/>
      <c r="J1308" s="21"/>
      <c r="K1308" s="21"/>
      <c r="L1308" s="21"/>
      <c r="M1308" s="21"/>
      <c r="N1308" s="21"/>
    </row>
    <row r="1309" spans="1:14" ht="15.75" customHeight="1" x14ac:dyDescent="0.25">
      <c r="A1309" s="7"/>
      <c r="B1309" s="343" t="s">
        <v>342</v>
      </c>
      <c r="C1309" s="344"/>
      <c r="D1309" s="344"/>
      <c r="E1309" s="334"/>
      <c r="F1309" s="104">
        <f>F1308</f>
        <v>347066</v>
      </c>
      <c r="G1309" s="25"/>
      <c r="H1309" s="11"/>
      <c r="I1309" s="21"/>
      <c r="J1309" s="21"/>
      <c r="K1309" s="21"/>
      <c r="L1309" s="21"/>
      <c r="M1309" s="21"/>
      <c r="N1309" s="21"/>
    </row>
    <row r="1310" spans="1:14" ht="15.75" customHeight="1" x14ac:dyDescent="0.25">
      <c r="A1310" s="7"/>
      <c r="B1310" s="343" t="s">
        <v>343</v>
      </c>
      <c r="C1310" s="344"/>
      <c r="D1310" s="344"/>
      <c r="E1310" s="334"/>
      <c r="F1310" s="108">
        <v>38177.26</v>
      </c>
      <c r="G1310" s="25"/>
      <c r="H1310" s="11"/>
      <c r="I1310" s="21"/>
      <c r="J1310" s="21"/>
      <c r="K1310" s="21"/>
      <c r="L1310" s="21"/>
      <c r="M1310" s="21"/>
      <c r="N1310" s="21"/>
    </row>
    <row r="1311" spans="1:14" ht="15.75" customHeight="1" x14ac:dyDescent="0.25">
      <c r="A1311" s="7"/>
      <c r="B1311" s="345" t="s">
        <v>344</v>
      </c>
      <c r="C1311" s="344"/>
      <c r="D1311" s="344"/>
      <c r="E1311" s="334"/>
      <c r="F1311" s="109">
        <f>SUM(F1309:F1310)</f>
        <v>385243.26</v>
      </c>
      <c r="G1311" s="25"/>
      <c r="H1311" s="11"/>
      <c r="I1311" s="21"/>
      <c r="J1311" s="21"/>
      <c r="K1311" s="21"/>
      <c r="L1311" s="21"/>
      <c r="M1311" s="21"/>
      <c r="N1311" s="21"/>
    </row>
    <row r="1312" spans="1:14" ht="15.75" customHeight="1" x14ac:dyDescent="0.25">
      <c r="A1312" s="21"/>
      <c r="B1312" s="21"/>
      <c r="C1312" s="11"/>
      <c r="D1312" s="11"/>
      <c r="E1312" s="21"/>
      <c r="F1312" s="21"/>
      <c r="G1312" s="25"/>
      <c r="H1312" s="11"/>
      <c r="I1312" s="21"/>
      <c r="J1312" s="21"/>
      <c r="K1312" s="21"/>
      <c r="L1312" s="21"/>
      <c r="M1312" s="21"/>
      <c r="N1312" s="21"/>
    </row>
    <row r="1313" spans="1:14" ht="15.75" customHeight="1" x14ac:dyDescent="0.25">
      <c r="A1313" s="31" t="s">
        <v>351</v>
      </c>
      <c r="B1313" s="31" t="s">
        <v>234</v>
      </c>
      <c r="C1313" s="31" t="s">
        <v>16</v>
      </c>
      <c r="D1313" s="31" t="s">
        <v>17</v>
      </c>
      <c r="E1313" s="31" t="s">
        <v>235</v>
      </c>
      <c r="F1313" s="31" t="s">
        <v>236</v>
      </c>
      <c r="G1313" s="25"/>
      <c r="H1313" s="11"/>
      <c r="I1313" s="21"/>
      <c r="J1313" s="21"/>
      <c r="K1313" s="21"/>
      <c r="L1313" s="21"/>
      <c r="M1313" s="21"/>
      <c r="N1313" s="21"/>
    </row>
    <row r="1314" spans="1:14" ht="15.75" customHeight="1" x14ac:dyDescent="0.25">
      <c r="A1314" s="7">
        <v>1</v>
      </c>
      <c r="B1314" s="41" t="s">
        <v>726</v>
      </c>
      <c r="C1314" s="7">
        <v>1</v>
      </c>
      <c r="D1314" s="7" t="s">
        <v>243</v>
      </c>
      <c r="E1314" s="104">
        <v>97500</v>
      </c>
      <c r="F1314" s="104">
        <f>E1314*C1314</f>
        <v>97500</v>
      </c>
      <c r="G1314" s="25"/>
      <c r="H1314" s="11"/>
      <c r="I1314" s="21"/>
      <c r="J1314" s="21"/>
      <c r="K1314" s="21"/>
      <c r="L1314" s="21"/>
      <c r="M1314" s="21"/>
      <c r="N1314" s="21"/>
    </row>
    <row r="1315" spans="1:14" ht="15.75" customHeight="1" x14ac:dyDescent="0.25">
      <c r="A1315" s="7">
        <v>2</v>
      </c>
      <c r="B1315" s="41" t="s">
        <v>727</v>
      </c>
      <c r="C1315" s="7">
        <v>1</v>
      </c>
      <c r="D1315" s="7" t="s">
        <v>243</v>
      </c>
      <c r="E1315" s="104">
        <v>1380000</v>
      </c>
      <c r="F1315" s="104">
        <f>E1315*C1315</f>
        <v>1380000</v>
      </c>
      <c r="G1315" s="25"/>
      <c r="H1315" s="11"/>
      <c r="I1315" s="21"/>
      <c r="J1315" s="21"/>
      <c r="K1315" s="21"/>
      <c r="L1315" s="21"/>
      <c r="M1315" s="21"/>
      <c r="N1315" s="21"/>
    </row>
    <row r="1316" spans="1:14" ht="15.75" customHeight="1" x14ac:dyDescent="0.25">
      <c r="A1316" s="7"/>
      <c r="B1316" s="343" t="s">
        <v>342</v>
      </c>
      <c r="C1316" s="344"/>
      <c r="D1316" s="344"/>
      <c r="E1316" s="334"/>
      <c r="F1316" s="104">
        <f>SUM(F1314:F1315)</f>
        <v>1477500</v>
      </c>
      <c r="G1316" s="25"/>
      <c r="H1316" s="11"/>
      <c r="I1316" s="21"/>
      <c r="J1316" s="21"/>
      <c r="K1316" s="21"/>
      <c r="L1316" s="21"/>
      <c r="M1316" s="21"/>
      <c r="N1316" s="21"/>
    </row>
    <row r="1317" spans="1:14" ht="15.75" customHeight="1" x14ac:dyDescent="0.25">
      <c r="A1317" s="7"/>
      <c r="B1317" s="343" t="s">
        <v>343</v>
      </c>
      <c r="C1317" s="344"/>
      <c r="D1317" s="344"/>
      <c r="E1317" s="334"/>
      <c r="F1317" s="104">
        <v>162525</v>
      </c>
      <c r="G1317" s="25"/>
      <c r="H1317" s="11"/>
      <c r="I1317" s="21"/>
      <c r="J1317" s="21"/>
      <c r="K1317" s="21"/>
      <c r="L1317" s="21"/>
      <c r="M1317" s="21"/>
      <c r="N1317" s="21"/>
    </row>
    <row r="1318" spans="1:14" ht="15.75" customHeight="1" x14ac:dyDescent="0.25">
      <c r="A1318" s="7"/>
      <c r="B1318" s="345" t="s">
        <v>344</v>
      </c>
      <c r="C1318" s="344"/>
      <c r="D1318" s="344"/>
      <c r="E1318" s="334"/>
      <c r="F1318" s="107">
        <f>SUM(F1316:F1317)</f>
        <v>1640025</v>
      </c>
      <c r="G1318" s="25"/>
      <c r="H1318" s="11"/>
      <c r="I1318" s="21"/>
      <c r="J1318" s="21"/>
      <c r="K1318" s="21"/>
      <c r="L1318" s="21"/>
      <c r="M1318" s="21"/>
      <c r="N1318" s="21"/>
    </row>
    <row r="1319" spans="1:14" ht="15.75" customHeight="1" x14ac:dyDescent="0.25">
      <c r="A1319" s="21"/>
      <c r="B1319" s="21"/>
      <c r="C1319" s="11"/>
      <c r="D1319" s="11"/>
      <c r="E1319" s="21"/>
      <c r="F1319" s="21"/>
      <c r="G1319" s="25"/>
      <c r="H1319" s="11"/>
      <c r="I1319" s="21"/>
      <c r="J1319" s="21"/>
      <c r="K1319" s="21"/>
      <c r="L1319" s="21"/>
      <c r="M1319" s="21"/>
      <c r="N1319" s="21"/>
    </row>
    <row r="1320" spans="1:14" ht="15.75" customHeight="1" x14ac:dyDescent="0.25">
      <c r="A1320" s="31" t="s">
        <v>14</v>
      </c>
      <c r="B1320" s="31" t="s">
        <v>15</v>
      </c>
      <c r="C1320" s="31" t="s">
        <v>16</v>
      </c>
      <c r="D1320" s="31" t="s">
        <v>17</v>
      </c>
      <c r="E1320" s="31" t="s">
        <v>235</v>
      </c>
      <c r="F1320" s="31" t="s">
        <v>236</v>
      </c>
      <c r="G1320" s="25"/>
      <c r="H1320" s="11"/>
      <c r="I1320" s="21"/>
      <c r="J1320" s="21"/>
      <c r="K1320" s="21"/>
      <c r="L1320" s="21"/>
      <c r="M1320" s="21"/>
      <c r="N1320" s="21"/>
    </row>
    <row r="1321" spans="1:14" ht="15.75" customHeight="1" x14ac:dyDescent="0.25">
      <c r="A1321" s="10">
        <v>1</v>
      </c>
      <c r="B1321" s="140" t="s">
        <v>728</v>
      </c>
      <c r="C1321" s="135">
        <v>15</v>
      </c>
      <c r="D1321" s="10" t="s">
        <v>363</v>
      </c>
      <c r="E1321" s="104">
        <v>41000</v>
      </c>
      <c r="F1321" s="104">
        <f t="shared" ref="F1321:F1330" si="7">E1321*C1321</f>
        <v>615000</v>
      </c>
      <c r="G1321" s="25"/>
      <c r="H1321" s="11"/>
      <c r="I1321" s="21"/>
      <c r="J1321" s="21"/>
      <c r="K1321" s="21"/>
      <c r="L1321" s="21"/>
      <c r="M1321" s="21"/>
      <c r="N1321" s="21"/>
    </row>
    <row r="1322" spans="1:14" ht="15.75" customHeight="1" x14ac:dyDescent="0.25">
      <c r="A1322" s="10">
        <v>2</v>
      </c>
      <c r="B1322" s="128" t="s">
        <v>729</v>
      </c>
      <c r="C1322" s="133">
        <v>15</v>
      </c>
      <c r="D1322" s="7" t="s">
        <v>363</v>
      </c>
      <c r="E1322" s="104">
        <v>30000</v>
      </c>
      <c r="F1322" s="104">
        <f t="shared" si="7"/>
        <v>450000</v>
      </c>
      <c r="G1322" s="25"/>
      <c r="H1322" s="11"/>
      <c r="I1322" s="21"/>
      <c r="J1322" s="21"/>
      <c r="K1322" s="21"/>
      <c r="L1322" s="21"/>
      <c r="M1322" s="21"/>
      <c r="N1322" s="21"/>
    </row>
    <row r="1323" spans="1:14" ht="15.75" customHeight="1" x14ac:dyDescent="0.25">
      <c r="A1323" s="10">
        <v>3</v>
      </c>
      <c r="B1323" s="122" t="s">
        <v>730</v>
      </c>
      <c r="C1323" s="133">
        <v>20</v>
      </c>
      <c r="D1323" s="7" t="s">
        <v>370</v>
      </c>
      <c r="E1323" s="104">
        <v>105000</v>
      </c>
      <c r="F1323" s="104">
        <f t="shared" si="7"/>
        <v>2100000</v>
      </c>
      <c r="G1323" s="25"/>
      <c r="H1323" s="11"/>
      <c r="I1323" s="21"/>
      <c r="J1323" s="21"/>
      <c r="K1323" s="21"/>
      <c r="L1323" s="21"/>
      <c r="M1323" s="21"/>
      <c r="N1323" s="21"/>
    </row>
    <row r="1324" spans="1:14" ht="15.75" customHeight="1" x14ac:dyDescent="0.25">
      <c r="A1324" s="10">
        <v>4</v>
      </c>
      <c r="B1324" s="140" t="s">
        <v>731</v>
      </c>
      <c r="C1324" s="136">
        <v>20</v>
      </c>
      <c r="D1324" s="133" t="s">
        <v>370</v>
      </c>
      <c r="E1324" s="104">
        <v>58000</v>
      </c>
      <c r="F1324" s="104">
        <f t="shared" si="7"/>
        <v>1160000</v>
      </c>
      <c r="G1324" s="25"/>
      <c r="H1324" s="11"/>
      <c r="I1324" s="21"/>
      <c r="J1324" s="21"/>
      <c r="K1324" s="21"/>
      <c r="L1324" s="21"/>
      <c r="M1324" s="21"/>
      <c r="N1324" s="21"/>
    </row>
    <row r="1325" spans="1:14" ht="15.75" customHeight="1" x14ac:dyDescent="0.25">
      <c r="A1325" s="10">
        <v>5</v>
      </c>
      <c r="B1325" s="140" t="s">
        <v>732</v>
      </c>
      <c r="C1325" s="137">
        <v>9</v>
      </c>
      <c r="D1325" s="7" t="s">
        <v>363</v>
      </c>
      <c r="E1325" s="104">
        <v>155000</v>
      </c>
      <c r="F1325" s="104">
        <f t="shared" si="7"/>
        <v>1395000</v>
      </c>
      <c r="G1325" s="25"/>
      <c r="H1325" s="11"/>
      <c r="I1325" s="21"/>
      <c r="J1325" s="21"/>
      <c r="K1325" s="21"/>
      <c r="L1325" s="21"/>
      <c r="M1325" s="21"/>
      <c r="N1325" s="21"/>
    </row>
    <row r="1326" spans="1:14" ht="15.75" customHeight="1" x14ac:dyDescent="0.25">
      <c r="A1326" s="10">
        <v>6</v>
      </c>
      <c r="B1326" s="140" t="s">
        <v>733</v>
      </c>
      <c r="C1326" s="133">
        <v>9</v>
      </c>
      <c r="D1326" s="7" t="s">
        <v>363</v>
      </c>
      <c r="E1326" s="104">
        <v>120000</v>
      </c>
      <c r="F1326" s="104">
        <f t="shared" si="7"/>
        <v>1080000</v>
      </c>
      <c r="G1326" s="25"/>
      <c r="H1326" s="11"/>
      <c r="I1326" s="21"/>
      <c r="J1326" s="21"/>
      <c r="K1326" s="21"/>
      <c r="L1326" s="21"/>
      <c r="M1326" s="21"/>
      <c r="N1326" s="21"/>
    </row>
    <row r="1327" spans="1:14" ht="15.75" customHeight="1" x14ac:dyDescent="0.25">
      <c r="A1327" s="10">
        <v>7</v>
      </c>
      <c r="B1327" s="128" t="s">
        <v>734</v>
      </c>
      <c r="C1327" s="133">
        <v>66</v>
      </c>
      <c r="D1327" s="7" t="s">
        <v>406</v>
      </c>
      <c r="E1327" s="104">
        <v>99750</v>
      </c>
      <c r="F1327" s="104">
        <f t="shared" si="7"/>
        <v>6583500</v>
      </c>
      <c r="G1327" s="25"/>
      <c r="H1327" s="11"/>
      <c r="I1327" s="21"/>
      <c r="J1327" s="21"/>
      <c r="K1327" s="21"/>
      <c r="L1327" s="21"/>
      <c r="M1327" s="21"/>
      <c r="N1327" s="21"/>
    </row>
    <row r="1328" spans="1:14" ht="15.75" customHeight="1" x14ac:dyDescent="0.25">
      <c r="A1328" s="10">
        <v>8</v>
      </c>
      <c r="B1328" s="128" t="s">
        <v>735</v>
      </c>
      <c r="C1328" s="138">
        <v>66</v>
      </c>
      <c r="D1328" s="139" t="s">
        <v>406</v>
      </c>
      <c r="E1328" s="104">
        <v>80750</v>
      </c>
      <c r="F1328" s="104">
        <f t="shared" si="7"/>
        <v>5329500</v>
      </c>
      <c r="G1328" s="25"/>
      <c r="H1328" s="11"/>
      <c r="I1328" s="21"/>
      <c r="J1328" s="21"/>
      <c r="K1328" s="21"/>
      <c r="L1328" s="21"/>
      <c r="M1328" s="21"/>
      <c r="N1328" s="21"/>
    </row>
    <row r="1329" spans="1:14" ht="15.75" customHeight="1" x14ac:dyDescent="0.25">
      <c r="A1329" s="10">
        <v>9</v>
      </c>
      <c r="B1329" s="128" t="s">
        <v>736</v>
      </c>
      <c r="C1329" s="138">
        <v>25</v>
      </c>
      <c r="D1329" s="139" t="s">
        <v>363</v>
      </c>
      <c r="E1329" s="104">
        <v>110800</v>
      </c>
      <c r="F1329" s="104">
        <f t="shared" si="7"/>
        <v>2770000</v>
      </c>
      <c r="G1329" s="25"/>
      <c r="H1329" s="11"/>
      <c r="I1329" s="21"/>
      <c r="J1329" s="21"/>
      <c r="K1329" s="21"/>
      <c r="L1329" s="21"/>
      <c r="M1329" s="21"/>
      <c r="N1329" s="21"/>
    </row>
    <row r="1330" spans="1:14" ht="15.75" customHeight="1" x14ac:dyDescent="0.25">
      <c r="A1330" s="10">
        <v>10</v>
      </c>
      <c r="B1330" s="140" t="s">
        <v>549</v>
      </c>
      <c r="C1330" s="138">
        <v>4</v>
      </c>
      <c r="D1330" s="139" t="s">
        <v>550</v>
      </c>
      <c r="E1330" s="104">
        <v>23800</v>
      </c>
      <c r="F1330" s="104">
        <f t="shared" si="7"/>
        <v>95200</v>
      </c>
      <c r="G1330" s="25"/>
      <c r="H1330" s="11"/>
      <c r="I1330" s="21"/>
      <c r="J1330" s="21"/>
      <c r="K1330" s="21"/>
      <c r="L1330" s="21"/>
      <c r="M1330" s="21"/>
      <c r="N1330" s="21"/>
    </row>
    <row r="1331" spans="1:14" ht="15.75" customHeight="1" x14ac:dyDescent="0.25">
      <c r="A1331" s="7"/>
      <c r="B1331" s="343" t="s">
        <v>342</v>
      </c>
      <c r="C1331" s="344"/>
      <c r="D1331" s="344"/>
      <c r="E1331" s="334"/>
      <c r="F1331" s="104">
        <f>SUM(F1321:F1330)</f>
        <v>21578200</v>
      </c>
      <c r="G1331" s="25"/>
      <c r="H1331" s="11"/>
      <c r="I1331" s="21"/>
      <c r="J1331" s="21"/>
      <c r="K1331" s="21"/>
      <c r="L1331" s="21"/>
      <c r="M1331" s="21"/>
      <c r="N1331" s="21"/>
    </row>
    <row r="1332" spans="1:14" ht="15.75" customHeight="1" x14ac:dyDescent="0.25">
      <c r="A1332" s="7"/>
      <c r="B1332" s="343" t="s">
        <v>343</v>
      </c>
      <c r="C1332" s="344"/>
      <c r="D1332" s="344"/>
      <c r="E1332" s="334"/>
      <c r="F1332" s="104">
        <v>2373602</v>
      </c>
      <c r="G1332" s="25"/>
      <c r="H1332" s="11"/>
      <c r="I1332" s="21"/>
      <c r="J1332" s="21"/>
      <c r="K1332" s="21"/>
      <c r="L1332" s="21"/>
      <c r="M1332" s="21"/>
      <c r="N1332" s="21"/>
    </row>
    <row r="1333" spans="1:14" ht="15.75" customHeight="1" x14ac:dyDescent="0.25">
      <c r="A1333" s="7"/>
      <c r="B1333" s="345" t="s">
        <v>344</v>
      </c>
      <c r="C1333" s="344"/>
      <c r="D1333" s="344"/>
      <c r="E1333" s="334"/>
      <c r="F1333" s="107">
        <f>SUM(F1331:F1332)</f>
        <v>23951802</v>
      </c>
      <c r="G1333" s="25"/>
      <c r="H1333" s="11"/>
      <c r="I1333" s="21"/>
      <c r="J1333" s="21"/>
      <c r="K1333" s="21"/>
      <c r="L1333" s="21"/>
      <c r="M1333" s="21"/>
      <c r="N1333" s="21"/>
    </row>
    <row r="1334" spans="1:14" ht="15.75" customHeight="1" x14ac:dyDescent="0.25">
      <c r="A1334" s="21"/>
      <c r="B1334" s="21"/>
      <c r="C1334" s="11"/>
      <c r="D1334" s="11"/>
      <c r="E1334" s="21"/>
      <c r="F1334" s="21"/>
      <c r="G1334" s="25"/>
      <c r="H1334" s="11"/>
      <c r="I1334" s="21"/>
      <c r="J1334" s="21"/>
      <c r="K1334" s="21"/>
      <c r="L1334" s="21"/>
      <c r="M1334" s="21"/>
      <c r="N1334" s="21"/>
    </row>
    <row r="1335" spans="1:14" ht="15.75" customHeight="1" x14ac:dyDescent="0.25">
      <c r="A1335" s="31" t="s">
        <v>14</v>
      </c>
      <c r="B1335" s="31" t="s">
        <v>234</v>
      </c>
      <c r="C1335" s="31" t="s">
        <v>16</v>
      </c>
      <c r="D1335" s="31" t="s">
        <v>17</v>
      </c>
      <c r="E1335" s="31" t="s">
        <v>235</v>
      </c>
      <c r="F1335" s="31" t="s">
        <v>236</v>
      </c>
      <c r="G1335" s="25"/>
      <c r="H1335" s="11"/>
      <c r="I1335" s="21"/>
      <c r="J1335" s="21"/>
      <c r="K1335" s="21"/>
      <c r="L1335" s="21"/>
      <c r="M1335" s="21"/>
      <c r="N1335" s="21"/>
    </row>
    <row r="1336" spans="1:14" ht="15.75" customHeight="1" x14ac:dyDescent="0.25">
      <c r="A1336" s="7">
        <v>1</v>
      </c>
      <c r="B1336" s="120" t="s">
        <v>737</v>
      </c>
      <c r="C1336" s="7">
        <v>1</v>
      </c>
      <c r="D1336" s="7" t="s">
        <v>363</v>
      </c>
      <c r="E1336" s="104">
        <v>395000</v>
      </c>
      <c r="F1336" s="104">
        <f>E1336*C1336</f>
        <v>395000</v>
      </c>
      <c r="G1336" s="25"/>
      <c r="H1336" s="11"/>
      <c r="I1336" s="21"/>
      <c r="J1336" s="21"/>
      <c r="K1336" s="21"/>
      <c r="L1336" s="21"/>
      <c r="M1336" s="21"/>
      <c r="N1336" s="21"/>
    </row>
    <row r="1337" spans="1:14" ht="15.75" customHeight="1" x14ac:dyDescent="0.25">
      <c r="A1337" s="7"/>
      <c r="B1337" s="343" t="s">
        <v>342</v>
      </c>
      <c r="C1337" s="344"/>
      <c r="D1337" s="344"/>
      <c r="E1337" s="334"/>
      <c r="F1337" s="104">
        <f>F1336</f>
        <v>395000</v>
      </c>
      <c r="G1337" s="25"/>
      <c r="H1337" s="11"/>
      <c r="I1337" s="21"/>
      <c r="J1337" s="21"/>
      <c r="K1337" s="21"/>
      <c r="L1337" s="21"/>
      <c r="M1337" s="21"/>
      <c r="N1337" s="21"/>
    </row>
    <row r="1338" spans="1:14" ht="15.75" customHeight="1" x14ac:dyDescent="0.25">
      <c r="A1338" s="7"/>
      <c r="B1338" s="343" t="s">
        <v>343</v>
      </c>
      <c r="C1338" s="344"/>
      <c r="D1338" s="344"/>
      <c r="E1338" s="334"/>
      <c r="F1338" s="104">
        <v>43450</v>
      </c>
      <c r="G1338" s="25"/>
      <c r="H1338" s="11"/>
      <c r="I1338" s="21"/>
      <c r="J1338" s="21"/>
      <c r="K1338" s="21"/>
      <c r="L1338" s="21"/>
      <c r="M1338" s="21"/>
      <c r="N1338" s="21"/>
    </row>
    <row r="1339" spans="1:14" ht="15.75" customHeight="1" x14ac:dyDescent="0.25">
      <c r="A1339" s="7"/>
      <c r="B1339" s="345" t="s">
        <v>344</v>
      </c>
      <c r="C1339" s="344"/>
      <c r="D1339" s="344"/>
      <c r="E1339" s="334"/>
      <c r="F1339" s="107">
        <f>SUM(F1337:F1338)</f>
        <v>438450</v>
      </c>
      <c r="G1339" s="25"/>
      <c r="H1339" s="11"/>
      <c r="I1339" s="21"/>
      <c r="J1339" s="21"/>
      <c r="K1339" s="21"/>
      <c r="L1339" s="21"/>
      <c r="M1339" s="21"/>
      <c r="N1339" s="21"/>
    </row>
    <row r="1340" spans="1:14" ht="15.75" customHeight="1" x14ac:dyDescent="0.25">
      <c r="A1340" s="21"/>
      <c r="B1340" s="21"/>
      <c r="C1340" s="11"/>
      <c r="D1340" s="11"/>
      <c r="E1340" s="21"/>
      <c r="F1340" s="21"/>
      <c r="G1340" s="25"/>
      <c r="H1340" s="11"/>
      <c r="I1340" s="21"/>
      <c r="J1340" s="21"/>
      <c r="K1340" s="21"/>
      <c r="L1340" s="21"/>
      <c r="M1340" s="21"/>
      <c r="N1340" s="21"/>
    </row>
    <row r="1341" spans="1:14" ht="15.75" customHeight="1" x14ac:dyDescent="0.25">
      <c r="A1341" s="31" t="s">
        <v>14</v>
      </c>
      <c r="B1341" s="31" t="s">
        <v>234</v>
      </c>
      <c r="C1341" s="31" t="s">
        <v>16</v>
      </c>
      <c r="D1341" s="31" t="s">
        <v>17</v>
      </c>
      <c r="E1341" s="31" t="s">
        <v>235</v>
      </c>
      <c r="F1341" s="31" t="s">
        <v>236</v>
      </c>
      <c r="G1341" s="25"/>
      <c r="H1341" s="11"/>
      <c r="I1341" s="21"/>
      <c r="J1341" s="21"/>
      <c r="K1341" s="21"/>
      <c r="L1341" s="21"/>
      <c r="M1341" s="21"/>
      <c r="N1341" s="21"/>
    </row>
    <row r="1342" spans="1:14" ht="15.75" customHeight="1" x14ac:dyDescent="0.25">
      <c r="A1342" s="7">
        <v>1</v>
      </c>
      <c r="B1342" s="120" t="s">
        <v>738</v>
      </c>
      <c r="C1342" s="7">
        <v>1</v>
      </c>
      <c r="D1342" s="7" t="s">
        <v>347</v>
      </c>
      <c r="E1342" s="104">
        <v>6175000</v>
      </c>
      <c r="F1342" s="104">
        <f>E1342*C1342</f>
        <v>6175000</v>
      </c>
      <c r="G1342" s="25"/>
      <c r="H1342" s="11"/>
      <c r="I1342" s="21"/>
      <c r="J1342" s="21"/>
      <c r="K1342" s="21"/>
      <c r="L1342" s="21"/>
      <c r="M1342" s="21"/>
      <c r="N1342" s="21"/>
    </row>
    <row r="1343" spans="1:14" ht="15.75" customHeight="1" x14ac:dyDescent="0.25">
      <c r="A1343" s="7"/>
      <c r="B1343" s="343" t="s">
        <v>342</v>
      </c>
      <c r="C1343" s="344"/>
      <c r="D1343" s="344"/>
      <c r="E1343" s="334"/>
      <c r="F1343" s="104">
        <f>F1342</f>
        <v>6175000</v>
      </c>
      <c r="G1343" s="25"/>
      <c r="H1343" s="11"/>
      <c r="I1343" s="21"/>
      <c r="J1343" s="21"/>
      <c r="K1343" s="21"/>
      <c r="L1343" s="21"/>
      <c r="M1343" s="21"/>
      <c r="N1343" s="21"/>
    </row>
    <row r="1344" spans="1:14" ht="15.75" customHeight="1" x14ac:dyDescent="0.25">
      <c r="A1344" s="7"/>
      <c r="B1344" s="343" t="s">
        <v>343</v>
      </c>
      <c r="C1344" s="344"/>
      <c r="D1344" s="344"/>
      <c r="E1344" s="334"/>
      <c r="F1344" s="104">
        <v>679250</v>
      </c>
      <c r="G1344" s="25"/>
      <c r="H1344" s="11"/>
      <c r="I1344" s="21"/>
      <c r="J1344" s="21"/>
      <c r="K1344" s="21"/>
      <c r="L1344" s="21"/>
      <c r="M1344" s="21"/>
      <c r="N1344" s="21"/>
    </row>
    <row r="1345" spans="1:14" ht="15.75" customHeight="1" x14ac:dyDescent="0.25">
      <c r="A1345" s="7"/>
      <c r="B1345" s="345" t="s">
        <v>344</v>
      </c>
      <c r="C1345" s="344"/>
      <c r="D1345" s="344"/>
      <c r="E1345" s="334"/>
      <c r="F1345" s="107">
        <f>SUM(F1343:F1344)</f>
        <v>6854250</v>
      </c>
      <c r="G1345" s="25"/>
      <c r="H1345" s="11"/>
      <c r="I1345" s="21"/>
      <c r="J1345" s="21"/>
      <c r="K1345" s="21"/>
      <c r="L1345" s="21"/>
      <c r="M1345" s="21"/>
      <c r="N1345" s="21"/>
    </row>
    <row r="1346" spans="1:14" ht="15.75" customHeight="1" x14ac:dyDescent="0.25">
      <c r="A1346" s="21"/>
      <c r="B1346" s="21"/>
      <c r="C1346" s="11"/>
      <c r="D1346" s="11"/>
      <c r="E1346" s="21"/>
      <c r="F1346" s="21"/>
      <c r="G1346" s="25"/>
      <c r="H1346" s="11"/>
      <c r="I1346" s="21"/>
      <c r="J1346" s="21"/>
      <c r="K1346" s="21"/>
      <c r="L1346" s="21"/>
      <c r="M1346" s="21"/>
      <c r="N1346" s="21"/>
    </row>
    <row r="1347" spans="1:14" ht="15.75" customHeight="1" x14ac:dyDescent="0.25">
      <c r="A1347" s="31" t="s">
        <v>14</v>
      </c>
      <c r="B1347" s="31" t="s">
        <v>234</v>
      </c>
      <c r="C1347" s="31" t="s">
        <v>16</v>
      </c>
      <c r="D1347" s="31" t="s">
        <v>17</v>
      </c>
      <c r="E1347" s="31" t="s">
        <v>235</v>
      </c>
      <c r="F1347" s="31" t="s">
        <v>236</v>
      </c>
      <c r="G1347" s="25"/>
      <c r="H1347" s="11"/>
      <c r="I1347" s="21"/>
      <c r="J1347" s="21"/>
      <c r="K1347" s="21"/>
      <c r="L1347" s="21"/>
      <c r="M1347" s="21"/>
      <c r="N1347" s="21"/>
    </row>
    <row r="1348" spans="1:14" ht="15.75" customHeight="1" x14ac:dyDescent="0.25">
      <c r="A1348" s="7">
        <v>1</v>
      </c>
      <c r="B1348" s="120" t="s">
        <v>739</v>
      </c>
      <c r="C1348" s="7">
        <v>1</v>
      </c>
      <c r="D1348" s="7" t="s">
        <v>543</v>
      </c>
      <c r="E1348" s="104">
        <v>65000000</v>
      </c>
      <c r="F1348" s="104">
        <f>E1348*C1348</f>
        <v>65000000</v>
      </c>
      <c r="G1348" s="25"/>
      <c r="H1348" s="11"/>
      <c r="I1348" s="21"/>
      <c r="J1348" s="21"/>
      <c r="K1348" s="21"/>
      <c r="L1348" s="21"/>
      <c r="M1348" s="21"/>
      <c r="N1348" s="21"/>
    </row>
    <row r="1349" spans="1:14" ht="15.75" customHeight="1" x14ac:dyDescent="0.25">
      <c r="A1349" s="7"/>
      <c r="B1349" s="343" t="s">
        <v>342</v>
      </c>
      <c r="C1349" s="344"/>
      <c r="D1349" s="344"/>
      <c r="E1349" s="334"/>
      <c r="F1349" s="104">
        <f>F1348</f>
        <v>65000000</v>
      </c>
      <c r="G1349" s="25"/>
      <c r="H1349" s="11"/>
      <c r="I1349" s="21"/>
      <c r="J1349" s="21"/>
      <c r="K1349" s="21"/>
      <c r="L1349" s="21"/>
      <c r="M1349" s="21"/>
      <c r="N1349" s="21"/>
    </row>
    <row r="1350" spans="1:14" ht="15.75" customHeight="1" x14ac:dyDescent="0.25">
      <c r="A1350" s="7"/>
      <c r="B1350" s="343" t="s">
        <v>343</v>
      </c>
      <c r="C1350" s="344"/>
      <c r="D1350" s="344"/>
      <c r="E1350" s="334"/>
      <c r="F1350" s="104">
        <v>7150000</v>
      </c>
      <c r="G1350" s="25"/>
      <c r="H1350" s="11"/>
      <c r="I1350" s="21"/>
      <c r="J1350" s="21"/>
      <c r="K1350" s="21"/>
      <c r="L1350" s="21"/>
      <c r="M1350" s="21"/>
      <c r="N1350" s="21"/>
    </row>
    <row r="1351" spans="1:14" ht="15.75" customHeight="1" x14ac:dyDescent="0.25">
      <c r="A1351" s="7"/>
      <c r="B1351" s="345" t="s">
        <v>344</v>
      </c>
      <c r="C1351" s="344"/>
      <c r="D1351" s="344"/>
      <c r="E1351" s="334"/>
      <c r="F1351" s="107">
        <f>SUM(F1349:F1350)</f>
        <v>72150000</v>
      </c>
      <c r="G1351" s="25"/>
      <c r="H1351" s="11"/>
      <c r="I1351" s="21"/>
      <c r="J1351" s="21"/>
      <c r="K1351" s="21"/>
      <c r="L1351" s="21"/>
      <c r="M1351" s="21"/>
      <c r="N1351" s="21"/>
    </row>
    <row r="1352" spans="1:14" ht="15.75" customHeight="1" x14ac:dyDescent="0.25">
      <c r="A1352" s="21"/>
      <c r="B1352" s="21"/>
      <c r="C1352" s="11"/>
      <c r="D1352" s="11"/>
      <c r="E1352" s="21"/>
      <c r="F1352" s="21"/>
      <c r="G1352" s="25"/>
      <c r="H1352" s="11"/>
      <c r="I1352" s="21"/>
      <c r="J1352" s="21"/>
      <c r="K1352" s="21"/>
      <c r="L1352" s="21"/>
      <c r="M1352" s="21"/>
      <c r="N1352" s="21"/>
    </row>
    <row r="1353" spans="1:14" ht="15.75" customHeight="1" x14ac:dyDescent="0.25">
      <c r="A1353" s="31" t="s">
        <v>14</v>
      </c>
      <c r="B1353" s="31" t="s">
        <v>234</v>
      </c>
      <c r="C1353" s="31" t="s">
        <v>16</v>
      </c>
      <c r="D1353" s="31" t="s">
        <v>17</v>
      </c>
      <c r="E1353" s="31" t="s">
        <v>235</v>
      </c>
      <c r="F1353" s="31" t="s">
        <v>236</v>
      </c>
      <c r="G1353" s="25"/>
      <c r="H1353" s="11"/>
      <c r="I1353" s="21"/>
      <c r="J1353" s="21"/>
      <c r="K1353" s="21"/>
      <c r="L1353" s="21"/>
      <c r="M1353" s="21"/>
      <c r="N1353" s="21"/>
    </row>
    <row r="1354" spans="1:14" ht="15.75" customHeight="1" x14ac:dyDescent="0.25">
      <c r="A1354" s="7">
        <v>1</v>
      </c>
      <c r="B1354" s="120" t="s">
        <v>740</v>
      </c>
      <c r="C1354" s="7">
        <v>3</v>
      </c>
      <c r="D1354" s="7" t="s">
        <v>19</v>
      </c>
      <c r="E1354" s="104">
        <v>2800000</v>
      </c>
      <c r="F1354" s="104">
        <f>E1354*C1354</f>
        <v>8400000</v>
      </c>
      <c r="G1354" s="25"/>
      <c r="H1354" s="11"/>
      <c r="I1354" s="21"/>
      <c r="J1354" s="21"/>
      <c r="K1354" s="21"/>
      <c r="L1354" s="21"/>
      <c r="M1354" s="21"/>
      <c r="N1354" s="21"/>
    </row>
    <row r="1355" spans="1:14" ht="15.75" customHeight="1" x14ac:dyDescent="0.25">
      <c r="A1355" s="7"/>
      <c r="B1355" s="343" t="s">
        <v>342</v>
      </c>
      <c r="C1355" s="344"/>
      <c r="D1355" s="344"/>
      <c r="E1355" s="334"/>
      <c r="F1355" s="104">
        <f>F1354</f>
        <v>8400000</v>
      </c>
      <c r="G1355" s="25"/>
      <c r="H1355" s="11"/>
      <c r="I1355" s="21"/>
      <c r="J1355" s="21"/>
      <c r="K1355" s="21"/>
      <c r="L1355" s="21"/>
      <c r="M1355" s="21"/>
      <c r="N1355" s="21"/>
    </row>
    <row r="1356" spans="1:14" ht="15.75" customHeight="1" x14ac:dyDescent="0.25">
      <c r="A1356" s="21"/>
      <c r="B1356" s="21"/>
      <c r="C1356" s="11"/>
      <c r="D1356" s="11"/>
      <c r="E1356" s="21"/>
      <c r="F1356" s="21"/>
      <c r="G1356" s="25"/>
      <c r="H1356" s="11"/>
      <c r="I1356" s="21"/>
      <c r="J1356" s="21"/>
      <c r="K1356" s="21"/>
      <c r="L1356" s="21"/>
      <c r="M1356" s="21"/>
      <c r="N1356" s="21"/>
    </row>
    <row r="1357" spans="1:14" ht="15.75" customHeight="1" x14ac:dyDescent="0.25">
      <c r="A1357" s="31" t="s">
        <v>14</v>
      </c>
      <c r="B1357" s="31" t="s">
        <v>234</v>
      </c>
      <c r="C1357" s="31" t="s">
        <v>16</v>
      </c>
      <c r="D1357" s="31" t="s">
        <v>17</v>
      </c>
      <c r="E1357" s="31" t="s">
        <v>235</v>
      </c>
      <c r="F1357" s="31" t="s">
        <v>236</v>
      </c>
      <c r="G1357" s="25"/>
      <c r="H1357" s="11"/>
      <c r="I1357" s="21"/>
      <c r="J1357" s="21"/>
      <c r="K1357" s="21"/>
      <c r="L1357" s="21"/>
      <c r="M1357" s="21"/>
      <c r="N1357" s="21"/>
    </row>
    <row r="1358" spans="1:14" ht="15.75" customHeight="1" x14ac:dyDescent="0.25">
      <c r="A1358" s="7">
        <v>1</v>
      </c>
      <c r="B1358" s="120" t="s">
        <v>741</v>
      </c>
      <c r="C1358" s="7">
        <v>1</v>
      </c>
      <c r="D1358" s="7" t="s">
        <v>363</v>
      </c>
      <c r="E1358" s="104">
        <v>6000000</v>
      </c>
      <c r="F1358" s="104">
        <f>E1358*C1358</f>
        <v>6000000</v>
      </c>
      <c r="G1358" s="25"/>
      <c r="H1358" s="11"/>
      <c r="I1358" s="21"/>
      <c r="J1358" s="21"/>
      <c r="K1358" s="21"/>
      <c r="L1358" s="21"/>
      <c r="M1358" s="21"/>
      <c r="N1358" s="21"/>
    </row>
    <row r="1359" spans="1:14" ht="15.75" customHeight="1" x14ac:dyDescent="0.25">
      <c r="A1359" s="7"/>
      <c r="B1359" s="343" t="s">
        <v>342</v>
      </c>
      <c r="C1359" s="344"/>
      <c r="D1359" s="344"/>
      <c r="E1359" s="334"/>
      <c r="F1359" s="104">
        <f>F1358</f>
        <v>6000000</v>
      </c>
      <c r="G1359" s="25"/>
      <c r="H1359" s="11"/>
      <c r="I1359" s="21"/>
      <c r="J1359" s="21"/>
      <c r="K1359" s="21"/>
      <c r="L1359" s="21"/>
      <c r="M1359" s="21"/>
      <c r="N1359" s="21"/>
    </row>
    <row r="1360" spans="1:14" ht="15.75" customHeight="1" x14ac:dyDescent="0.25">
      <c r="A1360" s="7"/>
      <c r="B1360" s="343" t="s">
        <v>343</v>
      </c>
      <c r="C1360" s="344"/>
      <c r="D1360" s="344"/>
      <c r="E1360" s="334"/>
      <c r="F1360" s="104">
        <v>660000</v>
      </c>
      <c r="G1360" s="25"/>
      <c r="H1360" s="11"/>
      <c r="I1360" s="21"/>
      <c r="J1360" s="21"/>
      <c r="K1360" s="21"/>
      <c r="L1360" s="21"/>
      <c r="M1360" s="21"/>
      <c r="N1360" s="21"/>
    </row>
    <row r="1361" spans="1:14" ht="15.75" customHeight="1" x14ac:dyDescent="0.25">
      <c r="A1361" s="7"/>
      <c r="B1361" s="345" t="s">
        <v>344</v>
      </c>
      <c r="C1361" s="344"/>
      <c r="D1361" s="344"/>
      <c r="E1361" s="334"/>
      <c r="F1361" s="107">
        <f>SUM(F1359:F1360)</f>
        <v>6660000</v>
      </c>
      <c r="G1361" s="25"/>
      <c r="H1361" s="11"/>
      <c r="I1361" s="21"/>
      <c r="J1361" s="21"/>
      <c r="K1361" s="21"/>
      <c r="L1361" s="21"/>
      <c r="M1361" s="21"/>
      <c r="N1361" s="21"/>
    </row>
    <row r="1362" spans="1:14" ht="15.75" customHeight="1" x14ac:dyDescent="0.25">
      <c r="A1362" s="21"/>
      <c r="B1362" s="21"/>
      <c r="C1362" s="11"/>
      <c r="D1362" s="11"/>
      <c r="E1362" s="21"/>
      <c r="F1362" s="21"/>
      <c r="G1362" s="25"/>
      <c r="H1362" s="11"/>
      <c r="I1362" s="21"/>
      <c r="J1362" s="21"/>
      <c r="K1362" s="21"/>
      <c r="L1362" s="21"/>
      <c r="M1362" s="21"/>
      <c r="N1362" s="21"/>
    </row>
    <row r="1363" spans="1:14" ht="15.75" customHeight="1" x14ac:dyDescent="0.25">
      <c r="A1363" s="31" t="s">
        <v>14</v>
      </c>
      <c r="B1363" s="31" t="s">
        <v>234</v>
      </c>
      <c r="C1363" s="31" t="s">
        <v>16</v>
      </c>
      <c r="D1363" s="31" t="s">
        <v>17</v>
      </c>
      <c r="E1363" s="31" t="s">
        <v>235</v>
      </c>
      <c r="F1363" s="31" t="s">
        <v>236</v>
      </c>
      <c r="G1363" s="25"/>
      <c r="H1363" s="11"/>
      <c r="I1363" s="21"/>
      <c r="J1363" s="21"/>
      <c r="K1363" s="21"/>
      <c r="L1363" s="21"/>
      <c r="M1363" s="21"/>
      <c r="N1363" s="21"/>
    </row>
    <row r="1364" spans="1:14" ht="15.75" customHeight="1" x14ac:dyDescent="0.25">
      <c r="A1364" s="7">
        <v>1</v>
      </c>
      <c r="B1364" s="120" t="s">
        <v>742</v>
      </c>
      <c r="C1364" s="7">
        <v>6</v>
      </c>
      <c r="D1364" s="7" t="s">
        <v>363</v>
      </c>
      <c r="E1364" s="104">
        <v>110800</v>
      </c>
      <c r="F1364" s="104">
        <f>E1364*C1364</f>
        <v>664800</v>
      </c>
      <c r="G1364" s="25"/>
      <c r="H1364" s="11"/>
      <c r="I1364" s="21"/>
      <c r="J1364" s="21"/>
      <c r="K1364" s="21"/>
      <c r="L1364" s="21"/>
      <c r="M1364" s="21"/>
      <c r="N1364" s="21"/>
    </row>
    <row r="1365" spans="1:14" ht="15.75" customHeight="1" x14ac:dyDescent="0.25">
      <c r="A1365" s="7"/>
      <c r="B1365" s="343" t="s">
        <v>342</v>
      </c>
      <c r="C1365" s="344"/>
      <c r="D1365" s="344"/>
      <c r="E1365" s="334"/>
      <c r="F1365" s="104">
        <f>F1364</f>
        <v>664800</v>
      </c>
      <c r="G1365" s="25"/>
      <c r="H1365" s="11"/>
      <c r="I1365" s="21"/>
      <c r="J1365" s="21"/>
      <c r="K1365" s="21"/>
      <c r="L1365" s="21"/>
      <c r="M1365" s="21"/>
      <c r="N1365" s="21"/>
    </row>
    <row r="1366" spans="1:14" ht="15.75" customHeight="1" x14ac:dyDescent="0.25">
      <c r="A1366" s="7"/>
      <c r="B1366" s="343" t="s">
        <v>343</v>
      </c>
      <c r="C1366" s="344"/>
      <c r="D1366" s="344"/>
      <c r="E1366" s="334"/>
      <c r="F1366" s="104">
        <v>73128</v>
      </c>
      <c r="G1366" s="25"/>
      <c r="H1366" s="11"/>
      <c r="I1366" s="21"/>
      <c r="J1366" s="21"/>
      <c r="K1366" s="21"/>
      <c r="L1366" s="21"/>
      <c r="M1366" s="21"/>
      <c r="N1366" s="21"/>
    </row>
    <row r="1367" spans="1:14" ht="15.75" customHeight="1" x14ac:dyDescent="0.25">
      <c r="A1367" s="7"/>
      <c r="B1367" s="345" t="s">
        <v>344</v>
      </c>
      <c r="C1367" s="344"/>
      <c r="D1367" s="344"/>
      <c r="E1367" s="334"/>
      <c r="F1367" s="107">
        <f>SUM(F1365:F1366)</f>
        <v>737928</v>
      </c>
      <c r="G1367" s="25"/>
      <c r="H1367" s="11"/>
      <c r="I1367" s="21"/>
      <c r="J1367" s="21"/>
      <c r="K1367" s="21"/>
      <c r="L1367" s="21"/>
      <c r="M1367" s="21"/>
      <c r="N1367" s="21"/>
    </row>
    <row r="1368" spans="1:14" ht="15.75" customHeight="1" x14ac:dyDescent="0.25">
      <c r="A1368" s="21"/>
      <c r="B1368" s="21"/>
      <c r="C1368" s="11"/>
      <c r="D1368" s="11"/>
      <c r="E1368" s="21"/>
      <c r="F1368" s="21"/>
      <c r="G1368" s="25"/>
      <c r="H1368" s="11"/>
      <c r="I1368" s="21"/>
      <c r="J1368" s="21"/>
      <c r="K1368" s="21"/>
      <c r="L1368" s="21"/>
      <c r="M1368" s="21"/>
      <c r="N1368" s="21"/>
    </row>
    <row r="1369" spans="1:14" ht="15.75" customHeight="1" x14ac:dyDescent="0.25">
      <c r="A1369" s="31" t="s">
        <v>14</v>
      </c>
      <c r="B1369" s="31" t="s">
        <v>234</v>
      </c>
      <c r="C1369" s="31" t="s">
        <v>16</v>
      </c>
      <c r="D1369" s="31" t="s">
        <v>17</v>
      </c>
      <c r="E1369" s="31" t="s">
        <v>235</v>
      </c>
      <c r="F1369" s="31" t="s">
        <v>236</v>
      </c>
      <c r="G1369" s="25"/>
      <c r="H1369" s="11"/>
      <c r="I1369" s="21"/>
      <c r="J1369" s="21"/>
      <c r="K1369" s="21"/>
      <c r="L1369" s="21"/>
      <c r="M1369" s="21"/>
      <c r="N1369" s="21"/>
    </row>
    <row r="1370" spans="1:14" ht="15.75" customHeight="1" x14ac:dyDescent="0.25">
      <c r="A1370" s="7">
        <v>1</v>
      </c>
      <c r="B1370" s="141" t="s">
        <v>743</v>
      </c>
      <c r="C1370" s="7">
        <v>3</v>
      </c>
      <c r="D1370" s="7" t="s">
        <v>243</v>
      </c>
      <c r="E1370" s="104">
        <v>514876</v>
      </c>
      <c r="F1370" s="104">
        <f>E1370*C1370</f>
        <v>1544628</v>
      </c>
      <c r="G1370" s="25"/>
      <c r="H1370" s="11"/>
      <c r="I1370" s="21"/>
      <c r="J1370" s="21"/>
      <c r="K1370" s="21"/>
      <c r="L1370" s="21"/>
      <c r="M1370" s="21"/>
      <c r="N1370" s="21"/>
    </row>
    <row r="1371" spans="1:14" ht="15.75" customHeight="1" x14ac:dyDescent="0.25">
      <c r="A1371" s="7"/>
      <c r="B1371" s="343" t="s">
        <v>342</v>
      </c>
      <c r="C1371" s="344"/>
      <c r="D1371" s="344"/>
      <c r="E1371" s="334"/>
      <c r="F1371" s="104">
        <f>F1370</f>
        <v>1544628</v>
      </c>
      <c r="G1371" s="25"/>
      <c r="H1371" s="11"/>
      <c r="I1371" s="21"/>
      <c r="J1371" s="21"/>
      <c r="K1371" s="21"/>
      <c r="L1371" s="21"/>
      <c r="M1371" s="21"/>
      <c r="N1371" s="21"/>
    </row>
    <row r="1372" spans="1:14" ht="15.75" customHeight="1" x14ac:dyDescent="0.25">
      <c r="A1372" s="7"/>
      <c r="B1372" s="343" t="s">
        <v>343</v>
      </c>
      <c r="C1372" s="344"/>
      <c r="D1372" s="344"/>
      <c r="E1372" s="334"/>
      <c r="F1372" s="104">
        <v>169909</v>
      </c>
      <c r="G1372" s="25"/>
      <c r="H1372" s="11"/>
      <c r="I1372" s="21"/>
      <c r="J1372" s="21"/>
      <c r="K1372" s="21"/>
      <c r="L1372" s="21"/>
      <c r="M1372" s="21"/>
      <c r="N1372" s="21"/>
    </row>
    <row r="1373" spans="1:14" ht="15.75" customHeight="1" x14ac:dyDescent="0.25">
      <c r="A1373" s="7"/>
      <c r="B1373" s="345" t="s">
        <v>344</v>
      </c>
      <c r="C1373" s="344"/>
      <c r="D1373" s="344"/>
      <c r="E1373" s="334"/>
      <c r="F1373" s="107">
        <f>SUM(F1371:F1372)</f>
        <v>1714537</v>
      </c>
      <c r="G1373" s="25"/>
      <c r="H1373" s="11"/>
      <c r="I1373" s="21"/>
      <c r="J1373" s="21"/>
      <c r="K1373" s="21"/>
      <c r="L1373" s="21"/>
      <c r="M1373" s="21"/>
      <c r="N1373" s="21"/>
    </row>
    <row r="1374" spans="1:14" ht="15.75" customHeight="1" x14ac:dyDescent="0.25">
      <c r="A1374" s="21"/>
      <c r="B1374" s="21"/>
      <c r="C1374" s="11"/>
      <c r="D1374" s="11"/>
      <c r="E1374" s="21"/>
      <c r="F1374" s="21"/>
      <c r="G1374" s="25"/>
      <c r="H1374" s="11"/>
      <c r="I1374" s="21"/>
      <c r="J1374" s="21"/>
      <c r="K1374" s="21"/>
      <c r="L1374" s="21"/>
      <c r="M1374" s="21"/>
      <c r="N1374" s="21"/>
    </row>
    <row r="1375" spans="1:14" ht="15.75" customHeight="1" x14ac:dyDescent="0.25">
      <c r="A1375" s="31" t="s">
        <v>14</v>
      </c>
      <c r="B1375" s="31" t="s">
        <v>234</v>
      </c>
      <c r="C1375" s="31" t="s">
        <v>16</v>
      </c>
      <c r="D1375" s="31" t="s">
        <v>17</v>
      </c>
      <c r="E1375" s="31" t="s">
        <v>235</v>
      </c>
      <c r="F1375" s="31" t="s">
        <v>236</v>
      </c>
      <c r="G1375" s="25"/>
      <c r="H1375" s="11"/>
      <c r="I1375" s="21"/>
      <c r="J1375" s="21"/>
      <c r="K1375" s="21"/>
      <c r="L1375" s="21"/>
      <c r="M1375" s="21"/>
      <c r="N1375" s="21"/>
    </row>
    <row r="1376" spans="1:14" ht="15.75" customHeight="1" x14ac:dyDescent="0.25">
      <c r="A1376" s="7">
        <v>1</v>
      </c>
      <c r="B1376" s="124" t="s">
        <v>744</v>
      </c>
      <c r="C1376" s="129">
        <v>4</v>
      </c>
      <c r="D1376" s="7" t="s">
        <v>363</v>
      </c>
      <c r="E1376" s="130">
        <v>368500</v>
      </c>
      <c r="F1376" s="130">
        <f>E1376*C1376</f>
        <v>1474000</v>
      </c>
      <c r="G1376" s="25"/>
      <c r="H1376" s="11"/>
      <c r="I1376" s="21"/>
      <c r="J1376" s="21"/>
      <c r="K1376" s="21"/>
      <c r="L1376" s="21"/>
      <c r="M1376" s="21"/>
      <c r="N1376" s="21"/>
    </row>
    <row r="1377" spans="1:14" ht="15.75" customHeight="1" x14ac:dyDescent="0.25">
      <c r="A1377" s="7">
        <v>2</v>
      </c>
      <c r="B1377" s="120" t="s">
        <v>745</v>
      </c>
      <c r="C1377" s="129">
        <v>2</v>
      </c>
      <c r="D1377" s="7" t="s">
        <v>363</v>
      </c>
      <c r="E1377" s="130">
        <v>52500</v>
      </c>
      <c r="F1377" s="130">
        <f>E1377*C1377</f>
        <v>105000</v>
      </c>
      <c r="G1377" s="25"/>
      <c r="H1377" s="11"/>
      <c r="I1377" s="21"/>
      <c r="J1377" s="21"/>
      <c r="K1377" s="21"/>
      <c r="L1377" s="21"/>
      <c r="M1377" s="21"/>
      <c r="N1377" s="21"/>
    </row>
    <row r="1378" spans="1:14" ht="15.75" customHeight="1" x14ac:dyDescent="0.25">
      <c r="A1378" s="7">
        <v>3</v>
      </c>
      <c r="B1378" s="142" t="s">
        <v>746</v>
      </c>
      <c r="C1378" s="129">
        <v>1</v>
      </c>
      <c r="D1378" s="7" t="s">
        <v>363</v>
      </c>
      <c r="E1378" s="130">
        <v>1905000</v>
      </c>
      <c r="F1378" s="130">
        <f>E1378*C1378</f>
        <v>1905000</v>
      </c>
      <c r="G1378" s="25"/>
      <c r="H1378" s="11"/>
      <c r="I1378" s="21"/>
      <c r="J1378" s="21"/>
      <c r="K1378" s="21"/>
      <c r="L1378" s="21"/>
      <c r="M1378" s="21"/>
      <c r="N1378" s="21"/>
    </row>
    <row r="1379" spans="1:14" ht="15.75" customHeight="1" x14ac:dyDescent="0.25">
      <c r="A1379" s="7"/>
      <c r="B1379" s="343" t="s">
        <v>342</v>
      </c>
      <c r="C1379" s="344"/>
      <c r="D1379" s="344"/>
      <c r="E1379" s="334"/>
      <c r="F1379" s="104">
        <f>SUM(F1376:F1378)</f>
        <v>3484000</v>
      </c>
      <c r="G1379" s="25"/>
      <c r="H1379" s="11"/>
      <c r="I1379" s="21"/>
      <c r="J1379" s="21"/>
      <c r="K1379" s="21"/>
      <c r="L1379" s="21"/>
      <c r="M1379" s="21"/>
      <c r="N1379" s="21"/>
    </row>
    <row r="1380" spans="1:14" ht="15.75" customHeight="1" x14ac:dyDescent="0.25">
      <c r="A1380" s="7"/>
      <c r="B1380" s="343" t="s">
        <v>343</v>
      </c>
      <c r="C1380" s="344"/>
      <c r="D1380" s="344"/>
      <c r="E1380" s="334"/>
      <c r="F1380" s="104">
        <v>383240</v>
      </c>
      <c r="G1380" s="25"/>
      <c r="H1380" s="11"/>
      <c r="I1380" s="21"/>
      <c r="J1380" s="21"/>
      <c r="K1380" s="21"/>
      <c r="L1380" s="21"/>
      <c r="M1380" s="21"/>
      <c r="N1380" s="21"/>
    </row>
    <row r="1381" spans="1:14" ht="15.75" customHeight="1" x14ac:dyDescent="0.25">
      <c r="A1381" s="7"/>
      <c r="B1381" s="345" t="s">
        <v>344</v>
      </c>
      <c r="C1381" s="344"/>
      <c r="D1381" s="344"/>
      <c r="E1381" s="334"/>
      <c r="F1381" s="107">
        <f>SUM(F1379:F1380)</f>
        <v>3867240</v>
      </c>
      <c r="G1381" s="25"/>
      <c r="H1381" s="11"/>
      <c r="I1381" s="21"/>
      <c r="J1381" s="21"/>
      <c r="K1381" s="21"/>
      <c r="L1381" s="21"/>
      <c r="M1381" s="21"/>
      <c r="N1381" s="21"/>
    </row>
    <row r="1382" spans="1:14" ht="15.75" customHeight="1" x14ac:dyDescent="0.25">
      <c r="A1382" s="21"/>
      <c r="B1382" s="21"/>
      <c r="C1382" s="11"/>
      <c r="D1382" s="11"/>
      <c r="E1382" s="21"/>
      <c r="F1382" s="21"/>
      <c r="G1382" s="25"/>
      <c r="H1382" s="11"/>
      <c r="I1382" s="21"/>
      <c r="J1382" s="21"/>
      <c r="K1382" s="21"/>
      <c r="L1382" s="21"/>
      <c r="M1382" s="21"/>
      <c r="N1382" s="21"/>
    </row>
    <row r="1383" spans="1:14" ht="15.75" customHeight="1" x14ac:dyDescent="0.25">
      <c r="A1383" s="31" t="s">
        <v>14</v>
      </c>
      <c r="B1383" s="31" t="s">
        <v>234</v>
      </c>
      <c r="C1383" s="31" t="s">
        <v>16</v>
      </c>
      <c r="D1383" s="31" t="s">
        <v>17</v>
      </c>
      <c r="E1383" s="31" t="s">
        <v>235</v>
      </c>
      <c r="F1383" s="31" t="s">
        <v>236</v>
      </c>
      <c r="G1383" s="25"/>
      <c r="H1383" s="11"/>
      <c r="I1383" s="21"/>
      <c r="J1383" s="21"/>
      <c r="K1383" s="21"/>
      <c r="L1383" s="21"/>
      <c r="M1383" s="21"/>
      <c r="N1383" s="21"/>
    </row>
    <row r="1384" spans="1:14" ht="15.75" customHeight="1" x14ac:dyDescent="0.25">
      <c r="A1384" s="7">
        <v>1</v>
      </c>
      <c r="B1384" s="141" t="s">
        <v>747</v>
      </c>
      <c r="C1384" s="7">
        <v>1</v>
      </c>
      <c r="D1384" s="7" t="s">
        <v>243</v>
      </c>
      <c r="E1384" s="104">
        <v>2085500</v>
      </c>
      <c r="F1384" s="104">
        <f>E1384*C1384</f>
        <v>2085500</v>
      </c>
      <c r="G1384" s="25"/>
      <c r="H1384" s="11"/>
      <c r="I1384" s="21"/>
      <c r="J1384" s="21"/>
      <c r="K1384" s="21"/>
      <c r="L1384" s="21"/>
      <c r="M1384" s="21"/>
      <c r="N1384" s="21"/>
    </row>
    <row r="1385" spans="1:14" ht="15.75" customHeight="1" x14ac:dyDescent="0.25">
      <c r="A1385" s="7"/>
      <c r="B1385" s="343" t="s">
        <v>342</v>
      </c>
      <c r="C1385" s="344"/>
      <c r="D1385" s="344"/>
      <c r="E1385" s="334"/>
      <c r="F1385" s="104">
        <f>F1384</f>
        <v>2085500</v>
      </c>
      <c r="G1385" s="25"/>
      <c r="H1385" s="11"/>
      <c r="I1385" s="21"/>
      <c r="J1385" s="21"/>
      <c r="K1385" s="21"/>
      <c r="L1385" s="21"/>
      <c r="M1385" s="21"/>
      <c r="N1385" s="21"/>
    </row>
    <row r="1386" spans="1:14" ht="15.75" customHeight="1" x14ac:dyDescent="0.25">
      <c r="A1386" s="7"/>
      <c r="B1386" s="343" t="s">
        <v>343</v>
      </c>
      <c r="C1386" s="344"/>
      <c r="D1386" s="344"/>
      <c r="E1386" s="334"/>
      <c r="F1386" s="104">
        <v>229405</v>
      </c>
      <c r="G1386" s="25"/>
      <c r="H1386" s="11"/>
      <c r="I1386" s="21"/>
      <c r="J1386" s="21"/>
      <c r="K1386" s="21"/>
      <c r="L1386" s="21"/>
      <c r="M1386" s="21"/>
      <c r="N1386" s="21"/>
    </row>
    <row r="1387" spans="1:14" ht="15.75" customHeight="1" x14ac:dyDescent="0.25">
      <c r="A1387" s="7"/>
      <c r="B1387" s="345" t="s">
        <v>344</v>
      </c>
      <c r="C1387" s="344"/>
      <c r="D1387" s="344"/>
      <c r="E1387" s="334"/>
      <c r="F1387" s="107">
        <f>SUM(F1385:F1386)</f>
        <v>2314905</v>
      </c>
      <c r="G1387" s="25"/>
      <c r="H1387" s="11"/>
      <c r="I1387" s="21"/>
      <c r="J1387" s="21"/>
      <c r="K1387" s="21"/>
      <c r="L1387" s="21"/>
      <c r="M1387" s="21"/>
      <c r="N1387" s="21"/>
    </row>
    <row r="1388" spans="1:14" ht="15.75" customHeight="1" x14ac:dyDescent="0.25">
      <c r="A1388" s="21"/>
      <c r="B1388" s="21"/>
      <c r="C1388" s="11"/>
      <c r="D1388" s="11"/>
      <c r="E1388" s="21"/>
      <c r="F1388" s="21"/>
      <c r="G1388" s="25"/>
      <c r="H1388" s="11"/>
      <c r="I1388" s="21"/>
      <c r="J1388" s="21"/>
      <c r="K1388" s="21"/>
      <c r="L1388" s="21"/>
      <c r="M1388" s="21"/>
      <c r="N1388" s="21"/>
    </row>
    <row r="1389" spans="1:14" ht="15.75" customHeight="1" x14ac:dyDescent="0.25">
      <c r="A1389" s="31" t="s">
        <v>14</v>
      </c>
      <c r="B1389" s="31" t="s">
        <v>234</v>
      </c>
      <c r="C1389" s="31" t="s">
        <v>16</v>
      </c>
      <c r="D1389" s="31" t="s">
        <v>17</v>
      </c>
      <c r="E1389" s="31" t="s">
        <v>235</v>
      </c>
      <c r="F1389" s="31" t="s">
        <v>236</v>
      </c>
      <c r="G1389" s="25"/>
      <c r="H1389" s="11"/>
      <c r="I1389" s="21"/>
      <c r="J1389" s="21"/>
      <c r="K1389" s="21"/>
      <c r="L1389" s="21"/>
      <c r="M1389" s="21"/>
      <c r="N1389" s="21"/>
    </row>
    <row r="1390" spans="1:14" ht="15.75" customHeight="1" x14ac:dyDescent="0.25">
      <c r="A1390" s="7">
        <v>1</v>
      </c>
      <c r="B1390" s="124" t="s">
        <v>748</v>
      </c>
      <c r="C1390" s="129">
        <v>1</v>
      </c>
      <c r="D1390" s="7" t="s">
        <v>363</v>
      </c>
      <c r="E1390" s="130">
        <v>2220000</v>
      </c>
      <c r="F1390" s="130">
        <f>E1390*C1390</f>
        <v>2220000</v>
      </c>
      <c r="G1390" s="25"/>
      <c r="H1390" s="11"/>
      <c r="I1390" s="21"/>
      <c r="J1390" s="21"/>
      <c r="K1390" s="21"/>
      <c r="L1390" s="21"/>
      <c r="M1390" s="21"/>
      <c r="N1390" s="21"/>
    </row>
    <row r="1391" spans="1:14" ht="15.75" customHeight="1" x14ac:dyDescent="0.25">
      <c r="A1391" s="7">
        <v>2</v>
      </c>
      <c r="B1391" s="120" t="s">
        <v>749</v>
      </c>
      <c r="C1391" s="129">
        <v>1</v>
      </c>
      <c r="D1391" s="7" t="s">
        <v>251</v>
      </c>
      <c r="E1391" s="130">
        <v>750000</v>
      </c>
      <c r="F1391" s="130">
        <f>E1391*C1391</f>
        <v>750000</v>
      </c>
      <c r="G1391" s="25"/>
      <c r="H1391" s="11"/>
      <c r="I1391" s="21"/>
      <c r="J1391" s="21"/>
      <c r="K1391" s="21"/>
      <c r="L1391" s="21"/>
      <c r="M1391" s="21"/>
      <c r="N1391" s="21"/>
    </row>
    <row r="1392" spans="1:14" ht="15.75" customHeight="1" x14ac:dyDescent="0.25">
      <c r="A1392" s="7">
        <v>3</v>
      </c>
      <c r="B1392" s="142" t="s">
        <v>750</v>
      </c>
      <c r="C1392" s="129">
        <v>1</v>
      </c>
      <c r="D1392" s="7" t="s">
        <v>251</v>
      </c>
      <c r="E1392" s="130">
        <v>510000</v>
      </c>
      <c r="F1392" s="130">
        <f>E1392*C1392</f>
        <v>510000</v>
      </c>
      <c r="G1392" s="25"/>
      <c r="H1392" s="11"/>
      <c r="I1392" s="21"/>
      <c r="J1392" s="21"/>
      <c r="K1392" s="21"/>
      <c r="L1392" s="21"/>
      <c r="M1392" s="21"/>
      <c r="N1392" s="21"/>
    </row>
    <row r="1393" spans="1:14" ht="15.75" customHeight="1" x14ac:dyDescent="0.25">
      <c r="A1393" s="7"/>
      <c r="B1393" s="343" t="s">
        <v>342</v>
      </c>
      <c r="C1393" s="344"/>
      <c r="D1393" s="344"/>
      <c r="E1393" s="334"/>
      <c r="F1393" s="104">
        <f>SUM(F1390:F1392)</f>
        <v>3480000</v>
      </c>
      <c r="G1393" s="25"/>
      <c r="H1393" s="11"/>
      <c r="I1393" s="21"/>
      <c r="J1393" s="21"/>
      <c r="K1393" s="21"/>
      <c r="L1393" s="21"/>
      <c r="M1393" s="21"/>
      <c r="N1393" s="21"/>
    </row>
    <row r="1394" spans="1:14" ht="15.75" customHeight="1" x14ac:dyDescent="0.25">
      <c r="A1394" s="7"/>
      <c r="B1394" s="343" t="s">
        <v>343</v>
      </c>
      <c r="C1394" s="344"/>
      <c r="D1394" s="344"/>
      <c r="E1394" s="334"/>
      <c r="F1394" s="104">
        <v>382800</v>
      </c>
      <c r="G1394" s="25"/>
      <c r="H1394" s="11"/>
      <c r="I1394" s="21"/>
      <c r="J1394" s="21"/>
      <c r="K1394" s="21"/>
      <c r="L1394" s="21"/>
      <c r="M1394" s="21"/>
      <c r="N1394" s="21"/>
    </row>
    <row r="1395" spans="1:14" ht="15.75" customHeight="1" x14ac:dyDescent="0.25">
      <c r="A1395" s="7"/>
      <c r="B1395" s="345" t="s">
        <v>344</v>
      </c>
      <c r="C1395" s="344"/>
      <c r="D1395" s="344"/>
      <c r="E1395" s="334"/>
      <c r="F1395" s="107">
        <f>SUM(F1393:F1394)</f>
        <v>3862800</v>
      </c>
      <c r="G1395" s="25"/>
      <c r="H1395" s="11"/>
      <c r="I1395" s="21"/>
      <c r="J1395" s="21"/>
      <c r="K1395" s="21"/>
      <c r="L1395" s="21"/>
      <c r="M1395" s="21"/>
      <c r="N1395" s="21"/>
    </row>
    <row r="1396" spans="1:14" ht="15.75" customHeight="1" x14ac:dyDescent="0.25">
      <c r="A1396" s="21"/>
      <c r="B1396" s="21"/>
      <c r="C1396" s="11"/>
      <c r="D1396" s="11"/>
      <c r="E1396" s="21"/>
      <c r="F1396" s="21"/>
      <c r="G1396" s="25"/>
      <c r="H1396" s="11"/>
      <c r="I1396" s="21"/>
      <c r="J1396" s="21"/>
      <c r="K1396" s="21"/>
      <c r="L1396" s="21"/>
      <c r="M1396" s="21"/>
      <c r="N1396" s="21"/>
    </row>
    <row r="1397" spans="1:14" ht="15.75" customHeight="1" x14ac:dyDescent="0.25">
      <c r="A1397" s="31" t="s">
        <v>14</v>
      </c>
      <c r="B1397" s="31" t="s">
        <v>234</v>
      </c>
      <c r="C1397" s="31" t="s">
        <v>16</v>
      </c>
      <c r="D1397" s="31" t="s">
        <v>17</v>
      </c>
      <c r="E1397" s="31" t="s">
        <v>235</v>
      </c>
      <c r="F1397" s="31" t="s">
        <v>236</v>
      </c>
      <c r="G1397" s="25"/>
      <c r="H1397" s="11"/>
      <c r="I1397" s="21"/>
      <c r="J1397" s="21"/>
      <c r="K1397" s="21"/>
      <c r="L1397" s="21"/>
      <c r="M1397" s="21"/>
      <c r="N1397" s="21"/>
    </row>
    <row r="1398" spans="1:14" ht="15.75" customHeight="1" x14ac:dyDescent="0.25">
      <c r="A1398" s="7">
        <v>1</v>
      </c>
      <c r="B1398" s="141" t="s">
        <v>751</v>
      </c>
      <c r="C1398" s="7">
        <v>2</v>
      </c>
      <c r="D1398" s="7" t="s">
        <v>363</v>
      </c>
      <c r="E1398" s="104">
        <v>1772190</v>
      </c>
      <c r="F1398" s="104">
        <f>E1398*C1398</f>
        <v>3544380</v>
      </c>
      <c r="G1398" s="25"/>
      <c r="H1398" s="11"/>
      <c r="I1398" s="21"/>
      <c r="J1398" s="21"/>
      <c r="K1398" s="21"/>
      <c r="L1398" s="21"/>
      <c r="M1398" s="21"/>
      <c r="N1398" s="21"/>
    </row>
    <row r="1399" spans="1:14" ht="15.75" customHeight="1" x14ac:dyDescent="0.25">
      <c r="A1399" s="7"/>
      <c r="B1399" s="343" t="s">
        <v>342</v>
      </c>
      <c r="C1399" s="344"/>
      <c r="D1399" s="344"/>
      <c r="E1399" s="334"/>
      <c r="F1399" s="104">
        <f>F1398</f>
        <v>3544380</v>
      </c>
      <c r="G1399" s="25"/>
      <c r="H1399" s="11"/>
      <c r="I1399" s="21"/>
      <c r="J1399" s="21"/>
      <c r="K1399" s="21"/>
      <c r="L1399" s="21"/>
      <c r="M1399" s="21"/>
      <c r="N1399" s="21"/>
    </row>
    <row r="1400" spans="1:14" ht="15.75" customHeight="1" x14ac:dyDescent="0.25">
      <c r="A1400" s="7"/>
      <c r="B1400" s="343" t="s">
        <v>343</v>
      </c>
      <c r="C1400" s="344"/>
      <c r="D1400" s="344"/>
      <c r="E1400" s="334"/>
      <c r="F1400" s="104">
        <v>389881.8</v>
      </c>
      <c r="G1400" s="25"/>
      <c r="H1400" s="11"/>
      <c r="I1400" s="21"/>
      <c r="J1400" s="21"/>
      <c r="K1400" s="21"/>
      <c r="L1400" s="21"/>
      <c r="M1400" s="21"/>
      <c r="N1400" s="21"/>
    </row>
    <row r="1401" spans="1:14" ht="15.75" customHeight="1" x14ac:dyDescent="0.25">
      <c r="A1401" s="7"/>
      <c r="B1401" s="345" t="s">
        <v>344</v>
      </c>
      <c r="C1401" s="344"/>
      <c r="D1401" s="344"/>
      <c r="E1401" s="334"/>
      <c r="F1401" s="107">
        <f>SUM(F1399:F1400)</f>
        <v>3934261.8</v>
      </c>
      <c r="G1401" s="25"/>
      <c r="H1401" s="11"/>
      <c r="I1401" s="21"/>
      <c r="J1401" s="21"/>
      <c r="K1401" s="21"/>
      <c r="L1401" s="21"/>
      <c r="M1401" s="21"/>
      <c r="N1401" s="21"/>
    </row>
    <row r="1402" spans="1:14" ht="15.75" customHeight="1" x14ac:dyDescent="0.25">
      <c r="A1402" s="21"/>
      <c r="B1402" s="21"/>
      <c r="C1402" s="11"/>
      <c r="D1402" s="11"/>
      <c r="E1402" s="21"/>
      <c r="F1402" s="21"/>
      <c r="G1402" s="25"/>
      <c r="H1402" s="11"/>
      <c r="I1402" s="21"/>
      <c r="J1402" s="21"/>
      <c r="K1402" s="21"/>
      <c r="L1402" s="21"/>
      <c r="M1402" s="21"/>
      <c r="N1402" s="21"/>
    </row>
    <row r="1403" spans="1:14" ht="15.75" customHeight="1" x14ac:dyDescent="0.25">
      <c r="A1403" s="31" t="s">
        <v>14</v>
      </c>
      <c r="B1403" s="31" t="s">
        <v>234</v>
      </c>
      <c r="C1403" s="31" t="s">
        <v>16</v>
      </c>
      <c r="D1403" s="31" t="s">
        <v>17</v>
      </c>
      <c r="E1403" s="31" t="s">
        <v>235</v>
      </c>
      <c r="F1403" s="31" t="s">
        <v>236</v>
      </c>
      <c r="G1403" s="25"/>
      <c r="H1403" s="11"/>
      <c r="I1403" s="21"/>
      <c r="J1403" s="21"/>
      <c r="K1403" s="21"/>
      <c r="L1403" s="21"/>
      <c r="M1403" s="21"/>
      <c r="N1403" s="21"/>
    </row>
    <row r="1404" spans="1:14" ht="15.75" customHeight="1" x14ac:dyDescent="0.25">
      <c r="A1404" s="7">
        <v>1</v>
      </c>
      <c r="B1404" s="141" t="s">
        <v>752</v>
      </c>
      <c r="C1404" s="7">
        <v>1</v>
      </c>
      <c r="D1404" s="7" t="s">
        <v>243</v>
      </c>
      <c r="E1404" s="104">
        <v>25200000</v>
      </c>
      <c r="F1404" s="104">
        <f>E1404*C1404</f>
        <v>25200000</v>
      </c>
      <c r="G1404" s="25"/>
      <c r="H1404" s="11"/>
      <c r="I1404" s="21"/>
      <c r="J1404" s="21"/>
      <c r="K1404" s="21"/>
      <c r="L1404" s="21"/>
      <c r="M1404" s="21"/>
      <c r="N1404" s="21"/>
    </row>
    <row r="1405" spans="1:14" ht="15.75" customHeight="1" x14ac:dyDescent="0.25">
      <c r="A1405" s="7"/>
      <c r="B1405" s="343" t="s">
        <v>342</v>
      </c>
      <c r="C1405" s="344"/>
      <c r="D1405" s="344"/>
      <c r="E1405" s="334"/>
      <c r="F1405" s="104">
        <f>F1404</f>
        <v>25200000</v>
      </c>
      <c r="G1405" s="25"/>
      <c r="H1405" s="11"/>
      <c r="I1405" s="21"/>
      <c r="J1405" s="21"/>
      <c r="K1405" s="21"/>
      <c r="L1405" s="21"/>
      <c r="M1405" s="21"/>
      <c r="N1405" s="21"/>
    </row>
    <row r="1406" spans="1:14" ht="15.75" customHeight="1" x14ac:dyDescent="0.25">
      <c r="A1406" s="7"/>
      <c r="B1406" s="343" t="s">
        <v>343</v>
      </c>
      <c r="C1406" s="344"/>
      <c r="D1406" s="344"/>
      <c r="E1406" s="334"/>
      <c r="F1406" s="104">
        <v>2772000</v>
      </c>
      <c r="G1406" s="25"/>
      <c r="H1406" s="11"/>
      <c r="I1406" s="21"/>
      <c r="J1406" s="21"/>
      <c r="K1406" s="21"/>
      <c r="L1406" s="21"/>
      <c r="M1406" s="21"/>
      <c r="N1406" s="21"/>
    </row>
    <row r="1407" spans="1:14" ht="15.75" customHeight="1" x14ac:dyDescent="0.25">
      <c r="A1407" s="7"/>
      <c r="B1407" s="345" t="s">
        <v>344</v>
      </c>
      <c r="C1407" s="344"/>
      <c r="D1407" s="344"/>
      <c r="E1407" s="334"/>
      <c r="F1407" s="107">
        <f>SUM(F1405:F1406)</f>
        <v>27972000</v>
      </c>
      <c r="G1407" s="25"/>
      <c r="H1407" s="11"/>
      <c r="I1407" s="21"/>
      <c r="J1407" s="21"/>
      <c r="K1407" s="21"/>
      <c r="L1407" s="21"/>
      <c r="M1407" s="21"/>
      <c r="N1407" s="21"/>
    </row>
    <row r="1408" spans="1:14" ht="15.75" customHeight="1" x14ac:dyDescent="0.25">
      <c r="A1408" s="21"/>
      <c r="B1408" s="21"/>
      <c r="C1408" s="11"/>
      <c r="D1408" s="11"/>
      <c r="E1408" s="21"/>
      <c r="F1408" s="21"/>
      <c r="G1408" s="25"/>
      <c r="H1408" s="11"/>
      <c r="I1408" s="21"/>
      <c r="J1408" s="21"/>
      <c r="K1408" s="21"/>
      <c r="L1408" s="21"/>
      <c r="M1408" s="21"/>
      <c r="N1408" s="21"/>
    </row>
    <row r="1409" spans="1:14" ht="15.75" customHeight="1" x14ac:dyDescent="0.25">
      <c r="A1409" s="31" t="s">
        <v>14</v>
      </c>
      <c r="B1409" s="31" t="s">
        <v>234</v>
      </c>
      <c r="C1409" s="31" t="s">
        <v>16</v>
      </c>
      <c r="D1409" s="31" t="s">
        <v>17</v>
      </c>
      <c r="E1409" s="31" t="s">
        <v>235</v>
      </c>
      <c r="F1409" s="31" t="s">
        <v>236</v>
      </c>
      <c r="G1409" s="25"/>
      <c r="H1409" s="11"/>
      <c r="I1409" s="21"/>
      <c r="J1409" s="21"/>
      <c r="K1409" s="21"/>
      <c r="L1409" s="21"/>
      <c r="M1409" s="21"/>
      <c r="N1409" s="21"/>
    </row>
    <row r="1410" spans="1:14" ht="15.75" customHeight="1" x14ac:dyDescent="0.25">
      <c r="A1410" s="7">
        <v>1</v>
      </c>
      <c r="B1410" s="120" t="s">
        <v>753</v>
      </c>
      <c r="C1410" s="7">
        <v>2</v>
      </c>
      <c r="D1410" s="7" t="s">
        <v>19</v>
      </c>
      <c r="E1410" s="104">
        <v>7000000</v>
      </c>
      <c r="F1410" s="104">
        <f>E1410*C1410</f>
        <v>14000000</v>
      </c>
      <c r="G1410" s="25"/>
      <c r="H1410" s="11"/>
      <c r="I1410" s="21"/>
      <c r="J1410" s="21"/>
      <c r="K1410" s="21"/>
      <c r="L1410" s="21"/>
      <c r="M1410" s="21"/>
      <c r="N1410" s="21"/>
    </row>
    <row r="1411" spans="1:14" ht="15.75" customHeight="1" x14ac:dyDescent="0.25">
      <c r="A1411" s="7"/>
      <c r="B1411" s="343" t="s">
        <v>342</v>
      </c>
      <c r="C1411" s="344"/>
      <c r="D1411" s="344"/>
      <c r="E1411" s="334"/>
      <c r="F1411" s="104">
        <f>F1410</f>
        <v>14000000</v>
      </c>
      <c r="G1411" s="25"/>
      <c r="H1411" s="11"/>
      <c r="I1411" s="21"/>
      <c r="J1411" s="21"/>
      <c r="K1411" s="21"/>
      <c r="L1411" s="21"/>
      <c r="M1411" s="21"/>
      <c r="N1411" s="21"/>
    </row>
    <row r="1412" spans="1:14" ht="15.75" customHeight="1" x14ac:dyDescent="0.25">
      <c r="A1412" s="7"/>
      <c r="B1412" s="343" t="s">
        <v>343</v>
      </c>
      <c r="C1412" s="344"/>
      <c r="D1412" s="344"/>
      <c r="E1412" s="334"/>
      <c r="F1412" s="104">
        <v>1540000</v>
      </c>
      <c r="G1412" s="25"/>
      <c r="H1412" s="11"/>
      <c r="I1412" s="21"/>
      <c r="J1412" s="21"/>
      <c r="K1412" s="21"/>
      <c r="L1412" s="21"/>
      <c r="M1412" s="21"/>
      <c r="N1412" s="21"/>
    </row>
    <row r="1413" spans="1:14" ht="15.75" customHeight="1" x14ac:dyDescent="0.25">
      <c r="A1413" s="7"/>
      <c r="B1413" s="345" t="s">
        <v>344</v>
      </c>
      <c r="C1413" s="344"/>
      <c r="D1413" s="344"/>
      <c r="E1413" s="334"/>
      <c r="F1413" s="107">
        <f>SUM(F1411:F1412)</f>
        <v>15540000</v>
      </c>
      <c r="G1413" s="25"/>
      <c r="H1413" s="11"/>
      <c r="I1413" s="21"/>
      <c r="J1413" s="21"/>
      <c r="K1413" s="21"/>
      <c r="L1413" s="21"/>
      <c r="M1413" s="21"/>
      <c r="N1413" s="21"/>
    </row>
    <row r="1414" spans="1:14" ht="15.75" customHeight="1" x14ac:dyDescent="0.25">
      <c r="A1414" s="21"/>
      <c r="B1414" s="21"/>
      <c r="C1414" s="11"/>
      <c r="D1414" s="11"/>
      <c r="E1414" s="21"/>
      <c r="F1414" s="21"/>
      <c r="G1414" s="25"/>
      <c r="H1414" s="11"/>
      <c r="I1414" s="21"/>
      <c r="J1414" s="21"/>
      <c r="K1414" s="21"/>
      <c r="L1414" s="21"/>
      <c r="M1414" s="21"/>
      <c r="N1414" s="21"/>
    </row>
    <row r="1415" spans="1:14" ht="15.75" customHeight="1" x14ac:dyDescent="0.25">
      <c r="A1415" s="31" t="s">
        <v>14</v>
      </c>
      <c r="B1415" s="31" t="s">
        <v>15</v>
      </c>
      <c r="C1415" s="31" t="s">
        <v>16</v>
      </c>
      <c r="D1415" s="31" t="s">
        <v>17</v>
      </c>
      <c r="E1415" s="31" t="s">
        <v>235</v>
      </c>
      <c r="F1415" s="31" t="s">
        <v>236</v>
      </c>
      <c r="G1415" s="25"/>
      <c r="H1415" s="11"/>
      <c r="I1415" s="21"/>
      <c r="J1415" s="21"/>
      <c r="K1415" s="21"/>
      <c r="L1415" s="21"/>
      <c r="M1415" s="21"/>
      <c r="N1415" s="21"/>
    </row>
    <row r="1416" spans="1:14" ht="15.75" customHeight="1" x14ac:dyDescent="0.25">
      <c r="A1416" s="7">
        <v>1</v>
      </c>
      <c r="B1416" s="120" t="s">
        <v>754</v>
      </c>
      <c r="C1416" s="7">
        <v>10</v>
      </c>
      <c r="D1416" s="7" t="s">
        <v>363</v>
      </c>
      <c r="E1416" s="104">
        <v>2425</v>
      </c>
      <c r="F1416" s="104">
        <f>E1416*C1416</f>
        <v>24250</v>
      </c>
      <c r="G1416" s="25"/>
      <c r="H1416" s="11"/>
      <c r="I1416" s="21"/>
      <c r="J1416" s="21"/>
      <c r="K1416" s="21"/>
      <c r="L1416" s="21"/>
      <c r="M1416" s="21"/>
      <c r="N1416" s="21"/>
    </row>
    <row r="1417" spans="1:14" ht="15.75" customHeight="1" x14ac:dyDescent="0.25">
      <c r="A1417" s="7">
        <v>2</v>
      </c>
      <c r="B1417" s="124" t="s">
        <v>755</v>
      </c>
      <c r="C1417" s="7">
        <v>5</v>
      </c>
      <c r="D1417" s="7" t="s">
        <v>363</v>
      </c>
      <c r="E1417" s="104">
        <v>126100</v>
      </c>
      <c r="F1417" s="104">
        <f>E1417*C1417</f>
        <v>630500</v>
      </c>
      <c r="G1417" s="25"/>
      <c r="H1417" s="11"/>
      <c r="I1417" s="21"/>
      <c r="J1417" s="21"/>
      <c r="K1417" s="21"/>
      <c r="L1417" s="21"/>
      <c r="M1417" s="21"/>
      <c r="N1417" s="21"/>
    </row>
    <row r="1418" spans="1:14" ht="15.75" customHeight="1" x14ac:dyDescent="0.25">
      <c r="A1418" s="7">
        <v>3</v>
      </c>
      <c r="B1418" s="38" t="s">
        <v>756</v>
      </c>
      <c r="C1418" s="7">
        <v>1</v>
      </c>
      <c r="D1418" s="7" t="s">
        <v>243</v>
      </c>
      <c r="E1418" s="104">
        <v>1115500</v>
      </c>
      <c r="F1418" s="104">
        <f>E1418*C1418</f>
        <v>1115500</v>
      </c>
      <c r="G1418" s="25"/>
      <c r="H1418" s="11"/>
      <c r="I1418" s="21"/>
      <c r="J1418" s="21"/>
      <c r="K1418" s="21"/>
      <c r="L1418" s="21"/>
      <c r="M1418" s="21"/>
      <c r="N1418" s="21"/>
    </row>
    <row r="1419" spans="1:14" ht="15.75" customHeight="1" x14ac:dyDescent="0.25">
      <c r="A1419" s="7">
        <v>4</v>
      </c>
      <c r="B1419" s="38" t="s">
        <v>757</v>
      </c>
      <c r="C1419" s="7">
        <v>1</v>
      </c>
      <c r="D1419" s="7" t="s">
        <v>251</v>
      </c>
      <c r="E1419" s="104">
        <v>483545</v>
      </c>
      <c r="F1419" s="104">
        <f>E1419*C1419</f>
        <v>483545</v>
      </c>
      <c r="G1419" s="25"/>
      <c r="H1419" s="11"/>
      <c r="I1419" s="21"/>
      <c r="J1419" s="21"/>
      <c r="K1419" s="21"/>
      <c r="L1419" s="21"/>
      <c r="M1419" s="21"/>
      <c r="N1419" s="21"/>
    </row>
    <row r="1420" spans="1:14" ht="15.75" customHeight="1" x14ac:dyDescent="0.25">
      <c r="A1420" s="7"/>
      <c r="B1420" s="105" t="s">
        <v>342</v>
      </c>
      <c r="C1420" s="125"/>
      <c r="D1420" s="125"/>
      <c r="E1420" s="126"/>
      <c r="F1420" s="104">
        <f>SUM(F1416:F1419)</f>
        <v>2253795</v>
      </c>
      <c r="G1420" s="25"/>
      <c r="H1420" s="11"/>
      <c r="I1420" s="21"/>
      <c r="J1420" s="21"/>
      <c r="K1420" s="21"/>
      <c r="L1420" s="21"/>
      <c r="M1420" s="21"/>
      <c r="N1420" s="21"/>
    </row>
    <row r="1421" spans="1:14" ht="15.75" customHeight="1" x14ac:dyDescent="0.25">
      <c r="A1421" s="7"/>
      <c r="B1421" s="343" t="s">
        <v>343</v>
      </c>
      <c r="C1421" s="344"/>
      <c r="D1421" s="344"/>
      <c r="E1421" s="334"/>
      <c r="F1421" s="104">
        <v>122705</v>
      </c>
      <c r="G1421" s="25"/>
      <c r="H1421" s="11"/>
      <c r="I1421" s="21"/>
      <c r="J1421" s="21"/>
      <c r="K1421" s="21"/>
      <c r="L1421" s="21"/>
      <c r="M1421" s="21"/>
      <c r="N1421" s="21"/>
    </row>
    <row r="1422" spans="1:14" ht="15.75" customHeight="1" x14ac:dyDescent="0.25">
      <c r="A1422" s="7"/>
      <c r="B1422" s="345" t="s">
        <v>344</v>
      </c>
      <c r="C1422" s="344"/>
      <c r="D1422" s="344"/>
      <c r="E1422" s="334"/>
      <c r="F1422" s="107">
        <f>SUM(F1420:F1421)</f>
        <v>2376500</v>
      </c>
      <c r="G1422" s="25"/>
      <c r="H1422" s="11"/>
      <c r="I1422" s="21"/>
      <c r="J1422" s="21"/>
      <c r="K1422" s="21"/>
      <c r="L1422" s="21"/>
      <c r="M1422" s="21"/>
      <c r="N1422" s="21"/>
    </row>
    <row r="1423" spans="1:14" ht="15.75" customHeight="1" x14ac:dyDescent="0.25">
      <c r="A1423" s="21"/>
      <c r="B1423" s="21"/>
      <c r="C1423" s="11"/>
      <c r="D1423" s="11"/>
      <c r="E1423" s="21"/>
      <c r="F1423" s="21"/>
      <c r="G1423" s="25"/>
      <c r="H1423" s="11"/>
      <c r="I1423" s="21"/>
      <c r="J1423" s="21"/>
      <c r="K1423" s="21"/>
      <c r="L1423" s="21"/>
      <c r="M1423" s="21"/>
      <c r="N1423" s="21"/>
    </row>
    <row r="1424" spans="1:14" ht="15.75" customHeight="1" x14ac:dyDescent="0.25">
      <c r="A1424" s="31" t="s">
        <v>14</v>
      </c>
      <c r="B1424" s="31" t="s">
        <v>234</v>
      </c>
      <c r="C1424" s="31" t="s">
        <v>16</v>
      </c>
      <c r="D1424" s="31" t="s">
        <v>17</v>
      </c>
      <c r="E1424" s="31" t="s">
        <v>235</v>
      </c>
      <c r="F1424" s="31" t="s">
        <v>236</v>
      </c>
      <c r="G1424" s="25"/>
      <c r="H1424" s="11"/>
      <c r="I1424" s="21"/>
      <c r="J1424" s="21"/>
      <c r="K1424" s="21"/>
      <c r="L1424" s="21"/>
      <c r="M1424" s="21"/>
      <c r="N1424" s="21"/>
    </row>
    <row r="1425" spans="1:14" ht="15.75" customHeight="1" x14ac:dyDescent="0.25">
      <c r="A1425" s="7">
        <v>1</v>
      </c>
      <c r="B1425" s="120" t="s">
        <v>758</v>
      </c>
      <c r="C1425" s="7">
        <v>1</v>
      </c>
      <c r="D1425" s="7" t="s">
        <v>243</v>
      </c>
      <c r="E1425" s="104">
        <v>7000000</v>
      </c>
      <c r="F1425" s="104">
        <f>E1425*C1425</f>
        <v>7000000</v>
      </c>
      <c r="G1425" s="25"/>
      <c r="H1425" s="11"/>
      <c r="I1425" s="21"/>
      <c r="J1425" s="21"/>
      <c r="K1425" s="21"/>
      <c r="L1425" s="21"/>
      <c r="M1425" s="21"/>
      <c r="N1425" s="21"/>
    </row>
    <row r="1426" spans="1:14" ht="15.75" customHeight="1" x14ac:dyDescent="0.25">
      <c r="A1426" s="7"/>
      <c r="B1426" s="343" t="s">
        <v>342</v>
      </c>
      <c r="C1426" s="344"/>
      <c r="D1426" s="344"/>
      <c r="E1426" s="334"/>
      <c r="F1426" s="104">
        <f>F1425</f>
        <v>7000000</v>
      </c>
      <c r="G1426" s="25"/>
      <c r="H1426" s="11"/>
      <c r="I1426" s="21"/>
      <c r="J1426" s="21"/>
      <c r="K1426" s="21"/>
      <c r="L1426" s="21"/>
      <c r="M1426" s="21"/>
      <c r="N1426" s="21"/>
    </row>
    <row r="1427" spans="1:14" ht="15.75" customHeight="1" x14ac:dyDescent="0.25">
      <c r="A1427" s="7"/>
      <c r="B1427" s="343" t="s">
        <v>343</v>
      </c>
      <c r="C1427" s="344"/>
      <c r="D1427" s="344"/>
      <c r="E1427" s="334"/>
      <c r="F1427" s="104">
        <v>770000</v>
      </c>
      <c r="G1427" s="25"/>
      <c r="H1427" s="11"/>
      <c r="I1427" s="21"/>
      <c r="J1427" s="21"/>
      <c r="K1427" s="21"/>
      <c r="L1427" s="21"/>
      <c r="M1427" s="21"/>
      <c r="N1427" s="21"/>
    </row>
    <row r="1428" spans="1:14" ht="15.75" customHeight="1" x14ac:dyDescent="0.25">
      <c r="A1428" s="7"/>
      <c r="B1428" s="345" t="s">
        <v>344</v>
      </c>
      <c r="C1428" s="344"/>
      <c r="D1428" s="344"/>
      <c r="E1428" s="334"/>
      <c r="F1428" s="107">
        <f>SUM(F1426:F1427)</f>
        <v>7770000</v>
      </c>
      <c r="G1428" s="25"/>
      <c r="H1428" s="11"/>
      <c r="I1428" s="21"/>
      <c r="J1428" s="21"/>
      <c r="K1428" s="21"/>
      <c r="L1428" s="21"/>
      <c r="M1428" s="21"/>
      <c r="N1428" s="21"/>
    </row>
    <row r="1429" spans="1:14" ht="15.75" customHeight="1" x14ac:dyDescent="0.25">
      <c r="A1429" s="21"/>
      <c r="B1429" s="21"/>
      <c r="C1429" s="11"/>
      <c r="D1429" s="11"/>
      <c r="E1429" s="21"/>
      <c r="F1429" s="21"/>
      <c r="G1429" s="25"/>
      <c r="H1429" s="11"/>
      <c r="I1429" s="21"/>
      <c r="J1429" s="21"/>
      <c r="K1429" s="21"/>
      <c r="L1429" s="21"/>
      <c r="M1429" s="21"/>
      <c r="N1429" s="21"/>
    </row>
    <row r="1430" spans="1:14" ht="15.75" customHeight="1" x14ac:dyDescent="0.25">
      <c r="A1430" s="31" t="s">
        <v>14</v>
      </c>
      <c r="B1430" s="31" t="s">
        <v>15</v>
      </c>
      <c r="C1430" s="31" t="s">
        <v>16</v>
      </c>
      <c r="D1430" s="31" t="s">
        <v>17</v>
      </c>
      <c r="E1430" s="31" t="s">
        <v>235</v>
      </c>
      <c r="F1430" s="31" t="s">
        <v>236</v>
      </c>
      <c r="G1430" s="25"/>
      <c r="H1430" s="11"/>
      <c r="I1430" s="21"/>
      <c r="J1430" s="21"/>
      <c r="K1430" s="21"/>
      <c r="L1430" s="21"/>
      <c r="M1430" s="21"/>
      <c r="N1430" s="21"/>
    </row>
    <row r="1431" spans="1:14" ht="15.75" customHeight="1" x14ac:dyDescent="0.25">
      <c r="A1431" s="7">
        <v>1</v>
      </c>
      <c r="B1431" s="132" t="s">
        <v>759</v>
      </c>
      <c r="C1431" s="133">
        <v>1</v>
      </c>
      <c r="D1431" s="7" t="s">
        <v>247</v>
      </c>
      <c r="E1431" s="104">
        <v>3795000</v>
      </c>
      <c r="F1431" s="104">
        <f t="shared" ref="F1431:F1436" si="8">E1431*C1431</f>
        <v>3795000</v>
      </c>
      <c r="G1431" s="25"/>
      <c r="H1431" s="11"/>
      <c r="I1431" s="21"/>
      <c r="J1431" s="21"/>
      <c r="K1431" s="21"/>
      <c r="L1431" s="21"/>
      <c r="M1431" s="21"/>
      <c r="N1431" s="21"/>
    </row>
    <row r="1432" spans="1:14" ht="15.75" customHeight="1" x14ac:dyDescent="0.25">
      <c r="A1432" s="7">
        <v>2</v>
      </c>
      <c r="B1432" s="132" t="s">
        <v>760</v>
      </c>
      <c r="C1432" s="133">
        <v>1</v>
      </c>
      <c r="D1432" s="7" t="s">
        <v>247</v>
      </c>
      <c r="E1432" s="104">
        <v>1415000</v>
      </c>
      <c r="F1432" s="104">
        <f t="shared" si="8"/>
        <v>1415000</v>
      </c>
      <c r="G1432" s="25"/>
      <c r="H1432" s="11"/>
      <c r="I1432" s="21"/>
      <c r="J1432" s="21"/>
      <c r="K1432" s="21"/>
      <c r="L1432" s="21"/>
      <c r="M1432" s="21"/>
      <c r="N1432" s="21"/>
    </row>
    <row r="1433" spans="1:14" ht="15.75" customHeight="1" x14ac:dyDescent="0.25">
      <c r="A1433" s="7">
        <v>3</v>
      </c>
      <c r="B1433" s="132" t="s">
        <v>761</v>
      </c>
      <c r="C1433" s="133">
        <v>1</v>
      </c>
      <c r="D1433" s="7" t="s">
        <v>251</v>
      </c>
      <c r="E1433" s="104">
        <v>2021500</v>
      </c>
      <c r="F1433" s="104">
        <f t="shared" si="8"/>
        <v>2021500</v>
      </c>
      <c r="G1433" s="25"/>
      <c r="H1433" s="11"/>
      <c r="I1433" s="21"/>
      <c r="J1433" s="21"/>
      <c r="K1433" s="21"/>
      <c r="L1433" s="21"/>
      <c r="M1433" s="21"/>
      <c r="N1433" s="21"/>
    </row>
    <row r="1434" spans="1:14" ht="15.75" customHeight="1" x14ac:dyDescent="0.25">
      <c r="A1434" s="7">
        <v>4</v>
      </c>
      <c r="B1434" s="132" t="s">
        <v>762</v>
      </c>
      <c r="C1434" s="133">
        <v>3</v>
      </c>
      <c r="D1434" s="7" t="s">
        <v>247</v>
      </c>
      <c r="E1434" s="104">
        <v>326500</v>
      </c>
      <c r="F1434" s="104">
        <f t="shared" si="8"/>
        <v>979500</v>
      </c>
      <c r="G1434" s="25"/>
      <c r="H1434" s="11"/>
      <c r="I1434" s="21"/>
      <c r="J1434" s="21"/>
      <c r="K1434" s="21"/>
      <c r="L1434" s="21"/>
      <c r="M1434" s="21"/>
      <c r="N1434" s="21"/>
    </row>
    <row r="1435" spans="1:14" ht="15.75" customHeight="1" x14ac:dyDescent="0.25">
      <c r="A1435" s="7">
        <v>5</v>
      </c>
      <c r="B1435" s="132" t="s">
        <v>763</v>
      </c>
      <c r="C1435" s="134">
        <v>2</v>
      </c>
      <c r="D1435" s="7" t="s">
        <v>247</v>
      </c>
      <c r="E1435" s="104">
        <v>27500</v>
      </c>
      <c r="F1435" s="104">
        <f t="shared" si="8"/>
        <v>55000</v>
      </c>
      <c r="G1435" s="25"/>
      <c r="H1435" s="11"/>
      <c r="I1435" s="21"/>
      <c r="J1435" s="21"/>
      <c r="K1435" s="21"/>
      <c r="L1435" s="21"/>
      <c r="M1435" s="21"/>
      <c r="N1435" s="21"/>
    </row>
    <row r="1436" spans="1:14" ht="15.75" customHeight="1" x14ac:dyDescent="0.25">
      <c r="A1436" s="7">
        <v>6</v>
      </c>
      <c r="B1436" s="132" t="s">
        <v>764</v>
      </c>
      <c r="C1436" s="133">
        <v>2</v>
      </c>
      <c r="D1436" s="7" t="s">
        <v>247</v>
      </c>
      <c r="E1436" s="104">
        <v>72500</v>
      </c>
      <c r="F1436" s="104">
        <f t="shared" si="8"/>
        <v>145000</v>
      </c>
      <c r="G1436" s="25"/>
      <c r="H1436" s="11"/>
      <c r="I1436" s="21"/>
      <c r="J1436" s="21"/>
      <c r="K1436" s="21"/>
      <c r="L1436" s="21"/>
      <c r="M1436" s="21"/>
      <c r="N1436" s="21"/>
    </row>
    <row r="1437" spans="1:14" ht="15.75" customHeight="1" x14ac:dyDescent="0.25">
      <c r="A1437" s="7"/>
      <c r="B1437" s="346" t="s">
        <v>342</v>
      </c>
      <c r="C1437" s="347"/>
      <c r="D1437" s="347"/>
      <c r="E1437" s="348"/>
      <c r="F1437" s="104">
        <f>SUM(F1431:F1436)</f>
        <v>8411000</v>
      </c>
      <c r="G1437" s="25"/>
      <c r="H1437" s="11"/>
      <c r="I1437" s="21"/>
      <c r="J1437" s="21"/>
      <c r="K1437" s="21"/>
      <c r="L1437" s="21"/>
      <c r="M1437" s="21"/>
      <c r="N1437" s="21"/>
    </row>
    <row r="1438" spans="1:14" ht="15.75" customHeight="1" x14ac:dyDescent="0.25">
      <c r="A1438" s="7"/>
      <c r="B1438" s="343" t="s">
        <v>343</v>
      </c>
      <c r="C1438" s="344"/>
      <c r="D1438" s="344"/>
      <c r="E1438" s="334"/>
      <c r="F1438" s="104">
        <v>925210</v>
      </c>
      <c r="G1438" s="25"/>
      <c r="H1438" s="11"/>
      <c r="I1438" s="21"/>
      <c r="J1438" s="21"/>
      <c r="K1438" s="21"/>
      <c r="L1438" s="21"/>
      <c r="M1438" s="21"/>
      <c r="N1438" s="21"/>
    </row>
    <row r="1439" spans="1:14" ht="15.75" customHeight="1" x14ac:dyDescent="0.25">
      <c r="A1439" s="7"/>
      <c r="B1439" s="345" t="s">
        <v>344</v>
      </c>
      <c r="C1439" s="344"/>
      <c r="D1439" s="344"/>
      <c r="E1439" s="334"/>
      <c r="F1439" s="107">
        <f>SUM(F1437:F1438)</f>
        <v>9336210</v>
      </c>
      <c r="G1439" s="25"/>
      <c r="H1439" s="11"/>
      <c r="I1439" s="21"/>
      <c r="J1439" s="21"/>
      <c r="K1439" s="21"/>
      <c r="L1439" s="21"/>
      <c r="M1439" s="21"/>
      <c r="N1439" s="21"/>
    </row>
    <row r="1440" spans="1:14" ht="15.75" customHeight="1" x14ac:dyDescent="0.25">
      <c r="A1440" s="21"/>
      <c r="B1440" s="21"/>
      <c r="C1440" s="11"/>
      <c r="D1440" s="11"/>
      <c r="E1440" s="21"/>
      <c r="F1440" s="21"/>
      <c r="G1440" s="25"/>
      <c r="H1440" s="11"/>
      <c r="I1440" s="21"/>
      <c r="J1440" s="21"/>
      <c r="K1440" s="21"/>
      <c r="L1440" s="21"/>
      <c r="M1440" s="21"/>
      <c r="N1440" s="21"/>
    </row>
    <row r="1441" spans="1:14" ht="15.75" customHeight="1" x14ac:dyDescent="0.25">
      <c r="A1441" s="31" t="s">
        <v>351</v>
      </c>
      <c r="B1441" s="31" t="s">
        <v>234</v>
      </c>
      <c r="C1441" s="31" t="s">
        <v>16</v>
      </c>
      <c r="D1441" s="31" t="s">
        <v>17</v>
      </c>
      <c r="E1441" s="31" t="s">
        <v>235</v>
      </c>
      <c r="F1441" s="31" t="s">
        <v>236</v>
      </c>
      <c r="G1441" s="25"/>
      <c r="H1441" s="11"/>
      <c r="I1441" s="21"/>
      <c r="J1441" s="21"/>
      <c r="K1441" s="21"/>
      <c r="L1441" s="21"/>
      <c r="M1441" s="21"/>
      <c r="N1441" s="21"/>
    </row>
    <row r="1442" spans="1:14" ht="15.75" customHeight="1" x14ac:dyDescent="0.25">
      <c r="A1442" s="7">
        <v>1</v>
      </c>
      <c r="B1442" s="41" t="s">
        <v>765</v>
      </c>
      <c r="C1442" s="7">
        <v>50</v>
      </c>
      <c r="D1442" s="7" t="s">
        <v>370</v>
      </c>
      <c r="E1442" s="104">
        <v>29500</v>
      </c>
      <c r="F1442" s="104">
        <f>E1442*C1442</f>
        <v>1475000</v>
      </c>
      <c r="G1442" s="25"/>
      <c r="H1442" s="11"/>
      <c r="I1442" s="21"/>
      <c r="J1442" s="21"/>
      <c r="K1442" s="21"/>
      <c r="L1442" s="21"/>
      <c r="M1442" s="21"/>
      <c r="N1442" s="21"/>
    </row>
    <row r="1443" spans="1:14" ht="15.75" customHeight="1" x14ac:dyDescent="0.25">
      <c r="A1443" s="7">
        <v>2</v>
      </c>
      <c r="B1443" s="41" t="s">
        <v>766</v>
      </c>
      <c r="C1443" s="7">
        <v>4</v>
      </c>
      <c r="D1443" s="7" t="s">
        <v>19</v>
      </c>
      <c r="E1443" s="104">
        <v>50000</v>
      </c>
      <c r="F1443" s="104">
        <f>E1443*C1443</f>
        <v>200000</v>
      </c>
      <c r="G1443" s="25"/>
      <c r="H1443" s="11"/>
      <c r="I1443" s="21"/>
      <c r="J1443" s="21"/>
      <c r="K1443" s="21"/>
      <c r="L1443" s="21"/>
      <c r="M1443" s="21"/>
      <c r="N1443" s="21"/>
    </row>
    <row r="1444" spans="1:14" ht="15.75" customHeight="1" x14ac:dyDescent="0.25">
      <c r="A1444" s="7"/>
      <c r="B1444" s="343" t="s">
        <v>342</v>
      </c>
      <c r="C1444" s="344"/>
      <c r="D1444" s="344"/>
      <c r="E1444" s="334"/>
      <c r="F1444" s="104">
        <f>SUM(F1442:F1443)</f>
        <v>1675000</v>
      </c>
      <c r="G1444" s="25"/>
      <c r="H1444" s="11"/>
      <c r="I1444" s="21"/>
      <c r="J1444" s="21"/>
      <c r="K1444" s="21"/>
      <c r="L1444" s="21"/>
      <c r="M1444" s="21"/>
      <c r="N1444" s="21"/>
    </row>
    <row r="1445" spans="1:14" ht="15.75" customHeight="1" x14ac:dyDescent="0.25">
      <c r="A1445" s="7"/>
      <c r="B1445" s="343" t="s">
        <v>343</v>
      </c>
      <c r="C1445" s="344"/>
      <c r="D1445" s="344"/>
      <c r="E1445" s="334"/>
      <c r="F1445" s="104">
        <v>184250</v>
      </c>
      <c r="G1445" s="25"/>
      <c r="H1445" s="11"/>
      <c r="I1445" s="21"/>
      <c r="J1445" s="21"/>
      <c r="K1445" s="21"/>
      <c r="L1445" s="21"/>
      <c r="M1445" s="21"/>
      <c r="N1445" s="21"/>
    </row>
    <row r="1446" spans="1:14" ht="15.75" customHeight="1" x14ac:dyDescent="0.25">
      <c r="A1446" s="7"/>
      <c r="B1446" s="345" t="s">
        <v>344</v>
      </c>
      <c r="C1446" s="344"/>
      <c r="D1446" s="344"/>
      <c r="E1446" s="334"/>
      <c r="F1446" s="107">
        <f>SUM(F1444:F1445)</f>
        <v>1859250</v>
      </c>
      <c r="G1446" s="25"/>
      <c r="H1446" s="11"/>
      <c r="I1446" s="21"/>
      <c r="J1446" s="21"/>
      <c r="K1446" s="21"/>
      <c r="L1446" s="21"/>
      <c r="M1446" s="21"/>
      <c r="N1446" s="21"/>
    </row>
    <row r="1447" spans="1:14" ht="15.75" customHeight="1" x14ac:dyDescent="0.25">
      <c r="A1447" s="21"/>
      <c r="B1447" s="21"/>
      <c r="C1447" s="11"/>
      <c r="D1447" s="11"/>
      <c r="E1447" s="21"/>
      <c r="F1447" s="21"/>
      <c r="G1447" s="25"/>
      <c r="H1447" s="11"/>
      <c r="I1447" s="21"/>
      <c r="J1447" s="21"/>
      <c r="K1447" s="21"/>
      <c r="L1447" s="21"/>
      <c r="M1447" s="21"/>
      <c r="N1447" s="21"/>
    </row>
    <row r="1448" spans="1:14" ht="15.75" customHeight="1" x14ac:dyDescent="0.25">
      <c r="A1448" s="31" t="s">
        <v>14</v>
      </c>
      <c r="B1448" s="31" t="s">
        <v>15</v>
      </c>
      <c r="C1448" s="31" t="s">
        <v>16</v>
      </c>
      <c r="D1448" s="31" t="s">
        <v>17</v>
      </c>
      <c r="E1448" s="31" t="s">
        <v>235</v>
      </c>
      <c r="F1448" s="31" t="s">
        <v>236</v>
      </c>
      <c r="G1448" s="25"/>
      <c r="H1448" s="11"/>
      <c r="I1448" s="21"/>
      <c r="J1448" s="21"/>
      <c r="K1448" s="21"/>
      <c r="L1448" s="21"/>
      <c r="M1448" s="21"/>
      <c r="N1448" s="21"/>
    </row>
    <row r="1449" spans="1:14" ht="15.75" customHeight="1" x14ac:dyDescent="0.25">
      <c r="A1449" s="7">
        <v>1</v>
      </c>
      <c r="B1449" s="122" t="s">
        <v>767</v>
      </c>
      <c r="C1449" s="117">
        <v>40</v>
      </c>
      <c r="D1449" s="117" t="s">
        <v>550</v>
      </c>
      <c r="E1449" s="104">
        <v>246764</v>
      </c>
      <c r="F1449" s="104">
        <f>E1449*C1449</f>
        <v>9870560</v>
      </c>
      <c r="G1449" s="25"/>
      <c r="H1449" s="11"/>
      <c r="I1449" s="21"/>
      <c r="J1449" s="21"/>
      <c r="K1449" s="21"/>
      <c r="L1449" s="21"/>
      <c r="M1449" s="21"/>
      <c r="N1449" s="21"/>
    </row>
    <row r="1450" spans="1:14" ht="15.75" customHeight="1" x14ac:dyDescent="0.25">
      <c r="A1450" s="7">
        <v>2</v>
      </c>
      <c r="B1450" s="116" t="s">
        <v>768</v>
      </c>
      <c r="C1450" s="117">
        <v>10</v>
      </c>
      <c r="D1450" s="117" t="s">
        <v>550</v>
      </c>
      <c r="E1450" s="104">
        <v>1274000</v>
      </c>
      <c r="F1450" s="104">
        <f>E1450*C1450</f>
        <v>12740000</v>
      </c>
      <c r="G1450" s="25"/>
      <c r="H1450" s="11"/>
      <c r="I1450" s="21"/>
      <c r="J1450" s="21"/>
      <c r="K1450" s="21"/>
      <c r="L1450" s="21"/>
      <c r="M1450" s="21"/>
      <c r="N1450" s="21"/>
    </row>
    <row r="1451" spans="1:14" ht="15.75" customHeight="1" x14ac:dyDescent="0.25">
      <c r="A1451" s="7">
        <v>3</v>
      </c>
      <c r="B1451" s="116" t="s">
        <v>769</v>
      </c>
      <c r="C1451" s="117">
        <v>200</v>
      </c>
      <c r="D1451" s="117" t="s">
        <v>550</v>
      </c>
      <c r="E1451" s="104">
        <v>82000</v>
      </c>
      <c r="F1451" s="104">
        <f>E1451*C1451</f>
        <v>16400000</v>
      </c>
      <c r="G1451" s="25"/>
      <c r="H1451" s="11"/>
      <c r="I1451" s="21"/>
      <c r="J1451" s="21"/>
      <c r="K1451" s="21"/>
      <c r="L1451" s="21"/>
      <c r="M1451" s="21"/>
      <c r="N1451" s="21"/>
    </row>
    <row r="1452" spans="1:14" ht="15.75" customHeight="1" x14ac:dyDescent="0.25">
      <c r="A1452" s="7">
        <v>4</v>
      </c>
      <c r="B1452" s="116" t="s">
        <v>770</v>
      </c>
      <c r="C1452" s="117">
        <v>200</v>
      </c>
      <c r="D1452" s="117" t="s">
        <v>550</v>
      </c>
      <c r="E1452" s="104">
        <v>82000</v>
      </c>
      <c r="F1452" s="104">
        <f>E1452*C1452</f>
        <v>16400000</v>
      </c>
      <c r="G1452" s="25"/>
      <c r="H1452" s="11"/>
      <c r="I1452" s="21"/>
      <c r="J1452" s="21"/>
      <c r="K1452" s="21"/>
      <c r="L1452" s="21"/>
      <c r="M1452" s="21"/>
      <c r="N1452" s="21"/>
    </row>
    <row r="1453" spans="1:14" ht="15.75" customHeight="1" x14ac:dyDescent="0.25">
      <c r="A1453" s="7">
        <v>5</v>
      </c>
      <c r="B1453" s="116" t="s">
        <v>771</v>
      </c>
      <c r="C1453" s="117">
        <v>50</v>
      </c>
      <c r="D1453" s="117" t="s">
        <v>19</v>
      </c>
      <c r="E1453" s="104">
        <v>11270</v>
      </c>
      <c r="F1453" s="104">
        <f>E1453*C1453</f>
        <v>563500</v>
      </c>
      <c r="G1453" s="25"/>
      <c r="H1453" s="11"/>
      <c r="I1453" s="21"/>
      <c r="J1453" s="21"/>
      <c r="K1453" s="21"/>
      <c r="L1453" s="21"/>
      <c r="M1453" s="21"/>
      <c r="N1453" s="21"/>
    </row>
    <row r="1454" spans="1:14" ht="15.75" customHeight="1" x14ac:dyDescent="0.25">
      <c r="A1454" s="7"/>
      <c r="B1454" s="343" t="s">
        <v>342</v>
      </c>
      <c r="C1454" s="344"/>
      <c r="D1454" s="344"/>
      <c r="E1454" s="334"/>
      <c r="F1454" s="104">
        <f>SUM(F1449:F1453)</f>
        <v>55974060</v>
      </c>
      <c r="G1454" s="25"/>
      <c r="H1454" s="11"/>
      <c r="I1454" s="21"/>
      <c r="J1454" s="21"/>
      <c r="K1454" s="21"/>
      <c r="L1454" s="21"/>
      <c r="M1454" s="21"/>
      <c r="N1454" s="21"/>
    </row>
    <row r="1455" spans="1:14" ht="15.75" customHeight="1" x14ac:dyDescent="0.25">
      <c r="A1455" s="7"/>
      <c r="B1455" s="343" t="s">
        <v>343</v>
      </c>
      <c r="C1455" s="344"/>
      <c r="D1455" s="344"/>
      <c r="E1455" s="334"/>
      <c r="F1455" s="108">
        <v>6157146.5999999996</v>
      </c>
      <c r="G1455" s="25"/>
      <c r="H1455" s="11"/>
      <c r="I1455" s="21"/>
      <c r="J1455" s="21"/>
      <c r="K1455" s="21"/>
      <c r="L1455" s="21"/>
      <c r="M1455" s="21"/>
      <c r="N1455" s="21"/>
    </row>
    <row r="1456" spans="1:14" ht="15.75" customHeight="1" x14ac:dyDescent="0.25">
      <c r="A1456" s="7"/>
      <c r="B1456" s="345" t="s">
        <v>344</v>
      </c>
      <c r="C1456" s="344"/>
      <c r="D1456" s="344"/>
      <c r="E1456" s="334"/>
      <c r="F1456" s="109">
        <f>SUM(F1454:F1455)</f>
        <v>62131206.600000001</v>
      </c>
      <c r="G1456" s="25"/>
      <c r="H1456" s="11"/>
      <c r="I1456" s="21"/>
      <c r="J1456" s="21"/>
      <c r="K1456" s="21"/>
      <c r="L1456" s="21"/>
      <c r="M1456" s="21"/>
      <c r="N1456" s="21"/>
    </row>
    <row r="1457" spans="1:14" ht="15.75" customHeight="1" x14ac:dyDescent="0.25">
      <c r="A1457" s="21"/>
      <c r="B1457" s="21"/>
      <c r="C1457" s="11"/>
      <c r="D1457" s="11"/>
      <c r="E1457" s="21"/>
      <c r="F1457" s="21"/>
      <c r="G1457" s="25"/>
      <c r="H1457" s="11"/>
      <c r="I1457" s="21"/>
      <c r="J1457" s="21"/>
      <c r="K1457" s="21"/>
      <c r="L1457" s="21"/>
      <c r="M1457" s="21"/>
      <c r="N1457" s="21"/>
    </row>
    <row r="1458" spans="1:14" ht="15.75" customHeight="1" x14ac:dyDescent="0.25">
      <c r="A1458" s="31" t="s">
        <v>351</v>
      </c>
      <c r="B1458" s="31" t="s">
        <v>234</v>
      </c>
      <c r="C1458" s="31" t="s">
        <v>16</v>
      </c>
      <c r="D1458" s="31" t="s">
        <v>17</v>
      </c>
      <c r="E1458" s="31" t="s">
        <v>235</v>
      </c>
      <c r="F1458" s="31" t="s">
        <v>236</v>
      </c>
      <c r="G1458" s="25"/>
      <c r="H1458" s="11"/>
      <c r="I1458" s="21"/>
      <c r="J1458" s="21"/>
      <c r="K1458" s="21"/>
      <c r="L1458" s="21"/>
      <c r="M1458" s="21"/>
      <c r="N1458" s="21"/>
    </row>
    <row r="1459" spans="1:14" ht="15.75" customHeight="1" x14ac:dyDescent="0.25">
      <c r="A1459" s="7">
        <v>1</v>
      </c>
      <c r="B1459" s="41" t="s">
        <v>772</v>
      </c>
      <c r="C1459" s="7">
        <v>1</v>
      </c>
      <c r="D1459" s="7" t="s">
        <v>243</v>
      </c>
      <c r="E1459" s="104">
        <v>2198400</v>
      </c>
      <c r="F1459" s="104">
        <f>E1459*C1459</f>
        <v>2198400</v>
      </c>
      <c r="G1459" s="25"/>
      <c r="H1459" s="11"/>
      <c r="I1459" s="21"/>
      <c r="J1459" s="21"/>
      <c r="K1459" s="21"/>
      <c r="L1459" s="21"/>
      <c r="M1459" s="21"/>
      <c r="N1459" s="21"/>
    </row>
    <row r="1460" spans="1:14" ht="15.75" customHeight="1" x14ac:dyDescent="0.25">
      <c r="A1460" s="7">
        <v>2</v>
      </c>
      <c r="B1460" s="41" t="s">
        <v>773</v>
      </c>
      <c r="C1460" s="7">
        <v>1</v>
      </c>
      <c r="D1460" s="7" t="s">
        <v>243</v>
      </c>
      <c r="E1460" s="104">
        <v>3864000</v>
      </c>
      <c r="F1460" s="104">
        <f>E1460*C1460</f>
        <v>3864000</v>
      </c>
      <c r="G1460" s="25"/>
      <c r="H1460" s="11"/>
      <c r="I1460" s="21"/>
      <c r="J1460" s="21"/>
      <c r="K1460" s="21"/>
      <c r="L1460" s="21"/>
      <c r="M1460" s="21"/>
      <c r="N1460" s="21"/>
    </row>
    <row r="1461" spans="1:14" ht="15.75" customHeight="1" x14ac:dyDescent="0.25">
      <c r="A1461" s="7"/>
      <c r="B1461" s="343" t="s">
        <v>342</v>
      </c>
      <c r="C1461" s="344"/>
      <c r="D1461" s="344"/>
      <c r="E1461" s="334"/>
      <c r="F1461" s="104">
        <f>SUM(F1459:F1460)</f>
        <v>6062400</v>
      </c>
      <c r="G1461" s="25"/>
      <c r="H1461" s="11"/>
      <c r="I1461" s="21"/>
      <c r="J1461" s="21"/>
      <c r="K1461" s="21"/>
      <c r="L1461" s="21"/>
      <c r="M1461" s="21"/>
      <c r="N1461" s="21"/>
    </row>
    <row r="1462" spans="1:14" ht="15.75" customHeight="1" x14ac:dyDescent="0.25">
      <c r="A1462" s="7"/>
      <c r="B1462" s="343" t="s">
        <v>343</v>
      </c>
      <c r="C1462" s="344"/>
      <c r="D1462" s="344"/>
      <c r="E1462" s="334"/>
      <c r="F1462" s="104">
        <v>666864</v>
      </c>
      <c r="G1462" s="25"/>
      <c r="H1462" s="11"/>
      <c r="I1462" s="21"/>
      <c r="J1462" s="21"/>
      <c r="K1462" s="21"/>
      <c r="L1462" s="21"/>
      <c r="M1462" s="21"/>
      <c r="N1462" s="21"/>
    </row>
    <row r="1463" spans="1:14" ht="15.75" customHeight="1" x14ac:dyDescent="0.25">
      <c r="A1463" s="7"/>
      <c r="B1463" s="345" t="s">
        <v>344</v>
      </c>
      <c r="C1463" s="344"/>
      <c r="D1463" s="344"/>
      <c r="E1463" s="334"/>
      <c r="F1463" s="107">
        <f>SUM(F1461:F1462)</f>
        <v>6729264</v>
      </c>
      <c r="G1463" s="25"/>
      <c r="H1463" s="11"/>
      <c r="I1463" s="21"/>
      <c r="J1463" s="21"/>
      <c r="K1463" s="21"/>
      <c r="L1463" s="21"/>
      <c r="M1463" s="21"/>
      <c r="N1463" s="21"/>
    </row>
    <row r="1464" spans="1:14" ht="15.75" customHeight="1" x14ac:dyDescent="0.25">
      <c r="A1464" s="21"/>
      <c r="B1464" s="21"/>
      <c r="C1464" s="11"/>
      <c r="D1464" s="11"/>
      <c r="E1464" s="21"/>
      <c r="F1464" s="21"/>
      <c r="G1464" s="25"/>
      <c r="H1464" s="11"/>
      <c r="I1464" s="21"/>
      <c r="J1464" s="21"/>
      <c r="K1464" s="21"/>
      <c r="L1464" s="21"/>
      <c r="M1464" s="21"/>
      <c r="N1464" s="21"/>
    </row>
    <row r="1465" spans="1:14" ht="15.75" customHeight="1" x14ac:dyDescent="0.25">
      <c r="A1465" s="31" t="s">
        <v>351</v>
      </c>
      <c r="B1465" s="31" t="s">
        <v>234</v>
      </c>
      <c r="C1465" s="31" t="s">
        <v>16</v>
      </c>
      <c r="D1465" s="31" t="s">
        <v>17</v>
      </c>
      <c r="E1465" s="31" t="s">
        <v>235</v>
      </c>
      <c r="F1465" s="31" t="s">
        <v>236</v>
      </c>
      <c r="G1465" s="25"/>
      <c r="H1465" s="11"/>
      <c r="I1465" s="21"/>
      <c r="J1465" s="21"/>
      <c r="K1465" s="21"/>
      <c r="L1465" s="21"/>
      <c r="M1465" s="21"/>
      <c r="N1465" s="21"/>
    </row>
    <row r="1466" spans="1:14" ht="15.75" customHeight="1" x14ac:dyDescent="0.25">
      <c r="A1466" s="7">
        <v>1</v>
      </c>
      <c r="B1466" s="41" t="s">
        <v>774</v>
      </c>
      <c r="C1466" s="7">
        <v>2</v>
      </c>
      <c r="D1466" s="7" t="s">
        <v>363</v>
      </c>
      <c r="E1466" s="104">
        <v>865000</v>
      </c>
      <c r="F1466" s="104">
        <f>E1466*C1466</f>
        <v>1730000</v>
      </c>
      <c r="G1466" s="25"/>
      <c r="H1466" s="11"/>
      <c r="I1466" s="21"/>
      <c r="J1466" s="21"/>
      <c r="K1466" s="21"/>
      <c r="L1466" s="21"/>
      <c r="M1466" s="21"/>
      <c r="N1466" s="21"/>
    </row>
    <row r="1467" spans="1:14" ht="15.75" customHeight="1" x14ac:dyDescent="0.25">
      <c r="A1467" s="7">
        <v>2</v>
      </c>
      <c r="B1467" s="41" t="s">
        <v>775</v>
      </c>
      <c r="C1467" s="7">
        <v>90</v>
      </c>
      <c r="D1467" s="7" t="s">
        <v>363</v>
      </c>
      <c r="E1467" s="104">
        <v>4500</v>
      </c>
      <c r="F1467" s="104">
        <f>E1467*C1467</f>
        <v>405000</v>
      </c>
      <c r="G1467" s="25"/>
      <c r="H1467" s="11"/>
      <c r="I1467" s="21"/>
      <c r="J1467" s="21"/>
      <c r="K1467" s="21"/>
      <c r="L1467" s="21"/>
      <c r="M1467" s="21"/>
      <c r="N1467" s="21"/>
    </row>
    <row r="1468" spans="1:14" ht="15.75" customHeight="1" x14ac:dyDescent="0.25">
      <c r="A1468" s="7"/>
      <c r="B1468" s="343" t="s">
        <v>342</v>
      </c>
      <c r="C1468" s="344"/>
      <c r="D1468" s="344"/>
      <c r="E1468" s="334"/>
      <c r="F1468" s="104">
        <f>SUM(F1466:F1467)</f>
        <v>2135000</v>
      </c>
      <c r="G1468" s="25"/>
      <c r="H1468" s="11"/>
      <c r="I1468" s="21"/>
      <c r="J1468" s="21"/>
      <c r="K1468" s="21"/>
      <c r="L1468" s="21"/>
      <c r="M1468" s="21"/>
      <c r="N1468" s="21"/>
    </row>
    <row r="1469" spans="1:14" ht="15.75" customHeight="1" x14ac:dyDescent="0.25">
      <c r="A1469" s="7"/>
      <c r="B1469" s="343" t="s">
        <v>343</v>
      </c>
      <c r="C1469" s="344"/>
      <c r="D1469" s="344"/>
      <c r="E1469" s="334"/>
      <c r="F1469" s="104">
        <v>234850</v>
      </c>
      <c r="G1469" s="25"/>
      <c r="H1469" s="11"/>
      <c r="I1469" s="21"/>
      <c r="J1469" s="21"/>
      <c r="K1469" s="21"/>
      <c r="L1469" s="21"/>
      <c r="M1469" s="21"/>
      <c r="N1469" s="21"/>
    </row>
    <row r="1470" spans="1:14" ht="15.75" customHeight="1" x14ac:dyDescent="0.25">
      <c r="A1470" s="7"/>
      <c r="B1470" s="345" t="s">
        <v>344</v>
      </c>
      <c r="C1470" s="344"/>
      <c r="D1470" s="344"/>
      <c r="E1470" s="334"/>
      <c r="F1470" s="107">
        <f>SUM(F1468:F1469)</f>
        <v>2369850</v>
      </c>
      <c r="G1470" s="25"/>
      <c r="H1470" s="11"/>
      <c r="I1470" s="21"/>
      <c r="J1470" s="21"/>
      <c r="K1470" s="21"/>
      <c r="L1470" s="21"/>
      <c r="M1470" s="21"/>
      <c r="N1470" s="21"/>
    </row>
    <row r="1471" spans="1:14" ht="15.75" customHeight="1" x14ac:dyDescent="0.25">
      <c r="A1471" s="21"/>
      <c r="B1471" s="21"/>
      <c r="C1471" s="11"/>
      <c r="D1471" s="11"/>
      <c r="E1471" s="21"/>
      <c r="F1471" s="21"/>
      <c r="G1471" s="25"/>
      <c r="H1471" s="11"/>
      <c r="I1471" s="21"/>
      <c r="J1471" s="21"/>
      <c r="K1471" s="21"/>
      <c r="L1471" s="21"/>
      <c r="M1471" s="21"/>
      <c r="N1471" s="21"/>
    </row>
    <row r="1472" spans="1:14" ht="15.75" customHeight="1" x14ac:dyDescent="0.25">
      <c r="A1472" s="31" t="s">
        <v>14</v>
      </c>
      <c r="B1472" s="31" t="s">
        <v>234</v>
      </c>
      <c r="C1472" s="31" t="s">
        <v>16</v>
      </c>
      <c r="D1472" s="31" t="s">
        <v>17</v>
      </c>
      <c r="E1472" s="31" t="s">
        <v>235</v>
      </c>
      <c r="F1472" s="31" t="s">
        <v>236</v>
      </c>
      <c r="G1472" s="25"/>
      <c r="H1472" s="11"/>
      <c r="I1472" s="21"/>
      <c r="J1472" s="21"/>
      <c r="K1472" s="21"/>
      <c r="L1472" s="21"/>
      <c r="M1472" s="21"/>
      <c r="N1472" s="21"/>
    </row>
    <row r="1473" spans="1:14" ht="15.75" customHeight="1" x14ac:dyDescent="0.25">
      <c r="A1473" s="7">
        <v>1</v>
      </c>
      <c r="B1473" s="120" t="s">
        <v>776</v>
      </c>
      <c r="C1473" s="7">
        <v>1</v>
      </c>
      <c r="D1473" s="7" t="s">
        <v>363</v>
      </c>
      <c r="E1473" s="104">
        <v>7978250</v>
      </c>
      <c r="F1473" s="104">
        <f>E1473*C1473</f>
        <v>7978250</v>
      </c>
      <c r="G1473" s="25"/>
      <c r="H1473" s="11"/>
      <c r="I1473" s="21"/>
      <c r="J1473" s="21"/>
      <c r="K1473" s="21"/>
      <c r="L1473" s="21"/>
      <c r="M1473" s="21"/>
      <c r="N1473" s="21"/>
    </row>
    <row r="1474" spans="1:14" ht="15.75" customHeight="1" x14ac:dyDescent="0.25">
      <c r="A1474" s="7"/>
      <c r="B1474" s="343" t="s">
        <v>342</v>
      </c>
      <c r="C1474" s="344"/>
      <c r="D1474" s="344"/>
      <c r="E1474" s="334"/>
      <c r="F1474" s="104">
        <f>F1473</f>
        <v>7978250</v>
      </c>
      <c r="G1474" s="25"/>
      <c r="H1474" s="11"/>
      <c r="I1474" s="21"/>
      <c r="J1474" s="21"/>
      <c r="K1474" s="21"/>
      <c r="L1474" s="21"/>
      <c r="M1474" s="21"/>
      <c r="N1474" s="21"/>
    </row>
    <row r="1475" spans="1:14" ht="15.75" customHeight="1" x14ac:dyDescent="0.25">
      <c r="A1475" s="7"/>
      <c r="B1475" s="343" t="s">
        <v>343</v>
      </c>
      <c r="C1475" s="344"/>
      <c r="D1475" s="344"/>
      <c r="E1475" s="334"/>
      <c r="F1475" s="108">
        <v>877607.5</v>
      </c>
      <c r="G1475" s="25"/>
      <c r="H1475" s="11"/>
      <c r="I1475" s="21"/>
      <c r="J1475" s="21"/>
      <c r="K1475" s="21"/>
      <c r="L1475" s="21"/>
      <c r="M1475" s="21"/>
      <c r="N1475" s="21"/>
    </row>
    <row r="1476" spans="1:14" ht="15.75" customHeight="1" x14ac:dyDescent="0.25">
      <c r="A1476" s="7"/>
      <c r="B1476" s="345" t="s">
        <v>344</v>
      </c>
      <c r="C1476" s="344"/>
      <c r="D1476" s="344"/>
      <c r="E1476" s="334"/>
      <c r="F1476" s="109">
        <f>SUM(F1474:F1475)</f>
        <v>8855857.5</v>
      </c>
      <c r="G1476" s="25"/>
      <c r="H1476" s="11"/>
      <c r="I1476" s="21"/>
      <c r="J1476" s="21"/>
      <c r="K1476" s="21"/>
      <c r="L1476" s="21"/>
      <c r="M1476" s="21"/>
      <c r="N1476" s="21"/>
    </row>
    <row r="1477" spans="1:14" ht="15.75" customHeight="1" x14ac:dyDescent="0.25">
      <c r="A1477" s="21"/>
      <c r="B1477" s="21"/>
      <c r="C1477" s="11"/>
      <c r="D1477" s="11"/>
      <c r="E1477" s="21"/>
      <c r="F1477" s="21"/>
      <c r="G1477" s="25"/>
      <c r="H1477" s="11"/>
      <c r="I1477" s="21"/>
      <c r="J1477" s="21"/>
      <c r="K1477" s="21"/>
      <c r="L1477" s="21"/>
      <c r="M1477" s="21"/>
      <c r="N1477" s="21"/>
    </row>
    <row r="1478" spans="1:14" ht="15.75" customHeight="1" x14ac:dyDescent="0.25">
      <c r="A1478" s="31" t="s">
        <v>14</v>
      </c>
      <c r="B1478" s="31" t="s">
        <v>234</v>
      </c>
      <c r="C1478" s="31" t="s">
        <v>16</v>
      </c>
      <c r="D1478" s="31" t="s">
        <v>17</v>
      </c>
      <c r="E1478" s="31" t="s">
        <v>235</v>
      </c>
      <c r="F1478" s="31" t="s">
        <v>236</v>
      </c>
      <c r="G1478" s="25"/>
      <c r="H1478" s="11"/>
      <c r="I1478" s="21"/>
      <c r="J1478" s="21"/>
      <c r="K1478" s="21"/>
      <c r="L1478" s="21"/>
      <c r="M1478" s="21"/>
      <c r="N1478" s="21"/>
    </row>
    <row r="1479" spans="1:14" ht="15.75" customHeight="1" x14ac:dyDescent="0.25">
      <c r="A1479" s="7">
        <v>1</v>
      </c>
      <c r="B1479" s="120" t="s">
        <v>777</v>
      </c>
      <c r="C1479" s="7">
        <v>2</v>
      </c>
      <c r="D1479" s="7" t="s">
        <v>243</v>
      </c>
      <c r="E1479" s="104">
        <v>184106</v>
      </c>
      <c r="F1479" s="104">
        <f>E1479*C1479</f>
        <v>368212</v>
      </c>
      <c r="G1479" s="25"/>
      <c r="H1479" s="11"/>
      <c r="I1479" s="21"/>
      <c r="J1479" s="21"/>
      <c r="K1479" s="21"/>
      <c r="L1479" s="21"/>
      <c r="M1479" s="21"/>
      <c r="N1479" s="21"/>
    </row>
    <row r="1480" spans="1:14" ht="15.75" customHeight="1" x14ac:dyDescent="0.25">
      <c r="A1480" s="7"/>
      <c r="B1480" s="343" t="s">
        <v>342</v>
      </c>
      <c r="C1480" s="344"/>
      <c r="D1480" s="344"/>
      <c r="E1480" s="334"/>
      <c r="F1480" s="104">
        <f>F1479</f>
        <v>368212</v>
      </c>
      <c r="G1480" s="25"/>
      <c r="H1480" s="11"/>
      <c r="I1480" s="21"/>
      <c r="J1480" s="21"/>
      <c r="K1480" s="21"/>
      <c r="L1480" s="21"/>
      <c r="M1480" s="21"/>
      <c r="N1480" s="21"/>
    </row>
    <row r="1481" spans="1:14" ht="15.75" customHeight="1" x14ac:dyDescent="0.25">
      <c r="A1481" s="7"/>
      <c r="B1481" s="343" t="s">
        <v>343</v>
      </c>
      <c r="C1481" s="344"/>
      <c r="D1481" s="344"/>
      <c r="E1481" s="334"/>
      <c r="F1481" s="108">
        <v>40503.32</v>
      </c>
      <c r="G1481" s="25"/>
      <c r="H1481" s="11"/>
      <c r="I1481" s="21"/>
      <c r="J1481" s="21"/>
      <c r="K1481" s="21"/>
      <c r="L1481" s="21"/>
      <c r="M1481" s="21"/>
      <c r="N1481" s="21"/>
    </row>
    <row r="1482" spans="1:14" ht="15.75" customHeight="1" x14ac:dyDescent="0.25">
      <c r="A1482" s="7"/>
      <c r="B1482" s="345" t="s">
        <v>344</v>
      </c>
      <c r="C1482" s="344"/>
      <c r="D1482" s="344"/>
      <c r="E1482" s="334"/>
      <c r="F1482" s="109">
        <f>SUM(F1480:F1481)</f>
        <v>408715.32</v>
      </c>
      <c r="G1482" s="25"/>
      <c r="H1482" s="11"/>
      <c r="I1482" s="21"/>
      <c r="J1482" s="21"/>
      <c r="K1482" s="21"/>
      <c r="L1482" s="21"/>
      <c r="M1482" s="21"/>
      <c r="N1482" s="21"/>
    </row>
    <row r="1483" spans="1:14" ht="15.75" customHeight="1" x14ac:dyDescent="0.25">
      <c r="A1483" s="21"/>
      <c r="B1483" s="21"/>
      <c r="C1483" s="11"/>
      <c r="D1483" s="11"/>
      <c r="E1483" s="21"/>
      <c r="F1483" s="21"/>
      <c r="G1483" s="25"/>
      <c r="H1483" s="11"/>
      <c r="I1483" s="21"/>
      <c r="J1483" s="21"/>
      <c r="K1483" s="21"/>
      <c r="L1483" s="21"/>
      <c r="M1483" s="21"/>
      <c r="N1483" s="21"/>
    </row>
    <row r="1484" spans="1:14" ht="15.75" customHeight="1" x14ac:dyDescent="0.25">
      <c r="A1484" s="31" t="s">
        <v>14</v>
      </c>
      <c r="B1484" s="31" t="s">
        <v>234</v>
      </c>
      <c r="C1484" s="31" t="s">
        <v>16</v>
      </c>
      <c r="D1484" s="31" t="s">
        <v>17</v>
      </c>
      <c r="E1484" s="31" t="s">
        <v>235</v>
      </c>
      <c r="F1484" s="31" t="s">
        <v>236</v>
      </c>
      <c r="G1484" s="25"/>
      <c r="H1484" s="11"/>
      <c r="I1484" s="21"/>
      <c r="J1484" s="21"/>
      <c r="K1484" s="21"/>
      <c r="L1484" s="21"/>
      <c r="M1484" s="21"/>
      <c r="N1484" s="21"/>
    </row>
    <row r="1485" spans="1:14" ht="15.75" customHeight="1" x14ac:dyDescent="0.25">
      <c r="A1485" s="7">
        <v>1</v>
      </c>
      <c r="B1485" s="120" t="s">
        <v>778</v>
      </c>
      <c r="C1485" s="7">
        <v>100</v>
      </c>
      <c r="D1485" s="7" t="s">
        <v>363</v>
      </c>
      <c r="E1485" s="104">
        <v>4050</v>
      </c>
      <c r="F1485" s="104">
        <f>E1485*C1485</f>
        <v>405000</v>
      </c>
      <c r="G1485" s="25"/>
      <c r="H1485" s="11"/>
      <c r="I1485" s="21"/>
      <c r="J1485" s="21"/>
      <c r="K1485" s="21"/>
      <c r="L1485" s="21"/>
      <c r="M1485" s="21"/>
      <c r="N1485" s="21"/>
    </row>
    <row r="1486" spans="1:14" ht="15.75" customHeight="1" x14ac:dyDescent="0.25">
      <c r="A1486" s="7"/>
      <c r="B1486" s="343" t="s">
        <v>342</v>
      </c>
      <c r="C1486" s="344"/>
      <c r="D1486" s="344"/>
      <c r="E1486" s="334"/>
      <c r="F1486" s="104">
        <f>F1485</f>
        <v>405000</v>
      </c>
      <c r="G1486" s="25"/>
      <c r="H1486" s="11"/>
      <c r="I1486" s="21"/>
      <c r="J1486" s="21"/>
      <c r="K1486" s="21"/>
      <c r="L1486" s="21"/>
      <c r="M1486" s="21"/>
      <c r="N1486" s="21"/>
    </row>
    <row r="1487" spans="1:14" ht="15.75" customHeight="1" x14ac:dyDescent="0.25">
      <c r="A1487" s="7"/>
      <c r="B1487" s="343" t="s">
        <v>343</v>
      </c>
      <c r="C1487" s="344"/>
      <c r="D1487" s="344"/>
      <c r="E1487" s="334"/>
      <c r="F1487" s="104">
        <v>44550</v>
      </c>
      <c r="G1487" s="25"/>
      <c r="H1487" s="11"/>
      <c r="I1487" s="21"/>
      <c r="J1487" s="21"/>
      <c r="K1487" s="21"/>
      <c r="L1487" s="21"/>
      <c r="M1487" s="21"/>
      <c r="N1487" s="21"/>
    </row>
    <row r="1488" spans="1:14" ht="15.75" customHeight="1" x14ac:dyDescent="0.25">
      <c r="A1488" s="7"/>
      <c r="B1488" s="345" t="s">
        <v>344</v>
      </c>
      <c r="C1488" s="344"/>
      <c r="D1488" s="344"/>
      <c r="E1488" s="334"/>
      <c r="F1488" s="107">
        <f>SUM(F1486:F1487)</f>
        <v>449550</v>
      </c>
      <c r="G1488" s="25"/>
      <c r="H1488" s="11"/>
      <c r="I1488" s="21"/>
      <c r="J1488" s="21"/>
      <c r="K1488" s="21"/>
      <c r="L1488" s="21"/>
      <c r="M1488" s="21"/>
      <c r="N1488" s="21"/>
    </row>
    <row r="1489" spans="1:14" ht="15.75" customHeight="1" x14ac:dyDescent="0.25">
      <c r="A1489" s="21"/>
      <c r="B1489" s="21"/>
      <c r="C1489" s="11"/>
      <c r="D1489" s="11"/>
      <c r="E1489" s="21"/>
      <c r="F1489" s="21"/>
      <c r="G1489" s="25"/>
      <c r="H1489" s="11"/>
      <c r="I1489" s="21"/>
      <c r="J1489" s="21"/>
      <c r="K1489" s="21"/>
      <c r="L1489" s="21"/>
      <c r="M1489" s="21"/>
      <c r="N1489" s="21"/>
    </row>
    <row r="1490" spans="1:14" ht="15.75" customHeight="1" x14ac:dyDescent="0.25">
      <c r="A1490" s="31" t="s">
        <v>14</v>
      </c>
      <c r="B1490" s="31" t="s">
        <v>234</v>
      </c>
      <c r="C1490" s="31" t="s">
        <v>16</v>
      </c>
      <c r="D1490" s="31" t="s">
        <v>17</v>
      </c>
      <c r="E1490" s="31" t="s">
        <v>235</v>
      </c>
      <c r="F1490" s="31" t="s">
        <v>236</v>
      </c>
      <c r="G1490" s="25"/>
      <c r="H1490" s="11"/>
      <c r="I1490" s="21"/>
      <c r="J1490" s="21"/>
      <c r="K1490" s="21"/>
      <c r="L1490" s="21"/>
      <c r="M1490" s="21"/>
      <c r="N1490" s="21"/>
    </row>
    <row r="1491" spans="1:14" ht="15.75" customHeight="1" x14ac:dyDescent="0.25">
      <c r="A1491" s="7">
        <v>1</v>
      </c>
      <c r="B1491" s="120" t="s">
        <v>779</v>
      </c>
      <c r="C1491" s="7">
        <v>20</v>
      </c>
      <c r="D1491" s="7" t="s">
        <v>363</v>
      </c>
      <c r="E1491" s="104">
        <v>110800</v>
      </c>
      <c r="F1491" s="104">
        <f>E1491*C1491</f>
        <v>2216000</v>
      </c>
      <c r="G1491" s="25"/>
      <c r="H1491" s="11"/>
      <c r="I1491" s="21"/>
      <c r="J1491" s="21"/>
      <c r="K1491" s="21"/>
      <c r="L1491" s="21"/>
      <c r="M1491" s="21"/>
      <c r="N1491" s="21"/>
    </row>
    <row r="1492" spans="1:14" ht="15.75" customHeight="1" x14ac:dyDescent="0.25">
      <c r="A1492" s="7"/>
      <c r="B1492" s="343" t="s">
        <v>342</v>
      </c>
      <c r="C1492" s="344"/>
      <c r="D1492" s="344"/>
      <c r="E1492" s="334"/>
      <c r="F1492" s="104">
        <f>F1491</f>
        <v>2216000</v>
      </c>
      <c r="G1492" s="25"/>
      <c r="H1492" s="11"/>
      <c r="I1492" s="21"/>
      <c r="J1492" s="21"/>
      <c r="K1492" s="21"/>
      <c r="L1492" s="21"/>
      <c r="M1492" s="21"/>
      <c r="N1492" s="21"/>
    </row>
    <row r="1493" spans="1:14" ht="15.75" customHeight="1" x14ac:dyDescent="0.25">
      <c r="A1493" s="7"/>
      <c r="B1493" s="343" t="s">
        <v>343</v>
      </c>
      <c r="C1493" s="344"/>
      <c r="D1493" s="344"/>
      <c r="E1493" s="334"/>
      <c r="F1493" s="104">
        <v>243760</v>
      </c>
      <c r="G1493" s="25"/>
      <c r="H1493" s="11"/>
      <c r="I1493" s="21"/>
      <c r="J1493" s="21"/>
      <c r="K1493" s="21"/>
      <c r="L1493" s="21"/>
      <c r="M1493" s="21"/>
      <c r="N1493" s="21"/>
    </row>
    <row r="1494" spans="1:14" ht="15.75" customHeight="1" x14ac:dyDescent="0.25">
      <c r="A1494" s="7"/>
      <c r="B1494" s="345" t="s">
        <v>344</v>
      </c>
      <c r="C1494" s="344"/>
      <c r="D1494" s="344"/>
      <c r="E1494" s="334"/>
      <c r="F1494" s="107">
        <f>SUM(F1492:F1493)</f>
        <v>2459760</v>
      </c>
      <c r="G1494" s="25"/>
      <c r="H1494" s="11"/>
      <c r="I1494" s="21"/>
      <c r="J1494" s="21"/>
      <c r="K1494" s="21"/>
      <c r="L1494" s="21"/>
      <c r="M1494" s="21"/>
      <c r="N1494" s="21"/>
    </row>
    <row r="1495" spans="1:14" ht="15.75" customHeight="1" x14ac:dyDescent="0.25">
      <c r="A1495" s="21"/>
      <c r="B1495" s="21"/>
      <c r="C1495" s="11"/>
      <c r="D1495" s="11"/>
      <c r="E1495" s="21"/>
      <c r="F1495" s="21"/>
      <c r="G1495" s="25"/>
      <c r="H1495" s="11"/>
      <c r="I1495" s="21"/>
      <c r="J1495" s="21"/>
      <c r="K1495" s="21"/>
      <c r="L1495" s="21"/>
      <c r="M1495" s="21"/>
      <c r="N1495" s="21"/>
    </row>
    <row r="1496" spans="1:14" ht="15.75" customHeight="1" x14ac:dyDescent="0.25">
      <c r="A1496" s="31" t="s">
        <v>351</v>
      </c>
      <c r="B1496" s="31" t="s">
        <v>234</v>
      </c>
      <c r="C1496" s="31" t="s">
        <v>16</v>
      </c>
      <c r="D1496" s="31" t="s">
        <v>17</v>
      </c>
      <c r="E1496" s="31" t="s">
        <v>235</v>
      </c>
      <c r="F1496" s="31" t="s">
        <v>236</v>
      </c>
      <c r="G1496" s="25"/>
      <c r="H1496" s="11"/>
      <c r="I1496" s="21"/>
      <c r="J1496" s="21"/>
      <c r="K1496" s="21"/>
      <c r="L1496" s="21"/>
      <c r="M1496" s="21"/>
      <c r="N1496" s="21"/>
    </row>
    <row r="1497" spans="1:14" ht="15.75" customHeight="1" x14ac:dyDescent="0.25">
      <c r="A1497" s="7">
        <v>1</v>
      </c>
      <c r="B1497" s="41" t="s">
        <v>780</v>
      </c>
      <c r="C1497" s="7">
        <v>2</v>
      </c>
      <c r="D1497" s="7" t="s">
        <v>550</v>
      </c>
      <c r="E1497" s="104">
        <v>185000</v>
      </c>
      <c r="F1497" s="104">
        <f>E1497*C1497</f>
        <v>370000</v>
      </c>
      <c r="G1497" s="25"/>
      <c r="H1497" s="11"/>
      <c r="I1497" s="21"/>
      <c r="J1497" s="21"/>
      <c r="K1497" s="21"/>
      <c r="L1497" s="21"/>
      <c r="M1497" s="21"/>
      <c r="N1497" s="21"/>
    </row>
    <row r="1498" spans="1:14" ht="15.75" customHeight="1" x14ac:dyDescent="0.25">
      <c r="A1498" s="7">
        <v>2</v>
      </c>
      <c r="B1498" s="41" t="s">
        <v>781</v>
      </c>
      <c r="C1498" s="7">
        <v>1</v>
      </c>
      <c r="D1498" s="7" t="s">
        <v>550</v>
      </c>
      <c r="E1498" s="104">
        <v>98500</v>
      </c>
      <c r="F1498" s="104">
        <f>E1498*C1498</f>
        <v>98500</v>
      </c>
      <c r="G1498" s="25"/>
      <c r="H1498" s="11"/>
      <c r="I1498" s="21"/>
      <c r="J1498" s="21"/>
      <c r="K1498" s="21"/>
      <c r="L1498" s="21"/>
      <c r="M1498" s="21"/>
      <c r="N1498" s="21"/>
    </row>
    <row r="1499" spans="1:14" ht="15.75" customHeight="1" x14ac:dyDescent="0.25">
      <c r="A1499" s="7"/>
      <c r="B1499" s="343" t="s">
        <v>342</v>
      </c>
      <c r="C1499" s="344"/>
      <c r="D1499" s="344"/>
      <c r="E1499" s="334"/>
      <c r="F1499" s="104">
        <f>SUM(F1497:F1498)</f>
        <v>468500</v>
      </c>
      <c r="G1499" s="25"/>
      <c r="H1499" s="11"/>
      <c r="I1499" s="21"/>
      <c r="J1499" s="21"/>
      <c r="K1499" s="21"/>
      <c r="L1499" s="21"/>
      <c r="M1499" s="21"/>
      <c r="N1499" s="21"/>
    </row>
    <row r="1500" spans="1:14" ht="15.75" customHeight="1" x14ac:dyDescent="0.25">
      <c r="A1500" s="7"/>
      <c r="B1500" s="343" t="s">
        <v>343</v>
      </c>
      <c r="C1500" s="344"/>
      <c r="D1500" s="344"/>
      <c r="E1500" s="334"/>
      <c r="F1500" s="104">
        <v>51535</v>
      </c>
      <c r="G1500" s="25"/>
      <c r="H1500" s="11"/>
      <c r="I1500" s="21"/>
      <c r="J1500" s="21"/>
      <c r="K1500" s="21"/>
      <c r="L1500" s="21"/>
      <c r="M1500" s="21"/>
      <c r="N1500" s="21"/>
    </row>
    <row r="1501" spans="1:14" ht="15.75" customHeight="1" x14ac:dyDescent="0.25">
      <c r="A1501" s="7"/>
      <c r="B1501" s="345" t="s">
        <v>344</v>
      </c>
      <c r="C1501" s="344"/>
      <c r="D1501" s="344"/>
      <c r="E1501" s="334"/>
      <c r="F1501" s="107">
        <f>SUM(F1499:F1500)</f>
        <v>520035</v>
      </c>
      <c r="G1501" s="25"/>
      <c r="H1501" s="11"/>
      <c r="I1501" s="21"/>
      <c r="J1501" s="21"/>
      <c r="K1501" s="21"/>
      <c r="L1501" s="21"/>
      <c r="M1501" s="21"/>
      <c r="N1501" s="21"/>
    </row>
    <row r="1502" spans="1:14" ht="15.75" customHeight="1" x14ac:dyDescent="0.25">
      <c r="A1502" s="21"/>
      <c r="B1502" s="21"/>
      <c r="C1502" s="11"/>
      <c r="D1502" s="11"/>
      <c r="E1502" s="21"/>
      <c r="F1502" s="21"/>
      <c r="G1502" s="25"/>
      <c r="H1502" s="11"/>
      <c r="I1502" s="21"/>
      <c r="J1502" s="21"/>
      <c r="K1502" s="21"/>
      <c r="L1502" s="21"/>
      <c r="M1502" s="21"/>
      <c r="N1502" s="21"/>
    </row>
    <row r="1503" spans="1:14" ht="15.75" customHeight="1" x14ac:dyDescent="0.25">
      <c r="A1503" s="31" t="s">
        <v>14</v>
      </c>
      <c r="B1503" s="31" t="s">
        <v>234</v>
      </c>
      <c r="C1503" s="31" t="s">
        <v>16</v>
      </c>
      <c r="D1503" s="31" t="s">
        <v>17</v>
      </c>
      <c r="E1503" s="31" t="s">
        <v>235</v>
      </c>
      <c r="F1503" s="31" t="s">
        <v>236</v>
      </c>
      <c r="G1503" s="25"/>
      <c r="H1503" s="11"/>
      <c r="I1503" s="21"/>
      <c r="J1503" s="21"/>
      <c r="K1503" s="21"/>
      <c r="L1503" s="21"/>
      <c r="M1503" s="21"/>
      <c r="N1503" s="21"/>
    </row>
    <row r="1504" spans="1:14" ht="15.75" customHeight="1" x14ac:dyDescent="0.25">
      <c r="A1504" s="7">
        <v>1</v>
      </c>
      <c r="B1504" s="120" t="s">
        <v>782</v>
      </c>
      <c r="C1504" s="7">
        <v>2</v>
      </c>
      <c r="D1504" s="7" t="s">
        <v>19</v>
      </c>
      <c r="E1504" s="104">
        <v>113525</v>
      </c>
      <c r="F1504" s="104">
        <f>E1504*C1504</f>
        <v>227050</v>
      </c>
      <c r="G1504" s="25"/>
      <c r="H1504" s="11"/>
      <c r="I1504" s="21"/>
      <c r="J1504" s="21"/>
      <c r="K1504" s="21"/>
      <c r="L1504" s="21"/>
      <c r="M1504" s="21"/>
      <c r="N1504" s="21"/>
    </row>
    <row r="1505" spans="1:14" ht="15.75" customHeight="1" x14ac:dyDescent="0.25">
      <c r="A1505" s="7"/>
      <c r="B1505" s="343" t="s">
        <v>342</v>
      </c>
      <c r="C1505" s="344"/>
      <c r="D1505" s="344"/>
      <c r="E1505" s="334"/>
      <c r="F1505" s="104">
        <f>F1504</f>
        <v>227050</v>
      </c>
      <c r="G1505" s="25"/>
      <c r="H1505" s="11"/>
      <c r="I1505" s="21"/>
      <c r="J1505" s="21"/>
      <c r="K1505" s="21"/>
      <c r="L1505" s="21"/>
      <c r="M1505" s="21"/>
      <c r="N1505" s="21"/>
    </row>
    <row r="1506" spans="1:14" ht="15.75" customHeight="1" x14ac:dyDescent="0.25">
      <c r="A1506" s="7"/>
      <c r="B1506" s="343" t="s">
        <v>343</v>
      </c>
      <c r="C1506" s="344"/>
      <c r="D1506" s="344"/>
      <c r="E1506" s="334"/>
      <c r="F1506" s="108">
        <v>24975.5</v>
      </c>
      <c r="G1506" s="25"/>
      <c r="H1506" s="11"/>
      <c r="I1506" s="21"/>
      <c r="J1506" s="21"/>
      <c r="K1506" s="21"/>
      <c r="L1506" s="21"/>
      <c r="M1506" s="21"/>
      <c r="N1506" s="21"/>
    </row>
    <row r="1507" spans="1:14" ht="15.75" customHeight="1" x14ac:dyDescent="0.25">
      <c r="A1507" s="7"/>
      <c r="B1507" s="345" t="s">
        <v>344</v>
      </c>
      <c r="C1507" s="344"/>
      <c r="D1507" s="344"/>
      <c r="E1507" s="334"/>
      <c r="F1507" s="109">
        <f>SUM(F1505:F1506)</f>
        <v>252025.5</v>
      </c>
      <c r="G1507" s="25"/>
      <c r="H1507" s="11"/>
      <c r="I1507" s="21"/>
      <c r="J1507" s="21"/>
      <c r="K1507" s="21"/>
      <c r="L1507" s="21"/>
      <c r="M1507" s="21"/>
      <c r="N1507" s="21"/>
    </row>
    <row r="1508" spans="1:14" ht="15.75" customHeight="1" x14ac:dyDescent="0.25">
      <c r="A1508" s="21"/>
      <c r="B1508" s="21"/>
      <c r="C1508" s="11"/>
      <c r="D1508" s="11"/>
      <c r="E1508" s="21"/>
      <c r="F1508" s="21"/>
      <c r="G1508" s="25"/>
      <c r="H1508" s="11"/>
      <c r="I1508" s="21"/>
      <c r="J1508" s="21"/>
      <c r="K1508" s="21"/>
      <c r="L1508" s="21"/>
      <c r="M1508" s="21"/>
      <c r="N1508" s="21"/>
    </row>
    <row r="1509" spans="1:14" ht="15.75" customHeight="1" x14ac:dyDescent="0.25">
      <c r="A1509" s="31" t="s">
        <v>14</v>
      </c>
      <c r="B1509" s="31" t="s">
        <v>234</v>
      </c>
      <c r="C1509" s="31" t="s">
        <v>16</v>
      </c>
      <c r="D1509" s="31" t="s">
        <v>17</v>
      </c>
      <c r="E1509" s="31" t="s">
        <v>235</v>
      </c>
      <c r="F1509" s="31" t="s">
        <v>236</v>
      </c>
      <c r="G1509" s="25"/>
      <c r="H1509" s="11"/>
      <c r="I1509" s="21"/>
      <c r="J1509" s="21"/>
      <c r="K1509" s="21"/>
      <c r="L1509" s="21"/>
      <c r="M1509" s="21"/>
      <c r="N1509" s="21"/>
    </row>
    <row r="1510" spans="1:14" ht="15.75" customHeight="1" x14ac:dyDescent="0.25">
      <c r="A1510" s="7">
        <v>1</v>
      </c>
      <c r="B1510" s="120" t="s">
        <v>783</v>
      </c>
      <c r="C1510" s="7">
        <v>1</v>
      </c>
      <c r="D1510" s="7" t="s">
        <v>251</v>
      </c>
      <c r="E1510" s="104">
        <v>274620000</v>
      </c>
      <c r="F1510" s="104">
        <f>E1510*C1510</f>
        <v>274620000</v>
      </c>
      <c r="G1510" s="25"/>
      <c r="H1510" s="11"/>
      <c r="I1510" s="21"/>
      <c r="J1510" s="21"/>
      <c r="K1510" s="21"/>
      <c r="L1510" s="21"/>
      <c r="M1510" s="21"/>
      <c r="N1510" s="21"/>
    </row>
    <row r="1511" spans="1:14" ht="15.75" customHeight="1" x14ac:dyDescent="0.25">
      <c r="A1511" s="7"/>
      <c r="B1511" s="343" t="s">
        <v>342</v>
      </c>
      <c r="C1511" s="344"/>
      <c r="D1511" s="344"/>
      <c r="E1511" s="334"/>
      <c r="F1511" s="104">
        <f>F1510</f>
        <v>274620000</v>
      </c>
      <c r="G1511" s="25"/>
      <c r="H1511" s="11"/>
      <c r="I1511" s="21"/>
      <c r="J1511" s="21"/>
      <c r="K1511" s="21"/>
      <c r="L1511" s="21"/>
      <c r="M1511" s="21"/>
      <c r="N1511" s="21"/>
    </row>
    <row r="1512" spans="1:14" ht="15.75" customHeight="1" x14ac:dyDescent="0.25">
      <c r="A1512" s="7"/>
      <c r="B1512" s="343" t="s">
        <v>343</v>
      </c>
      <c r="C1512" s="344"/>
      <c r="D1512" s="344"/>
      <c r="E1512" s="334"/>
      <c r="F1512" s="104">
        <v>30208200</v>
      </c>
      <c r="G1512" s="25"/>
      <c r="H1512" s="11"/>
      <c r="I1512" s="21"/>
      <c r="J1512" s="21"/>
      <c r="K1512" s="21"/>
      <c r="L1512" s="21"/>
      <c r="M1512" s="21"/>
      <c r="N1512" s="21"/>
    </row>
    <row r="1513" spans="1:14" ht="15.75" customHeight="1" x14ac:dyDescent="0.25">
      <c r="A1513" s="7"/>
      <c r="B1513" s="345" t="s">
        <v>344</v>
      </c>
      <c r="C1513" s="344"/>
      <c r="D1513" s="344"/>
      <c r="E1513" s="334"/>
      <c r="F1513" s="107">
        <f>SUM(F1511:F1512)</f>
        <v>304828200</v>
      </c>
      <c r="G1513" s="25"/>
      <c r="H1513" s="11"/>
      <c r="I1513" s="21"/>
      <c r="J1513" s="21"/>
      <c r="K1513" s="21"/>
      <c r="L1513" s="21"/>
      <c r="M1513" s="21"/>
      <c r="N1513" s="21"/>
    </row>
    <row r="1514" spans="1:14" ht="15.75" customHeight="1" x14ac:dyDescent="0.25">
      <c r="A1514" s="21"/>
      <c r="B1514" s="21"/>
      <c r="C1514" s="11"/>
      <c r="D1514" s="11"/>
      <c r="E1514" s="21"/>
      <c r="F1514" s="21"/>
      <c r="G1514" s="25"/>
      <c r="H1514" s="11"/>
      <c r="I1514" s="21"/>
      <c r="J1514" s="21"/>
      <c r="K1514" s="21"/>
      <c r="L1514" s="21"/>
      <c r="M1514" s="21"/>
      <c r="N1514" s="21"/>
    </row>
    <row r="1515" spans="1:14" ht="15.75" customHeight="1" x14ac:dyDescent="0.25">
      <c r="A1515" s="31" t="s">
        <v>14</v>
      </c>
      <c r="B1515" s="31" t="s">
        <v>15</v>
      </c>
      <c r="C1515" s="31" t="s">
        <v>16</v>
      </c>
      <c r="D1515" s="31" t="s">
        <v>17</v>
      </c>
      <c r="E1515" s="31" t="s">
        <v>235</v>
      </c>
      <c r="F1515" s="31" t="s">
        <v>236</v>
      </c>
      <c r="G1515" s="25"/>
      <c r="H1515" s="11"/>
      <c r="I1515" s="21"/>
      <c r="J1515" s="21"/>
      <c r="K1515" s="21"/>
      <c r="L1515" s="21"/>
      <c r="M1515" s="21"/>
      <c r="N1515" s="21"/>
    </row>
    <row r="1516" spans="1:14" ht="15.75" customHeight="1" x14ac:dyDescent="0.25">
      <c r="A1516" s="7">
        <v>1</v>
      </c>
      <c r="B1516" s="122" t="s">
        <v>784</v>
      </c>
      <c r="C1516" s="117">
        <v>7</v>
      </c>
      <c r="D1516" s="117" t="s">
        <v>363</v>
      </c>
      <c r="E1516" s="104">
        <v>8217</v>
      </c>
      <c r="F1516" s="104">
        <f>E1516*C1516</f>
        <v>57519</v>
      </c>
      <c r="G1516" s="25"/>
      <c r="H1516" s="11"/>
      <c r="I1516" s="21"/>
      <c r="J1516" s="21"/>
      <c r="K1516" s="21"/>
      <c r="L1516" s="21"/>
      <c r="M1516" s="21"/>
      <c r="N1516" s="21"/>
    </row>
    <row r="1517" spans="1:14" ht="15.75" customHeight="1" x14ac:dyDescent="0.25">
      <c r="A1517" s="7">
        <v>2</v>
      </c>
      <c r="B1517" s="116" t="s">
        <v>785</v>
      </c>
      <c r="C1517" s="117">
        <v>5</v>
      </c>
      <c r="D1517" s="117" t="s">
        <v>363</v>
      </c>
      <c r="E1517" s="104">
        <v>8217</v>
      </c>
      <c r="F1517" s="104">
        <f>E1517*C1517</f>
        <v>41085</v>
      </c>
      <c r="G1517" s="25"/>
      <c r="H1517" s="11"/>
      <c r="I1517" s="21"/>
      <c r="J1517" s="21"/>
      <c r="K1517" s="21"/>
      <c r="L1517" s="21"/>
      <c r="M1517" s="21"/>
      <c r="N1517" s="21"/>
    </row>
    <row r="1518" spans="1:14" ht="15.75" customHeight="1" x14ac:dyDescent="0.25">
      <c r="A1518" s="7">
        <v>3</v>
      </c>
      <c r="B1518" s="116" t="s">
        <v>786</v>
      </c>
      <c r="C1518" s="117">
        <v>15</v>
      </c>
      <c r="D1518" s="117" t="s">
        <v>406</v>
      </c>
      <c r="E1518" s="104">
        <v>89775</v>
      </c>
      <c r="F1518" s="104">
        <f>E1518*C1518</f>
        <v>1346625</v>
      </c>
      <c r="G1518" s="25"/>
      <c r="H1518" s="11"/>
      <c r="I1518" s="21"/>
      <c r="J1518" s="21"/>
      <c r="K1518" s="21"/>
      <c r="L1518" s="21"/>
      <c r="M1518" s="21"/>
      <c r="N1518" s="21"/>
    </row>
    <row r="1519" spans="1:14" ht="15.75" customHeight="1" x14ac:dyDescent="0.25">
      <c r="A1519" s="7">
        <v>4</v>
      </c>
      <c r="B1519" s="122" t="s">
        <v>787</v>
      </c>
      <c r="C1519" s="117">
        <v>3</v>
      </c>
      <c r="D1519" s="117" t="s">
        <v>363</v>
      </c>
      <c r="E1519" s="130">
        <v>4037500</v>
      </c>
      <c r="F1519" s="130">
        <f>E1519*C1519</f>
        <v>12112500</v>
      </c>
      <c r="G1519" s="25"/>
      <c r="H1519" s="11"/>
      <c r="I1519" s="21"/>
      <c r="J1519" s="21"/>
      <c r="K1519" s="21"/>
      <c r="L1519" s="21"/>
      <c r="M1519" s="21"/>
      <c r="N1519" s="21"/>
    </row>
    <row r="1520" spans="1:14" ht="15.75" customHeight="1" x14ac:dyDescent="0.25">
      <c r="A1520" s="7">
        <v>5</v>
      </c>
      <c r="B1520" s="116" t="s">
        <v>788</v>
      </c>
      <c r="C1520" s="117">
        <v>1</v>
      </c>
      <c r="D1520" s="117" t="s">
        <v>243</v>
      </c>
      <c r="E1520" s="104">
        <v>617500</v>
      </c>
      <c r="F1520" s="104">
        <f>E1520*C1520</f>
        <v>617500</v>
      </c>
      <c r="G1520" s="25"/>
      <c r="H1520" s="11"/>
      <c r="I1520" s="21"/>
      <c r="J1520" s="21"/>
      <c r="K1520" s="21"/>
      <c r="L1520" s="21"/>
      <c r="M1520" s="21"/>
      <c r="N1520" s="21"/>
    </row>
    <row r="1521" spans="1:14" ht="15.75" customHeight="1" x14ac:dyDescent="0.25">
      <c r="A1521" s="7"/>
      <c r="B1521" s="343" t="s">
        <v>342</v>
      </c>
      <c r="C1521" s="344"/>
      <c r="D1521" s="344"/>
      <c r="E1521" s="334"/>
      <c r="F1521" s="104">
        <f>SUM(F1516:F1520)</f>
        <v>14175229</v>
      </c>
      <c r="G1521" s="25"/>
      <c r="H1521" s="11"/>
      <c r="I1521" s="21"/>
      <c r="J1521" s="21"/>
      <c r="K1521" s="21"/>
      <c r="L1521" s="21"/>
      <c r="M1521" s="21"/>
      <c r="N1521" s="21"/>
    </row>
    <row r="1522" spans="1:14" ht="15.75" customHeight="1" x14ac:dyDescent="0.25">
      <c r="A1522" s="7"/>
      <c r="B1522" s="343" t="s">
        <v>343</v>
      </c>
      <c r="C1522" s="344"/>
      <c r="D1522" s="344"/>
      <c r="E1522" s="334"/>
      <c r="F1522" s="108">
        <v>1559275.19</v>
      </c>
      <c r="G1522" s="25"/>
      <c r="H1522" s="11"/>
      <c r="I1522" s="21"/>
      <c r="J1522" s="21"/>
      <c r="K1522" s="21"/>
      <c r="L1522" s="21"/>
      <c r="M1522" s="21"/>
      <c r="N1522" s="21"/>
    </row>
    <row r="1523" spans="1:14" ht="15.75" customHeight="1" x14ac:dyDescent="0.25">
      <c r="A1523" s="7"/>
      <c r="B1523" s="345" t="s">
        <v>344</v>
      </c>
      <c r="C1523" s="344"/>
      <c r="D1523" s="344"/>
      <c r="E1523" s="334"/>
      <c r="F1523" s="109">
        <f>SUM(F1521:F1522)</f>
        <v>15734504.189999999</v>
      </c>
      <c r="G1523" s="25"/>
      <c r="H1523" s="11"/>
      <c r="I1523" s="21"/>
      <c r="J1523" s="21"/>
      <c r="K1523" s="21"/>
      <c r="L1523" s="21"/>
      <c r="M1523" s="21"/>
      <c r="N1523" s="21"/>
    </row>
    <row r="1524" spans="1:14" ht="15.75" customHeight="1" x14ac:dyDescent="0.25">
      <c r="A1524" s="21"/>
      <c r="B1524" s="21"/>
      <c r="C1524" s="11"/>
      <c r="D1524" s="11"/>
      <c r="E1524" s="21"/>
      <c r="F1524" s="21"/>
      <c r="G1524" s="25"/>
      <c r="H1524" s="11"/>
      <c r="I1524" s="21"/>
      <c r="J1524" s="21"/>
      <c r="K1524" s="21"/>
      <c r="L1524" s="21"/>
      <c r="M1524" s="21"/>
      <c r="N1524" s="21"/>
    </row>
    <row r="1525" spans="1:14" ht="15.75" customHeight="1" x14ac:dyDescent="0.25">
      <c r="A1525" s="31" t="s">
        <v>351</v>
      </c>
      <c r="B1525" s="31" t="s">
        <v>234</v>
      </c>
      <c r="C1525" s="31" t="s">
        <v>16</v>
      </c>
      <c r="D1525" s="31" t="s">
        <v>17</v>
      </c>
      <c r="E1525" s="31" t="s">
        <v>235</v>
      </c>
      <c r="F1525" s="31" t="s">
        <v>236</v>
      </c>
      <c r="G1525" s="25"/>
      <c r="H1525" s="11"/>
      <c r="I1525" s="21"/>
      <c r="J1525" s="21"/>
      <c r="K1525" s="21"/>
      <c r="L1525" s="21"/>
      <c r="M1525" s="21"/>
      <c r="N1525" s="21"/>
    </row>
    <row r="1526" spans="1:14" ht="15.75" customHeight="1" x14ac:dyDescent="0.25">
      <c r="A1526" s="7">
        <v>1</v>
      </c>
      <c r="B1526" s="41" t="s">
        <v>789</v>
      </c>
      <c r="C1526" s="7">
        <v>3</v>
      </c>
      <c r="D1526" s="7" t="s">
        <v>363</v>
      </c>
      <c r="E1526" s="104">
        <v>1859150</v>
      </c>
      <c r="F1526" s="104">
        <f>E1526*C1526</f>
        <v>5577450</v>
      </c>
      <c r="G1526" s="25"/>
      <c r="H1526" s="11"/>
      <c r="I1526" s="21"/>
      <c r="J1526" s="21"/>
      <c r="K1526" s="21"/>
      <c r="L1526" s="21"/>
      <c r="M1526" s="21"/>
      <c r="N1526" s="21"/>
    </row>
    <row r="1527" spans="1:14" ht="15.75" customHeight="1" x14ac:dyDescent="0.25">
      <c r="A1527" s="7">
        <v>2</v>
      </c>
      <c r="B1527" s="41" t="s">
        <v>790</v>
      </c>
      <c r="C1527" s="7">
        <v>1</v>
      </c>
      <c r="D1527" s="7" t="s">
        <v>363</v>
      </c>
      <c r="E1527" s="104">
        <v>1410750</v>
      </c>
      <c r="F1527" s="104">
        <f>E1527*C1527</f>
        <v>1410750</v>
      </c>
      <c r="G1527" s="25"/>
      <c r="H1527" s="11"/>
      <c r="I1527" s="21"/>
      <c r="J1527" s="21"/>
      <c r="K1527" s="21"/>
      <c r="L1527" s="21"/>
      <c r="M1527" s="21"/>
      <c r="N1527" s="21"/>
    </row>
    <row r="1528" spans="1:14" ht="15.75" customHeight="1" x14ac:dyDescent="0.25">
      <c r="A1528" s="7"/>
      <c r="B1528" s="343" t="s">
        <v>342</v>
      </c>
      <c r="C1528" s="344"/>
      <c r="D1528" s="344"/>
      <c r="E1528" s="334"/>
      <c r="F1528" s="104">
        <f>SUM(F1526:F1527)</f>
        <v>6988200</v>
      </c>
      <c r="G1528" s="25"/>
      <c r="H1528" s="11"/>
      <c r="I1528" s="21"/>
      <c r="J1528" s="21"/>
      <c r="K1528" s="21"/>
      <c r="L1528" s="21"/>
      <c r="M1528" s="21"/>
      <c r="N1528" s="21"/>
    </row>
    <row r="1529" spans="1:14" ht="15.75" customHeight="1" x14ac:dyDescent="0.25">
      <c r="A1529" s="7"/>
      <c r="B1529" s="343" t="s">
        <v>343</v>
      </c>
      <c r="C1529" s="344"/>
      <c r="D1529" s="344"/>
      <c r="E1529" s="334"/>
      <c r="F1529" s="104">
        <v>768702</v>
      </c>
      <c r="G1529" s="25"/>
      <c r="H1529" s="11"/>
      <c r="I1529" s="21"/>
      <c r="J1529" s="21"/>
      <c r="K1529" s="21"/>
      <c r="L1529" s="21"/>
      <c r="M1529" s="21"/>
      <c r="N1529" s="21"/>
    </row>
    <row r="1530" spans="1:14" ht="15.75" customHeight="1" x14ac:dyDescent="0.25">
      <c r="A1530" s="7"/>
      <c r="B1530" s="345" t="s">
        <v>344</v>
      </c>
      <c r="C1530" s="344"/>
      <c r="D1530" s="344"/>
      <c r="E1530" s="334"/>
      <c r="F1530" s="107">
        <f>SUM(F1528:F1529)</f>
        <v>7756902</v>
      </c>
      <c r="G1530" s="25"/>
      <c r="H1530" s="11"/>
      <c r="I1530" s="21"/>
      <c r="J1530" s="21"/>
      <c r="K1530" s="21"/>
      <c r="L1530" s="21"/>
      <c r="M1530" s="21"/>
      <c r="N1530" s="21"/>
    </row>
    <row r="1531" spans="1:14" ht="15.75" customHeight="1" x14ac:dyDescent="0.25">
      <c r="A1531" s="21"/>
      <c r="B1531" s="21"/>
      <c r="C1531" s="11"/>
      <c r="D1531" s="11"/>
      <c r="E1531" s="21"/>
      <c r="F1531" s="21"/>
      <c r="G1531" s="25"/>
      <c r="H1531" s="11"/>
      <c r="I1531" s="21"/>
      <c r="J1531" s="21"/>
      <c r="K1531" s="21"/>
      <c r="L1531" s="21"/>
      <c r="M1531" s="21"/>
      <c r="N1531" s="21"/>
    </row>
    <row r="1532" spans="1:14" ht="15.75" customHeight="1" x14ac:dyDescent="0.25">
      <c r="A1532" s="31" t="s">
        <v>14</v>
      </c>
      <c r="B1532" s="31" t="s">
        <v>234</v>
      </c>
      <c r="C1532" s="31" t="s">
        <v>16</v>
      </c>
      <c r="D1532" s="31" t="s">
        <v>17</v>
      </c>
      <c r="E1532" s="31" t="s">
        <v>235</v>
      </c>
      <c r="F1532" s="31" t="s">
        <v>236</v>
      </c>
      <c r="G1532" s="25"/>
      <c r="H1532" s="11"/>
      <c r="I1532" s="21"/>
      <c r="J1532" s="21"/>
      <c r="K1532" s="21"/>
      <c r="L1532" s="21"/>
      <c r="M1532" s="21"/>
      <c r="N1532" s="21"/>
    </row>
    <row r="1533" spans="1:14" ht="15.75" customHeight="1" x14ac:dyDescent="0.25">
      <c r="A1533" s="7">
        <v>1</v>
      </c>
      <c r="B1533" s="120" t="s">
        <v>791</v>
      </c>
      <c r="C1533" s="7">
        <v>1</v>
      </c>
      <c r="D1533" s="7" t="s">
        <v>243</v>
      </c>
      <c r="E1533" s="104">
        <v>2085500</v>
      </c>
      <c r="F1533" s="104">
        <f>E1533*C1533</f>
        <v>2085500</v>
      </c>
      <c r="G1533" s="25"/>
      <c r="H1533" s="11"/>
      <c r="I1533" s="21"/>
      <c r="J1533" s="21"/>
      <c r="K1533" s="21"/>
      <c r="L1533" s="21"/>
      <c r="M1533" s="21"/>
      <c r="N1533" s="21"/>
    </row>
    <row r="1534" spans="1:14" ht="15.75" customHeight="1" x14ac:dyDescent="0.25">
      <c r="A1534" s="7"/>
      <c r="B1534" s="343" t="s">
        <v>342</v>
      </c>
      <c r="C1534" s="344"/>
      <c r="D1534" s="344"/>
      <c r="E1534" s="334"/>
      <c r="F1534" s="104">
        <f>F1533</f>
        <v>2085500</v>
      </c>
      <c r="G1534" s="25"/>
      <c r="H1534" s="11"/>
      <c r="I1534" s="21"/>
      <c r="J1534" s="21"/>
      <c r="K1534" s="21"/>
      <c r="L1534" s="21"/>
      <c r="M1534" s="21"/>
      <c r="N1534" s="21"/>
    </row>
    <row r="1535" spans="1:14" ht="15.75" customHeight="1" x14ac:dyDescent="0.25">
      <c r="A1535" s="7"/>
      <c r="B1535" s="343" t="s">
        <v>343</v>
      </c>
      <c r="C1535" s="344"/>
      <c r="D1535" s="344"/>
      <c r="E1535" s="334"/>
      <c r="F1535" s="104">
        <v>229405</v>
      </c>
      <c r="G1535" s="25"/>
      <c r="H1535" s="11"/>
      <c r="I1535" s="21"/>
      <c r="J1535" s="21"/>
      <c r="K1535" s="21"/>
      <c r="L1535" s="21"/>
      <c r="M1535" s="21"/>
      <c r="N1535" s="21"/>
    </row>
    <row r="1536" spans="1:14" ht="15.75" customHeight="1" x14ac:dyDescent="0.25">
      <c r="A1536" s="7"/>
      <c r="B1536" s="345" t="s">
        <v>344</v>
      </c>
      <c r="C1536" s="344"/>
      <c r="D1536" s="344"/>
      <c r="E1536" s="334"/>
      <c r="F1536" s="107">
        <f>SUM(F1534:F1535)</f>
        <v>2314905</v>
      </c>
      <c r="G1536" s="25"/>
      <c r="H1536" s="11"/>
      <c r="I1536" s="21"/>
      <c r="J1536" s="21"/>
      <c r="K1536" s="21"/>
      <c r="L1536" s="21"/>
      <c r="M1536" s="21"/>
      <c r="N1536" s="21"/>
    </row>
    <row r="1537" spans="1:14" ht="15.75" customHeight="1" x14ac:dyDescent="0.25">
      <c r="A1537" s="21"/>
      <c r="B1537" s="21"/>
      <c r="C1537" s="11"/>
      <c r="D1537" s="11"/>
      <c r="E1537" s="21"/>
      <c r="F1537" s="21"/>
      <c r="G1537" s="25"/>
      <c r="H1537" s="11"/>
      <c r="I1537" s="21"/>
      <c r="J1537" s="21"/>
      <c r="K1537" s="21"/>
      <c r="L1537" s="21"/>
      <c r="M1537" s="21"/>
      <c r="N1537" s="21"/>
    </row>
    <row r="1538" spans="1:14" ht="15.75" customHeight="1" x14ac:dyDescent="0.25">
      <c r="A1538" s="31" t="s">
        <v>14</v>
      </c>
      <c r="B1538" s="31" t="s">
        <v>234</v>
      </c>
      <c r="C1538" s="31" t="s">
        <v>16</v>
      </c>
      <c r="D1538" s="31" t="s">
        <v>17</v>
      </c>
      <c r="E1538" s="31" t="s">
        <v>235</v>
      </c>
      <c r="F1538" s="31" t="s">
        <v>236</v>
      </c>
      <c r="G1538" s="25"/>
      <c r="H1538" s="11"/>
      <c r="I1538" s="21"/>
      <c r="J1538" s="21"/>
      <c r="K1538" s="21"/>
      <c r="L1538" s="21"/>
      <c r="M1538" s="21"/>
      <c r="N1538" s="21"/>
    </row>
    <row r="1539" spans="1:14" ht="15.75" customHeight="1" x14ac:dyDescent="0.25">
      <c r="A1539" s="7">
        <v>1</v>
      </c>
      <c r="B1539" s="120" t="s">
        <v>792</v>
      </c>
      <c r="C1539" s="7">
        <v>1</v>
      </c>
      <c r="D1539" s="7" t="s">
        <v>363</v>
      </c>
      <c r="E1539" s="104">
        <v>210000</v>
      </c>
      <c r="F1539" s="104">
        <f>E1539*C1539</f>
        <v>210000</v>
      </c>
      <c r="G1539" s="25"/>
      <c r="H1539" s="11"/>
      <c r="I1539" s="21"/>
      <c r="J1539" s="21"/>
      <c r="K1539" s="21"/>
      <c r="L1539" s="21"/>
      <c r="M1539" s="21"/>
      <c r="N1539" s="21"/>
    </row>
    <row r="1540" spans="1:14" ht="15.75" customHeight="1" x14ac:dyDescent="0.25">
      <c r="A1540" s="7"/>
      <c r="B1540" s="343" t="s">
        <v>342</v>
      </c>
      <c r="C1540" s="344"/>
      <c r="D1540" s="344"/>
      <c r="E1540" s="334"/>
      <c r="F1540" s="104">
        <f>F1539</f>
        <v>210000</v>
      </c>
      <c r="G1540" s="25"/>
      <c r="H1540" s="11"/>
      <c r="I1540" s="21"/>
      <c r="J1540" s="21"/>
      <c r="K1540" s="21"/>
      <c r="L1540" s="21"/>
      <c r="M1540" s="21"/>
      <c r="N1540" s="21"/>
    </row>
    <row r="1541" spans="1:14" ht="15.75" customHeight="1" x14ac:dyDescent="0.25">
      <c r="A1541" s="7"/>
      <c r="B1541" s="343" t="s">
        <v>343</v>
      </c>
      <c r="C1541" s="344"/>
      <c r="D1541" s="344"/>
      <c r="E1541" s="334"/>
      <c r="F1541" s="104">
        <v>23100</v>
      </c>
      <c r="G1541" s="25"/>
      <c r="H1541" s="11"/>
      <c r="I1541" s="21"/>
      <c r="J1541" s="21"/>
      <c r="K1541" s="21"/>
      <c r="L1541" s="21"/>
      <c r="M1541" s="21"/>
      <c r="N1541" s="21"/>
    </row>
    <row r="1542" spans="1:14" ht="15.75" customHeight="1" x14ac:dyDescent="0.25">
      <c r="A1542" s="7"/>
      <c r="B1542" s="345" t="s">
        <v>344</v>
      </c>
      <c r="C1542" s="344"/>
      <c r="D1542" s="344"/>
      <c r="E1542" s="334"/>
      <c r="F1542" s="107">
        <f>SUM(F1540:F1541)</f>
        <v>233100</v>
      </c>
      <c r="G1542" s="25"/>
      <c r="H1542" s="11"/>
      <c r="I1542" s="21"/>
      <c r="J1542" s="21"/>
      <c r="K1542" s="21"/>
      <c r="L1542" s="21"/>
      <c r="M1542" s="21"/>
      <c r="N1542" s="21"/>
    </row>
    <row r="1543" spans="1:14" ht="15.75" customHeight="1" x14ac:dyDescent="0.25">
      <c r="A1543" s="21"/>
      <c r="B1543" s="21"/>
      <c r="C1543" s="11"/>
      <c r="D1543" s="11"/>
      <c r="E1543" s="21"/>
      <c r="F1543" s="21"/>
      <c r="G1543" s="25"/>
      <c r="H1543" s="11"/>
      <c r="I1543" s="21"/>
      <c r="J1543" s="21"/>
      <c r="K1543" s="21"/>
      <c r="L1543" s="21"/>
      <c r="M1543" s="21"/>
      <c r="N1543" s="21"/>
    </row>
    <row r="1544" spans="1:14" ht="15.75" customHeight="1" x14ac:dyDescent="0.25">
      <c r="A1544" s="31" t="s">
        <v>14</v>
      </c>
      <c r="B1544" s="31" t="s">
        <v>234</v>
      </c>
      <c r="C1544" s="31" t="s">
        <v>16</v>
      </c>
      <c r="D1544" s="31" t="s">
        <v>17</v>
      </c>
      <c r="E1544" s="31" t="s">
        <v>235</v>
      </c>
      <c r="F1544" s="31" t="s">
        <v>236</v>
      </c>
      <c r="G1544" s="25"/>
      <c r="H1544" s="11"/>
      <c r="I1544" s="21"/>
      <c r="J1544" s="21"/>
      <c r="K1544" s="21"/>
      <c r="L1544" s="21"/>
      <c r="M1544" s="21"/>
      <c r="N1544" s="21"/>
    </row>
    <row r="1545" spans="1:14" ht="15.75" customHeight="1" x14ac:dyDescent="0.25">
      <c r="A1545" s="7">
        <v>1</v>
      </c>
      <c r="B1545" s="120" t="s">
        <v>792</v>
      </c>
      <c r="C1545" s="7">
        <v>2</v>
      </c>
      <c r="D1545" s="7" t="s">
        <v>363</v>
      </c>
      <c r="E1545" s="104">
        <v>210000</v>
      </c>
      <c r="F1545" s="104">
        <f>E1545*C1545</f>
        <v>420000</v>
      </c>
      <c r="G1545" s="25"/>
      <c r="H1545" s="11"/>
      <c r="I1545" s="21"/>
      <c r="J1545" s="21"/>
      <c r="K1545" s="21"/>
      <c r="L1545" s="21"/>
      <c r="M1545" s="21"/>
      <c r="N1545" s="21"/>
    </row>
    <row r="1546" spans="1:14" ht="15.75" customHeight="1" x14ac:dyDescent="0.25">
      <c r="A1546" s="7"/>
      <c r="B1546" s="343" t="s">
        <v>342</v>
      </c>
      <c r="C1546" s="344"/>
      <c r="D1546" s="344"/>
      <c r="E1546" s="334"/>
      <c r="F1546" s="104">
        <f>F1545</f>
        <v>420000</v>
      </c>
      <c r="G1546" s="25"/>
      <c r="H1546" s="11"/>
      <c r="I1546" s="21"/>
      <c r="J1546" s="21"/>
      <c r="K1546" s="21"/>
      <c r="L1546" s="21"/>
      <c r="M1546" s="21"/>
      <c r="N1546" s="21"/>
    </row>
    <row r="1547" spans="1:14" ht="15.75" customHeight="1" x14ac:dyDescent="0.25">
      <c r="A1547" s="7"/>
      <c r="B1547" s="343" t="s">
        <v>343</v>
      </c>
      <c r="C1547" s="344"/>
      <c r="D1547" s="344"/>
      <c r="E1547" s="334"/>
      <c r="F1547" s="104">
        <v>46200</v>
      </c>
      <c r="G1547" s="25"/>
      <c r="H1547" s="11"/>
      <c r="I1547" s="21"/>
      <c r="J1547" s="21"/>
      <c r="K1547" s="21"/>
      <c r="L1547" s="21"/>
      <c r="M1547" s="21"/>
      <c r="N1547" s="21"/>
    </row>
    <row r="1548" spans="1:14" ht="15.75" customHeight="1" x14ac:dyDescent="0.25">
      <c r="A1548" s="7"/>
      <c r="B1548" s="345" t="s">
        <v>344</v>
      </c>
      <c r="C1548" s="344"/>
      <c r="D1548" s="344"/>
      <c r="E1548" s="334"/>
      <c r="F1548" s="107">
        <f>SUM(F1546:F1547)</f>
        <v>466200</v>
      </c>
      <c r="G1548" s="25"/>
      <c r="H1548" s="11"/>
      <c r="I1548" s="21"/>
      <c r="J1548" s="21"/>
      <c r="K1548" s="21"/>
      <c r="L1548" s="21"/>
      <c r="M1548" s="21"/>
      <c r="N1548" s="21"/>
    </row>
    <row r="1549" spans="1:14" ht="15.75" customHeight="1" x14ac:dyDescent="0.25">
      <c r="A1549" s="21"/>
      <c r="B1549" s="21"/>
      <c r="C1549" s="11"/>
      <c r="D1549" s="11"/>
      <c r="E1549" s="21"/>
      <c r="F1549" s="21"/>
      <c r="G1549" s="25"/>
      <c r="H1549" s="11"/>
      <c r="I1549" s="21"/>
      <c r="J1549" s="21"/>
      <c r="K1549" s="21"/>
      <c r="L1549" s="21"/>
      <c r="M1549" s="21"/>
      <c r="N1549" s="21"/>
    </row>
    <row r="1550" spans="1:14" ht="15.75" customHeight="1" x14ac:dyDescent="0.25">
      <c r="A1550" s="31" t="s">
        <v>14</v>
      </c>
      <c r="B1550" s="31" t="s">
        <v>234</v>
      </c>
      <c r="C1550" s="31" t="s">
        <v>16</v>
      </c>
      <c r="D1550" s="31" t="s">
        <v>17</v>
      </c>
      <c r="E1550" s="31" t="s">
        <v>235</v>
      </c>
      <c r="F1550" s="31" t="s">
        <v>236</v>
      </c>
      <c r="G1550" s="25"/>
      <c r="H1550" s="11"/>
      <c r="I1550" s="21"/>
      <c r="J1550" s="21"/>
      <c r="K1550" s="21"/>
      <c r="L1550" s="21"/>
      <c r="M1550" s="21"/>
      <c r="N1550" s="21"/>
    </row>
    <row r="1551" spans="1:14" ht="15.75" customHeight="1" x14ac:dyDescent="0.25">
      <c r="A1551" s="7">
        <v>1</v>
      </c>
      <c r="B1551" s="120" t="s">
        <v>793</v>
      </c>
      <c r="C1551" s="7">
        <v>1</v>
      </c>
      <c r="D1551" s="7" t="s">
        <v>243</v>
      </c>
      <c r="E1551" s="104">
        <v>2085500</v>
      </c>
      <c r="F1551" s="104">
        <f>E1551*C1551</f>
        <v>2085500</v>
      </c>
      <c r="G1551" s="25"/>
      <c r="H1551" s="11"/>
      <c r="I1551" s="21"/>
      <c r="J1551" s="21"/>
      <c r="K1551" s="21"/>
      <c r="L1551" s="21"/>
      <c r="M1551" s="21"/>
      <c r="N1551" s="21"/>
    </row>
    <row r="1552" spans="1:14" ht="15.75" customHeight="1" x14ac:dyDescent="0.25">
      <c r="A1552" s="7"/>
      <c r="B1552" s="343" t="s">
        <v>342</v>
      </c>
      <c r="C1552" s="344"/>
      <c r="D1552" s="344"/>
      <c r="E1552" s="334"/>
      <c r="F1552" s="104">
        <f>F1551</f>
        <v>2085500</v>
      </c>
      <c r="G1552" s="25"/>
      <c r="H1552" s="11"/>
      <c r="I1552" s="21"/>
      <c r="J1552" s="21"/>
      <c r="K1552" s="21"/>
      <c r="L1552" s="21"/>
      <c r="M1552" s="21"/>
      <c r="N1552" s="21"/>
    </row>
    <row r="1553" spans="1:14" ht="15.75" customHeight="1" x14ac:dyDescent="0.25">
      <c r="A1553" s="7"/>
      <c r="B1553" s="343" t="s">
        <v>343</v>
      </c>
      <c r="C1553" s="344"/>
      <c r="D1553" s="344"/>
      <c r="E1553" s="334"/>
      <c r="F1553" s="104">
        <v>229405</v>
      </c>
      <c r="G1553" s="25"/>
      <c r="H1553" s="11"/>
      <c r="I1553" s="21"/>
      <c r="J1553" s="21"/>
      <c r="K1553" s="21"/>
      <c r="L1553" s="21"/>
      <c r="M1553" s="21"/>
      <c r="N1553" s="21"/>
    </row>
    <row r="1554" spans="1:14" ht="15.75" customHeight="1" x14ac:dyDescent="0.25">
      <c r="A1554" s="7"/>
      <c r="B1554" s="345" t="s">
        <v>344</v>
      </c>
      <c r="C1554" s="344"/>
      <c r="D1554" s="344"/>
      <c r="E1554" s="334"/>
      <c r="F1554" s="107">
        <f>SUM(F1552:F1553)</f>
        <v>2314905</v>
      </c>
      <c r="G1554" s="25"/>
      <c r="H1554" s="11"/>
      <c r="I1554" s="21"/>
      <c r="J1554" s="21"/>
      <c r="K1554" s="21"/>
      <c r="L1554" s="21"/>
      <c r="M1554" s="21"/>
      <c r="N1554" s="21"/>
    </row>
    <row r="1555" spans="1:14" ht="15.75" customHeight="1" x14ac:dyDescent="0.25">
      <c r="A1555" s="21"/>
      <c r="B1555" s="21"/>
      <c r="C1555" s="11"/>
      <c r="D1555" s="11"/>
      <c r="E1555" s="21"/>
      <c r="F1555" s="21"/>
      <c r="G1555" s="25"/>
      <c r="H1555" s="11"/>
      <c r="I1555" s="21"/>
      <c r="J1555" s="21"/>
      <c r="K1555" s="21"/>
      <c r="L1555" s="21"/>
      <c r="M1555" s="21"/>
      <c r="N1555" s="21"/>
    </row>
    <row r="1556" spans="1:14" ht="15.75" customHeight="1" x14ac:dyDescent="0.25">
      <c r="A1556" s="31" t="s">
        <v>14</v>
      </c>
      <c r="B1556" s="31" t="s">
        <v>234</v>
      </c>
      <c r="C1556" s="31" t="s">
        <v>16</v>
      </c>
      <c r="D1556" s="31" t="s">
        <v>17</v>
      </c>
      <c r="E1556" s="31" t="s">
        <v>235</v>
      </c>
      <c r="F1556" s="31" t="s">
        <v>236</v>
      </c>
      <c r="G1556" s="25"/>
      <c r="H1556" s="11"/>
      <c r="I1556" s="21"/>
      <c r="J1556" s="21"/>
      <c r="K1556" s="21"/>
      <c r="L1556" s="21"/>
      <c r="M1556" s="21"/>
      <c r="N1556" s="21"/>
    </row>
    <row r="1557" spans="1:14" ht="15.75" customHeight="1" x14ac:dyDescent="0.25">
      <c r="A1557" s="7">
        <v>1</v>
      </c>
      <c r="B1557" s="120" t="s">
        <v>794</v>
      </c>
      <c r="C1557" s="7">
        <v>2</v>
      </c>
      <c r="D1557" s="7" t="s">
        <v>363</v>
      </c>
      <c r="E1557" s="104">
        <v>850000</v>
      </c>
      <c r="F1557" s="104">
        <f>E1557*C1557</f>
        <v>1700000</v>
      </c>
      <c r="G1557" s="25"/>
      <c r="H1557" s="11"/>
      <c r="I1557" s="21"/>
      <c r="J1557" s="21"/>
      <c r="K1557" s="21"/>
      <c r="L1557" s="21"/>
      <c r="M1557" s="21"/>
      <c r="N1557" s="21"/>
    </row>
    <row r="1558" spans="1:14" ht="15.75" customHeight="1" x14ac:dyDescent="0.25">
      <c r="A1558" s="7"/>
      <c r="B1558" s="343" t="s">
        <v>342</v>
      </c>
      <c r="C1558" s="344"/>
      <c r="D1558" s="344"/>
      <c r="E1558" s="334"/>
      <c r="F1558" s="104">
        <f>F1557</f>
        <v>1700000</v>
      </c>
      <c r="G1558" s="25"/>
      <c r="H1558" s="11"/>
      <c r="I1558" s="21"/>
      <c r="J1558" s="21"/>
      <c r="K1558" s="21"/>
      <c r="L1558" s="21"/>
      <c r="M1558" s="21"/>
      <c r="N1558" s="21"/>
    </row>
    <row r="1559" spans="1:14" ht="15.75" customHeight="1" x14ac:dyDescent="0.25">
      <c r="A1559" s="7"/>
      <c r="B1559" s="343" t="s">
        <v>343</v>
      </c>
      <c r="C1559" s="344"/>
      <c r="D1559" s="344"/>
      <c r="E1559" s="334"/>
      <c r="F1559" s="104">
        <v>187000</v>
      </c>
      <c r="G1559" s="25"/>
      <c r="H1559" s="11"/>
      <c r="I1559" s="21"/>
      <c r="J1559" s="21"/>
      <c r="K1559" s="21"/>
      <c r="L1559" s="21"/>
      <c r="M1559" s="21"/>
      <c r="N1559" s="21"/>
    </row>
    <row r="1560" spans="1:14" ht="15.75" customHeight="1" x14ac:dyDescent="0.25">
      <c r="A1560" s="7"/>
      <c r="B1560" s="345" t="s">
        <v>344</v>
      </c>
      <c r="C1560" s="344"/>
      <c r="D1560" s="344"/>
      <c r="E1560" s="334"/>
      <c r="F1560" s="107">
        <f>SUM(F1558:F1559)</f>
        <v>1887000</v>
      </c>
      <c r="G1560" s="25"/>
      <c r="H1560" s="11"/>
      <c r="I1560" s="21"/>
      <c r="J1560" s="21"/>
      <c r="K1560" s="21"/>
      <c r="L1560" s="21"/>
      <c r="M1560" s="21"/>
      <c r="N1560" s="21"/>
    </row>
    <row r="1561" spans="1:14" ht="15.75" customHeight="1" x14ac:dyDescent="0.25">
      <c r="A1561" s="21"/>
      <c r="B1561" s="21"/>
      <c r="C1561" s="11"/>
      <c r="D1561" s="11"/>
      <c r="E1561" s="21"/>
      <c r="F1561" s="21"/>
      <c r="G1561" s="25"/>
      <c r="H1561" s="11"/>
      <c r="I1561" s="21"/>
      <c r="J1561" s="21"/>
      <c r="K1561" s="21"/>
      <c r="L1561" s="21"/>
      <c r="M1561" s="21"/>
      <c r="N1561" s="21"/>
    </row>
    <row r="1562" spans="1:14" ht="15.75" customHeight="1" x14ac:dyDescent="0.25">
      <c r="A1562" s="31" t="s">
        <v>14</v>
      </c>
      <c r="B1562" s="31" t="s">
        <v>234</v>
      </c>
      <c r="C1562" s="31" t="s">
        <v>16</v>
      </c>
      <c r="D1562" s="31" t="s">
        <v>17</v>
      </c>
      <c r="E1562" s="31" t="s">
        <v>235</v>
      </c>
      <c r="F1562" s="31" t="s">
        <v>236</v>
      </c>
      <c r="G1562" s="25"/>
      <c r="H1562" s="11"/>
      <c r="I1562" s="21"/>
      <c r="J1562" s="21"/>
      <c r="K1562" s="21"/>
      <c r="L1562" s="21"/>
      <c r="M1562" s="21"/>
      <c r="N1562" s="21"/>
    </row>
    <row r="1563" spans="1:14" ht="15.75" customHeight="1" x14ac:dyDescent="0.25">
      <c r="A1563" s="7">
        <v>1</v>
      </c>
      <c r="B1563" s="120" t="s">
        <v>795</v>
      </c>
      <c r="C1563" s="7">
        <v>5</v>
      </c>
      <c r="D1563" s="7" t="s">
        <v>363</v>
      </c>
      <c r="E1563" s="104">
        <v>735000</v>
      </c>
      <c r="F1563" s="104">
        <f>E1563*C1563</f>
        <v>3675000</v>
      </c>
      <c r="G1563" s="25"/>
      <c r="H1563" s="11"/>
      <c r="I1563" s="21"/>
      <c r="J1563" s="21"/>
      <c r="K1563" s="21"/>
      <c r="L1563" s="21"/>
      <c r="M1563" s="21"/>
      <c r="N1563" s="21"/>
    </row>
    <row r="1564" spans="1:14" ht="15.75" customHeight="1" x14ac:dyDescent="0.25">
      <c r="A1564" s="7"/>
      <c r="B1564" s="343" t="s">
        <v>342</v>
      </c>
      <c r="C1564" s="344"/>
      <c r="D1564" s="344"/>
      <c r="E1564" s="334"/>
      <c r="F1564" s="104">
        <f>F1563</f>
        <v>3675000</v>
      </c>
      <c r="G1564" s="25"/>
      <c r="H1564" s="11"/>
      <c r="I1564" s="21"/>
      <c r="J1564" s="21"/>
      <c r="K1564" s="21"/>
      <c r="L1564" s="21"/>
      <c r="M1564" s="21"/>
      <c r="N1564" s="21"/>
    </row>
    <row r="1565" spans="1:14" ht="15.75" customHeight="1" x14ac:dyDescent="0.25">
      <c r="A1565" s="7"/>
      <c r="B1565" s="343" t="s">
        <v>343</v>
      </c>
      <c r="C1565" s="344"/>
      <c r="D1565" s="344"/>
      <c r="E1565" s="334"/>
      <c r="F1565" s="104">
        <v>404250</v>
      </c>
      <c r="G1565" s="25"/>
      <c r="H1565" s="11"/>
      <c r="I1565" s="21"/>
      <c r="J1565" s="21"/>
      <c r="K1565" s="21"/>
      <c r="L1565" s="21"/>
      <c r="M1565" s="21"/>
      <c r="N1565" s="21"/>
    </row>
    <row r="1566" spans="1:14" ht="15.75" customHeight="1" x14ac:dyDescent="0.25">
      <c r="A1566" s="7"/>
      <c r="B1566" s="345" t="s">
        <v>344</v>
      </c>
      <c r="C1566" s="344"/>
      <c r="D1566" s="344"/>
      <c r="E1566" s="334"/>
      <c r="F1566" s="107">
        <f>SUM(F1564:F1565)</f>
        <v>4079250</v>
      </c>
      <c r="G1566" s="25"/>
      <c r="H1566" s="11"/>
      <c r="I1566" s="21"/>
      <c r="J1566" s="21"/>
      <c r="K1566" s="21"/>
      <c r="L1566" s="21"/>
      <c r="M1566" s="21"/>
      <c r="N1566" s="21"/>
    </row>
    <row r="1567" spans="1:14" ht="15.75" customHeight="1" x14ac:dyDescent="0.25">
      <c r="A1567" s="21"/>
      <c r="B1567" s="21"/>
      <c r="C1567" s="11"/>
      <c r="D1567" s="11"/>
      <c r="E1567" s="21"/>
      <c r="F1567" s="21"/>
      <c r="G1567" s="25"/>
      <c r="H1567" s="11"/>
      <c r="I1567" s="21"/>
      <c r="J1567" s="21"/>
      <c r="K1567" s="21"/>
      <c r="L1567" s="21"/>
      <c r="M1567" s="21"/>
      <c r="N1567" s="21"/>
    </row>
    <row r="1568" spans="1:14" ht="15.75" customHeight="1" x14ac:dyDescent="0.25">
      <c r="A1568" s="31" t="s">
        <v>14</v>
      </c>
      <c r="B1568" s="31" t="s">
        <v>234</v>
      </c>
      <c r="C1568" s="31" t="s">
        <v>16</v>
      </c>
      <c r="D1568" s="31" t="s">
        <v>17</v>
      </c>
      <c r="E1568" s="31" t="s">
        <v>235</v>
      </c>
      <c r="F1568" s="31" t="s">
        <v>236</v>
      </c>
      <c r="G1568" s="25"/>
      <c r="H1568" s="11"/>
      <c r="I1568" s="21"/>
      <c r="J1568" s="21"/>
      <c r="K1568" s="21"/>
      <c r="L1568" s="21"/>
      <c r="M1568" s="21"/>
      <c r="N1568" s="21"/>
    </row>
    <row r="1569" spans="1:14" ht="15.75" customHeight="1" x14ac:dyDescent="0.25">
      <c r="A1569" s="7">
        <v>1</v>
      </c>
      <c r="B1569" s="120" t="s">
        <v>796</v>
      </c>
      <c r="C1569" s="7">
        <v>3</v>
      </c>
      <c r="D1569" s="7" t="s">
        <v>363</v>
      </c>
      <c r="E1569" s="104">
        <v>123120</v>
      </c>
      <c r="F1569" s="104">
        <f>E1569*C1569</f>
        <v>369360</v>
      </c>
      <c r="G1569" s="25"/>
      <c r="H1569" s="11"/>
      <c r="I1569" s="21"/>
      <c r="J1569" s="21"/>
      <c r="K1569" s="21"/>
      <c r="L1569" s="21"/>
      <c r="M1569" s="21"/>
      <c r="N1569" s="21"/>
    </row>
    <row r="1570" spans="1:14" ht="15.75" customHeight="1" x14ac:dyDescent="0.25">
      <c r="A1570" s="7"/>
      <c r="B1570" s="343" t="s">
        <v>342</v>
      </c>
      <c r="C1570" s="344"/>
      <c r="D1570" s="344"/>
      <c r="E1570" s="334"/>
      <c r="F1570" s="104">
        <f>F1569</f>
        <v>369360</v>
      </c>
      <c r="G1570" s="25"/>
      <c r="H1570" s="11"/>
      <c r="I1570" s="21"/>
      <c r="J1570" s="21"/>
      <c r="K1570" s="21"/>
      <c r="L1570" s="21"/>
      <c r="M1570" s="21"/>
      <c r="N1570" s="21"/>
    </row>
    <row r="1571" spans="1:14" ht="15.75" customHeight="1" x14ac:dyDescent="0.25">
      <c r="A1571" s="7"/>
      <c r="B1571" s="343" t="s">
        <v>343</v>
      </c>
      <c r="C1571" s="344"/>
      <c r="D1571" s="344"/>
      <c r="E1571" s="334"/>
      <c r="F1571" s="108">
        <v>40629.599999999999</v>
      </c>
      <c r="G1571" s="25"/>
      <c r="H1571" s="11"/>
      <c r="I1571" s="21"/>
      <c r="J1571" s="21"/>
      <c r="K1571" s="21"/>
      <c r="L1571" s="21"/>
      <c r="M1571" s="21"/>
      <c r="N1571" s="21"/>
    </row>
    <row r="1572" spans="1:14" ht="15.75" customHeight="1" x14ac:dyDescent="0.25">
      <c r="A1572" s="7"/>
      <c r="B1572" s="345" t="s">
        <v>344</v>
      </c>
      <c r="C1572" s="344"/>
      <c r="D1572" s="344"/>
      <c r="E1572" s="334"/>
      <c r="F1572" s="109">
        <f>SUM(F1570:F1571)</f>
        <v>409989.6</v>
      </c>
      <c r="G1572" s="25"/>
      <c r="H1572" s="11"/>
      <c r="I1572" s="21"/>
      <c r="J1572" s="21"/>
      <c r="K1572" s="21"/>
      <c r="L1572" s="21"/>
      <c r="M1572" s="21"/>
      <c r="N1572" s="21"/>
    </row>
    <row r="1573" spans="1:14" ht="15.75" customHeight="1" x14ac:dyDescent="0.25">
      <c r="A1573" s="21"/>
      <c r="B1573" s="21"/>
      <c r="C1573" s="11"/>
      <c r="D1573" s="11"/>
      <c r="E1573" s="21"/>
      <c r="F1573" s="21"/>
      <c r="G1573" s="25"/>
      <c r="H1573" s="11"/>
      <c r="I1573" s="21"/>
      <c r="J1573" s="21"/>
      <c r="K1573" s="21"/>
      <c r="L1573" s="21"/>
      <c r="M1573" s="21"/>
      <c r="N1573" s="21"/>
    </row>
    <row r="1574" spans="1:14" ht="15.75" customHeight="1" x14ac:dyDescent="0.25">
      <c r="A1574" s="31" t="s">
        <v>14</v>
      </c>
      <c r="B1574" s="31" t="s">
        <v>234</v>
      </c>
      <c r="C1574" s="31" t="s">
        <v>16</v>
      </c>
      <c r="D1574" s="31" t="s">
        <v>17</v>
      </c>
      <c r="E1574" s="31" t="s">
        <v>235</v>
      </c>
      <c r="F1574" s="31" t="s">
        <v>236</v>
      </c>
      <c r="G1574" s="25"/>
      <c r="H1574" s="11"/>
      <c r="I1574" s="21"/>
      <c r="J1574" s="21"/>
      <c r="K1574" s="21"/>
      <c r="L1574" s="21"/>
      <c r="M1574" s="21"/>
      <c r="N1574" s="21"/>
    </row>
    <row r="1575" spans="1:14" ht="15.75" customHeight="1" x14ac:dyDescent="0.25">
      <c r="A1575" s="7">
        <v>1</v>
      </c>
      <c r="B1575" s="124" t="s">
        <v>797</v>
      </c>
      <c r="C1575" s="129">
        <v>6</v>
      </c>
      <c r="D1575" s="7" t="s">
        <v>363</v>
      </c>
      <c r="E1575" s="130">
        <v>155000</v>
      </c>
      <c r="F1575" s="130">
        <f>E1575*C1575</f>
        <v>930000</v>
      </c>
      <c r="G1575" s="25"/>
      <c r="H1575" s="11"/>
      <c r="I1575" s="21"/>
      <c r="J1575" s="21"/>
      <c r="K1575" s="21"/>
      <c r="L1575" s="21"/>
      <c r="M1575" s="21"/>
      <c r="N1575" s="21"/>
    </row>
    <row r="1576" spans="1:14" ht="15.75" customHeight="1" x14ac:dyDescent="0.25">
      <c r="A1576" s="7">
        <v>2</v>
      </c>
      <c r="B1576" s="120" t="s">
        <v>798</v>
      </c>
      <c r="C1576" s="129">
        <v>6</v>
      </c>
      <c r="D1576" s="7" t="s">
        <v>363</v>
      </c>
      <c r="E1576" s="130">
        <v>120000</v>
      </c>
      <c r="F1576" s="130">
        <f>E1576*C1576</f>
        <v>720000</v>
      </c>
      <c r="G1576" s="25"/>
      <c r="H1576" s="11"/>
      <c r="I1576" s="21"/>
      <c r="J1576" s="21"/>
      <c r="K1576" s="21"/>
      <c r="L1576" s="21"/>
      <c r="M1576" s="21"/>
      <c r="N1576" s="21"/>
    </row>
    <row r="1577" spans="1:14" ht="15.75" customHeight="1" x14ac:dyDescent="0.25">
      <c r="A1577" s="7">
        <v>3</v>
      </c>
      <c r="B1577" s="131" t="s">
        <v>799</v>
      </c>
      <c r="C1577" s="129">
        <v>33</v>
      </c>
      <c r="D1577" s="7" t="s">
        <v>363</v>
      </c>
      <c r="E1577" s="130">
        <v>85000</v>
      </c>
      <c r="F1577" s="130">
        <f>E1577*C1577</f>
        <v>2805000</v>
      </c>
      <c r="G1577" s="25"/>
      <c r="H1577" s="11"/>
      <c r="I1577" s="21"/>
      <c r="J1577" s="21"/>
      <c r="K1577" s="21"/>
      <c r="L1577" s="21"/>
      <c r="M1577" s="21"/>
      <c r="N1577" s="21"/>
    </row>
    <row r="1578" spans="1:14" ht="15.75" customHeight="1" x14ac:dyDescent="0.25">
      <c r="A1578" s="7"/>
      <c r="B1578" s="343" t="s">
        <v>342</v>
      </c>
      <c r="C1578" s="344"/>
      <c r="D1578" s="344"/>
      <c r="E1578" s="334"/>
      <c r="F1578" s="104">
        <f>SUM(F1575:F1577)</f>
        <v>4455000</v>
      </c>
      <c r="G1578" s="25"/>
      <c r="H1578" s="11"/>
      <c r="I1578" s="21"/>
      <c r="J1578" s="21"/>
      <c r="K1578" s="21"/>
      <c r="L1578" s="21"/>
      <c r="M1578" s="21"/>
      <c r="N1578" s="21"/>
    </row>
    <row r="1579" spans="1:14" ht="15.75" customHeight="1" x14ac:dyDescent="0.25">
      <c r="A1579" s="7"/>
      <c r="B1579" s="343" t="s">
        <v>343</v>
      </c>
      <c r="C1579" s="344"/>
      <c r="D1579" s="344"/>
      <c r="E1579" s="334"/>
      <c r="F1579" s="104">
        <v>490050</v>
      </c>
      <c r="G1579" s="25"/>
      <c r="H1579" s="11"/>
      <c r="I1579" s="21"/>
      <c r="J1579" s="21"/>
      <c r="K1579" s="21"/>
      <c r="L1579" s="21"/>
      <c r="M1579" s="21"/>
      <c r="N1579" s="21"/>
    </row>
    <row r="1580" spans="1:14" ht="15.75" customHeight="1" x14ac:dyDescent="0.25">
      <c r="A1580" s="7"/>
      <c r="B1580" s="345" t="s">
        <v>344</v>
      </c>
      <c r="C1580" s="344"/>
      <c r="D1580" s="344"/>
      <c r="E1580" s="334"/>
      <c r="F1580" s="107">
        <f>SUM(F1578:F1579)</f>
        <v>4945050</v>
      </c>
      <c r="G1580" s="25"/>
      <c r="H1580" s="11"/>
      <c r="I1580" s="21"/>
      <c r="J1580" s="21"/>
      <c r="K1580" s="21"/>
      <c r="L1580" s="21"/>
      <c r="M1580" s="21"/>
      <c r="N1580" s="21"/>
    </row>
    <row r="1581" spans="1:14" ht="15.75" customHeight="1" x14ac:dyDescent="0.25">
      <c r="A1581" s="21"/>
      <c r="B1581" s="21"/>
      <c r="C1581" s="11"/>
      <c r="D1581" s="11"/>
      <c r="E1581" s="21"/>
      <c r="F1581" s="21"/>
      <c r="G1581" s="25"/>
      <c r="H1581" s="11"/>
      <c r="I1581" s="21"/>
      <c r="J1581" s="21"/>
      <c r="K1581" s="21"/>
      <c r="L1581" s="21"/>
      <c r="M1581" s="21"/>
      <c r="N1581" s="21"/>
    </row>
    <row r="1582" spans="1:14" ht="15.75" customHeight="1" x14ac:dyDescent="0.25">
      <c r="A1582" s="31" t="s">
        <v>14</v>
      </c>
      <c r="B1582" s="31" t="s">
        <v>234</v>
      </c>
      <c r="C1582" s="31" t="s">
        <v>16</v>
      </c>
      <c r="D1582" s="31" t="s">
        <v>17</v>
      </c>
      <c r="E1582" s="31" t="s">
        <v>235</v>
      </c>
      <c r="F1582" s="31" t="s">
        <v>236</v>
      </c>
      <c r="G1582" s="25"/>
      <c r="H1582" s="11"/>
      <c r="I1582" s="21"/>
      <c r="J1582" s="21"/>
      <c r="K1582" s="21"/>
      <c r="L1582" s="21"/>
      <c r="M1582" s="21"/>
      <c r="N1582" s="21"/>
    </row>
    <row r="1583" spans="1:14" ht="15.75" customHeight="1" x14ac:dyDescent="0.25">
      <c r="A1583" s="7">
        <v>1</v>
      </c>
      <c r="B1583" s="120" t="s">
        <v>800</v>
      </c>
      <c r="C1583" s="7">
        <v>1</v>
      </c>
      <c r="D1583" s="7" t="s">
        <v>412</v>
      </c>
      <c r="E1583" s="104">
        <v>3000000</v>
      </c>
      <c r="F1583" s="104">
        <f>E1583*C1583</f>
        <v>3000000</v>
      </c>
      <c r="G1583" s="25"/>
      <c r="H1583" s="11"/>
      <c r="I1583" s="21"/>
      <c r="J1583" s="21"/>
      <c r="K1583" s="21"/>
      <c r="L1583" s="21"/>
      <c r="M1583" s="21"/>
      <c r="N1583" s="21"/>
    </row>
    <row r="1584" spans="1:14" ht="15.75" customHeight="1" x14ac:dyDescent="0.25">
      <c r="A1584" s="7"/>
      <c r="B1584" s="343" t="s">
        <v>342</v>
      </c>
      <c r="C1584" s="344"/>
      <c r="D1584" s="344"/>
      <c r="E1584" s="334"/>
      <c r="F1584" s="104">
        <f>F1583</f>
        <v>3000000</v>
      </c>
      <c r="G1584" s="25"/>
      <c r="H1584" s="11"/>
      <c r="I1584" s="21"/>
      <c r="J1584" s="21"/>
      <c r="K1584" s="21"/>
      <c r="L1584" s="21"/>
      <c r="M1584" s="21"/>
      <c r="N1584" s="21"/>
    </row>
    <row r="1585" spans="1:14" ht="15.75" customHeight="1" x14ac:dyDescent="0.25">
      <c r="A1585" s="7"/>
      <c r="B1585" s="343" t="s">
        <v>343</v>
      </c>
      <c r="C1585" s="344"/>
      <c r="D1585" s="344"/>
      <c r="E1585" s="334"/>
      <c r="F1585" s="104">
        <v>330000</v>
      </c>
      <c r="G1585" s="25"/>
      <c r="H1585" s="11"/>
      <c r="I1585" s="21"/>
      <c r="J1585" s="21"/>
      <c r="K1585" s="21"/>
      <c r="L1585" s="21"/>
      <c r="M1585" s="21"/>
      <c r="N1585" s="21"/>
    </row>
    <row r="1586" spans="1:14" ht="15.75" customHeight="1" x14ac:dyDescent="0.25">
      <c r="A1586" s="7"/>
      <c r="B1586" s="345" t="s">
        <v>344</v>
      </c>
      <c r="C1586" s="344"/>
      <c r="D1586" s="344"/>
      <c r="E1586" s="334"/>
      <c r="F1586" s="107">
        <f>SUM(F1584:F1585)</f>
        <v>3330000</v>
      </c>
      <c r="G1586" s="25"/>
      <c r="H1586" s="11"/>
      <c r="I1586" s="21"/>
      <c r="J1586" s="21"/>
      <c r="K1586" s="21"/>
      <c r="L1586" s="21"/>
      <c r="M1586" s="21"/>
      <c r="N1586" s="21"/>
    </row>
    <row r="1587" spans="1:14" ht="15.75" customHeight="1" x14ac:dyDescent="0.25">
      <c r="A1587" s="21"/>
      <c r="B1587" s="21"/>
      <c r="C1587" s="11"/>
      <c r="D1587" s="11"/>
      <c r="E1587" s="21"/>
      <c r="F1587" s="21"/>
      <c r="G1587" s="25"/>
      <c r="H1587" s="11"/>
      <c r="I1587" s="21"/>
      <c r="J1587" s="21"/>
      <c r="K1587" s="21"/>
      <c r="L1587" s="21"/>
      <c r="M1587" s="21"/>
      <c r="N1587" s="21"/>
    </row>
    <row r="1588" spans="1:14" ht="15.75" customHeight="1" x14ac:dyDescent="0.25">
      <c r="A1588" s="31" t="s">
        <v>14</v>
      </c>
      <c r="B1588" s="31" t="s">
        <v>234</v>
      </c>
      <c r="C1588" s="31" t="s">
        <v>16</v>
      </c>
      <c r="D1588" s="31" t="s">
        <v>17</v>
      </c>
      <c r="E1588" s="31" t="s">
        <v>235</v>
      </c>
      <c r="F1588" s="31" t="s">
        <v>236</v>
      </c>
      <c r="G1588" s="25"/>
      <c r="H1588" s="11"/>
      <c r="I1588" s="21"/>
      <c r="J1588" s="21"/>
      <c r="K1588" s="21"/>
      <c r="L1588" s="21"/>
      <c r="M1588" s="21"/>
      <c r="N1588" s="21"/>
    </row>
    <row r="1589" spans="1:14" ht="15.75" customHeight="1" x14ac:dyDescent="0.25">
      <c r="A1589" s="7">
        <v>1</v>
      </c>
      <c r="B1589" s="124" t="s">
        <v>801</v>
      </c>
      <c r="C1589" s="129">
        <v>5</v>
      </c>
      <c r="D1589" s="7" t="s">
        <v>363</v>
      </c>
      <c r="E1589" s="130">
        <v>5000</v>
      </c>
      <c r="F1589" s="130">
        <f>E1589*C1589</f>
        <v>25000</v>
      </c>
      <c r="G1589" s="25"/>
      <c r="H1589" s="11"/>
      <c r="I1589" s="21"/>
      <c r="J1589" s="21"/>
      <c r="K1589" s="21"/>
      <c r="L1589" s="21"/>
      <c r="M1589" s="21"/>
      <c r="N1589" s="21"/>
    </row>
    <row r="1590" spans="1:14" ht="15.75" customHeight="1" x14ac:dyDescent="0.25">
      <c r="A1590" s="7">
        <v>2</v>
      </c>
      <c r="B1590" s="120" t="s">
        <v>802</v>
      </c>
      <c r="C1590" s="129">
        <v>10</v>
      </c>
      <c r="D1590" s="7" t="s">
        <v>19</v>
      </c>
      <c r="E1590" s="130">
        <v>15000</v>
      </c>
      <c r="F1590" s="130">
        <f>E1590*C1590</f>
        <v>150000</v>
      </c>
      <c r="G1590" s="25"/>
      <c r="H1590" s="11"/>
      <c r="I1590" s="21"/>
      <c r="J1590" s="21"/>
      <c r="K1590" s="21"/>
      <c r="L1590" s="21"/>
      <c r="M1590" s="21"/>
      <c r="N1590" s="21"/>
    </row>
    <row r="1591" spans="1:14" ht="15.75" customHeight="1" x14ac:dyDescent="0.25">
      <c r="A1591" s="7">
        <v>3</v>
      </c>
      <c r="B1591" s="131" t="s">
        <v>803</v>
      </c>
      <c r="C1591" s="129">
        <v>2</v>
      </c>
      <c r="D1591" s="7" t="s">
        <v>19</v>
      </c>
      <c r="E1591" s="130">
        <v>162960</v>
      </c>
      <c r="F1591" s="130">
        <f>E1591*C1591</f>
        <v>325920</v>
      </c>
      <c r="G1591" s="25"/>
      <c r="H1591" s="11"/>
      <c r="I1591" s="21"/>
      <c r="J1591" s="21"/>
      <c r="K1591" s="21"/>
      <c r="L1591" s="21"/>
      <c r="M1591" s="21"/>
      <c r="N1591" s="21"/>
    </row>
    <row r="1592" spans="1:14" ht="15.75" customHeight="1" x14ac:dyDescent="0.25">
      <c r="A1592" s="7"/>
      <c r="B1592" s="343" t="s">
        <v>342</v>
      </c>
      <c r="C1592" s="344"/>
      <c r="D1592" s="344"/>
      <c r="E1592" s="334"/>
      <c r="F1592" s="104">
        <f>SUM(F1589:F1591)</f>
        <v>500920</v>
      </c>
      <c r="G1592" s="25"/>
      <c r="H1592" s="11"/>
      <c r="I1592" s="21"/>
      <c r="J1592" s="21"/>
      <c r="K1592" s="21"/>
      <c r="L1592" s="21"/>
      <c r="M1592" s="21"/>
      <c r="N1592" s="21"/>
    </row>
    <row r="1593" spans="1:14" ht="15.75" customHeight="1" x14ac:dyDescent="0.25">
      <c r="A1593" s="7"/>
      <c r="B1593" s="343" t="s">
        <v>343</v>
      </c>
      <c r="C1593" s="344"/>
      <c r="D1593" s="344"/>
      <c r="E1593" s="334"/>
      <c r="F1593" s="104">
        <v>55101.2</v>
      </c>
      <c r="G1593" s="25"/>
      <c r="H1593" s="11"/>
      <c r="I1593" s="21"/>
      <c r="J1593" s="21"/>
      <c r="K1593" s="21"/>
      <c r="L1593" s="21"/>
      <c r="M1593" s="21"/>
      <c r="N1593" s="21"/>
    </row>
    <row r="1594" spans="1:14" ht="15.75" customHeight="1" x14ac:dyDescent="0.25">
      <c r="A1594" s="7"/>
      <c r="B1594" s="345" t="s">
        <v>344</v>
      </c>
      <c r="C1594" s="344"/>
      <c r="D1594" s="344"/>
      <c r="E1594" s="334"/>
      <c r="F1594" s="107">
        <f>SUM(F1592:F1593)</f>
        <v>556021.19999999995</v>
      </c>
      <c r="G1594" s="25"/>
      <c r="H1594" s="11"/>
      <c r="I1594" s="21"/>
      <c r="J1594" s="21"/>
      <c r="K1594" s="21"/>
      <c r="L1594" s="21"/>
      <c r="M1594" s="21"/>
      <c r="N1594" s="21"/>
    </row>
    <row r="1595" spans="1:14" ht="15.75" customHeight="1" x14ac:dyDescent="0.25">
      <c r="A1595" s="21"/>
      <c r="B1595" s="21"/>
      <c r="C1595" s="11"/>
      <c r="D1595" s="11"/>
      <c r="E1595" s="21"/>
      <c r="F1595" s="21"/>
      <c r="G1595" s="25"/>
      <c r="H1595" s="11"/>
      <c r="I1595" s="21"/>
      <c r="J1595" s="21"/>
      <c r="K1595" s="21"/>
      <c r="L1595" s="21"/>
      <c r="M1595" s="21"/>
      <c r="N1595" s="21"/>
    </row>
    <row r="1596" spans="1:14" ht="15.75" customHeight="1" x14ac:dyDescent="0.25">
      <c r="A1596" s="31" t="s">
        <v>14</v>
      </c>
      <c r="B1596" s="31" t="s">
        <v>234</v>
      </c>
      <c r="C1596" s="31" t="s">
        <v>16</v>
      </c>
      <c r="D1596" s="31" t="s">
        <v>17</v>
      </c>
      <c r="E1596" s="31" t="s">
        <v>235</v>
      </c>
      <c r="F1596" s="31" t="s">
        <v>236</v>
      </c>
      <c r="G1596" s="25"/>
      <c r="H1596" s="11"/>
      <c r="I1596" s="21"/>
      <c r="J1596" s="21"/>
      <c r="K1596" s="21"/>
      <c r="L1596" s="21"/>
      <c r="M1596" s="21"/>
      <c r="N1596" s="21"/>
    </row>
    <row r="1597" spans="1:14" ht="15.75" customHeight="1" x14ac:dyDescent="0.25">
      <c r="A1597" s="7">
        <v>1</v>
      </c>
      <c r="B1597" s="120" t="s">
        <v>804</v>
      </c>
      <c r="C1597" s="7">
        <v>4</v>
      </c>
      <c r="D1597" s="7" t="s">
        <v>243</v>
      </c>
      <c r="E1597" s="104">
        <v>86260</v>
      </c>
      <c r="F1597" s="104">
        <f>E1597*C1597</f>
        <v>345040</v>
      </c>
      <c r="G1597" s="25"/>
      <c r="H1597" s="11"/>
      <c r="I1597" s="21"/>
      <c r="J1597" s="21"/>
      <c r="K1597" s="21"/>
      <c r="L1597" s="21"/>
      <c r="M1597" s="21"/>
      <c r="N1597" s="21"/>
    </row>
    <row r="1598" spans="1:14" ht="15.75" customHeight="1" x14ac:dyDescent="0.25">
      <c r="A1598" s="7"/>
      <c r="B1598" s="343" t="s">
        <v>342</v>
      </c>
      <c r="C1598" s="344"/>
      <c r="D1598" s="344"/>
      <c r="E1598" s="334"/>
      <c r="F1598" s="104">
        <f>F1597</f>
        <v>345040</v>
      </c>
      <c r="G1598" s="25"/>
      <c r="H1598" s="11"/>
      <c r="I1598" s="21"/>
      <c r="J1598" s="21"/>
      <c r="K1598" s="21"/>
      <c r="L1598" s="21"/>
      <c r="M1598" s="21"/>
      <c r="N1598" s="21"/>
    </row>
    <row r="1599" spans="1:14" ht="15.75" customHeight="1" x14ac:dyDescent="0.25">
      <c r="A1599" s="7"/>
      <c r="B1599" s="343" t="s">
        <v>343</v>
      </c>
      <c r="C1599" s="344"/>
      <c r="D1599" s="344"/>
      <c r="E1599" s="334"/>
      <c r="F1599" s="108">
        <v>37954.400000000001</v>
      </c>
      <c r="G1599" s="25"/>
      <c r="H1599" s="11"/>
      <c r="I1599" s="21"/>
      <c r="J1599" s="21"/>
      <c r="K1599" s="21"/>
      <c r="L1599" s="21"/>
      <c r="M1599" s="21"/>
      <c r="N1599" s="21"/>
    </row>
    <row r="1600" spans="1:14" ht="15.75" customHeight="1" x14ac:dyDescent="0.25">
      <c r="A1600" s="7"/>
      <c r="B1600" s="345" t="s">
        <v>344</v>
      </c>
      <c r="C1600" s="344"/>
      <c r="D1600" s="344"/>
      <c r="E1600" s="334"/>
      <c r="F1600" s="109">
        <f>SUM(F1598:F1599)</f>
        <v>382994.4</v>
      </c>
      <c r="G1600" s="25"/>
      <c r="H1600" s="11"/>
      <c r="I1600" s="21"/>
      <c r="J1600" s="21"/>
      <c r="K1600" s="21"/>
      <c r="L1600" s="21"/>
      <c r="M1600" s="21"/>
      <c r="N1600" s="21"/>
    </row>
    <row r="1601" spans="1:14" ht="15.75" customHeight="1" x14ac:dyDescent="0.25">
      <c r="A1601" s="21"/>
      <c r="B1601" s="21"/>
      <c r="C1601" s="11"/>
      <c r="D1601" s="11"/>
      <c r="E1601" s="21"/>
      <c r="F1601" s="21"/>
      <c r="G1601" s="25"/>
      <c r="H1601" s="11"/>
      <c r="I1601" s="21"/>
      <c r="J1601" s="21"/>
      <c r="K1601" s="21"/>
      <c r="L1601" s="21"/>
      <c r="M1601" s="21"/>
      <c r="N1601" s="21"/>
    </row>
    <row r="1602" spans="1:14" ht="15.75" customHeight="1" x14ac:dyDescent="0.25">
      <c r="A1602" s="31" t="s">
        <v>14</v>
      </c>
      <c r="B1602" s="31" t="s">
        <v>234</v>
      </c>
      <c r="C1602" s="31" t="s">
        <v>16</v>
      </c>
      <c r="D1602" s="31" t="s">
        <v>17</v>
      </c>
      <c r="E1602" s="31" t="s">
        <v>235</v>
      </c>
      <c r="F1602" s="31" t="s">
        <v>236</v>
      </c>
      <c r="G1602" s="25"/>
      <c r="H1602" s="11"/>
      <c r="I1602" s="21"/>
      <c r="J1602" s="21"/>
      <c r="K1602" s="21"/>
      <c r="L1602" s="21"/>
      <c r="M1602" s="21"/>
      <c r="N1602" s="21"/>
    </row>
    <row r="1603" spans="1:14" ht="15.75" customHeight="1" x14ac:dyDescent="0.25">
      <c r="A1603" s="10">
        <v>1</v>
      </c>
      <c r="B1603" s="143" t="s">
        <v>805</v>
      </c>
      <c r="C1603" s="7">
        <v>100</v>
      </c>
      <c r="D1603" s="7" t="s">
        <v>370</v>
      </c>
      <c r="E1603" s="104">
        <v>27703</v>
      </c>
      <c r="F1603" s="104">
        <f t="shared" ref="F1603:F1619" si="9">E1603*C1603</f>
        <v>2770300</v>
      </c>
      <c r="G1603" s="25"/>
      <c r="H1603" s="11"/>
      <c r="I1603" s="21"/>
      <c r="J1603" s="21"/>
      <c r="K1603" s="21"/>
      <c r="L1603" s="21"/>
      <c r="M1603" s="21"/>
      <c r="N1603" s="21"/>
    </row>
    <row r="1604" spans="1:14" ht="15.75" customHeight="1" x14ac:dyDescent="0.25">
      <c r="A1604" s="7">
        <v>2</v>
      </c>
      <c r="B1604" s="41" t="s">
        <v>806</v>
      </c>
      <c r="C1604" s="7">
        <v>4</v>
      </c>
      <c r="D1604" s="7" t="s">
        <v>347</v>
      </c>
      <c r="E1604" s="104">
        <v>2097625</v>
      </c>
      <c r="F1604" s="104">
        <f t="shared" si="9"/>
        <v>8390500</v>
      </c>
      <c r="G1604" s="25"/>
      <c r="H1604" s="11"/>
      <c r="I1604" s="21"/>
      <c r="J1604" s="21"/>
      <c r="K1604" s="21"/>
      <c r="L1604" s="21"/>
      <c r="M1604" s="21"/>
      <c r="N1604" s="21"/>
    </row>
    <row r="1605" spans="1:14" ht="15.75" customHeight="1" x14ac:dyDescent="0.25">
      <c r="A1605" s="7">
        <v>3</v>
      </c>
      <c r="B1605" s="35" t="s">
        <v>807</v>
      </c>
      <c r="C1605" s="7">
        <v>300</v>
      </c>
      <c r="D1605" s="7" t="s">
        <v>370</v>
      </c>
      <c r="E1605" s="104">
        <v>58152</v>
      </c>
      <c r="F1605" s="104">
        <f t="shared" si="9"/>
        <v>17445600</v>
      </c>
      <c r="G1605" s="25"/>
      <c r="H1605" s="11"/>
      <c r="I1605" s="21"/>
      <c r="J1605" s="21"/>
      <c r="K1605" s="21"/>
      <c r="L1605" s="21"/>
      <c r="M1605" s="21"/>
      <c r="N1605" s="21"/>
    </row>
    <row r="1606" spans="1:14" ht="15.75" customHeight="1" x14ac:dyDescent="0.25">
      <c r="A1606" s="7">
        <v>4</v>
      </c>
      <c r="B1606" s="35" t="s">
        <v>805</v>
      </c>
      <c r="C1606" s="7">
        <v>350</v>
      </c>
      <c r="D1606" s="7" t="s">
        <v>370</v>
      </c>
      <c r="E1606" s="104">
        <v>27703</v>
      </c>
      <c r="F1606" s="104">
        <f t="shared" si="9"/>
        <v>9696050</v>
      </c>
      <c r="G1606" s="25"/>
      <c r="H1606" s="11"/>
      <c r="I1606" s="21"/>
      <c r="J1606" s="21"/>
      <c r="K1606" s="21"/>
      <c r="L1606" s="21"/>
      <c r="M1606" s="21"/>
      <c r="N1606" s="21"/>
    </row>
    <row r="1607" spans="1:14" ht="15.75" customHeight="1" x14ac:dyDescent="0.25">
      <c r="A1607" s="7">
        <v>5</v>
      </c>
      <c r="B1607" s="35" t="s">
        <v>808</v>
      </c>
      <c r="C1607" s="7">
        <v>100</v>
      </c>
      <c r="D1607" s="7" t="s">
        <v>370</v>
      </c>
      <c r="E1607" s="104">
        <v>19158</v>
      </c>
      <c r="F1607" s="104">
        <f t="shared" si="9"/>
        <v>1915800</v>
      </c>
      <c r="G1607" s="25"/>
      <c r="H1607" s="11"/>
      <c r="I1607" s="21"/>
      <c r="J1607" s="21"/>
      <c r="K1607" s="21"/>
      <c r="L1607" s="21"/>
      <c r="M1607" s="21"/>
      <c r="N1607" s="21"/>
    </row>
    <row r="1608" spans="1:14" ht="15.75" customHeight="1" x14ac:dyDescent="0.25">
      <c r="A1608" s="7">
        <v>6</v>
      </c>
      <c r="B1608" s="35" t="s">
        <v>809</v>
      </c>
      <c r="C1608" s="7">
        <v>100</v>
      </c>
      <c r="D1608" s="7" t="s">
        <v>370</v>
      </c>
      <c r="E1608" s="104">
        <v>29876</v>
      </c>
      <c r="F1608" s="104">
        <f t="shared" si="9"/>
        <v>2987600</v>
      </c>
      <c r="G1608" s="25"/>
      <c r="H1608" s="11"/>
      <c r="I1608" s="21"/>
      <c r="J1608" s="21"/>
      <c r="K1608" s="21"/>
      <c r="L1608" s="21"/>
      <c r="M1608" s="21"/>
      <c r="N1608" s="21"/>
    </row>
    <row r="1609" spans="1:14" ht="15.75" customHeight="1" x14ac:dyDescent="0.25">
      <c r="A1609" s="7">
        <v>7</v>
      </c>
      <c r="B1609" s="35" t="s">
        <v>810</v>
      </c>
      <c r="C1609" s="7">
        <v>8</v>
      </c>
      <c r="D1609" s="7" t="s">
        <v>19</v>
      </c>
      <c r="E1609" s="104">
        <v>572000</v>
      </c>
      <c r="F1609" s="104">
        <f t="shared" si="9"/>
        <v>4576000</v>
      </c>
      <c r="G1609" s="25"/>
      <c r="H1609" s="11"/>
      <c r="I1609" s="21"/>
      <c r="J1609" s="21"/>
      <c r="K1609" s="21"/>
      <c r="L1609" s="21"/>
      <c r="M1609" s="21"/>
      <c r="N1609" s="21"/>
    </row>
    <row r="1610" spans="1:14" ht="15.75" customHeight="1" x14ac:dyDescent="0.25">
      <c r="A1610" s="7">
        <v>8</v>
      </c>
      <c r="B1610" s="35" t="s">
        <v>811</v>
      </c>
      <c r="C1610" s="7">
        <v>8</v>
      </c>
      <c r="D1610" s="7" t="s">
        <v>19</v>
      </c>
      <c r="E1610" s="104">
        <v>337000</v>
      </c>
      <c r="F1610" s="104">
        <f t="shared" si="9"/>
        <v>2696000</v>
      </c>
      <c r="G1610" s="25"/>
      <c r="H1610" s="11"/>
      <c r="I1610" s="21"/>
      <c r="J1610" s="21"/>
      <c r="K1610" s="21"/>
      <c r="L1610" s="21"/>
      <c r="M1610" s="21"/>
      <c r="N1610" s="21"/>
    </row>
    <row r="1611" spans="1:14" ht="15.75" customHeight="1" x14ac:dyDescent="0.25">
      <c r="A1611" s="7">
        <v>9</v>
      </c>
      <c r="B1611" s="35" t="s">
        <v>812</v>
      </c>
      <c r="C1611" s="7">
        <v>50</v>
      </c>
      <c r="D1611" s="7" t="s">
        <v>406</v>
      </c>
      <c r="E1611" s="104">
        <v>16900</v>
      </c>
      <c r="F1611" s="104">
        <f t="shared" si="9"/>
        <v>845000</v>
      </c>
      <c r="G1611" s="25"/>
      <c r="H1611" s="11"/>
      <c r="I1611" s="21"/>
      <c r="J1611" s="21"/>
      <c r="K1611" s="21"/>
      <c r="L1611" s="21"/>
      <c r="M1611" s="21"/>
      <c r="N1611" s="21"/>
    </row>
    <row r="1612" spans="1:14" ht="15.75" customHeight="1" x14ac:dyDescent="0.25">
      <c r="A1612" s="7">
        <v>10</v>
      </c>
      <c r="B1612" s="35" t="s">
        <v>813</v>
      </c>
      <c r="C1612" s="7">
        <v>108</v>
      </c>
      <c r="D1612" s="7" t="s">
        <v>19</v>
      </c>
      <c r="E1612" s="104">
        <v>9500</v>
      </c>
      <c r="F1612" s="104">
        <f t="shared" si="9"/>
        <v>1026000</v>
      </c>
      <c r="G1612" s="25"/>
      <c r="H1612" s="11"/>
      <c r="I1612" s="21"/>
      <c r="J1612" s="21"/>
      <c r="K1612" s="21"/>
      <c r="L1612" s="21"/>
      <c r="M1612" s="21"/>
      <c r="N1612" s="21"/>
    </row>
    <row r="1613" spans="1:14" ht="15.75" customHeight="1" x14ac:dyDescent="0.25">
      <c r="A1613" s="7">
        <v>11</v>
      </c>
      <c r="B1613" s="35" t="s">
        <v>814</v>
      </c>
      <c r="C1613" s="7">
        <v>108</v>
      </c>
      <c r="D1613" s="7" t="s">
        <v>19</v>
      </c>
      <c r="E1613" s="104">
        <v>9500</v>
      </c>
      <c r="F1613" s="104">
        <f t="shared" si="9"/>
        <v>1026000</v>
      </c>
      <c r="G1613" s="25"/>
      <c r="H1613" s="11"/>
      <c r="I1613" s="21"/>
      <c r="J1613" s="21"/>
      <c r="K1613" s="21"/>
      <c r="L1613" s="21"/>
      <c r="M1613" s="21"/>
      <c r="N1613" s="21"/>
    </row>
    <row r="1614" spans="1:14" ht="15.75" customHeight="1" x14ac:dyDescent="0.25">
      <c r="A1614" s="7">
        <v>12</v>
      </c>
      <c r="B1614" s="35" t="s">
        <v>815</v>
      </c>
      <c r="C1614" s="7">
        <v>108</v>
      </c>
      <c r="D1614" s="7" t="s">
        <v>19</v>
      </c>
      <c r="E1614" s="104">
        <v>9500</v>
      </c>
      <c r="F1614" s="104">
        <f t="shared" si="9"/>
        <v>1026000</v>
      </c>
      <c r="G1614" s="25"/>
      <c r="H1614" s="11"/>
      <c r="I1614" s="21"/>
      <c r="J1614" s="21"/>
      <c r="K1614" s="21"/>
      <c r="L1614" s="21"/>
      <c r="M1614" s="21"/>
      <c r="N1614" s="21"/>
    </row>
    <row r="1615" spans="1:14" ht="15.75" customHeight="1" x14ac:dyDescent="0.25">
      <c r="A1615" s="7">
        <v>13</v>
      </c>
      <c r="B1615" s="35" t="s">
        <v>816</v>
      </c>
      <c r="C1615" s="7">
        <v>72</v>
      </c>
      <c r="D1615" s="7" t="s">
        <v>19</v>
      </c>
      <c r="E1615" s="104">
        <v>8750</v>
      </c>
      <c r="F1615" s="104">
        <f t="shared" si="9"/>
        <v>630000</v>
      </c>
      <c r="G1615" s="25"/>
      <c r="H1615" s="11"/>
      <c r="I1615" s="21"/>
      <c r="J1615" s="21"/>
      <c r="K1615" s="21"/>
      <c r="L1615" s="21"/>
      <c r="M1615" s="21"/>
      <c r="N1615" s="21"/>
    </row>
    <row r="1616" spans="1:14" ht="15.75" customHeight="1" x14ac:dyDescent="0.25">
      <c r="A1616" s="7">
        <v>14</v>
      </c>
      <c r="B1616" s="35" t="s">
        <v>817</v>
      </c>
      <c r="C1616" s="7">
        <v>72</v>
      </c>
      <c r="D1616" s="7" t="s">
        <v>19</v>
      </c>
      <c r="E1616" s="104">
        <v>8750</v>
      </c>
      <c r="F1616" s="104">
        <f t="shared" si="9"/>
        <v>630000</v>
      </c>
      <c r="G1616" s="25"/>
      <c r="H1616" s="11"/>
      <c r="I1616" s="21"/>
      <c r="J1616" s="21"/>
      <c r="K1616" s="21"/>
      <c r="L1616" s="21"/>
      <c r="M1616" s="21"/>
      <c r="N1616" s="21"/>
    </row>
    <row r="1617" spans="1:14" ht="15.75" customHeight="1" x14ac:dyDescent="0.25">
      <c r="A1617" s="7">
        <v>15</v>
      </c>
      <c r="B1617" s="35" t="s">
        <v>818</v>
      </c>
      <c r="C1617" s="7">
        <v>72</v>
      </c>
      <c r="D1617" s="7" t="s">
        <v>19</v>
      </c>
      <c r="E1617" s="104">
        <v>8750</v>
      </c>
      <c r="F1617" s="104">
        <f t="shared" si="9"/>
        <v>630000</v>
      </c>
      <c r="G1617" s="25"/>
      <c r="H1617" s="11"/>
      <c r="I1617" s="21"/>
      <c r="J1617" s="21"/>
      <c r="K1617" s="21"/>
      <c r="L1617" s="21"/>
      <c r="M1617" s="21"/>
      <c r="N1617" s="21"/>
    </row>
    <row r="1618" spans="1:14" ht="15.75" customHeight="1" x14ac:dyDescent="0.25">
      <c r="A1618" s="7">
        <v>16</v>
      </c>
      <c r="B1618" s="35" t="s">
        <v>819</v>
      </c>
      <c r="C1618" s="7">
        <v>15</v>
      </c>
      <c r="D1618" s="7" t="s">
        <v>406</v>
      </c>
      <c r="E1618" s="104">
        <v>970000</v>
      </c>
      <c r="F1618" s="104">
        <f t="shared" si="9"/>
        <v>14550000</v>
      </c>
      <c r="G1618" s="25"/>
      <c r="H1618" s="11"/>
      <c r="I1618" s="21"/>
      <c r="J1618" s="21"/>
      <c r="K1618" s="21"/>
      <c r="L1618" s="21"/>
      <c r="M1618" s="21"/>
      <c r="N1618" s="21"/>
    </row>
    <row r="1619" spans="1:14" ht="15.75" customHeight="1" x14ac:dyDescent="0.25">
      <c r="A1619" s="7">
        <v>17</v>
      </c>
      <c r="B1619" s="35" t="s">
        <v>820</v>
      </c>
      <c r="C1619" s="7">
        <v>6</v>
      </c>
      <c r="D1619" s="7" t="s">
        <v>285</v>
      </c>
      <c r="E1619" s="104">
        <v>17500</v>
      </c>
      <c r="F1619" s="104">
        <f t="shared" si="9"/>
        <v>105000</v>
      </c>
      <c r="G1619" s="25"/>
      <c r="H1619" s="11"/>
      <c r="I1619" s="21"/>
      <c r="J1619" s="21"/>
      <c r="K1619" s="21"/>
      <c r="L1619" s="21"/>
      <c r="M1619" s="21"/>
      <c r="N1619" s="21"/>
    </row>
    <row r="1620" spans="1:14" ht="15.75" customHeight="1" x14ac:dyDescent="0.25">
      <c r="A1620" s="7"/>
      <c r="B1620" s="343" t="s">
        <v>342</v>
      </c>
      <c r="C1620" s="344"/>
      <c r="D1620" s="344"/>
      <c r="E1620" s="334"/>
      <c r="F1620" s="104">
        <f>SUM(F1603:F1619)</f>
        <v>70945850</v>
      </c>
      <c r="G1620" s="25"/>
      <c r="H1620" s="11"/>
      <c r="I1620" s="21"/>
      <c r="J1620" s="21"/>
      <c r="K1620" s="21"/>
      <c r="L1620" s="21"/>
      <c r="M1620" s="21"/>
      <c r="N1620" s="21"/>
    </row>
    <row r="1621" spans="1:14" ht="15.75" customHeight="1" x14ac:dyDescent="0.25">
      <c r="A1621" s="7"/>
      <c r="B1621" s="343" t="s">
        <v>343</v>
      </c>
      <c r="C1621" s="344"/>
      <c r="D1621" s="344"/>
      <c r="E1621" s="334"/>
      <c r="F1621" s="108"/>
      <c r="G1621" s="25"/>
      <c r="H1621" s="11"/>
      <c r="I1621" s="21"/>
      <c r="J1621" s="21"/>
      <c r="K1621" s="21"/>
      <c r="L1621" s="21"/>
      <c r="M1621" s="21"/>
      <c r="N1621" s="21"/>
    </row>
    <row r="1622" spans="1:14" ht="15.75" customHeight="1" x14ac:dyDescent="0.25">
      <c r="A1622" s="7"/>
      <c r="B1622" s="345" t="s">
        <v>344</v>
      </c>
      <c r="C1622" s="344"/>
      <c r="D1622" s="344"/>
      <c r="E1622" s="334"/>
      <c r="F1622" s="109">
        <f>SUM(F1620:F1621)</f>
        <v>70945850</v>
      </c>
      <c r="G1622" s="25"/>
      <c r="H1622" s="11"/>
      <c r="I1622" s="21"/>
      <c r="J1622" s="21"/>
      <c r="K1622" s="21"/>
      <c r="L1622" s="21"/>
      <c r="M1622" s="21"/>
      <c r="N1622" s="21"/>
    </row>
    <row r="1623" spans="1:14" ht="15.75" customHeight="1" x14ac:dyDescent="0.25">
      <c r="A1623" s="21"/>
      <c r="B1623" s="21"/>
      <c r="C1623" s="11"/>
      <c r="D1623" s="11"/>
      <c r="E1623" s="21"/>
      <c r="F1623" s="21"/>
      <c r="G1623" s="25"/>
      <c r="H1623" s="11"/>
      <c r="I1623" s="21"/>
      <c r="J1623" s="21"/>
      <c r="K1623" s="21"/>
      <c r="L1623" s="21"/>
      <c r="M1623" s="21"/>
      <c r="N1623" s="21"/>
    </row>
    <row r="1624" spans="1:14" ht="15.75" customHeight="1" x14ac:dyDescent="0.25">
      <c r="A1624" s="31" t="s">
        <v>14</v>
      </c>
      <c r="B1624" s="31" t="s">
        <v>234</v>
      </c>
      <c r="C1624" s="31" t="s">
        <v>16</v>
      </c>
      <c r="D1624" s="31" t="s">
        <v>17</v>
      </c>
      <c r="E1624" s="31" t="s">
        <v>235</v>
      </c>
      <c r="F1624" s="31" t="s">
        <v>236</v>
      </c>
      <c r="G1624" s="25"/>
      <c r="H1624" s="11"/>
      <c r="I1624" s="21"/>
      <c r="J1624" s="21"/>
      <c r="K1624" s="21"/>
      <c r="L1624" s="21"/>
      <c r="M1624" s="21"/>
      <c r="N1624" s="21"/>
    </row>
    <row r="1625" spans="1:14" ht="15.75" customHeight="1" x14ac:dyDescent="0.25">
      <c r="A1625" s="7">
        <v>1</v>
      </c>
      <c r="B1625" s="120" t="s">
        <v>821</v>
      </c>
      <c r="C1625" s="7">
        <v>20</v>
      </c>
      <c r="D1625" s="7" t="s">
        <v>363</v>
      </c>
      <c r="E1625" s="104">
        <v>155000</v>
      </c>
      <c r="F1625" s="104">
        <f>E1625*C1625</f>
        <v>3100000</v>
      </c>
      <c r="G1625" s="25"/>
      <c r="H1625" s="11"/>
      <c r="I1625" s="21"/>
      <c r="J1625" s="21"/>
      <c r="K1625" s="21"/>
      <c r="L1625" s="21"/>
      <c r="M1625" s="21"/>
      <c r="N1625" s="21"/>
    </row>
    <row r="1626" spans="1:14" ht="15.75" customHeight="1" x14ac:dyDescent="0.25">
      <c r="A1626" s="7"/>
      <c r="B1626" s="343" t="s">
        <v>342</v>
      </c>
      <c r="C1626" s="344"/>
      <c r="D1626" s="344"/>
      <c r="E1626" s="334"/>
      <c r="F1626" s="104">
        <f>F1625</f>
        <v>3100000</v>
      </c>
      <c r="G1626" s="25"/>
      <c r="H1626" s="11"/>
      <c r="I1626" s="21"/>
      <c r="J1626" s="21"/>
      <c r="K1626" s="21"/>
      <c r="L1626" s="21"/>
      <c r="M1626" s="21"/>
      <c r="N1626" s="21"/>
    </row>
    <row r="1627" spans="1:14" ht="15.75" customHeight="1" x14ac:dyDescent="0.25">
      <c r="A1627" s="7"/>
      <c r="B1627" s="343" t="s">
        <v>343</v>
      </c>
      <c r="C1627" s="344"/>
      <c r="D1627" s="344"/>
      <c r="E1627" s="334"/>
      <c r="F1627" s="104">
        <v>341000</v>
      </c>
      <c r="G1627" s="25"/>
      <c r="H1627" s="11"/>
      <c r="I1627" s="21"/>
      <c r="J1627" s="21"/>
      <c r="K1627" s="21"/>
      <c r="L1627" s="21"/>
      <c r="M1627" s="21"/>
      <c r="N1627" s="21"/>
    </row>
    <row r="1628" spans="1:14" ht="15.75" customHeight="1" x14ac:dyDescent="0.25">
      <c r="A1628" s="7"/>
      <c r="B1628" s="345" t="s">
        <v>344</v>
      </c>
      <c r="C1628" s="344"/>
      <c r="D1628" s="344"/>
      <c r="E1628" s="334"/>
      <c r="F1628" s="107">
        <f>SUM(F1626:F1627)</f>
        <v>3441000</v>
      </c>
      <c r="G1628" s="25"/>
      <c r="H1628" s="11"/>
      <c r="I1628" s="21"/>
      <c r="J1628" s="21"/>
      <c r="K1628" s="21"/>
      <c r="L1628" s="21"/>
      <c r="M1628" s="21"/>
      <c r="N1628" s="21"/>
    </row>
    <row r="1629" spans="1:14" ht="15.75" customHeight="1" x14ac:dyDescent="0.25">
      <c r="A1629" s="21"/>
      <c r="B1629" s="21"/>
      <c r="C1629" s="11"/>
      <c r="D1629" s="11"/>
      <c r="E1629" s="21"/>
      <c r="F1629" s="21"/>
      <c r="G1629" s="25"/>
      <c r="H1629" s="11"/>
      <c r="I1629" s="21"/>
      <c r="J1629" s="21"/>
      <c r="K1629" s="21"/>
      <c r="L1629" s="21"/>
      <c r="M1629" s="21"/>
      <c r="N1629" s="21"/>
    </row>
    <row r="1630" spans="1:14" ht="15.75" customHeight="1" x14ac:dyDescent="0.25">
      <c r="A1630" s="31" t="s">
        <v>14</v>
      </c>
      <c r="B1630" s="31" t="s">
        <v>234</v>
      </c>
      <c r="C1630" s="31" t="s">
        <v>16</v>
      </c>
      <c r="D1630" s="31" t="s">
        <v>17</v>
      </c>
      <c r="E1630" s="31" t="s">
        <v>235</v>
      </c>
      <c r="F1630" s="31" t="s">
        <v>236</v>
      </c>
      <c r="G1630" s="25"/>
      <c r="H1630" s="11"/>
      <c r="I1630" s="21"/>
      <c r="J1630" s="21"/>
      <c r="K1630" s="21"/>
      <c r="L1630" s="21"/>
      <c r="M1630" s="21"/>
      <c r="N1630" s="21"/>
    </row>
    <row r="1631" spans="1:14" ht="15.75" customHeight="1" x14ac:dyDescent="0.25">
      <c r="A1631" s="10">
        <v>1</v>
      </c>
      <c r="B1631" s="143" t="s">
        <v>822</v>
      </c>
      <c r="C1631" s="7">
        <v>1</v>
      </c>
      <c r="D1631" s="7" t="s">
        <v>247</v>
      </c>
      <c r="E1631" s="104">
        <v>225000</v>
      </c>
      <c r="F1631" s="104">
        <f t="shared" ref="F1631:F1637" si="10">E1631*C1631</f>
        <v>225000</v>
      </c>
      <c r="G1631" s="25"/>
      <c r="H1631" s="11"/>
      <c r="I1631" s="21"/>
      <c r="J1631" s="21"/>
      <c r="K1631" s="21"/>
      <c r="L1631" s="21"/>
      <c r="M1631" s="21"/>
      <c r="N1631" s="21"/>
    </row>
    <row r="1632" spans="1:14" ht="15.75" customHeight="1" x14ac:dyDescent="0.25">
      <c r="A1632" s="7">
        <v>2</v>
      </c>
      <c r="B1632" s="41" t="s">
        <v>823</v>
      </c>
      <c r="C1632" s="7">
        <v>1</v>
      </c>
      <c r="D1632" s="7" t="s">
        <v>247</v>
      </c>
      <c r="E1632" s="104">
        <v>206800</v>
      </c>
      <c r="F1632" s="104">
        <f t="shared" si="10"/>
        <v>206800</v>
      </c>
      <c r="G1632" s="25"/>
      <c r="H1632" s="11"/>
      <c r="I1632" s="21"/>
      <c r="J1632" s="21"/>
      <c r="K1632" s="21"/>
      <c r="L1632" s="21"/>
      <c r="M1632" s="21"/>
      <c r="N1632" s="21"/>
    </row>
    <row r="1633" spans="1:14" ht="15.75" customHeight="1" x14ac:dyDescent="0.25">
      <c r="A1633" s="7">
        <v>3</v>
      </c>
      <c r="B1633" s="35" t="s">
        <v>824</v>
      </c>
      <c r="C1633" s="7">
        <v>2</v>
      </c>
      <c r="D1633" s="7" t="s">
        <v>247</v>
      </c>
      <c r="E1633" s="104">
        <v>324000</v>
      </c>
      <c r="F1633" s="104">
        <f t="shared" si="10"/>
        <v>648000</v>
      </c>
      <c r="G1633" s="25"/>
      <c r="H1633" s="11"/>
      <c r="I1633" s="21"/>
      <c r="J1633" s="21"/>
      <c r="K1633" s="21"/>
      <c r="L1633" s="21"/>
      <c r="M1633" s="21"/>
      <c r="N1633" s="21"/>
    </row>
    <row r="1634" spans="1:14" ht="15.75" customHeight="1" x14ac:dyDescent="0.25">
      <c r="A1634" s="7">
        <v>4</v>
      </c>
      <c r="B1634" s="35" t="s">
        <v>825</v>
      </c>
      <c r="C1634" s="7">
        <v>2</v>
      </c>
      <c r="D1634" s="7" t="s">
        <v>247</v>
      </c>
      <c r="E1634" s="104">
        <v>422500</v>
      </c>
      <c r="F1634" s="104">
        <f t="shared" si="10"/>
        <v>845000</v>
      </c>
      <c r="G1634" s="25"/>
      <c r="H1634" s="11"/>
      <c r="I1634" s="21"/>
      <c r="J1634" s="21"/>
      <c r="K1634" s="21"/>
      <c r="L1634" s="21"/>
      <c r="M1634" s="21"/>
      <c r="N1634" s="21"/>
    </row>
    <row r="1635" spans="1:14" ht="15.75" customHeight="1" x14ac:dyDescent="0.25">
      <c r="A1635" s="7">
        <v>5</v>
      </c>
      <c r="B1635" s="35" t="s">
        <v>826</v>
      </c>
      <c r="C1635" s="7">
        <v>2</v>
      </c>
      <c r="D1635" s="7" t="s">
        <v>247</v>
      </c>
      <c r="E1635" s="104">
        <v>455000</v>
      </c>
      <c r="F1635" s="104">
        <f t="shared" si="10"/>
        <v>910000</v>
      </c>
      <c r="G1635" s="25"/>
      <c r="H1635" s="11"/>
      <c r="I1635" s="21"/>
      <c r="J1635" s="21"/>
      <c r="K1635" s="21"/>
      <c r="L1635" s="21"/>
      <c r="M1635" s="21"/>
      <c r="N1635" s="21"/>
    </row>
    <row r="1636" spans="1:14" ht="15.75" customHeight="1" x14ac:dyDescent="0.25">
      <c r="A1636" s="7">
        <v>6</v>
      </c>
      <c r="B1636" s="35" t="s">
        <v>680</v>
      </c>
      <c r="C1636" s="7">
        <v>3</v>
      </c>
      <c r="D1636" s="7" t="s">
        <v>247</v>
      </c>
      <c r="E1636" s="104">
        <v>140800</v>
      </c>
      <c r="F1636" s="104">
        <f t="shared" si="10"/>
        <v>422400</v>
      </c>
      <c r="G1636" s="25"/>
      <c r="H1636" s="11"/>
      <c r="I1636" s="21"/>
      <c r="J1636" s="21"/>
      <c r="K1636" s="21"/>
      <c r="L1636" s="21"/>
      <c r="M1636" s="21"/>
      <c r="N1636" s="21"/>
    </row>
    <row r="1637" spans="1:14" ht="15.75" customHeight="1" x14ac:dyDescent="0.25">
      <c r="A1637" s="7">
        <v>7</v>
      </c>
      <c r="B1637" s="35" t="s">
        <v>827</v>
      </c>
      <c r="C1637" s="7">
        <v>2</v>
      </c>
      <c r="D1637" s="7" t="s">
        <v>247</v>
      </c>
      <c r="E1637" s="104">
        <v>658500</v>
      </c>
      <c r="F1637" s="104">
        <f t="shared" si="10"/>
        <v>1317000</v>
      </c>
      <c r="G1637" s="25"/>
      <c r="H1637" s="11"/>
      <c r="I1637" s="21"/>
      <c r="J1637" s="21"/>
      <c r="K1637" s="21"/>
      <c r="L1637" s="21"/>
      <c r="M1637" s="21"/>
      <c r="N1637" s="21"/>
    </row>
    <row r="1638" spans="1:14" ht="15.75" customHeight="1" x14ac:dyDescent="0.25">
      <c r="A1638" s="7"/>
      <c r="B1638" s="343" t="s">
        <v>342</v>
      </c>
      <c r="C1638" s="344"/>
      <c r="D1638" s="344"/>
      <c r="E1638" s="334"/>
      <c r="F1638" s="104">
        <f>SUM(F1631:F1637)</f>
        <v>4574200</v>
      </c>
      <c r="G1638" s="25"/>
      <c r="H1638" s="11"/>
      <c r="I1638" s="21"/>
      <c r="J1638" s="21"/>
      <c r="K1638" s="21"/>
      <c r="L1638" s="21"/>
      <c r="M1638" s="21"/>
      <c r="N1638" s="21"/>
    </row>
    <row r="1639" spans="1:14" ht="15.75" customHeight="1" x14ac:dyDescent="0.25">
      <c r="A1639" s="7"/>
      <c r="B1639" s="343" t="s">
        <v>343</v>
      </c>
      <c r="C1639" s="344"/>
      <c r="D1639" s="344"/>
      <c r="E1639" s="334"/>
      <c r="F1639" s="104">
        <v>503162</v>
      </c>
      <c r="G1639" s="25"/>
      <c r="H1639" s="11"/>
      <c r="I1639" s="21"/>
      <c r="J1639" s="21"/>
      <c r="K1639" s="21"/>
      <c r="L1639" s="21"/>
      <c r="M1639" s="21"/>
      <c r="N1639" s="21"/>
    </row>
    <row r="1640" spans="1:14" ht="15.75" customHeight="1" x14ac:dyDescent="0.25">
      <c r="A1640" s="7"/>
      <c r="B1640" s="345" t="s">
        <v>344</v>
      </c>
      <c r="C1640" s="344"/>
      <c r="D1640" s="344"/>
      <c r="E1640" s="334"/>
      <c r="F1640" s="107">
        <f>SUM(F1638:F1639)</f>
        <v>5077362</v>
      </c>
      <c r="G1640" s="25"/>
      <c r="H1640" s="11"/>
      <c r="I1640" s="21"/>
      <c r="J1640" s="21"/>
      <c r="K1640" s="21"/>
      <c r="L1640" s="21"/>
      <c r="M1640" s="21"/>
      <c r="N1640" s="21"/>
    </row>
    <row r="1641" spans="1:14" ht="15.75" customHeight="1" x14ac:dyDescent="0.25">
      <c r="A1641" s="21"/>
      <c r="B1641" s="21"/>
      <c r="C1641" s="11"/>
      <c r="D1641" s="11"/>
      <c r="E1641" s="21"/>
      <c r="F1641" s="21"/>
      <c r="G1641" s="25"/>
      <c r="H1641" s="11"/>
      <c r="I1641" s="21"/>
      <c r="J1641" s="21"/>
      <c r="K1641" s="21"/>
      <c r="L1641" s="21"/>
      <c r="M1641" s="21"/>
      <c r="N1641" s="21"/>
    </row>
    <row r="1642" spans="1:14" ht="15.75" customHeight="1" x14ac:dyDescent="0.25">
      <c r="A1642" s="31" t="s">
        <v>351</v>
      </c>
      <c r="B1642" s="31" t="s">
        <v>234</v>
      </c>
      <c r="C1642" s="31" t="s">
        <v>16</v>
      </c>
      <c r="D1642" s="31" t="s">
        <v>17</v>
      </c>
      <c r="E1642" s="31" t="s">
        <v>235</v>
      </c>
      <c r="F1642" s="31" t="s">
        <v>236</v>
      </c>
      <c r="G1642" s="25"/>
      <c r="H1642" s="11"/>
      <c r="I1642" s="21"/>
      <c r="J1642" s="21"/>
      <c r="K1642" s="21"/>
      <c r="L1642" s="21"/>
      <c r="M1642" s="21"/>
      <c r="N1642" s="21"/>
    </row>
    <row r="1643" spans="1:14" ht="15.75" customHeight="1" x14ac:dyDescent="0.25">
      <c r="A1643" s="7">
        <v>1</v>
      </c>
      <c r="B1643" s="41" t="s">
        <v>828</v>
      </c>
      <c r="C1643" s="7">
        <v>1</v>
      </c>
      <c r="D1643" s="7" t="s">
        <v>243</v>
      </c>
      <c r="E1643" s="104">
        <v>2295020</v>
      </c>
      <c r="F1643" s="104">
        <f>E1643*C1643</f>
        <v>2295020</v>
      </c>
      <c r="G1643" s="25"/>
      <c r="H1643" s="11"/>
      <c r="I1643" s="21"/>
      <c r="J1643" s="21"/>
      <c r="K1643" s="21"/>
      <c r="L1643" s="21"/>
      <c r="M1643" s="21"/>
      <c r="N1643" s="21"/>
    </row>
    <row r="1644" spans="1:14" ht="15.75" customHeight="1" x14ac:dyDescent="0.25">
      <c r="A1644" s="7">
        <v>2</v>
      </c>
      <c r="B1644" s="41" t="s">
        <v>828</v>
      </c>
      <c r="C1644" s="7">
        <v>1</v>
      </c>
      <c r="D1644" s="7" t="s">
        <v>243</v>
      </c>
      <c r="E1644" s="104">
        <v>2295020</v>
      </c>
      <c r="F1644" s="104">
        <f>E1644*C1644</f>
        <v>2295020</v>
      </c>
      <c r="G1644" s="25"/>
      <c r="H1644" s="11"/>
      <c r="I1644" s="21"/>
      <c r="J1644" s="21"/>
      <c r="K1644" s="21"/>
      <c r="L1644" s="21"/>
      <c r="M1644" s="21"/>
      <c r="N1644" s="21"/>
    </row>
    <row r="1645" spans="1:14" ht="15.75" customHeight="1" x14ac:dyDescent="0.25">
      <c r="A1645" s="7"/>
      <c r="B1645" s="343" t="s">
        <v>342</v>
      </c>
      <c r="C1645" s="344"/>
      <c r="D1645" s="344"/>
      <c r="E1645" s="334"/>
      <c r="F1645" s="104">
        <f>SUM(F1643:F1644)</f>
        <v>4590040</v>
      </c>
      <c r="G1645" s="25"/>
      <c r="H1645" s="11"/>
      <c r="I1645" s="21"/>
      <c r="J1645" s="21"/>
      <c r="K1645" s="21"/>
      <c r="L1645" s="21"/>
      <c r="M1645" s="21"/>
      <c r="N1645" s="21"/>
    </row>
    <row r="1646" spans="1:14" ht="15.75" customHeight="1" x14ac:dyDescent="0.25">
      <c r="A1646" s="7"/>
      <c r="B1646" s="343" t="s">
        <v>343</v>
      </c>
      <c r="C1646" s="344"/>
      <c r="D1646" s="344"/>
      <c r="E1646" s="334"/>
      <c r="F1646" s="108">
        <v>504904.4</v>
      </c>
      <c r="G1646" s="25"/>
      <c r="H1646" s="11"/>
      <c r="I1646" s="21"/>
      <c r="J1646" s="21"/>
      <c r="K1646" s="21"/>
      <c r="L1646" s="21"/>
      <c r="M1646" s="21"/>
      <c r="N1646" s="21"/>
    </row>
    <row r="1647" spans="1:14" ht="15.75" customHeight="1" x14ac:dyDescent="0.25">
      <c r="A1647" s="7"/>
      <c r="B1647" s="345" t="s">
        <v>344</v>
      </c>
      <c r="C1647" s="344"/>
      <c r="D1647" s="344"/>
      <c r="E1647" s="334"/>
      <c r="F1647" s="109">
        <f>SUM(F1645:F1646)</f>
        <v>5094944.4000000004</v>
      </c>
      <c r="G1647" s="25"/>
      <c r="H1647" s="11"/>
      <c r="I1647" s="21"/>
      <c r="J1647" s="21"/>
      <c r="K1647" s="21"/>
      <c r="L1647" s="21"/>
      <c r="M1647" s="21"/>
      <c r="N1647" s="21"/>
    </row>
    <row r="1648" spans="1:14" ht="15.75" customHeight="1" x14ac:dyDescent="0.25">
      <c r="A1648" s="21"/>
      <c r="B1648" s="21"/>
      <c r="C1648" s="11"/>
      <c r="D1648" s="11"/>
      <c r="E1648" s="21"/>
      <c r="F1648" s="21"/>
      <c r="G1648" s="25"/>
      <c r="H1648" s="11"/>
      <c r="I1648" s="21"/>
      <c r="J1648" s="21"/>
      <c r="K1648" s="21"/>
      <c r="L1648" s="21"/>
      <c r="M1648" s="21"/>
      <c r="N1648" s="21"/>
    </row>
    <row r="1649" spans="1:14" ht="15.75" customHeight="1" x14ac:dyDescent="0.25">
      <c r="A1649" s="31" t="s">
        <v>14</v>
      </c>
      <c r="B1649" s="31" t="s">
        <v>234</v>
      </c>
      <c r="C1649" s="31" t="s">
        <v>16</v>
      </c>
      <c r="D1649" s="31" t="s">
        <v>17</v>
      </c>
      <c r="E1649" s="31" t="s">
        <v>235</v>
      </c>
      <c r="F1649" s="31" t="s">
        <v>236</v>
      </c>
      <c r="G1649" s="25"/>
      <c r="H1649" s="11"/>
      <c r="I1649" s="21"/>
      <c r="J1649" s="21"/>
      <c r="K1649" s="21"/>
      <c r="L1649" s="21"/>
      <c r="M1649" s="21"/>
      <c r="N1649" s="21"/>
    </row>
    <row r="1650" spans="1:14" ht="15.75" customHeight="1" x14ac:dyDescent="0.25">
      <c r="A1650" s="10">
        <v>1</v>
      </c>
      <c r="B1650" s="38" t="s">
        <v>829</v>
      </c>
      <c r="C1650" s="7">
        <v>2</v>
      </c>
      <c r="D1650" s="7" t="s">
        <v>363</v>
      </c>
      <c r="E1650" s="104">
        <v>32010</v>
      </c>
      <c r="F1650" s="104">
        <f t="shared" ref="F1650:F1673" si="11">E1650*C1650</f>
        <v>64020</v>
      </c>
      <c r="G1650" s="25"/>
      <c r="H1650" s="11"/>
      <c r="I1650" s="21"/>
      <c r="J1650" s="21"/>
      <c r="K1650" s="21"/>
      <c r="L1650" s="21"/>
      <c r="M1650" s="21"/>
      <c r="N1650" s="21"/>
    </row>
    <row r="1651" spans="1:14" ht="15.75" customHeight="1" x14ac:dyDescent="0.25">
      <c r="A1651" s="7">
        <v>2</v>
      </c>
      <c r="B1651" s="124" t="s">
        <v>830</v>
      </c>
      <c r="C1651" s="7">
        <v>2</v>
      </c>
      <c r="D1651" s="7" t="s">
        <v>363</v>
      </c>
      <c r="E1651" s="104">
        <v>38800</v>
      </c>
      <c r="F1651" s="104">
        <f t="shared" si="11"/>
        <v>77600</v>
      </c>
      <c r="G1651" s="25"/>
      <c r="H1651" s="11"/>
      <c r="I1651" s="21"/>
      <c r="J1651" s="21"/>
      <c r="K1651" s="21"/>
      <c r="L1651" s="21"/>
      <c r="M1651" s="21"/>
      <c r="N1651" s="21"/>
    </row>
    <row r="1652" spans="1:14" ht="15.75" customHeight="1" x14ac:dyDescent="0.25">
      <c r="A1652" s="7">
        <v>3</v>
      </c>
      <c r="B1652" s="122" t="s">
        <v>830</v>
      </c>
      <c r="C1652" s="7">
        <v>5</v>
      </c>
      <c r="D1652" s="7" t="s">
        <v>363</v>
      </c>
      <c r="E1652" s="104">
        <v>38800</v>
      </c>
      <c r="F1652" s="104">
        <f t="shared" si="11"/>
        <v>194000</v>
      </c>
      <c r="G1652" s="25"/>
      <c r="H1652" s="11"/>
      <c r="I1652" s="21"/>
      <c r="J1652" s="21"/>
      <c r="K1652" s="21"/>
      <c r="L1652" s="21"/>
      <c r="M1652" s="21"/>
      <c r="N1652" s="21"/>
    </row>
    <row r="1653" spans="1:14" ht="15.75" customHeight="1" x14ac:dyDescent="0.25">
      <c r="A1653" s="7">
        <v>4</v>
      </c>
      <c r="B1653" s="35" t="s">
        <v>831</v>
      </c>
      <c r="C1653" s="7">
        <v>2</v>
      </c>
      <c r="D1653" s="7" t="s">
        <v>363</v>
      </c>
      <c r="E1653" s="104">
        <v>43165</v>
      </c>
      <c r="F1653" s="104">
        <f t="shared" si="11"/>
        <v>86330</v>
      </c>
      <c r="G1653" s="25"/>
      <c r="H1653" s="11"/>
      <c r="I1653" s="21"/>
      <c r="J1653" s="21"/>
      <c r="K1653" s="21"/>
      <c r="L1653" s="21"/>
      <c r="M1653" s="21"/>
      <c r="N1653" s="21"/>
    </row>
    <row r="1654" spans="1:14" ht="15.75" customHeight="1" x14ac:dyDescent="0.25">
      <c r="A1654" s="7">
        <v>5</v>
      </c>
      <c r="B1654" s="35" t="s">
        <v>831</v>
      </c>
      <c r="C1654" s="7">
        <v>10</v>
      </c>
      <c r="D1654" s="7" t="s">
        <v>363</v>
      </c>
      <c r="E1654" s="104">
        <v>43165</v>
      </c>
      <c r="F1654" s="104">
        <f t="shared" si="11"/>
        <v>431650</v>
      </c>
      <c r="G1654" s="25"/>
      <c r="H1654" s="11"/>
      <c r="I1654" s="21"/>
      <c r="J1654" s="21"/>
      <c r="K1654" s="21"/>
      <c r="L1654" s="21"/>
      <c r="M1654" s="21"/>
      <c r="N1654" s="21"/>
    </row>
    <row r="1655" spans="1:14" ht="15.75" customHeight="1" x14ac:dyDescent="0.25">
      <c r="A1655" s="7">
        <v>6</v>
      </c>
      <c r="B1655" s="35" t="s">
        <v>832</v>
      </c>
      <c r="C1655" s="7">
        <v>4</v>
      </c>
      <c r="D1655" s="7" t="s">
        <v>363</v>
      </c>
      <c r="E1655" s="104">
        <v>28615</v>
      </c>
      <c r="F1655" s="104">
        <f t="shared" si="11"/>
        <v>114460</v>
      </c>
      <c r="G1655" s="25"/>
      <c r="H1655" s="11"/>
      <c r="I1655" s="21"/>
      <c r="J1655" s="21"/>
      <c r="K1655" s="21"/>
      <c r="L1655" s="21"/>
      <c r="M1655" s="21"/>
      <c r="N1655" s="21"/>
    </row>
    <row r="1656" spans="1:14" ht="15.75" customHeight="1" x14ac:dyDescent="0.25">
      <c r="A1656" s="7">
        <v>7</v>
      </c>
      <c r="B1656" s="35" t="s">
        <v>832</v>
      </c>
      <c r="C1656" s="7">
        <v>8</v>
      </c>
      <c r="D1656" s="7" t="s">
        <v>363</v>
      </c>
      <c r="E1656" s="104">
        <v>28615</v>
      </c>
      <c r="F1656" s="104">
        <f t="shared" si="11"/>
        <v>228920</v>
      </c>
      <c r="G1656" s="25"/>
      <c r="H1656" s="11"/>
      <c r="I1656" s="21"/>
      <c r="J1656" s="21"/>
      <c r="K1656" s="21"/>
      <c r="L1656" s="21"/>
      <c r="M1656" s="21"/>
      <c r="N1656" s="21"/>
    </row>
    <row r="1657" spans="1:14" ht="15.75" customHeight="1" x14ac:dyDescent="0.25">
      <c r="A1657" s="7">
        <v>8</v>
      </c>
      <c r="B1657" s="35" t="s">
        <v>833</v>
      </c>
      <c r="C1657" s="7">
        <v>12</v>
      </c>
      <c r="D1657" s="7" t="s">
        <v>363</v>
      </c>
      <c r="E1657" s="104">
        <v>37345</v>
      </c>
      <c r="F1657" s="104">
        <f t="shared" si="11"/>
        <v>448140</v>
      </c>
      <c r="G1657" s="25"/>
      <c r="H1657" s="11"/>
      <c r="I1657" s="21"/>
      <c r="J1657" s="21"/>
      <c r="K1657" s="21"/>
      <c r="L1657" s="21"/>
      <c r="M1657" s="21"/>
      <c r="N1657" s="21"/>
    </row>
    <row r="1658" spans="1:14" ht="15.75" customHeight="1" x14ac:dyDescent="0.25">
      <c r="A1658" s="7">
        <v>9</v>
      </c>
      <c r="B1658" s="35" t="s">
        <v>834</v>
      </c>
      <c r="C1658" s="7">
        <v>3</v>
      </c>
      <c r="D1658" s="7" t="s">
        <v>363</v>
      </c>
      <c r="E1658" s="108">
        <v>39042.5</v>
      </c>
      <c r="F1658" s="108">
        <f t="shared" si="11"/>
        <v>117127.5</v>
      </c>
      <c r="G1658" s="25"/>
      <c r="H1658" s="11"/>
      <c r="I1658" s="21"/>
      <c r="J1658" s="21"/>
      <c r="K1658" s="21"/>
      <c r="L1658" s="21"/>
      <c r="M1658" s="21"/>
      <c r="N1658" s="21"/>
    </row>
    <row r="1659" spans="1:14" ht="15.75" customHeight="1" x14ac:dyDescent="0.25">
      <c r="A1659" s="7">
        <v>10</v>
      </c>
      <c r="B1659" s="35" t="s">
        <v>835</v>
      </c>
      <c r="C1659" s="7">
        <v>5</v>
      </c>
      <c r="D1659" s="7" t="s">
        <v>363</v>
      </c>
      <c r="E1659" s="104">
        <v>53350</v>
      </c>
      <c r="F1659" s="104">
        <f t="shared" si="11"/>
        <v>266750</v>
      </c>
      <c r="G1659" s="25"/>
      <c r="H1659" s="11"/>
      <c r="I1659" s="21"/>
      <c r="J1659" s="21"/>
      <c r="K1659" s="21"/>
      <c r="L1659" s="21"/>
      <c r="M1659" s="21"/>
      <c r="N1659" s="21"/>
    </row>
    <row r="1660" spans="1:14" ht="15.75" customHeight="1" x14ac:dyDescent="0.25">
      <c r="A1660" s="7">
        <v>11</v>
      </c>
      <c r="B1660" s="35" t="s">
        <v>835</v>
      </c>
      <c r="C1660" s="7">
        <v>8</v>
      </c>
      <c r="D1660" s="7" t="s">
        <v>363</v>
      </c>
      <c r="E1660" s="104">
        <v>53350</v>
      </c>
      <c r="F1660" s="104">
        <f t="shared" si="11"/>
        <v>426800</v>
      </c>
      <c r="G1660" s="25"/>
      <c r="H1660" s="11"/>
      <c r="I1660" s="21"/>
      <c r="J1660" s="21"/>
      <c r="K1660" s="21"/>
      <c r="L1660" s="21"/>
      <c r="M1660" s="21"/>
      <c r="N1660" s="21"/>
    </row>
    <row r="1661" spans="1:14" ht="15.75" customHeight="1" x14ac:dyDescent="0.25">
      <c r="A1661" s="7">
        <v>12</v>
      </c>
      <c r="B1661" s="35" t="s">
        <v>836</v>
      </c>
      <c r="C1661" s="7">
        <v>4</v>
      </c>
      <c r="D1661" s="7" t="s">
        <v>363</v>
      </c>
      <c r="E1661" s="104">
        <v>44135</v>
      </c>
      <c r="F1661" s="104">
        <f t="shared" si="11"/>
        <v>176540</v>
      </c>
      <c r="G1661" s="25"/>
      <c r="H1661" s="11"/>
      <c r="I1661" s="21"/>
      <c r="J1661" s="21"/>
      <c r="K1661" s="21"/>
      <c r="L1661" s="21"/>
      <c r="M1661" s="21"/>
      <c r="N1661" s="21"/>
    </row>
    <row r="1662" spans="1:14" ht="15.75" customHeight="1" x14ac:dyDescent="0.25">
      <c r="A1662" s="7">
        <v>13</v>
      </c>
      <c r="B1662" s="35" t="s">
        <v>836</v>
      </c>
      <c r="C1662" s="7">
        <v>1</v>
      </c>
      <c r="D1662" s="7" t="s">
        <v>363</v>
      </c>
      <c r="E1662" s="104">
        <v>44135</v>
      </c>
      <c r="F1662" s="104">
        <f t="shared" si="11"/>
        <v>44135</v>
      </c>
      <c r="G1662" s="25"/>
      <c r="H1662" s="11"/>
      <c r="I1662" s="21"/>
      <c r="J1662" s="21"/>
      <c r="K1662" s="21"/>
      <c r="L1662" s="21"/>
      <c r="M1662" s="21"/>
      <c r="N1662" s="21"/>
    </row>
    <row r="1663" spans="1:14" ht="15.75" customHeight="1" x14ac:dyDescent="0.25">
      <c r="A1663" s="7">
        <v>14</v>
      </c>
      <c r="B1663" s="35" t="s">
        <v>836</v>
      </c>
      <c r="C1663" s="7">
        <v>1</v>
      </c>
      <c r="D1663" s="7" t="s">
        <v>363</v>
      </c>
      <c r="E1663" s="104">
        <v>44135</v>
      </c>
      <c r="F1663" s="104">
        <f t="shared" si="11"/>
        <v>44135</v>
      </c>
      <c r="G1663" s="25"/>
      <c r="H1663" s="11"/>
      <c r="I1663" s="21"/>
      <c r="J1663" s="21"/>
      <c r="K1663" s="21"/>
      <c r="L1663" s="21"/>
      <c r="M1663" s="21"/>
      <c r="N1663" s="21"/>
    </row>
    <row r="1664" spans="1:14" ht="15.75" customHeight="1" x14ac:dyDescent="0.25">
      <c r="A1664" s="7">
        <v>15</v>
      </c>
      <c r="B1664" s="35" t="s">
        <v>837</v>
      </c>
      <c r="C1664" s="7">
        <v>2</v>
      </c>
      <c r="D1664" s="7" t="s">
        <v>363</v>
      </c>
      <c r="E1664" s="104">
        <v>45784</v>
      </c>
      <c r="F1664" s="104">
        <f t="shared" si="11"/>
        <v>91568</v>
      </c>
      <c r="G1664" s="25"/>
      <c r="H1664" s="11"/>
      <c r="I1664" s="21"/>
      <c r="J1664" s="21"/>
      <c r="K1664" s="21"/>
      <c r="L1664" s="21"/>
      <c r="M1664" s="21"/>
      <c r="N1664" s="21"/>
    </row>
    <row r="1665" spans="1:14" ht="15.75" customHeight="1" x14ac:dyDescent="0.25">
      <c r="A1665" s="7">
        <v>16</v>
      </c>
      <c r="B1665" s="35" t="s">
        <v>838</v>
      </c>
      <c r="C1665" s="7">
        <v>3</v>
      </c>
      <c r="D1665" s="7" t="s">
        <v>363</v>
      </c>
      <c r="E1665" s="104">
        <v>68676</v>
      </c>
      <c r="F1665" s="104">
        <f t="shared" si="11"/>
        <v>206028</v>
      </c>
      <c r="G1665" s="25"/>
      <c r="H1665" s="11"/>
      <c r="I1665" s="21"/>
      <c r="J1665" s="21"/>
      <c r="K1665" s="21"/>
      <c r="L1665" s="21"/>
      <c r="M1665" s="21"/>
      <c r="N1665" s="21"/>
    </row>
    <row r="1666" spans="1:14" ht="15.75" customHeight="1" x14ac:dyDescent="0.25">
      <c r="A1666" s="7">
        <v>17</v>
      </c>
      <c r="B1666" s="35" t="s">
        <v>839</v>
      </c>
      <c r="C1666" s="7">
        <v>4</v>
      </c>
      <c r="D1666" s="7" t="s">
        <v>363</v>
      </c>
      <c r="E1666" s="104">
        <v>51507</v>
      </c>
      <c r="F1666" s="104">
        <f t="shared" si="11"/>
        <v>206028</v>
      </c>
      <c r="G1666" s="25"/>
      <c r="H1666" s="11"/>
      <c r="I1666" s="21"/>
      <c r="J1666" s="21"/>
      <c r="K1666" s="21"/>
      <c r="L1666" s="21"/>
      <c r="M1666" s="21"/>
      <c r="N1666" s="21"/>
    </row>
    <row r="1667" spans="1:14" ht="15.75" customHeight="1" x14ac:dyDescent="0.25">
      <c r="A1667" s="7">
        <v>18</v>
      </c>
      <c r="B1667" s="35" t="s">
        <v>840</v>
      </c>
      <c r="C1667" s="7">
        <v>2</v>
      </c>
      <c r="D1667" s="7" t="s">
        <v>363</v>
      </c>
      <c r="E1667" s="104">
        <v>51507</v>
      </c>
      <c r="F1667" s="104">
        <f t="shared" si="11"/>
        <v>103014</v>
      </c>
      <c r="G1667" s="25"/>
      <c r="H1667" s="11"/>
      <c r="I1667" s="21"/>
      <c r="J1667" s="21"/>
      <c r="K1667" s="21"/>
      <c r="L1667" s="21"/>
      <c r="M1667" s="21"/>
      <c r="N1667" s="21"/>
    </row>
    <row r="1668" spans="1:14" ht="15.75" customHeight="1" x14ac:dyDescent="0.25">
      <c r="A1668" s="7">
        <v>19</v>
      </c>
      <c r="B1668" s="35" t="s">
        <v>841</v>
      </c>
      <c r="C1668" s="7">
        <v>10</v>
      </c>
      <c r="D1668" s="7" t="s">
        <v>363</v>
      </c>
      <c r="E1668" s="104">
        <v>57230</v>
      </c>
      <c r="F1668" s="104">
        <f t="shared" si="11"/>
        <v>572300</v>
      </c>
      <c r="G1668" s="25"/>
      <c r="H1668" s="11"/>
      <c r="I1668" s="21"/>
      <c r="J1668" s="21"/>
      <c r="K1668" s="21"/>
      <c r="L1668" s="21"/>
      <c r="M1668" s="21"/>
      <c r="N1668" s="21"/>
    </row>
    <row r="1669" spans="1:14" ht="15.75" customHeight="1" x14ac:dyDescent="0.25">
      <c r="A1669" s="7">
        <v>20</v>
      </c>
      <c r="B1669" s="35" t="s">
        <v>842</v>
      </c>
      <c r="C1669" s="7">
        <v>32</v>
      </c>
      <c r="D1669" s="7" t="s">
        <v>363</v>
      </c>
      <c r="E1669" s="104">
        <v>45784</v>
      </c>
      <c r="F1669" s="104">
        <f t="shared" si="11"/>
        <v>1465088</v>
      </c>
      <c r="G1669" s="25"/>
      <c r="H1669" s="11"/>
      <c r="I1669" s="21"/>
      <c r="J1669" s="21"/>
      <c r="K1669" s="21"/>
      <c r="L1669" s="21"/>
      <c r="M1669" s="21"/>
      <c r="N1669" s="21"/>
    </row>
    <row r="1670" spans="1:14" ht="15.75" customHeight="1" x14ac:dyDescent="0.25">
      <c r="A1670" s="7">
        <v>21</v>
      </c>
      <c r="B1670" s="35" t="s">
        <v>837</v>
      </c>
      <c r="C1670" s="7">
        <v>3</v>
      </c>
      <c r="D1670" s="7" t="s">
        <v>363</v>
      </c>
      <c r="E1670" s="104">
        <v>53350</v>
      </c>
      <c r="F1670" s="104">
        <f t="shared" si="11"/>
        <v>160050</v>
      </c>
      <c r="G1670" s="25"/>
      <c r="H1670" s="11"/>
      <c r="I1670" s="21"/>
      <c r="J1670" s="21"/>
      <c r="K1670" s="21"/>
      <c r="L1670" s="21"/>
      <c r="M1670" s="21"/>
      <c r="N1670" s="21"/>
    </row>
    <row r="1671" spans="1:14" ht="15.75" customHeight="1" x14ac:dyDescent="0.25">
      <c r="A1671" s="7">
        <v>22</v>
      </c>
      <c r="B1671" s="35" t="s">
        <v>843</v>
      </c>
      <c r="C1671" s="7">
        <v>15</v>
      </c>
      <c r="D1671" s="7" t="s">
        <v>363</v>
      </c>
      <c r="E1671" s="104">
        <v>121250</v>
      </c>
      <c r="F1671" s="104">
        <f t="shared" si="11"/>
        <v>1818750</v>
      </c>
      <c r="G1671" s="25"/>
      <c r="H1671" s="11"/>
      <c r="I1671" s="21"/>
      <c r="J1671" s="21"/>
      <c r="K1671" s="21"/>
      <c r="L1671" s="21"/>
      <c r="M1671" s="21"/>
      <c r="N1671" s="21"/>
    </row>
    <row r="1672" spans="1:14" ht="15.75" customHeight="1" x14ac:dyDescent="0.25">
      <c r="A1672" s="7">
        <v>23</v>
      </c>
      <c r="B1672" s="35" t="s">
        <v>844</v>
      </c>
      <c r="C1672" s="7">
        <v>5</v>
      </c>
      <c r="D1672" s="7" t="s">
        <v>363</v>
      </c>
      <c r="E1672" s="104">
        <v>189150</v>
      </c>
      <c r="F1672" s="104">
        <f t="shared" si="11"/>
        <v>945750</v>
      </c>
      <c r="G1672" s="25"/>
      <c r="H1672" s="11"/>
      <c r="I1672" s="21"/>
      <c r="J1672" s="21"/>
      <c r="K1672" s="21"/>
      <c r="L1672" s="21"/>
      <c r="M1672" s="21"/>
      <c r="N1672" s="21"/>
    </row>
    <row r="1673" spans="1:14" ht="15.75" customHeight="1" x14ac:dyDescent="0.25">
      <c r="A1673" s="7">
        <v>24</v>
      </c>
      <c r="B1673" s="35" t="s">
        <v>845</v>
      </c>
      <c r="C1673" s="7">
        <v>6</v>
      </c>
      <c r="D1673" s="7" t="s">
        <v>363</v>
      </c>
      <c r="E1673" s="104">
        <v>140650</v>
      </c>
      <c r="F1673" s="104">
        <f t="shared" si="11"/>
        <v>843900</v>
      </c>
      <c r="G1673" s="25"/>
      <c r="H1673" s="11"/>
      <c r="I1673" s="21"/>
      <c r="J1673" s="21"/>
      <c r="K1673" s="21"/>
      <c r="L1673" s="21"/>
      <c r="M1673" s="21"/>
      <c r="N1673" s="21"/>
    </row>
    <row r="1674" spans="1:14" ht="15.75" customHeight="1" x14ac:dyDescent="0.25">
      <c r="A1674" s="7"/>
      <c r="B1674" s="343" t="s">
        <v>342</v>
      </c>
      <c r="C1674" s="344"/>
      <c r="D1674" s="344"/>
      <c r="E1674" s="334"/>
      <c r="F1674" s="108">
        <f>SUM(F1650:F1673)</f>
        <v>9133083.5</v>
      </c>
      <c r="G1674" s="25"/>
      <c r="H1674" s="11"/>
      <c r="I1674" s="21"/>
      <c r="J1674" s="21"/>
      <c r="K1674" s="21"/>
      <c r="L1674" s="21"/>
      <c r="M1674" s="21"/>
      <c r="N1674" s="21"/>
    </row>
    <row r="1675" spans="1:14" ht="15.75" customHeight="1" x14ac:dyDescent="0.25">
      <c r="A1675" s="7"/>
      <c r="B1675" s="343" t="s">
        <v>343</v>
      </c>
      <c r="C1675" s="344"/>
      <c r="D1675" s="344"/>
      <c r="E1675" s="334"/>
      <c r="F1675" s="108">
        <v>1004639.18</v>
      </c>
      <c r="G1675" s="25"/>
      <c r="H1675" s="11"/>
      <c r="I1675" s="21"/>
      <c r="J1675" s="21"/>
      <c r="K1675" s="21"/>
      <c r="L1675" s="21"/>
      <c r="M1675" s="21"/>
      <c r="N1675" s="21"/>
    </row>
    <row r="1676" spans="1:14" ht="15.75" customHeight="1" x14ac:dyDescent="0.25">
      <c r="A1676" s="7"/>
      <c r="B1676" s="345" t="s">
        <v>344</v>
      </c>
      <c r="C1676" s="344"/>
      <c r="D1676" s="344"/>
      <c r="E1676" s="334"/>
      <c r="F1676" s="109">
        <f>SUM(F1674:F1675)</f>
        <v>10137722.68</v>
      </c>
      <c r="G1676" s="25"/>
      <c r="H1676" s="11"/>
      <c r="I1676" s="21"/>
      <c r="J1676" s="21"/>
      <c r="K1676" s="21"/>
      <c r="L1676" s="21"/>
      <c r="M1676" s="21"/>
      <c r="N1676" s="21"/>
    </row>
    <row r="1677" spans="1:14" ht="15.75" customHeight="1" x14ac:dyDescent="0.25">
      <c r="A1677" s="21"/>
      <c r="B1677" s="21"/>
      <c r="C1677" s="11"/>
      <c r="D1677" s="11"/>
      <c r="E1677" s="21"/>
      <c r="F1677" s="21"/>
      <c r="G1677" s="25"/>
      <c r="H1677" s="11"/>
      <c r="I1677" s="21"/>
      <c r="J1677" s="21"/>
      <c r="K1677" s="21"/>
      <c r="L1677" s="21"/>
      <c r="M1677" s="21"/>
      <c r="N1677" s="21"/>
    </row>
    <row r="1678" spans="1:14" ht="15.75" customHeight="1" x14ac:dyDescent="0.25">
      <c r="A1678" s="31" t="s">
        <v>14</v>
      </c>
      <c r="B1678" s="31" t="s">
        <v>234</v>
      </c>
      <c r="C1678" s="31" t="s">
        <v>16</v>
      </c>
      <c r="D1678" s="31" t="s">
        <v>17</v>
      </c>
      <c r="E1678" s="31" t="s">
        <v>235</v>
      </c>
      <c r="F1678" s="31" t="s">
        <v>236</v>
      </c>
      <c r="G1678" s="25"/>
      <c r="H1678" s="11"/>
      <c r="I1678" s="21"/>
      <c r="J1678" s="21"/>
      <c r="K1678" s="21"/>
      <c r="L1678" s="21"/>
      <c r="M1678" s="21"/>
      <c r="N1678" s="21"/>
    </row>
    <row r="1679" spans="1:14" ht="15.75" customHeight="1" x14ac:dyDescent="0.25">
      <c r="A1679" s="7">
        <v>1</v>
      </c>
      <c r="B1679" s="120" t="s">
        <v>846</v>
      </c>
      <c r="C1679" s="7">
        <v>1</v>
      </c>
      <c r="D1679" s="7" t="s">
        <v>363</v>
      </c>
      <c r="E1679" s="104">
        <v>10880490</v>
      </c>
      <c r="F1679" s="104">
        <f>E1679*C1679</f>
        <v>10880490</v>
      </c>
      <c r="G1679" s="25"/>
      <c r="H1679" s="11"/>
      <c r="I1679" s="21"/>
      <c r="J1679" s="21"/>
      <c r="K1679" s="21"/>
      <c r="L1679" s="21"/>
      <c r="M1679" s="21"/>
      <c r="N1679" s="21"/>
    </row>
    <row r="1680" spans="1:14" ht="15.75" customHeight="1" x14ac:dyDescent="0.25">
      <c r="A1680" s="7"/>
      <c r="B1680" s="343" t="s">
        <v>342</v>
      </c>
      <c r="C1680" s="344"/>
      <c r="D1680" s="344"/>
      <c r="E1680" s="334"/>
      <c r="F1680" s="104">
        <f>F1679</f>
        <v>10880490</v>
      </c>
      <c r="G1680" s="25"/>
      <c r="H1680" s="11"/>
      <c r="I1680" s="21"/>
      <c r="J1680" s="21"/>
      <c r="K1680" s="21"/>
      <c r="L1680" s="21"/>
      <c r="M1680" s="21"/>
      <c r="N1680" s="21"/>
    </row>
    <row r="1681" spans="1:14" ht="15.75" customHeight="1" x14ac:dyDescent="0.25">
      <c r="A1681" s="7"/>
      <c r="B1681" s="343" t="s">
        <v>343</v>
      </c>
      <c r="C1681" s="344"/>
      <c r="D1681" s="344"/>
      <c r="E1681" s="334"/>
      <c r="F1681" s="108">
        <v>1196853.8999999999</v>
      </c>
      <c r="G1681" s="25"/>
      <c r="H1681" s="11"/>
      <c r="I1681" s="21"/>
      <c r="J1681" s="21"/>
      <c r="K1681" s="21"/>
      <c r="L1681" s="21"/>
      <c r="M1681" s="21"/>
      <c r="N1681" s="21"/>
    </row>
    <row r="1682" spans="1:14" ht="15.75" customHeight="1" x14ac:dyDescent="0.25">
      <c r="A1682" s="7"/>
      <c r="B1682" s="345" t="s">
        <v>344</v>
      </c>
      <c r="C1682" s="344"/>
      <c r="D1682" s="344"/>
      <c r="E1682" s="334"/>
      <c r="F1682" s="109">
        <f>SUM(F1680:F1681)</f>
        <v>12077343.9</v>
      </c>
      <c r="G1682" s="25"/>
      <c r="H1682" s="11"/>
      <c r="I1682" s="21"/>
      <c r="J1682" s="21"/>
      <c r="K1682" s="21"/>
      <c r="L1682" s="21"/>
      <c r="M1682" s="21"/>
      <c r="N1682" s="21"/>
    </row>
    <row r="1683" spans="1:14" ht="15.75" customHeight="1" x14ac:dyDescent="0.25">
      <c r="A1683" s="21"/>
      <c r="B1683" s="21"/>
      <c r="C1683" s="11"/>
      <c r="D1683" s="11"/>
      <c r="E1683" s="21"/>
      <c r="F1683" s="21"/>
      <c r="G1683" s="25"/>
      <c r="H1683" s="11"/>
      <c r="I1683" s="21"/>
      <c r="J1683" s="21"/>
      <c r="K1683" s="21"/>
      <c r="L1683" s="21"/>
      <c r="M1683" s="21"/>
      <c r="N1683" s="21"/>
    </row>
    <row r="1684" spans="1:14" ht="15.75" customHeight="1" x14ac:dyDescent="0.25">
      <c r="A1684" s="31" t="s">
        <v>14</v>
      </c>
      <c r="B1684" s="31" t="s">
        <v>234</v>
      </c>
      <c r="C1684" s="31" t="s">
        <v>16</v>
      </c>
      <c r="D1684" s="31" t="s">
        <v>17</v>
      </c>
      <c r="E1684" s="31" t="s">
        <v>235</v>
      </c>
      <c r="F1684" s="31" t="s">
        <v>236</v>
      </c>
      <c r="G1684" s="25"/>
      <c r="H1684" s="11"/>
      <c r="I1684" s="21"/>
      <c r="J1684" s="21"/>
      <c r="K1684" s="21"/>
      <c r="L1684" s="21"/>
      <c r="M1684" s="21"/>
      <c r="N1684" s="21"/>
    </row>
    <row r="1685" spans="1:14" ht="15.75" customHeight="1" x14ac:dyDescent="0.25">
      <c r="A1685" s="7">
        <v>1</v>
      </c>
      <c r="B1685" s="124" t="s">
        <v>847</v>
      </c>
      <c r="C1685" s="129">
        <v>100</v>
      </c>
      <c r="D1685" s="7" t="s">
        <v>539</v>
      </c>
      <c r="E1685" s="130">
        <v>47000</v>
      </c>
      <c r="F1685" s="130">
        <f>E1685*C1685</f>
        <v>4700000</v>
      </c>
      <c r="G1685" s="25"/>
      <c r="H1685" s="11"/>
      <c r="I1685" s="21"/>
      <c r="J1685" s="21"/>
      <c r="K1685" s="21"/>
      <c r="L1685" s="21"/>
      <c r="M1685" s="21"/>
      <c r="N1685" s="21"/>
    </row>
    <row r="1686" spans="1:14" ht="15.75" customHeight="1" x14ac:dyDescent="0.25">
      <c r="A1686" s="7">
        <v>2</v>
      </c>
      <c r="B1686" s="120" t="s">
        <v>848</v>
      </c>
      <c r="C1686" s="129">
        <v>60</v>
      </c>
      <c r="D1686" s="7" t="s">
        <v>539</v>
      </c>
      <c r="E1686" s="130">
        <v>47000</v>
      </c>
      <c r="F1686" s="130">
        <f>E1686*C1686</f>
        <v>2820000</v>
      </c>
      <c r="G1686" s="25"/>
      <c r="H1686" s="11"/>
      <c r="I1686" s="21"/>
      <c r="J1686" s="21"/>
      <c r="K1686" s="21"/>
      <c r="L1686" s="21"/>
      <c r="M1686" s="21"/>
      <c r="N1686" s="21"/>
    </row>
    <row r="1687" spans="1:14" ht="15.75" customHeight="1" x14ac:dyDescent="0.25">
      <c r="A1687" s="7">
        <v>3</v>
      </c>
      <c r="B1687" s="131" t="s">
        <v>849</v>
      </c>
      <c r="C1687" s="129">
        <v>60</v>
      </c>
      <c r="D1687" s="7" t="s">
        <v>539</v>
      </c>
      <c r="E1687" s="130">
        <v>35000</v>
      </c>
      <c r="F1687" s="130">
        <f>E1687*C1687</f>
        <v>2100000</v>
      </c>
      <c r="G1687" s="25"/>
      <c r="H1687" s="11"/>
      <c r="I1687" s="21"/>
      <c r="J1687" s="21"/>
      <c r="K1687" s="21"/>
      <c r="L1687" s="21"/>
      <c r="M1687" s="21"/>
      <c r="N1687" s="21"/>
    </row>
    <row r="1688" spans="1:14" ht="15.75" customHeight="1" x14ac:dyDescent="0.25">
      <c r="A1688" s="7"/>
      <c r="B1688" s="343" t="s">
        <v>342</v>
      </c>
      <c r="C1688" s="344"/>
      <c r="D1688" s="344"/>
      <c r="E1688" s="334"/>
      <c r="F1688" s="104">
        <f>SUM(F1685:F1687)</f>
        <v>9620000</v>
      </c>
      <c r="G1688" s="25"/>
      <c r="H1688" s="11"/>
      <c r="I1688" s="21"/>
      <c r="J1688" s="21"/>
      <c r="K1688" s="21"/>
      <c r="L1688" s="21"/>
      <c r="M1688" s="21"/>
      <c r="N1688" s="21"/>
    </row>
    <row r="1689" spans="1:14" ht="15.75" customHeight="1" x14ac:dyDescent="0.25">
      <c r="A1689" s="7"/>
      <c r="B1689" s="343" t="s">
        <v>343</v>
      </c>
      <c r="C1689" s="344"/>
      <c r="D1689" s="344"/>
      <c r="E1689" s="334"/>
      <c r="F1689" s="104">
        <v>1058200</v>
      </c>
      <c r="G1689" s="25"/>
      <c r="H1689" s="11"/>
      <c r="I1689" s="21"/>
      <c r="J1689" s="21"/>
      <c r="K1689" s="21"/>
      <c r="L1689" s="21"/>
      <c r="M1689" s="21"/>
      <c r="N1689" s="21"/>
    </row>
    <row r="1690" spans="1:14" ht="15.75" customHeight="1" x14ac:dyDescent="0.25">
      <c r="A1690" s="7"/>
      <c r="B1690" s="345" t="s">
        <v>344</v>
      </c>
      <c r="C1690" s="344"/>
      <c r="D1690" s="344"/>
      <c r="E1690" s="334"/>
      <c r="F1690" s="107">
        <f>SUM(F1688:F1689)</f>
        <v>10678200</v>
      </c>
      <c r="G1690" s="25"/>
      <c r="H1690" s="11"/>
      <c r="I1690" s="21"/>
      <c r="J1690" s="21"/>
      <c r="K1690" s="21"/>
      <c r="L1690" s="21"/>
      <c r="M1690" s="21"/>
      <c r="N1690" s="21"/>
    </row>
    <row r="1691" spans="1:14" ht="15.75" customHeight="1" x14ac:dyDescent="0.25">
      <c r="A1691" s="21"/>
      <c r="B1691" s="21"/>
      <c r="C1691" s="11"/>
      <c r="D1691" s="11"/>
      <c r="E1691" s="21"/>
      <c r="F1691" s="21"/>
      <c r="G1691" s="25"/>
      <c r="H1691" s="11"/>
      <c r="I1691" s="21"/>
      <c r="J1691" s="21"/>
      <c r="K1691" s="21"/>
      <c r="L1691" s="21"/>
      <c r="M1691" s="21"/>
      <c r="N1691" s="21"/>
    </row>
    <row r="1692" spans="1:14" ht="15.75" customHeight="1" x14ac:dyDescent="0.25">
      <c r="A1692" s="31" t="s">
        <v>14</v>
      </c>
      <c r="B1692" s="31" t="s">
        <v>234</v>
      </c>
      <c r="C1692" s="31" t="s">
        <v>16</v>
      </c>
      <c r="D1692" s="31" t="s">
        <v>17</v>
      </c>
      <c r="E1692" s="31" t="s">
        <v>235</v>
      </c>
      <c r="F1692" s="31" t="s">
        <v>236</v>
      </c>
      <c r="G1692" s="25"/>
      <c r="H1692" s="11"/>
      <c r="I1692" s="21"/>
      <c r="J1692" s="21"/>
      <c r="K1692" s="21"/>
      <c r="L1692" s="21"/>
      <c r="M1692" s="21"/>
      <c r="N1692" s="21"/>
    </row>
    <row r="1693" spans="1:14" ht="15.75" customHeight="1" x14ac:dyDescent="0.25">
      <c r="A1693" s="7">
        <v>1</v>
      </c>
      <c r="B1693" s="120" t="s">
        <v>850</v>
      </c>
      <c r="C1693" s="7">
        <v>2</v>
      </c>
      <c r="D1693" s="7" t="s">
        <v>363</v>
      </c>
      <c r="E1693" s="104">
        <v>72750</v>
      </c>
      <c r="F1693" s="104">
        <f>E1693*C1693</f>
        <v>145500</v>
      </c>
      <c r="G1693" s="25"/>
      <c r="H1693" s="11"/>
      <c r="I1693" s="21"/>
      <c r="J1693" s="21"/>
      <c r="K1693" s="21"/>
      <c r="L1693" s="21"/>
      <c r="M1693" s="21"/>
      <c r="N1693" s="21"/>
    </row>
    <row r="1694" spans="1:14" ht="15.75" customHeight="1" x14ac:dyDescent="0.25">
      <c r="A1694" s="7"/>
      <c r="B1694" s="343" t="s">
        <v>342</v>
      </c>
      <c r="C1694" s="344"/>
      <c r="D1694" s="344"/>
      <c r="E1694" s="334"/>
      <c r="F1694" s="104">
        <f>F1693</f>
        <v>145500</v>
      </c>
      <c r="G1694" s="25"/>
      <c r="H1694" s="11"/>
      <c r="I1694" s="21"/>
      <c r="J1694" s="21"/>
      <c r="K1694" s="21"/>
      <c r="L1694" s="21"/>
      <c r="M1694" s="21"/>
      <c r="N1694" s="21"/>
    </row>
    <row r="1695" spans="1:14" ht="15.75" customHeight="1" x14ac:dyDescent="0.25">
      <c r="A1695" s="7"/>
      <c r="B1695" s="343" t="s">
        <v>343</v>
      </c>
      <c r="C1695" s="344"/>
      <c r="D1695" s="344"/>
      <c r="E1695" s="334"/>
      <c r="F1695" s="104">
        <v>16005</v>
      </c>
      <c r="G1695" s="25"/>
      <c r="H1695" s="11"/>
      <c r="I1695" s="21"/>
      <c r="J1695" s="21"/>
      <c r="K1695" s="21"/>
      <c r="L1695" s="21"/>
      <c r="M1695" s="21"/>
      <c r="N1695" s="21"/>
    </row>
    <row r="1696" spans="1:14" ht="15.75" customHeight="1" x14ac:dyDescent="0.25">
      <c r="A1696" s="7"/>
      <c r="B1696" s="345" t="s">
        <v>344</v>
      </c>
      <c r="C1696" s="344"/>
      <c r="D1696" s="344"/>
      <c r="E1696" s="334"/>
      <c r="F1696" s="107">
        <f>SUM(F1694:F1695)</f>
        <v>161505</v>
      </c>
      <c r="G1696" s="25"/>
      <c r="H1696" s="11"/>
      <c r="I1696" s="21"/>
      <c r="J1696" s="21"/>
      <c r="K1696" s="21"/>
      <c r="L1696" s="21"/>
      <c r="M1696" s="21"/>
      <c r="N1696" s="21"/>
    </row>
    <row r="1697" spans="1:14" ht="15.75" customHeight="1" x14ac:dyDescent="0.25">
      <c r="A1697" s="21"/>
      <c r="B1697" s="21"/>
      <c r="C1697" s="11"/>
      <c r="D1697" s="11"/>
      <c r="E1697" s="21"/>
      <c r="F1697" s="21"/>
      <c r="G1697" s="25"/>
      <c r="H1697" s="11"/>
      <c r="I1697" s="21"/>
      <c r="J1697" s="21"/>
      <c r="K1697" s="21"/>
      <c r="L1697" s="21"/>
      <c r="M1697" s="21"/>
      <c r="N1697" s="21"/>
    </row>
    <row r="1698" spans="1:14" ht="15.75" customHeight="1" x14ac:dyDescent="0.25">
      <c r="A1698" s="31" t="s">
        <v>14</v>
      </c>
      <c r="B1698" s="31" t="s">
        <v>234</v>
      </c>
      <c r="C1698" s="31" t="s">
        <v>16</v>
      </c>
      <c r="D1698" s="31" t="s">
        <v>17</v>
      </c>
      <c r="E1698" s="31" t="s">
        <v>235</v>
      </c>
      <c r="F1698" s="31" t="s">
        <v>236</v>
      </c>
      <c r="G1698" s="25"/>
      <c r="H1698" s="11"/>
      <c r="I1698" s="21"/>
      <c r="J1698" s="21"/>
      <c r="K1698" s="21"/>
      <c r="L1698" s="21"/>
      <c r="M1698" s="21"/>
      <c r="N1698" s="21"/>
    </row>
    <row r="1699" spans="1:14" ht="15.75" customHeight="1" x14ac:dyDescent="0.25">
      <c r="A1699" s="7">
        <v>1</v>
      </c>
      <c r="B1699" s="124" t="s">
        <v>851</v>
      </c>
      <c r="C1699" s="129">
        <v>2</v>
      </c>
      <c r="D1699" s="7" t="s">
        <v>363</v>
      </c>
      <c r="E1699" s="130">
        <v>315875</v>
      </c>
      <c r="F1699" s="130">
        <f>E1699*C1699</f>
        <v>631750</v>
      </c>
      <c r="G1699" s="25"/>
      <c r="H1699" s="11"/>
      <c r="I1699" s="21"/>
      <c r="J1699" s="21"/>
      <c r="K1699" s="21"/>
      <c r="L1699" s="21"/>
      <c r="M1699" s="21"/>
      <c r="N1699" s="21"/>
    </row>
    <row r="1700" spans="1:14" ht="15.75" customHeight="1" x14ac:dyDescent="0.25">
      <c r="A1700" s="7">
        <v>2</v>
      </c>
      <c r="B1700" s="120" t="s">
        <v>852</v>
      </c>
      <c r="C1700" s="129">
        <v>13</v>
      </c>
      <c r="D1700" s="7" t="s">
        <v>406</v>
      </c>
      <c r="E1700" s="130">
        <v>2721750</v>
      </c>
      <c r="F1700" s="130">
        <f>E1700*C1700</f>
        <v>35382750</v>
      </c>
      <c r="G1700" s="25"/>
      <c r="H1700" s="11"/>
      <c r="I1700" s="21"/>
      <c r="J1700" s="21"/>
      <c r="K1700" s="21"/>
      <c r="L1700" s="21"/>
      <c r="M1700" s="21"/>
      <c r="N1700" s="21"/>
    </row>
    <row r="1701" spans="1:14" ht="15.75" customHeight="1" x14ac:dyDescent="0.25">
      <c r="A1701" s="7">
        <v>3</v>
      </c>
      <c r="B1701" s="131" t="s">
        <v>853</v>
      </c>
      <c r="C1701" s="129">
        <v>1</v>
      </c>
      <c r="D1701" s="7" t="s">
        <v>406</v>
      </c>
      <c r="E1701" s="130">
        <v>3538750</v>
      </c>
      <c r="F1701" s="130">
        <f>E1701*C1701</f>
        <v>3538750</v>
      </c>
      <c r="G1701" s="25"/>
      <c r="H1701" s="11"/>
      <c r="I1701" s="21"/>
      <c r="J1701" s="21"/>
      <c r="K1701" s="21"/>
      <c r="L1701" s="21"/>
      <c r="M1701" s="21"/>
      <c r="N1701" s="21"/>
    </row>
    <row r="1702" spans="1:14" ht="15.75" customHeight="1" x14ac:dyDescent="0.25">
      <c r="A1702" s="7"/>
      <c r="B1702" s="343" t="s">
        <v>342</v>
      </c>
      <c r="C1702" s="344"/>
      <c r="D1702" s="344"/>
      <c r="E1702" s="334"/>
      <c r="F1702" s="104">
        <f>SUM(F1699:F1701)</f>
        <v>39553250</v>
      </c>
      <c r="G1702" s="25"/>
      <c r="H1702" s="11"/>
      <c r="I1702" s="21"/>
      <c r="J1702" s="21"/>
      <c r="K1702" s="21"/>
      <c r="L1702" s="21"/>
      <c r="M1702" s="21"/>
      <c r="N1702" s="21"/>
    </row>
    <row r="1703" spans="1:14" ht="15.75" customHeight="1" x14ac:dyDescent="0.25">
      <c r="A1703" s="7"/>
      <c r="B1703" s="343" t="s">
        <v>343</v>
      </c>
      <c r="C1703" s="344"/>
      <c r="D1703" s="344"/>
      <c r="E1703" s="334"/>
      <c r="F1703" s="104">
        <v>4350857.5</v>
      </c>
      <c r="G1703" s="25"/>
      <c r="H1703" s="11"/>
      <c r="I1703" s="21"/>
      <c r="J1703" s="21"/>
      <c r="K1703" s="21"/>
      <c r="L1703" s="21"/>
      <c r="M1703" s="21"/>
      <c r="N1703" s="21"/>
    </row>
    <row r="1704" spans="1:14" ht="15.75" customHeight="1" x14ac:dyDescent="0.25">
      <c r="A1704" s="7"/>
      <c r="B1704" s="345" t="s">
        <v>344</v>
      </c>
      <c r="C1704" s="344"/>
      <c r="D1704" s="344"/>
      <c r="E1704" s="334"/>
      <c r="F1704" s="107">
        <f>SUM(F1702:F1703)</f>
        <v>43904107.5</v>
      </c>
      <c r="G1704" s="25"/>
      <c r="H1704" s="11"/>
      <c r="I1704" s="21"/>
      <c r="J1704" s="21"/>
      <c r="K1704" s="21"/>
      <c r="L1704" s="21"/>
      <c r="M1704" s="21"/>
      <c r="N1704" s="21"/>
    </row>
    <row r="1705" spans="1:14" ht="15.75" customHeight="1" x14ac:dyDescent="0.25">
      <c r="A1705" s="21"/>
      <c r="B1705" s="21"/>
      <c r="C1705" s="11"/>
      <c r="D1705" s="11"/>
      <c r="E1705" s="21"/>
      <c r="F1705" s="21"/>
      <c r="G1705" s="25"/>
      <c r="H1705" s="11"/>
      <c r="I1705" s="21"/>
      <c r="J1705" s="21"/>
      <c r="K1705" s="21"/>
      <c r="L1705" s="21"/>
      <c r="M1705" s="21"/>
      <c r="N1705" s="21"/>
    </row>
    <row r="1706" spans="1:14" ht="15.75" customHeight="1" x14ac:dyDescent="0.25">
      <c r="A1706" s="31" t="s">
        <v>14</v>
      </c>
      <c r="B1706" s="31" t="s">
        <v>234</v>
      </c>
      <c r="C1706" s="31" t="s">
        <v>16</v>
      </c>
      <c r="D1706" s="31" t="s">
        <v>17</v>
      </c>
      <c r="E1706" s="31" t="s">
        <v>235</v>
      </c>
      <c r="F1706" s="31" t="s">
        <v>236</v>
      </c>
      <c r="G1706" s="25"/>
      <c r="H1706" s="11"/>
      <c r="I1706" s="21"/>
      <c r="J1706" s="21"/>
      <c r="K1706" s="21"/>
      <c r="L1706" s="21"/>
      <c r="M1706" s="21"/>
      <c r="N1706" s="21"/>
    </row>
    <row r="1707" spans="1:14" ht="15.75" customHeight="1" x14ac:dyDescent="0.25">
      <c r="A1707" s="7">
        <v>1</v>
      </c>
      <c r="B1707" s="120" t="s">
        <v>854</v>
      </c>
      <c r="C1707" s="7">
        <v>3</v>
      </c>
      <c r="D1707" s="7" t="s">
        <v>406</v>
      </c>
      <c r="E1707" s="104">
        <v>1020000</v>
      </c>
      <c r="F1707" s="104">
        <f>E1707*C1707</f>
        <v>3060000</v>
      </c>
      <c r="G1707" s="25"/>
      <c r="H1707" s="11"/>
      <c r="I1707" s="21"/>
      <c r="J1707" s="21"/>
      <c r="K1707" s="21"/>
      <c r="L1707" s="21"/>
      <c r="M1707" s="21"/>
      <c r="N1707" s="21"/>
    </row>
    <row r="1708" spans="1:14" ht="15.75" customHeight="1" x14ac:dyDescent="0.25">
      <c r="A1708" s="7"/>
      <c r="B1708" s="343" t="s">
        <v>342</v>
      </c>
      <c r="C1708" s="344"/>
      <c r="D1708" s="344"/>
      <c r="E1708" s="334"/>
      <c r="F1708" s="104">
        <f>F1707</f>
        <v>3060000</v>
      </c>
      <c r="G1708" s="25"/>
      <c r="H1708" s="11"/>
      <c r="I1708" s="21"/>
      <c r="J1708" s="21"/>
      <c r="K1708" s="21"/>
      <c r="L1708" s="21"/>
      <c r="M1708" s="21"/>
      <c r="N1708" s="21"/>
    </row>
    <row r="1709" spans="1:14" ht="15.75" customHeight="1" x14ac:dyDescent="0.25">
      <c r="A1709" s="7"/>
      <c r="B1709" s="343" t="s">
        <v>343</v>
      </c>
      <c r="C1709" s="344"/>
      <c r="D1709" s="344"/>
      <c r="E1709" s="334"/>
      <c r="F1709" s="104">
        <v>336600</v>
      </c>
      <c r="G1709" s="25"/>
      <c r="H1709" s="11"/>
      <c r="I1709" s="21"/>
      <c r="J1709" s="21"/>
      <c r="K1709" s="21"/>
      <c r="L1709" s="21"/>
      <c r="M1709" s="21"/>
      <c r="N1709" s="21"/>
    </row>
    <row r="1710" spans="1:14" ht="15.75" customHeight="1" x14ac:dyDescent="0.25">
      <c r="A1710" s="7"/>
      <c r="B1710" s="345" t="s">
        <v>344</v>
      </c>
      <c r="C1710" s="344"/>
      <c r="D1710" s="344"/>
      <c r="E1710" s="334"/>
      <c r="F1710" s="107">
        <f>SUM(F1708:F1709)</f>
        <v>3396600</v>
      </c>
      <c r="G1710" s="25"/>
      <c r="H1710" s="11"/>
      <c r="I1710" s="21"/>
      <c r="J1710" s="21"/>
      <c r="K1710" s="21"/>
      <c r="L1710" s="21"/>
      <c r="M1710" s="21"/>
      <c r="N1710" s="21"/>
    </row>
    <row r="1711" spans="1:14" ht="15.75" customHeight="1" x14ac:dyDescent="0.25">
      <c r="A1711" s="21"/>
      <c r="B1711" s="21"/>
      <c r="C1711" s="11"/>
      <c r="D1711" s="11"/>
      <c r="E1711" s="21"/>
      <c r="F1711" s="21"/>
      <c r="G1711" s="25"/>
      <c r="H1711" s="11"/>
      <c r="I1711" s="21"/>
      <c r="J1711" s="21"/>
      <c r="K1711" s="21"/>
      <c r="L1711" s="21"/>
      <c r="M1711" s="21"/>
      <c r="N1711" s="21"/>
    </row>
    <row r="1712" spans="1:14" ht="15.75" customHeight="1" x14ac:dyDescent="0.25">
      <c r="A1712" s="31" t="s">
        <v>14</v>
      </c>
      <c r="B1712" s="31" t="s">
        <v>234</v>
      </c>
      <c r="C1712" s="31" t="s">
        <v>16</v>
      </c>
      <c r="D1712" s="31" t="s">
        <v>17</v>
      </c>
      <c r="E1712" s="31" t="s">
        <v>235</v>
      </c>
      <c r="F1712" s="31" t="s">
        <v>236</v>
      </c>
      <c r="G1712" s="25"/>
      <c r="H1712" s="11"/>
      <c r="I1712" s="21"/>
      <c r="J1712" s="21"/>
      <c r="K1712" s="21"/>
      <c r="L1712" s="21"/>
      <c r="M1712" s="21"/>
      <c r="N1712" s="21"/>
    </row>
    <row r="1713" spans="1:14" ht="15.75" customHeight="1" x14ac:dyDescent="0.25">
      <c r="A1713" s="7">
        <v>1</v>
      </c>
      <c r="B1713" s="120" t="s">
        <v>855</v>
      </c>
      <c r="C1713" s="7">
        <v>20</v>
      </c>
      <c r="D1713" s="7" t="s">
        <v>539</v>
      </c>
      <c r="E1713" s="104">
        <v>348650</v>
      </c>
      <c r="F1713" s="104">
        <f>E1713*C1713</f>
        <v>6973000</v>
      </c>
      <c r="G1713" s="25"/>
      <c r="H1713" s="11"/>
      <c r="I1713" s="21"/>
      <c r="J1713" s="21"/>
      <c r="K1713" s="21"/>
      <c r="L1713" s="21"/>
      <c r="M1713" s="21"/>
      <c r="N1713" s="21"/>
    </row>
    <row r="1714" spans="1:14" ht="15.75" customHeight="1" x14ac:dyDescent="0.25">
      <c r="A1714" s="7"/>
      <c r="B1714" s="343" t="s">
        <v>342</v>
      </c>
      <c r="C1714" s="344"/>
      <c r="D1714" s="344"/>
      <c r="E1714" s="334"/>
      <c r="F1714" s="104">
        <f>F1713</f>
        <v>6973000</v>
      </c>
      <c r="G1714" s="25"/>
      <c r="H1714" s="11"/>
      <c r="I1714" s="21"/>
      <c r="J1714" s="21"/>
      <c r="K1714" s="21"/>
      <c r="L1714" s="21"/>
      <c r="M1714" s="21"/>
      <c r="N1714" s="21"/>
    </row>
    <row r="1715" spans="1:14" ht="15.75" customHeight="1" x14ac:dyDescent="0.25">
      <c r="A1715" s="7"/>
      <c r="B1715" s="343" t="s">
        <v>343</v>
      </c>
      <c r="C1715" s="344"/>
      <c r="D1715" s="344"/>
      <c r="E1715" s="334"/>
      <c r="F1715" s="104">
        <v>767030</v>
      </c>
      <c r="G1715" s="25"/>
      <c r="H1715" s="11"/>
      <c r="I1715" s="21"/>
      <c r="J1715" s="21"/>
      <c r="K1715" s="21"/>
      <c r="L1715" s="21"/>
      <c r="M1715" s="21"/>
      <c r="N1715" s="21"/>
    </row>
    <row r="1716" spans="1:14" ht="15.75" customHeight="1" x14ac:dyDescent="0.25">
      <c r="A1716" s="7"/>
      <c r="B1716" s="345" t="s">
        <v>344</v>
      </c>
      <c r="C1716" s="344"/>
      <c r="D1716" s="344"/>
      <c r="E1716" s="334"/>
      <c r="F1716" s="107">
        <f>SUM(F1714:F1715)</f>
        <v>7740030</v>
      </c>
      <c r="G1716" s="25"/>
      <c r="H1716" s="11"/>
      <c r="I1716" s="21"/>
      <c r="J1716" s="21"/>
      <c r="K1716" s="21"/>
      <c r="L1716" s="21"/>
      <c r="M1716" s="21"/>
      <c r="N1716" s="21"/>
    </row>
    <row r="1717" spans="1:14" ht="15.75" customHeight="1" x14ac:dyDescent="0.25">
      <c r="A1717" s="21"/>
      <c r="B1717" s="21"/>
      <c r="C1717" s="11"/>
      <c r="D1717" s="11"/>
      <c r="E1717" s="21"/>
      <c r="F1717" s="21"/>
      <c r="G1717" s="25"/>
      <c r="H1717" s="11"/>
      <c r="I1717" s="21"/>
      <c r="J1717" s="21"/>
      <c r="K1717" s="21"/>
      <c r="L1717" s="21"/>
      <c r="M1717" s="21"/>
      <c r="N1717" s="21"/>
    </row>
    <row r="1718" spans="1:14" ht="15.75" customHeight="1" x14ac:dyDescent="0.25">
      <c r="A1718" s="31" t="s">
        <v>14</v>
      </c>
      <c r="B1718" s="31" t="s">
        <v>234</v>
      </c>
      <c r="C1718" s="31" t="s">
        <v>16</v>
      </c>
      <c r="D1718" s="31" t="s">
        <v>17</v>
      </c>
      <c r="E1718" s="31" t="s">
        <v>235</v>
      </c>
      <c r="F1718" s="31" t="s">
        <v>236</v>
      </c>
      <c r="G1718" s="25"/>
      <c r="H1718" s="11"/>
      <c r="I1718" s="21"/>
      <c r="J1718" s="21"/>
      <c r="K1718" s="21"/>
      <c r="L1718" s="21"/>
      <c r="M1718" s="21"/>
      <c r="N1718" s="21"/>
    </row>
    <row r="1719" spans="1:14" ht="15.75" customHeight="1" x14ac:dyDescent="0.25">
      <c r="A1719" s="7">
        <v>1</v>
      </c>
      <c r="B1719" s="120" t="s">
        <v>738</v>
      </c>
      <c r="C1719" s="7">
        <v>1</v>
      </c>
      <c r="D1719" s="7" t="s">
        <v>347</v>
      </c>
      <c r="E1719" s="104">
        <v>6175000</v>
      </c>
      <c r="F1719" s="104">
        <f>E1719*C1719</f>
        <v>6175000</v>
      </c>
      <c r="G1719" s="25"/>
      <c r="H1719" s="11"/>
      <c r="I1719" s="21"/>
      <c r="J1719" s="21"/>
      <c r="K1719" s="21"/>
      <c r="L1719" s="21"/>
      <c r="M1719" s="21"/>
      <c r="N1719" s="21"/>
    </row>
    <row r="1720" spans="1:14" ht="15.75" customHeight="1" x14ac:dyDescent="0.25">
      <c r="A1720" s="7"/>
      <c r="B1720" s="343" t="s">
        <v>342</v>
      </c>
      <c r="C1720" s="344"/>
      <c r="D1720" s="344"/>
      <c r="E1720" s="334"/>
      <c r="F1720" s="104">
        <f>F1719</f>
        <v>6175000</v>
      </c>
      <c r="G1720" s="25"/>
      <c r="H1720" s="11"/>
      <c r="I1720" s="21"/>
      <c r="J1720" s="21"/>
      <c r="K1720" s="21"/>
      <c r="L1720" s="21"/>
      <c r="M1720" s="21"/>
      <c r="N1720" s="21"/>
    </row>
    <row r="1721" spans="1:14" ht="15.75" customHeight="1" x14ac:dyDescent="0.25">
      <c r="A1721" s="7"/>
      <c r="B1721" s="343" t="s">
        <v>343</v>
      </c>
      <c r="C1721" s="344"/>
      <c r="D1721" s="344"/>
      <c r="E1721" s="334"/>
      <c r="F1721" s="104">
        <v>679250</v>
      </c>
      <c r="G1721" s="25"/>
      <c r="H1721" s="11"/>
      <c r="I1721" s="21"/>
      <c r="J1721" s="21"/>
      <c r="K1721" s="21"/>
      <c r="L1721" s="21"/>
      <c r="M1721" s="21"/>
      <c r="N1721" s="21"/>
    </row>
    <row r="1722" spans="1:14" ht="15.75" customHeight="1" x14ac:dyDescent="0.25">
      <c r="A1722" s="7"/>
      <c r="B1722" s="345" t="s">
        <v>344</v>
      </c>
      <c r="C1722" s="344"/>
      <c r="D1722" s="344"/>
      <c r="E1722" s="334"/>
      <c r="F1722" s="107">
        <f>SUM(F1720:F1721)</f>
        <v>6854250</v>
      </c>
      <c r="G1722" s="25"/>
      <c r="H1722" s="11"/>
      <c r="I1722" s="21"/>
      <c r="J1722" s="21"/>
      <c r="K1722" s="21"/>
      <c r="L1722" s="21"/>
      <c r="M1722" s="21"/>
      <c r="N1722" s="21"/>
    </row>
    <row r="1723" spans="1:14" ht="15.75" customHeight="1" x14ac:dyDescent="0.25">
      <c r="A1723" s="21"/>
      <c r="B1723" s="21"/>
      <c r="C1723" s="11"/>
      <c r="D1723" s="11"/>
      <c r="E1723" s="21"/>
      <c r="F1723" s="21"/>
      <c r="G1723" s="25"/>
      <c r="H1723" s="11"/>
      <c r="I1723" s="21"/>
      <c r="J1723" s="21"/>
      <c r="K1723" s="21"/>
      <c r="L1723" s="21"/>
      <c r="M1723" s="21"/>
      <c r="N1723" s="21"/>
    </row>
    <row r="1724" spans="1:14" ht="15.75" customHeight="1" x14ac:dyDescent="0.25">
      <c r="A1724" s="31" t="s">
        <v>14</v>
      </c>
      <c r="B1724" s="31" t="s">
        <v>234</v>
      </c>
      <c r="C1724" s="31" t="s">
        <v>16</v>
      </c>
      <c r="D1724" s="31" t="s">
        <v>17</v>
      </c>
      <c r="E1724" s="31" t="s">
        <v>235</v>
      </c>
      <c r="F1724" s="31" t="s">
        <v>236</v>
      </c>
      <c r="G1724" s="25"/>
      <c r="H1724" s="11"/>
      <c r="I1724" s="21"/>
      <c r="J1724" s="21"/>
      <c r="K1724" s="21"/>
      <c r="L1724" s="21"/>
      <c r="M1724" s="21"/>
      <c r="N1724" s="21"/>
    </row>
    <row r="1725" spans="1:14" ht="15.75" customHeight="1" x14ac:dyDescent="0.25">
      <c r="A1725" s="7">
        <v>1</v>
      </c>
      <c r="B1725" s="120" t="s">
        <v>856</v>
      </c>
      <c r="C1725" s="7">
        <v>5</v>
      </c>
      <c r="D1725" s="7" t="s">
        <v>363</v>
      </c>
      <c r="E1725" s="104">
        <v>864500</v>
      </c>
      <c r="F1725" s="104">
        <f>E1725*C1725</f>
        <v>4322500</v>
      </c>
      <c r="G1725" s="25"/>
      <c r="H1725" s="11"/>
      <c r="I1725" s="21"/>
      <c r="J1725" s="21"/>
      <c r="K1725" s="21"/>
      <c r="L1725" s="21"/>
      <c r="M1725" s="21"/>
      <c r="N1725" s="21"/>
    </row>
    <row r="1726" spans="1:14" ht="15.75" customHeight="1" x14ac:dyDescent="0.25">
      <c r="A1726" s="7"/>
      <c r="B1726" s="343" t="s">
        <v>342</v>
      </c>
      <c r="C1726" s="344"/>
      <c r="D1726" s="344"/>
      <c r="E1726" s="334"/>
      <c r="F1726" s="104">
        <f>F1725</f>
        <v>4322500</v>
      </c>
      <c r="G1726" s="25"/>
      <c r="H1726" s="11"/>
      <c r="I1726" s="21"/>
      <c r="J1726" s="21"/>
      <c r="K1726" s="21"/>
      <c r="L1726" s="21"/>
      <c r="M1726" s="21"/>
      <c r="N1726" s="21"/>
    </row>
    <row r="1727" spans="1:14" ht="15.75" customHeight="1" x14ac:dyDescent="0.25">
      <c r="A1727" s="7"/>
      <c r="B1727" s="343" t="s">
        <v>343</v>
      </c>
      <c r="C1727" s="344"/>
      <c r="D1727" s="344"/>
      <c r="E1727" s="334"/>
      <c r="F1727" s="104">
        <v>475475</v>
      </c>
      <c r="G1727" s="25"/>
      <c r="H1727" s="11"/>
      <c r="I1727" s="21"/>
      <c r="J1727" s="21"/>
      <c r="K1727" s="21"/>
      <c r="L1727" s="21"/>
      <c r="M1727" s="21"/>
      <c r="N1727" s="21"/>
    </row>
    <row r="1728" spans="1:14" ht="15.75" customHeight="1" x14ac:dyDescent="0.25">
      <c r="A1728" s="7"/>
      <c r="B1728" s="345" t="s">
        <v>344</v>
      </c>
      <c r="C1728" s="344"/>
      <c r="D1728" s="344"/>
      <c r="E1728" s="334"/>
      <c r="F1728" s="107">
        <f>SUM(F1726:F1727)</f>
        <v>4797975</v>
      </c>
      <c r="G1728" s="25"/>
      <c r="H1728" s="11"/>
      <c r="I1728" s="21"/>
      <c r="J1728" s="21"/>
      <c r="K1728" s="21"/>
      <c r="L1728" s="21"/>
      <c r="M1728" s="21"/>
      <c r="N1728" s="21"/>
    </row>
    <row r="1729" spans="1:14" ht="15.75" customHeight="1" x14ac:dyDescent="0.25">
      <c r="A1729" s="21"/>
      <c r="B1729" s="21"/>
      <c r="C1729" s="11"/>
      <c r="D1729" s="11"/>
      <c r="E1729" s="21"/>
      <c r="F1729" s="21"/>
      <c r="G1729" s="25"/>
      <c r="H1729" s="11"/>
      <c r="I1729" s="21"/>
      <c r="J1729" s="21"/>
      <c r="K1729" s="21"/>
      <c r="L1729" s="21"/>
      <c r="M1729" s="21"/>
      <c r="N1729" s="21"/>
    </row>
    <row r="1730" spans="1:14" ht="15.75" customHeight="1" x14ac:dyDescent="0.25">
      <c r="A1730" s="31" t="s">
        <v>14</v>
      </c>
      <c r="B1730" s="31" t="s">
        <v>234</v>
      </c>
      <c r="C1730" s="31" t="s">
        <v>16</v>
      </c>
      <c r="D1730" s="31" t="s">
        <v>17</v>
      </c>
      <c r="E1730" s="31" t="s">
        <v>235</v>
      </c>
      <c r="F1730" s="31" t="s">
        <v>236</v>
      </c>
      <c r="G1730" s="25"/>
      <c r="H1730" s="11"/>
      <c r="I1730" s="21"/>
      <c r="J1730" s="21"/>
      <c r="K1730" s="21"/>
      <c r="L1730" s="21"/>
      <c r="M1730" s="21"/>
      <c r="N1730" s="21"/>
    </row>
    <row r="1731" spans="1:14" ht="15.75" customHeight="1" x14ac:dyDescent="0.25">
      <c r="A1731" s="7">
        <v>1</v>
      </c>
      <c r="B1731" s="38" t="s">
        <v>857</v>
      </c>
      <c r="C1731" s="129">
        <v>5</v>
      </c>
      <c r="D1731" s="7" t="s">
        <v>363</v>
      </c>
      <c r="E1731" s="130">
        <v>278400</v>
      </c>
      <c r="F1731" s="130">
        <f>E1731*C1731</f>
        <v>1392000</v>
      </c>
      <c r="G1731" s="25"/>
      <c r="H1731" s="11"/>
      <c r="I1731" s="21"/>
      <c r="J1731" s="21"/>
      <c r="K1731" s="21"/>
      <c r="L1731" s="21"/>
      <c r="M1731" s="21"/>
      <c r="N1731" s="21"/>
    </row>
    <row r="1732" spans="1:14" ht="15.75" customHeight="1" x14ac:dyDescent="0.25">
      <c r="A1732" s="7">
        <v>2</v>
      </c>
      <c r="B1732" s="141" t="s">
        <v>858</v>
      </c>
      <c r="C1732" s="129">
        <v>5</v>
      </c>
      <c r="D1732" s="7" t="s">
        <v>363</v>
      </c>
      <c r="E1732" s="130">
        <v>253920</v>
      </c>
      <c r="F1732" s="130">
        <f>E1732*C1732</f>
        <v>1269600</v>
      </c>
      <c r="G1732" s="25"/>
      <c r="H1732" s="11"/>
      <c r="I1732" s="21"/>
      <c r="J1732" s="21"/>
      <c r="K1732" s="21"/>
      <c r="L1732" s="21"/>
      <c r="M1732" s="21"/>
      <c r="N1732" s="21"/>
    </row>
    <row r="1733" spans="1:14" ht="15.75" customHeight="1" x14ac:dyDescent="0.25">
      <c r="A1733" s="7">
        <v>3</v>
      </c>
      <c r="B1733" s="131" t="s">
        <v>859</v>
      </c>
      <c r="C1733" s="129">
        <v>6</v>
      </c>
      <c r="D1733" s="7" t="s">
        <v>363</v>
      </c>
      <c r="E1733" s="130">
        <v>52320</v>
      </c>
      <c r="F1733" s="130">
        <f>E1733*C1733</f>
        <v>313920</v>
      </c>
      <c r="G1733" s="25"/>
      <c r="H1733" s="11"/>
      <c r="I1733" s="21"/>
      <c r="J1733" s="21"/>
      <c r="K1733" s="21"/>
      <c r="L1733" s="21"/>
      <c r="M1733" s="21"/>
      <c r="N1733" s="21"/>
    </row>
    <row r="1734" spans="1:14" ht="15.75" customHeight="1" x14ac:dyDescent="0.25">
      <c r="A1734" s="7"/>
      <c r="B1734" s="343" t="s">
        <v>342</v>
      </c>
      <c r="C1734" s="344"/>
      <c r="D1734" s="344"/>
      <c r="E1734" s="334"/>
      <c r="F1734" s="104">
        <f>SUM(F1731:F1733)</f>
        <v>2975520</v>
      </c>
      <c r="G1734" s="25"/>
      <c r="H1734" s="11"/>
      <c r="I1734" s="21"/>
      <c r="J1734" s="21"/>
      <c r="K1734" s="21"/>
      <c r="L1734" s="21"/>
      <c r="M1734" s="21"/>
      <c r="N1734" s="21"/>
    </row>
    <row r="1735" spans="1:14" ht="15.75" customHeight="1" x14ac:dyDescent="0.25">
      <c r="A1735" s="7"/>
      <c r="B1735" s="343" t="s">
        <v>343</v>
      </c>
      <c r="C1735" s="344"/>
      <c r="D1735" s="344"/>
      <c r="E1735" s="334"/>
      <c r="F1735" s="104">
        <v>327307.2</v>
      </c>
      <c r="G1735" s="25"/>
      <c r="H1735" s="11"/>
      <c r="I1735" s="21"/>
      <c r="J1735" s="21"/>
      <c r="K1735" s="21"/>
      <c r="L1735" s="21"/>
      <c r="M1735" s="21"/>
      <c r="N1735" s="21"/>
    </row>
    <row r="1736" spans="1:14" ht="15.75" customHeight="1" x14ac:dyDescent="0.25">
      <c r="A1736" s="7"/>
      <c r="B1736" s="345" t="s">
        <v>344</v>
      </c>
      <c r="C1736" s="344"/>
      <c r="D1736" s="344"/>
      <c r="E1736" s="334"/>
      <c r="F1736" s="107">
        <f>SUM(F1734:F1735)</f>
        <v>3302827.2</v>
      </c>
      <c r="G1736" s="25"/>
      <c r="H1736" s="11"/>
      <c r="I1736" s="21"/>
      <c r="J1736" s="21"/>
      <c r="K1736" s="21"/>
      <c r="L1736" s="21"/>
      <c r="M1736" s="21"/>
      <c r="N1736" s="21"/>
    </row>
    <row r="1737" spans="1:14" ht="15.75" customHeight="1" x14ac:dyDescent="0.25">
      <c r="A1737" s="21"/>
      <c r="B1737" s="21"/>
      <c r="C1737" s="11"/>
      <c r="D1737" s="11"/>
      <c r="E1737" s="21"/>
      <c r="F1737" s="21"/>
      <c r="G1737" s="25"/>
      <c r="H1737" s="11"/>
      <c r="I1737" s="21"/>
      <c r="J1737" s="21"/>
      <c r="K1737" s="21"/>
      <c r="L1737" s="21"/>
      <c r="M1737" s="21"/>
      <c r="N1737" s="21"/>
    </row>
    <row r="1738" spans="1:14" ht="15.75" customHeight="1" x14ac:dyDescent="0.25">
      <c r="A1738" s="31" t="s">
        <v>14</v>
      </c>
      <c r="B1738" s="31" t="s">
        <v>234</v>
      </c>
      <c r="C1738" s="31" t="s">
        <v>16</v>
      </c>
      <c r="D1738" s="31" t="s">
        <v>17</v>
      </c>
      <c r="E1738" s="31" t="s">
        <v>235</v>
      </c>
      <c r="F1738" s="31" t="s">
        <v>236</v>
      </c>
      <c r="G1738" s="25"/>
      <c r="H1738" s="11"/>
      <c r="I1738" s="21"/>
      <c r="J1738" s="21"/>
      <c r="K1738" s="21"/>
      <c r="L1738" s="21"/>
      <c r="M1738" s="21"/>
      <c r="N1738" s="21"/>
    </row>
    <row r="1739" spans="1:14" ht="15.75" customHeight="1" x14ac:dyDescent="0.25">
      <c r="A1739" s="7">
        <v>1</v>
      </c>
      <c r="B1739" s="120" t="s">
        <v>860</v>
      </c>
      <c r="C1739" s="7">
        <v>1</v>
      </c>
      <c r="D1739" s="7" t="s">
        <v>243</v>
      </c>
      <c r="E1739" s="104">
        <v>30785000</v>
      </c>
      <c r="F1739" s="104">
        <f>E1739*C1739</f>
        <v>30785000</v>
      </c>
      <c r="G1739" s="25"/>
      <c r="H1739" s="11"/>
      <c r="I1739" s="21"/>
      <c r="J1739" s="21"/>
      <c r="K1739" s="21"/>
      <c r="L1739" s="21"/>
      <c r="M1739" s="21"/>
      <c r="N1739" s="21"/>
    </row>
    <row r="1740" spans="1:14" ht="15.75" customHeight="1" x14ac:dyDescent="0.25">
      <c r="A1740" s="7"/>
      <c r="B1740" s="343" t="s">
        <v>342</v>
      </c>
      <c r="C1740" s="344"/>
      <c r="D1740" s="344"/>
      <c r="E1740" s="334"/>
      <c r="F1740" s="104">
        <f>F1739</f>
        <v>30785000</v>
      </c>
      <c r="G1740" s="25"/>
      <c r="H1740" s="11"/>
      <c r="I1740" s="21"/>
      <c r="J1740" s="21"/>
      <c r="K1740" s="21"/>
      <c r="L1740" s="21"/>
      <c r="M1740" s="21"/>
      <c r="N1740" s="21"/>
    </row>
    <row r="1741" spans="1:14" ht="15.75" customHeight="1" x14ac:dyDescent="0.25">
      <c r="A1741" s="7"/>
      <c r="B1741" s="343" t="s">
        <v>343</v>
      </c>
      <c r="C1741" s="344"/>
      <c r="D1741" s="344"/>
      <c r="E1741" s="334"/>
      <c r="F1741" s="104">
        <v>3386350</v>
      </c>
      <c r="G1741" s="25"/>
      <c r="H1741" s="11"/>
      <c r="I1741" s="21"/>
      <c r="J1741" s="21"/>
      <c r="K1741" s="21"/>
      <c r="L1741" s="21"/>
      <c r="M1741" s="21"/>
      <c r="N1741" s="21"/>
    </row>
    <row r="1742" spans="1:14" ht="15.75" customHeight="1" x14ac:dyDescent="0.25">
      <c r="A1742" s="7"/>
      <c r="B1742" s="345" t="s">
        <v>344</v>
      </c>
      <c r="C1742" s="344"/>
      <c r="D1742" s="344"/>
      <c r="E1742" s="334"/>
      <c r="F1742" s="107">
        <f>SUM(F1740:F1741)</f>
        <v>34171350</v>
      </c>
      <c r="G1742" s="25"/>
      <c r="H1742" s="11"/>
      <c r="I1742" s="21"/>
      <c r="J1742" s="21"/>
      <c r="K1742" s="21"/>
      <c r="L1742" s="21"/>
      <c r="M1742" s="21"/>
      <c r="N1742" s="21"/>
    </row>
    <row r="1743" spans="1:14" ht="15.75" customHeight="1" x14ac:dyDescent="0.25">
      <c r="A1743" s="21"/>
      <c r="B1743" s="21"/>
      <c r="C1743" s="11"/>
      <c r="D1743" s="11"/>
      <c r="E1743" s="21"/>
      <c r="F1743" s="21"/>
      <c r="G1743" s="25"/>
      <c r="H1743" s="11"/>
      <c r="I1743" s="21"/>
      <c r="J1743" s="21"/>
      <c r="K1743" s="21"/>
      <c r="L1743" s="21"/>
      <c r="M1743" s="21"/>
      <c r="N1743" s="21"/>
    </row>
    <row r="1744" spans="1:14" ht="15.75" customHeight="1" x14ac:dyDescent="0.25">
      <c r="A1744" s="31" t="s">
        <v>14</v>
      </c>
      <c r="B1744" s="31" t="s">
        <v>234</v>
      </c>
      <c r="C1744" s="31" t="s">
        <v>16</v>
      </c>
      <c r="D1744" s="31" t="s">
        <v>17</v>
      </c>
      <c r="E1744" s="31" t="s">
        <v>235</v>
      </c>
      <c r="F1744" s="31" t="s">
        <v>236</v>
      </c>
      <c r="G1744" s="25"/>
      <c r="H1744" s="11"/>
      <c r="I1744" s="21"/>
      <c r="J1744" s="21"/>
      <c r="K1744" s="21"/>
      <c r="L1744" s="21"/>
      <c r="M1744" s="21"/>
      <c r="N1744" s="21"/>
    </row>
    <row r="1745" spans="1:14" ht="15.75" customHeight="1" x14ac:dyDescent="0.25">
      <c r="A1745" s="7">
        <v>1</v>
      </c>
      <c r="B1745" s="124" t="s">
        <v>850</v>
      </c>
      <c r="C1745" s="7">
        <v>2</v>
      </c>
      <c r="D1745" s="7" t="s">
        <v>363</v>
      </c>
      <c r="E1745" s="104">
        <v>72750</v>
      </c>
      <c r="F1745" s="104">
        <f>E1745*C1745</f>
        <v>145500</v>
      </c>
      <c r="G1745" s="25"/>
      <c r="H1745" s="11"/>
      <c r="I1745" s="21"/>
      <c r="J1745" s="21"/>
      <c r="K1745" s="21"/>
      <c r="L1745" s="21"/>
      <c r="M1745" s="21"/>
      <c r="N1745" s="21"/>
    </row>
    <row r="1746" spans="1:14" ht="15.75" customHeight="1" x14ac:dyDescent="0.25">
      <c r="A1746" s="7">
        <v>2</v>
      </c>
      <c r="B1746" s="124" t="s">
        <v>861</v>
      </c>
      <c r="C1746" s="7">
        <v>1</v>
      </c>
      <c r="D1746" s="7" t="s">
        <v>251</v>
      </c>
      <c r="E1746" s="104">
        <v>483545</v>
      </c>
      <c r="F1746" s="104">
        <f>E1746*C1746</f>
        <v>483545</v>
      </c>
      <c r="G1746" s="25"/>
      <c r="H1746" s="11"/>
      <c r="I1746" s="21"/>
      <c r="J1746" s="21"/>
      <c r="K1746" s="21"/>
      <c r="L1746" s="21"/>
      <c r="M1746" s="21"/>
      <c r="N1746" s="21"/>
    </row>
    <row r="1747" spans="1:14" ht="15.75" customHeight="1" x14ac:dyDescent="0.25">
      <c r="A1747" s="7"/>
      <c r="B1747" s="343" t="s">
        <v>342</v>
      </c>
      <c r="C1747" s="344"/>
      <c r="D1747" s="344"/>
      <c r="E1747" s="334"/>
      <c r="F1747" s="104">
        <f>SUM(F1745:F1746)</f>
        <v>629045</v>
      </c>
      <c r="G1747" s="25"/>
      <c r="H1747" s="11"/>
      <c r="I1747" s="21"/>
      <c r="J1747" s="21"/>
      <c r="K1747" s="21"/>
      <c r="L1747" s="21"/>
      <c r="M1747" s="21"/>
      <c r="N1747" s="21"/>
    </row>
    <row r="1748" spans="1:14" ht="15.75" customHeight="1" x14ac:dyDescent="0.25">
      <c r="A1748" s="7"/>
      <c r="B1748" s="343" t="s">
        <v>343</v>
      </c>
      <c r="C1748" s="344"/>
      <c r="D1748" s="344"/>
      <c r="E1748" s="334"/>
      <c r="F1748" s="108">
        <v>69194.95</v>
      </c>
      <c r="G1748" s="25"/>
      <c r="H1748" s="11"/>
      <c r="I1748" s="21"/>
      <c r="J1748" s="21"/>
      <c r="K1748" s="21"/>
      <c r="L1748" s="21"/>
      <c r="M1748" s="21"/>
      <c r="N1748" s="21"/>
    </row>
    <row r="1749" spans="1:14" ht="15.75" customHeight="1" x14ac:dyDescent="0.25">
      <c r="A1749" s="7"/>
      <c r="B1749" s="345" t="s">
        <v>344</v>
      </c>
      <c r="C1749" s="344"/>
      <c r="D1749" s="344"/>
      <c r="E1749" s="334"/>
      <c r="F1749" s="109">
        <f>SUM(F1747:F1748)</f>
        <v>698239.95</v>
      </c>
      <c r="G1749" s="25"/>
      <c r="H1749" s="11"/>
      <c r="I1749" s="21"/>
      <c r="J1749" s="21"/>
      <c r="K1749" s="21"/>
      <c r="L1749" s="21"/>
      <c r="M1749" s="21"/>
      <c r="N1749" s="21"/>
    </row>
    <row r="1750" spans="1:14" ht="15.75" customHeight="1" x14ac:dyDescent="0.25">
      <c r="A1750" s="21"/>
      <c r="B1750" s="21"/>
      <c r="C1750" s="11"/>
      <c r="D1750" s="11"/>
      <c r="E1750" s="21"/>
      <c r="F1750" s="21"/>
      <c r="G1750" s="25"/>
      <c r="H1750" s="11"/>
      <c r="I1750" s="21"/>
      <c r="J1750" s="21"/>
      <c r="K1750" s="21"/>
      <c r="L1750" s="21"/>
      <c r="M1750" s="21"/>
      <c r="N1750" s="21"/>
    </row>
    <row r="1751" spans="1:14" ht="15.75" customHeight="1" x14ac:dyDescent="0.25">
      <c r="A1751" s="31" t="s">
        <v>351</v>
      </c>
      <c r="B1751" s="31" t="s">
        <v>234</v>
      </c>
      <c r="C1751" s="31" t="s">
        <v>16</v>
      </c>
      <c r="D1751" s="31" t="s">
        <v>17</v>
      </c>
      <c r="E1751" s="31" t="s">
        <v>235</v>
      </c>
      <c r="F1751" s="31" t="s">
        <v>236</v>
      </c>
      <c r="G1751" s="144" t="s">
        <v>862</v>
      </c>
      <c r="H1751" s="11"/>
      <c r="I1751" s="21"/>
      <c r="J1751" s="21"/>
      <c r="K1751" s="21"/>
      <c r="L1751" s="21"/>
      <c r="M1751" s="21"/>
      <c r="N1751" s="21"/>
    </row>
    <row r="1752" spans="1:14" ht="15.75" customHeight="1" x14ac:dyDescent="0.25">
      <c r="A1752" s="7">
        <v>1</v>
      </c>
      <c r="B1752" s="41" t="s">
        <v>863</v>
      </c>
      <c r="C1752" s="7">
        <v>1</v>
      </c>
      <c r="D1752" s="7" t="s">
        <v>363</v>
      </c>
      <c r="E1752" s="104">
        <v>830000</v>
      </c>
      <c r="F1752" s="104">
        <f>E1752*C1752</f>
        <v>830000</v>
      </c>
      <c r="G1752" s="25"/>
      <c r="H1752" s="11"/>
      <c r="I1752" s="21"/>
      <c r="J1752" s="21"/>
      <c r="K1752" s="21"/>
      <c r="L1752" s="21"/>
      <c r="M1752" s="21"/>
      <c r="N1752" s="21"/>
    </row>
    <row r="1753" spans="1:14" ht="15.75" customHeight="1" x14ac:dyDescent="0.25">
      <c r="A1753" s="7">
        <v>2</v>
      </c>
      <c r="B1753" s="41" t="s">
        <v>864</v>
      </c>
      <c r="C1753" s="7">
        <v>1</v>
      </c>
      <c r="D1753" s="7" t="s">
        <v>243</v>
      </c>
      <c r="E1753" s="104">
        <v>768800</v>
      </c>
      <c r="F1753" s="104">
        <f>E1753*C1753</f>
        <v>768800</v>
      </c>
      <c r="G1753" s="25"/>
      <c r="H1753" s="11"/>
      <c r="I1753" s="21"/>
      <c r="J1753" s="21"/>
      <c r="K1753" s="21"/>
      <c r="L1753" s="21"/>
      <c r="M1753" s="21"/>
      <c r="N1753" s="21"/>
    </row>
    <row r="1754" spans="1:14" ht="15.75" customHeight="1" x14ac:dyDescent="0.25">
      <c r="A1754" s="7"/>
      <c r="B1754" s="343" t="s">
        <v>342</v>
      </c>
      <c r="C1754" s="344"/>
      <c r="D1754" s="344"/>
      <c r="E1754" s="334"/>
      <c r="F1754" s="104">
        <f>SUM(F1752:F1753)</f>
        <v>1598800</v>
      </c>
      <c r="G1754" s="25"/>
      <c r="H1754" s="11"/>
      <c r="I1754" s="21"/>
      <c r="J1754" s="21"/>
      <c r="K1754" s="21"/>
      <c r="L1754" s="21"/>
      <c r="M1754" s="21"/>
      <c r="N1754" s="21"/>
    </row>
    <row r="1755" spans="1:14" ht="15.75" customHeight="1" x14ac:dyDescent="0.25">
      <c r="A1755" s="7"/>
      <c r="B1755" s="343" t="s">
        <v>343</v>
      </c>
      <c r="C1755" s="344"/>
      <c r="D1755" s="344"/>
      <c r="E1755" s="334"/>
      <c r="F1755" s="104">
        <v>175868</v>
      </c>
      <c r="G1755" s="25"/>
      <c r="H1755" s="11"/>
      <c r="I1755" s="21"/>
      <c r="J1755" s="21"/>
      <c r="K1755" s="21"/>
      <c r="L1755" s="21"/>
      <c r="M1755" s="21"/>
      <c r="N1755" s="21"/>
    </row>
    <row r="1756" spans="1:14" ht="15.75" customHeight="1" x14ac:dyDescent="0.25">
      <c r="A1756" s="7"/>
      <c r="B1756" s="345" t="s">
        <v>344</v>
      </c>
      <c r="C1756" s="344"/>
      <c r="D1756" s="344"/>
      <c r="E1756" s="334"/>
      <c r="F1756" s="107">
        <f>SUM(F1754:F1755)</f>
        <v>1774668</v>
      </c>
      <c r="G1756" s="25"/>
      <c r="H1756" s="11"/>
      <c r="I1756" s="21"/>
      <c r="J1756" s="21"/>
      <c r="K1756" s="21"/>
      <c r="L1756" s="21"/>
      <c r="M1756" s="21"/>
      <c r="N1756" s="21"/>
    </row>
    <row r="1757" spans="1:14" ht="15.75" customHeight="1" x14ac:dyDescent="0.25">
      <c r="A1757" s="21"/>
      <c r="B1757" s="21"/>
      <c r="C1757" s="11"/>
      <c r="D1757" s="11"/>
      <c r="E1757" s="21"/>
      <c r="F1757" s="21"/>
      <c r="G1757" s="25"/>
      <c r="H1757" s="11"/>
      <c r="I1757" s="21"/>
      <c r="J1757" s="21"/>
      <c r="K1757" s="21"/>
      <c r="L1757" s="21"/>
      <c r="M1757" s="21"/>
      <c r="N1757" s="21"/>
    </row>
    <row r="1758" spans="1:14" ht="15.75" customHeight="1" x14ac:dyDescent="0.25">
      <c r="A1758" s="31" t="s">
        <v>14</v>
      </c>
      <c r="B1758" s="31" t="s">
        <v>234</v>
      </c>
      <c r="C1758" s="31" t="s">
        <v>16</v>
      </c>
      <c r="D1758" s="31" t="s">
        <v>17</v>
      </c>
      <c r="E1758" s="31" t="s">
        <v>235</v>
      </c>
      <c r="F1758" s="31" t="s">
        <v>236</v>
      </c>
      <c r="G1758" s="25"/>
      <c r="H1758" s="11"/>
      <c r="I1758" s="21"/>
      <c r="J1758" s="21"/>
      <c r="K1758" s="21"/>
      <c r="L1758" s="21"/>
      <c r="M1758" s="21"/>
      <c r="N1758" s="21"/>
    </row>
    <row r="1759" spans="1:14" ht="15.75" customHeight="1" x14ac:dyDescent="0.25">
      <c r="A1759" s="7">
        <v>1</v>
      </c>
      <c r="B1759" s="124" t="s">
        <v>865</v>
      </c>
      <c r="C1759" s="129">
        <v>1</v>
      </c>
      <c r="D1759" s="7" t="s">
        <v>363</v>
      </c>
      <c r="E1759" s="130">
        <v>286150</v>
      </c>
      <c r="F1759" s="130">
        <f>E1759*C1759</f>
        <v>286150</v>
      </c>
      <c r="G1759" s="25"/>
      <c r="H1759" s="11"/>
      <c r="I1759" s="21"/>
      <c r="J1759" s="21"/>
      <c r="K1759" s="21"/>
      <c r="L1759" s="21"/>
      <c r="M1759" s="21"/>
      <c r="N1759" s="21"/>
    </row>
    <row r="1760" spans="1:14" ht="15.75" customHeight="1" x14ac:dyDescent="0.25">
      <c r="A1760" s="7">
        <v>2</v>
      </c>
      <c r="B1760" s="120" t="s">
        <v>866</v>
      </c>
      <c r="C1760" s="129">
        <v>1</v>
      </c>
      <c r="D1760" s="7" t="s">
        <v>363</v>
      </c>
      <c r="E1760" s="130">
        <v>227950</v>
      </c>
      <c r="F1760" s="130">
        <f>E1760*C1760</f>
        <v>227950</v>
      </c>
      <c r="G1760" s="25"/>
      <c r="H1760" s="11"/>
      <c r="I1760" s="21"/>
      <c r="J1760" s="21"/>
      <c r="K1760" s="21"/>
      <c r="L1760" s="21"/>
      <c r="M1760" s="21"/>
      <c r="N1760" s="21"/>
    </row>
    <row r="1761" spans="1:14" ht="15.75" customHeight="1" x14ac:dyDescent="0.25">
      <c r="A1761" s="7">
        <v>3</v>
      </c>
      <c r="B1761" s="131" t="s">
        <v>867</v>
      </c>
      <c r="C1761" s="129">
        <v>5</v>
      </c>
      <c r="D1761" s="7" t="s">
        <v>363</v>
      </c>
      <c r="E1761" s="130">
        <v>92150</v>
      </c>
      <c r="F1761" s="130">
        <f>E1761*C1761</f>
        <v>460750</v>
      </c>
      <c r="G1761" s="25"/>
      <c r="H1761" s="11"/>
      <c r="I1761" s="21"/>
      <c r="J1761" s="21"/>
      <c r="K1761" s="21"/>
      <c r="L1761" s="21"/>
      <c r="M1761" s="21"/>
      <c r="N1761" s="21"/>
    </row>
    <row r="1762" spans="1:14" ht="15.75" customHeight="1" x14ac:dyDescent="0.25">
      <c r="A1762" s="7"/>
      <c r="B1762" s="343" t="s">
        <v>342</v>
      </c>
      <c r="C1762" s="344"/>
      <c r="D1762" s="344"/>
      <c r="E1762" s="334"/>
      <c r="F1762" s="104">
        <f>SUM(F1759:F1761)</f>
        <v>974850</v>
      </c>
      <c r="G1762" s="25"/>
      <c r="H1762" s="11"/>
      <c r="I1762" s="21"/>
      <c r="J1762" s="21"/>
      <c r="K1762" s="21"/>
      <c r="L1762" s="21"/>
      <c r="M1762" s="21"/>
      <c r="N1762" s="21"/>
    </row>
    <row r="1763" spans="1:14" ht="15.75" customHeight="1" x14ac:dyDescent="0.25">
      <c r="A1763" s="7"/>
      <c r="B1763" s="343" t="s">
        <v>343</v>
      </c>
      <c r="C1763" s="344"/>
      <c r="D1763" s="344"/>
      <c r="E1763" s="334"/>
      <c r="F1763" s="104">
        <v>107233.5</v>
      </c>
      <c r="G1763" s="25"/>
      <c r="H1763" s="11"/>
      <c r="I1763" s="21"/>
      <c r="J1763" s="21"/>
      <c r="K1763" s="21"/>
      <c r="L1763" s="21"/>
      <c r="M1763" s="21"/>
      <c r="N1763" s="21"/>
    </row>
    <row r="1764" spans="1:14" ht="15.75" customHeight="1" x14ac:dyDescent="0.25">
      <c r="A1764" s="7"/>
      <c r="B1764" s="345" t="s">
        <v>344</v>
      </c>
      <c r="C1764" s="344"/>
      <c r="D1764" s="344"/>
      <c r="E1764" s="334"/>
      <c r="F1764" s="107">
        <f>SUM(F1762:F1763)</f>
        <v>1082083.5</v>
      </c>
      <c r="G1764" s="25"/>
      <c r="H1764" s="11"/>
      <c r="I1764" s="21"/>
      <c r="J1764" s="21"/>
      <c r="K1764" s="21"/>
      <c r="L1764" s="21"/>
      <c r="M1764" s="21"/>
      <c r="N1764" s="21"/>
    </row>
    <row r="1765" spans="1:14" ht="15.75" customHeight="1" x14ac:dyDescent="0.25">
      <c r="A1765" s="21"/>
      <c r="B1765" s="21"/>
      <c r="C1765" s="11"/>
      <c r="D1765" s="11"/>
      <c r="E1765" s="21"/>
      <c r="F1765" s="21"/>
      <c r="G1765" s="25"/>
      <c r="H1765" s="11"/>
      <c r="I1765" s="21"/>
      <c r="J1765" s="21"/>
      <c r="K1765" s="21"/>
      <c r="L1765" s="21"/>
      <c r="M1765" s="21"/>
      <c r="N1765" s="21"/>
    </row>
    <row r="1766" spans="1:14" ht="15.75" customHeight="1" x14ac:dyDescent="0.25">
      <c r="A1766" s="31" t="s">
        <v>14</v>
      </c>
      <c r="B1766" s="31" t="s">
        <v>234</v>
      </c>
      <c r="C1766" s="31" t="s">
        <v>16</v>
      </c>
      <c r="D1766" s="31" t="s">
        <v>17</v>
      </c>
      <c r="E1766" s="31" t="s">
        <v>235</v>
      </c>
      <c r="F1766" s="31" t="s">
        <v>236</v>
      </c>
      <c r="G1766" s="25"/>
      <c r="H1766" s="11"/>
      <c r="I1766" s="21"/>
      <c r="J1766" s="21"/>
      <c r="K1766" s="21"/>
      <c r="L1766" s="21"/>
      <c r="M1766" s="21"/>
      <c r="N1766" s="21"/>
    </row>
    <row r="1767" spans="1:14" ht="15.75" customHeight="1" x14ac:dyDescent="0.25">
      <c r="A1767" s="10">
        <v>1</v>
      </c>
      <c r="B1767" s="124" t="s">
        <v>868</v>
      </c>
      <c r="C1767" s="7">
        <v>4</v>
      </c>
      <c r="D1767" s="7" t="s">
        <v>363</v>
      </c>
      <c r="E1767" s="104">
        <v>45784</v>
      </c>
      <c r="F1767" s="104">
        <f t="shared" ref="F1767:F1777" si="12">E1767*C1767</f>
        <v>183136</v>
      </c>
      <c r="G1767" s="25"/>
      <c r="H1767" s="11"/>
      <c r="I1767" s="21"/>
      <c r="J1767" s="21"/>
      <c r="K1767" s="21"/>
      <c r="L1767" s="21"/>
      <c r="M1767" s="21"/>
      <c r="N1767" s="21"/>
    </row>
    <row r="1768" spans="1:14" ht="15.75" customHeight="1" x14ac:dyDescent="0.25">
      <c r="A1768" s="7">
        <v>2</v>
      </c>
      <c r="B1768" s="124" t="s">
        <v>868</v>
      </c>
      <c r="C1768" s="7">
        <v>4</v>
      </c>
      <c r="D1768" s="7" t="s">
        <v>363</v>
      </c>
      <c r="E1768" s="104">
        <v>45784</v>
      </c>
      <c r="F1768" s="104">
        <f t="shared" si="12"/>
        <v>183136</v>
      </c>
      <c r="G1768" s="25"/>
      <c r="H1768" s="11"/>
      <c r="I1768" s="21"/>
      <c r="J1768" s="21"/>
      <c r="K1768" s="21"/>
      <c r="L1768" s="21"/>
      <c r="M1768" s="21"/>
      <c r="N1768" s="21"/>
    </row>
    <row r="1769" spans="1:14" ht="15.75" customHeight="1" x14ac:dyDescent="0.25">
      <c r="A1769" s="7">
        <v>3</v>
      </c>
      <c r="B1769" s="122" t="s">
        <v>868</v>
      </c>
      <c r="C1769" s="7">
        <v>4</v>
      </c>
      <c r="D1769" s="7" t="s">
        <v>363</v>
      </c>
      <c r="E1769" s="104">
        <v>45784</v>
      </c>
      <c r="F1769" s="104">
        <f t="shared" si="12"/>
        <v>183136</v>
      </c>
      <c r="G1769" s="25"/>
      <c r="H1769" s="11"/>
      <c r="I1769" s="21"/>
      <c r="J1769" s="21"/>
      <c r="K1769" s="21"/>
      <c r="L1769" s="21"/>
      <c r="M1769" s="21"/>
      <c r="N1769" s="21"/>
    </row>
    <row r="1770" spans="1:14" ht="15.75" customHeight="1" x14ac:dyDescent="0.25">
      <c r="A1770" s="7">
        <v>4</v>
      </c>
      <c r="B1770" s="122" t="s">
        <v>869</v>
      </c>
      <c r="C1770" s="7">
        <v>5</v>
      </c>
      <c r="D1770" s="7" t="s">
        <v>363</v>
      </c>
      <c r="E1770" s="104">
        <v>45784</v>
      </c>
      <c r="F1770" s="104">
        <f t="shared" si="12"/>
        <v>228920</v>
      </c>
      <c r="G1770" s="25"/>
      <c r="H1770" s="11"/>
      <c r="I1770" s="21"/>
      <c r="J1770" s="21"/>
      <c r="K1770" s="21"/>
      <c r="L1770" s="21"/>
      <c r="M1770" s="21"/>
      <c r="N1770" s="21"/>
    </row>
    <row r="1771" spans="1:14" ht="15.75" customHeight="1" x14ac:dyDescent="0.25">
      <c r="A1771" s="7">
        <v>5</v>
      </c>
      <c r="B1771" s="41" t="s">
        <v>870</v>
      </c>
      <c r="C1771" s="7">
        <v>5</v>
      </c>
      <c r="D1771" s="7" t="s">
        <v>363</v>
      </c>
      <c r="E1771" s="104">
        <v>37345</v>
      </c>
      <c r="F1771" s="104">
        <f t="shared" si="12"/>
        <v>186725</v>
      </c>
      <c r="G1771" s="25"/>
      <c r="H1771" s="11"/>
      <c r="I1771" s="21"/>
      <c r="J1771" s="21"/>
      <c r="K1771" s="21"/>
      <c r="L1771" s="21"/>
      <c r="M1771" s="21"/>
      <c r="N1771" s="21"/>
    </row>
    <row r="1772" spans="1:14" ht="15.75" customHeight="1" x14ac:dyDescent="0.25">
      <c r="A1772" s="7">
        <v>6</v>
      </c>
      <c r="B1772" s="41" t="s">
        <v>871</v>
      </c>
      <c r="C1772" s="7">
        <v>5</v>
      </c>
      <c r="D1772" s="7" t="s">
        <v>363</v>
      </c>
      <c r="E1772" s="104">
        <v>45784</v>
      </c>
      <c r="F1772" s="104">
        <f t="shared" si="12"/>
        <v>228920</v>
      </c>
      <c r="G1772" s="25"/>
      <c r="H1772" s="11"/>
      <c r="I1772" s="21"/>
      <c r="J1772" s="21"/>
      <c r="K1772" s="21"/>
      <c r="L1772" s="21"/>
      <c r="M1772" s="21"/>
      <c r="N1772" s="21"/>
    </row>
    <row r="1773" spans="1:14" ht="15.75" customHeight="1" x14ac:dyDescent="0.25">
      <c r="A1773" s="7">
        <v>7</v>
      </c>
      <c r="B1773" s="41" t="s">
        <v>872</v>
      </c>
      <c r="C1773" s="7">
        <v>10</v>
      </c>
      <c r="D1773" s="7" t="s">
        <v>363</v>
      </c>
      <c r="E1773" s="104">
        <v>45784</v>
      </c>
      <c r="F1773" s="104">
        <f t="shared" si="12"/>
        <v>457840</v>
      </c>
      <c r="G1773" s="25"/>
      <c r="H1773" s="11"/>
      <c r="I1773" s="21"/>
      <c r="J1773" s="21"/>
      <c r="K1773" s="21"/>
      <c r="L1773" s="21"/>
      <c r="M1773" s="21"/>
      <c r="N1773" s="21"/>
    </row>
    <row r="1774" spans="1:14" ht="15.75" customHeight="1" x14ac:dyDescent="0.25">
      <c r="A1774" s="7">
        <v>8</v>
      </c>
      <c r="B1774" s="41" t="s">
        <v>873</v>
      </c>
      <c r="C1774" s="7">
        <v>5</v>
      </c>
      <c r="D1774" s="7" t="s">
        <v>363</v>
      </c>
      <c r="E1774" s="104">
        <v>37345</v>
      </c>
      <c r="F1774" s="104">
        <f t="shared" si="12"/>
        <v>186725</v>
      </c>
      <c r="G1774" s="25"/>
      <c r="H1774" s="11"/>
      <c r="I1774" s="21"/>
      <c r="J1774" s="21"/>
      <c r="K1774" s="21"/>
      <c r="L1774" s="21"/>
      <c r="M1774" s="21"/>
      <c r="N1774" s="21"/>
    </row>
    <row r="1775" spans="1:14" ht="15.75" customHeight="1" x14ac:dyDescent="0.25">
      <c r="A1775" s="7">
        <v>9</v>
      </c>
      <c r="B1775" s="41" t="s">
        <v>874</v>
      </c>
      <c r="C1775" s="7">
        <v>10</v>
      </c>
      <c r="D1775" s="7" t="s">
        <v>363</v>
      </c>
      <c r="E1775" s="104">
        <v>45784</v>
      </c>
      <c r="F1775" s="108">
        <f t="shared" si="12"/>
        <v>457840</v>
      </c>
      <c r="G1775" s="25"/>
      <c r="H1775" s="11"/>
      <c r="I1775" s="21"/>
      <c r="J1775" s="21"/>
      <c r="K1775" s="21"/>
      <c r="L1775" s="21"/>
      <c r="M1775" s="21"/>
      <c r="N1775" s="21"/>
    </row>
    <row r="1776" spans="1:14" ht="15.75" customHeight="1" x14ac:dyDescent="0.25">
      <c r="A1776" s="7">
        <v>10</v>
      </c>
      <c r="B1776" s="41" t="s">
        <v>875</v>
      </c>
      <c r="C1776" s="7">
        <v>5</v>
      </c>
      <c r="D1776" s="7" t="s">
        <v>363</v>
      </c>
      <c r="E1776" s="104">
        <v>37345</v>
      </c>
      <c r="F1776" s="104">
        <f t="shared" si="12"/>
        <v>186725</v>
      </c>
      <c r="G1776" s="25"/>
      <c r="H1776" s="11"/>
      <c r="I1776" s="21"/>
      <c r="J1776" s="21"/>
      <c r="K1776" s="21"/>
      <c r="L1776" s="21"/>
      <c r="M1776" s="21"/>
      <c r="N1776" s="21"/>
    </row>
    <row r="1777" spans="1:14" ht="15.75" customHeight="1" x14ac:dyDescent="0.25">
      <c r="A1777" s="7">
        <v>11</v>
      </c>
      <c r="B1777" s="41" t="s">
        <v>876</v>
      </c>
      <c r="C1777" s="7">
        <v>5</v>
      </c>
      <c r="D1777" s="7" t="s">
        <v>363</v>
      </c>
      <c r="E1777" s="104">
        <v>45784</v>
      </c>
      <c r="F1777" s="104">
        <f t="shared" si="12"/>
        <v>228920</v>
      </c>
      <c r="G1777" s="25"/>
      <c r="H1777" s="11"/>
      <c r="I1777" s="21"/>
      <c r="J1777" s="21"/>
      <c r="K1777" s="21"/>
      <c r="L1777" s="21"/>
      <c r="M1777" s="21"/>
      <c r="N1777" s="21"/>
    </row>
    <row r="1778" spans="1:14" ht="15.75" customHeight="1" x14ac:dyDescent="0.25">
      <c r="A1778" s="7"/>
      <c r="B1778" s="343" t="s">
        <v>342</v>
      </c>
      <c r="C1778" s="344"/>
      <c r="D1778" s="344"/>
      <c r="E1778" s="334"/>
      <c r="F1778" s="104">
        <f>SUM(F1767:F1777)</f>
        <v>2712023</v>
      </c>
      <c r="G1778" s="25"/>
      <c r="H1778" s="11"/>
      <c r="I1778" s="21"/>
      <c r="J1778" s="21"/>
      <c r="K1778" s="21"/>
      <c r="L1778" s="21"/>
      <c r="M1778" s="21"/>
      <c r="N1778" s="21"/>
    </row>
    <row r="1779" spans="1:14" ht="15.75" customHeight="1" x14ac:dyDescent="0.25">
      <c r="A1779" s="7"/>
      <c r="B1779" s="343" t="s">
        <v>343</v>
      </c>
      <c r="C1779" s="344"/>
      <c r="D1779" s="344"/>
      <c r="E1779" s="334"/>
      <c r="F1779" s="104">
        <v>298322.53000000003</v>
      </c>
      <c r="G1779" s="25"/>
      <c r="H1779" s="11"/>
      <c r="I1779" s="21"/>
      <c r="J1779" s="21"/>
      <c r="K1779" s="21"/>
      <c r="L1779" s="21"/>
      <c r="M1779" s="21"/>
      <c r="N1779" s="21"/>
    </row>
    <row r="1780" spans="1:14" ht="15.75" customHeight="1" x14ac:dyDescent="0.25">
      <c r="A1780" s="7"/>
      <c r="B1780" s="345" t="s">
        <v>344</v>
      </c>
      <c r="C1780" s="344"/>
      <c r="D1780" s="344"/>
      <c r="E1780" s="334"/>
      <c r="F1780" s="107">
        <f>SUM(F1778:F1779)</f>
        <v>3010345.5300000003</v>
      </c>
      <c r="G1780" s="25"/>
      <c r="H1780" s="11"/>
      <c r="I1780" s="21"/>
      <c r="J1780" s="21"/>
      <c r="K1780" s="21"/>
      <c r="L1780" s="21"/>
      <c r="M1780" s="21"/>
      <c r="N1780" s="21"/>
    </row>
    <row r="1781" spans="1:14" ht="15.75" customHeight="1" x14ac:dyDescent="0.25">
      <c r="A1781" s="21"/>
      <c r="B1781" s="21"/>
      <c r="C1781" s="11"/>
      <c r="D1781" s="11"/>
      <c r="E1781" s="21"/>
      <c r="F1781" s="21"/>
      <c r="G1781" s="25"/>
      <c r="H1781" s="11"/>
      <c r="I1781" s="21"/>
      <c r="J1781" s="21"/>
      <c r="K1781" s="21"/>
      <c r="L1781" s="21"/>
      <c r="M1781" s="21"/>
      <c r="N1781" s="21"/>
    </row>
    <row r="1782" spans="1:14" ht="15.75" customHeight="1" x14ac:dyDescent="0.25">
      <c r="A1782" s="31" t="s">
        <v>14</v>
      </c>
      <c r="B1782" s="31" t="s">
        <v>234</v>
      </c>
      <c r="C1782" s="31" t="s">
        <v>16</v>
      </c>
      <c r="D1782" s="31" t="s">
        <v>17</v>
      </c>
      <c r="E1782" s="31" t="s">
        <v>235</v>
      </c>
      <c r="F1782" s="31" t="s">
        <v>236</v>
      </c>
      <c r="G1782" s="25"/>
      <c r="H1782" s="11"/>
      <c r="I1782" s="21"/>
      <c r="J1782" s="21"/>
      <c r="K1782" s="21"/>
      <c r="L1782" s="21"/>
      <c r="M1782" s="21"/>
      <c r="N1782" s="21"/>
    </row>
    <row r="1783" spans="1:14" ht="15.75" customHeight="1" x14ac:dyDescent="0.25">
      <c r="A1783" s="10">
        <v>1</v>
      </c>
      <c r="B1783" s="124" t="s">
        <v>877</v>
      </c>
      <c r="C1783" s="7">
        <v>24</v>
      </c>
      <c r="D1783" s="7" t="s">
        <v>363</v>
      </c>
      <c r="E1783" s="104">
        <v>121250</v>
      </c>
      <c r="F1783" s="104">
        <f t="shared" ref="F1783:F1792" si="13">E1783*C1783</f>
        <v>2910000</v>
      </c>
      <c r="G1783" s="25"/>
      <c r="H1783" s="11"/>
      <c r="I1783" s="21"/>
      <c r="J1783" s="21"/>
      <c r="K1783" s="21"/>
      <c r="L1783" s="21"/>
      <c r="M1783" s="21"/>
      <c r="N1783" s="21"/>
    </row>
    <row r="1784" spans="1:14" ht="15.75" customHeight="1" x14ac:dyDescent="0.25">
      <c r="A1784" s="7">
        <v>2</v>
      </c>
      <c r="B1784" s="124" t="s">
        <v>878</v>
      </c>
      <c r="C1784" s="7">
        <v>4</v>
      </c>
      <c r="D1784" s="7" t="s">
        <v>363</v>
      </c>
      <c r="E1784" s="104">
        <v>160535</v>
      </c>
      <c r="F1784" s="104">
        <f t="shared" si="13"/>
        <v>642140</v>
      </c>
      <c r="G1784" s="25"/>
      <c r="H1784" s="11"/>
      <c r="I1784" s="21"/>
      <c r="J1784" s="21"/>
      <c r="K1784" s="21"/>
      <c r="L1784" s="21"/>
      <c r="M1784" s="21"/>
      <c r="N1784" s="21"/>
    </row>
    <row r="1785" spans="1:14" ht="15.75" customHeight="1" x14ac:dyDescent="0.25">
      <c r="A1785" s="7">
        <v>3</v>
      </c>
      <c r="B1785" s="122" t="s">
        <v>879</v>
      </c>
      <c r="C1785" s="7">
        <v>8</v>
      </c>
      <c r="D1785" s="7" t="s">
        <v>363</v>
      </c>
      <c r="E1785" s="104">
        <v>45784</v>
      </c>
      <c r="F1785" s="104">
        <f t="shared" si="13"/>
        <v>366272</v>
      </c>
      <c r="G1785" s="25"/>
      <c r="H1785" s="11"/>
      <c r="I1785" s="21"/>
      <c r="J1785" s="21"/>
      <c r="K1785" s="21"/>
      <c r="L1785" s="21"/>
      <c r="M1785" s="21"/>
      <c r="N1785" s="21"/>
    </row>
    <row r="1786" spans="1:14" ht="15.75" customHeight="1" x14ac:dyDescent="0.25">
      <c r="A1786" s="7">
        <v>4</v>
      </c>
      <c r="B1786" s="122" t="s">
        <v>880</v>
      </c>
      <c r="C1786" s="7">
        <v>12</v>
      </c>
      <c r="D1786" s="7" t="s">
        <v>363</v>
      </c>
      <c r="E1786" s="104">
        <v>53350</v>
      </c>
      <c r="F1786" s="104">
        <f t="shared" si="13"/>
        <v>640200</v>
      </c>
      <c r="G1786" s="25"/>
      <c r="H1786" s="11"/>
      <c r="I1786" s="21"/>
      <c r="J1786" s="21"/>
      <c r="K1786" s="21"/>
      <c r="L1786" s="21"/>
      <c r="M1786" s="21"/>
      <c r="N1786" s="21"/>
    </row>
    <row r="1787" spans="1:14" ht="15.75" customHeight="1" x14ac:dyDescent="0.25">
      <c r="A1787" s="7">
        <v>5</v>
      </c>
      <c r="B1787" s="41" t="s">
        <v>881</v>
      </c>
      <c r="C1787" s="7">
        <v>1</v>
      </c>
      <c r="D1787" s="7" t="s">
        <v>363</v>
      </c>
      <c r="E1787" s="104">
        <v>44135</v>
      </c>
      <c r="F1787" s="104">
        <f t="shared" si="13"/>
        <v>44135</v>
      </c>
      <c r="G1787" s="25"/>
      <c r="H1787" s="11"/>
      <c r="I1787" s="21"/>
      <c r="J1787" s="21"/>
      <c r="K1787" s="21"/>
      <c r="L1787" s="21"/>
      <c r="M1787" s="21"/>
      <c r="N1787" s="21"/>
    </row>
    <row r="1788" spans="1:14" ht="15.75" customHeight="1" x14ac:dyDescent="0.25">
      <c r="A1788" s="7">
        <v>6</v>
      </c>
      <c r="B1788" s="41" t="s">
        <v>882</v>
      </c>
      <c r="C1788" s="7">
        <v>16</v>
      </c>
      <c r="D1788" s="7" t="s">
        <v>363</v>
      </c>
      <c r="E1788" s="104">
        <v>37345</v>
      </c>
      <c r="F1788" s="104">
        <f t="shared" si="13"/>
        <v>597520</v>
      </c>
      <c r="G1788" s="25"/>
      <c r="H1788" s="11"/>
      <c r="I1788" s="21"/>
      <c r="J1788" s="21"/>
      <c r="K1788" s="21"/>
      <c r="L1788" s="21"/>
      <c r="M1788" s="21"/>
      <c r="N1788" s="21"/>
    </row>
    <row r="1789" spans="1:14" ht="15.75" customHeight="1" x14ac:dyDescent="0.25">
      <c r="A1789" s="7">
        <v>7</v>
      </c>
      <c r="B1789" s="41" t="s">
        <v>883</v>
      </c>
      <c r="C1789" s="7">
        <v>16</v>
      </c>
      <c r="D1789" s="7" t="s">
        <v>363</v>
      </c>
      <c r="E1789" s="104">
        <v>53350</v>
      </c>
      <c r="F1789" s="104">
        <f t="shared" si="13"/>
        <v>853600</v>
      </c>
      <c r="G1789" s="25"/>
      <c r="H1789" s="11"/>
      <c r="I1789" s="21"/>
      <c r="J1789" s="21"/>
      <c r="K1789" s="21"/>
      <c r="L1789" s="21"/>
      <c r="M1789" s="21"/>
      <c r="N1789" s="21"/>
    </row>
    <row r="1790" spans="1:14" ht="15.75" customHeight="1" x14ac:dyDescent="0.25">
      <c r="A1790" s="7">
        <v>8</v>
      </c>
      <c r="B1790" s="41" t="s">
        <v>884</v>
      </c>
      <c r="C1790" s="7">
        <v>56</v>
      </c>
      <c r="D1790" s="7" t="s">
        <v>363</v>
      </c>
      <c r="E1790" s="104">
        <v>43165</v>
      </c>
      <c r="F1790" s="104">
        <f t="shared" si="13"/>
        <v>2417240</v>
      </c>
      <c r="G1790" s="25"/>
      <c r="H1790" s="11"/>
      <c r="I1790" s="21"/>
      <c r="J1790" s="21"/>
      <c r="K1790" s="21"/>
      <c r="L1790" s="21"/>
      <c r="M1790" s="21"/>
      <c r="N1790" s="21"/>
    </row>
    <row r="1791" spans="1:14" ht="15.75" customHeight="1" x14ac:dyDescent="0.25">
      <c r="A1791" s="7">
        <v>9</v>
      </c>
      <c r="B1791" s="41" t="s">
        <v>885</v>
      </c>
      <c r="C1791" s="7">
        <v>6</v>
      </c>
      <c r="D1791" s="7" t="s">
        <v>363</v>
      </c>
      <c r="E1791" s="104">
        <v>57036</v>
      </c>
      <c r="F1791" s="104">
        <f t="shared" si="13"/>
        <v>342216</v>
      </c>
      <c r="G1791" s="25"/>
      <c r="H1791" s="11"/>
      <c r="I1791" s="21"/>
      <c r="J1791" s="21"/>
      <c r="K1791" s="21"/>
      <c r="L1791" s="21"/>
      <c r="M1791" s="21"/>
      <c r="N1791" s="21"/>
    </row>
    <row r="1792" spans="1:14" ht="15.75" customHeight="1" x14ac:dyDescent="0.25">
      <c r="A1792" s="7">
        <v>10</v>
      </c>
      <c r="B1792" s="41" t="s">
        <v>886</v>
      </c>
      <c r="C1792" s="7">
        <v>4</v>
      </c>
      <c r="D1792" s="7" t="s">
        <v>363</v>
      </c>
      <c r="E1792" s="104">
        <v>160535</v>
      </c>
      <c r="F1792" s="104">
        <f t="shared" si="13"/>
        <v>642140</v>
      </c>
      <c r="G1792" s="25"/>
      <c r="H1792" s="11"/>
      <c r="I1792" s="21"/>
      <c r="J1792" s="21"/>
      <c r="K1792" s="21"/>
      <c r="L1792" s="21"/>
      <c r="M1792" s="21"/>
      <c r="N1792" s="21"/>
    </row>
    <row r="1793" spans="1:14" ht="15.75" customHeight="1" x14ac:dyDescent="0.25">
      <c r="A1793" s="7"/>
      <c r="B1793" s="343" t="s">
        <v>342</v>
      </c>
      <c r="C1793" s="344"/>
      <c r="D1793" s="344"/>
      <c r="E1793" s="334"/>
      <c r="F1793" s="104">
        <f>SUM(F1783:F1792)</f>
        <v>9455463</v>
      </c>
      <c r="G1793" s="25"/>
      <c r="H1793" s="11"/>
      <c r="I1793" s="21"/>
      <c r="J1793" s="21"/>
      <c r="K1793" s="21"/>
      <c r="L1793" s="21"/>
      <c r="M1793" s="21"/>
      <c r="N1793" s="21"/>
    </row>
    <row r="1794" spans="1:14" ht="15.75" customHeight="1" x14ac:dyDescent="0.25">
      <c r="A1794" s="7"/>
      <c r="B1794" s="343" t="s">
        <v>343</v>
      </c>
      <c r="C1794" s="344"/>
      <c r="D1794" s="344"/>
      <c r="E1794" s="334"/>
      <c r="F1794" s="104">
        <v>1040100.93</v>
      </c>
      <c r="G1794" s="25"/>
      <c r="H1794" s="11"/>
      <c r="I1794" s="21"/>
      <c r="J1794" s="21"/>
      <c r="K1794" s="21"/>
      <c r="L1794" s="21"/>
      <c r="M1794" s="21"/>
      <c r="N1794" s="21"/>
    </row>
    <row r="1795" spans="1:14" ht="15.75" customHeight="1" x14ac:dyDescent="0.25">
      <c r="A1795" s="7"/>
      <c r="B1795" s="345" t="s">
        <v>344</v>
      </c>
      <c r="C1795" s="344"/>
      <c r="D1795" s="344"/>
      <c r="E1795" s="334"/>
      <c r="F1795" s="107">
        <f>SUM(F1793:F1794)</f>
        <v>10495563.93</v>
      </c>
      <c r="G1795" s="25"/>
      <c r="H1795" s="11"/>
      <c r="I1795" s="21"/>
      <c r="J1795" s="21"/>
      <c r="K1795" s="21"/>
      <c r="L1795" s="21"/>
      <c r="M1795" s="21"/>
      <c r="N1795" s="21"/>
    </row>
    <row r="1796" spans="1:14" ht="15.75" customHeight="1" x14ac:dyDescent="0.25">
      <c r="A1796" s="21"/>
      <c r="B1796" s="21"/>
      <c r="C1796" s="11"/>
      <c r="D1796" s="11"/>
      <c r="E1796" s="21"/>
      <c r="F1796" s="21"/>
      <c r="G1796" s="25"/>
      <c r="H1796" s="11"/>
      <c r="I1796" s="21"/>
      <c r="J1796" s="21"/>
      <c r="K1796" s="21"/>
      <c r="L1796" s="21"/>
      <c r="M1796" s="21"/>
      <c r="N1796" s="21"/>
    </row>
    <row r="1797" spans="1:14" ht="15.75" customHeight="1" x14ac:dyDescent="0.25">
      <c r="A1797" s="31" t="s">
        <v>14</v>
      </c>
      <c r="B1797" s="31" t="s">
        <v>234</v>
      </c>
      <c r="C1797" s="31" t="s">
        <v>16</v>
      </c>
      <c r="D1797" s="31" t="s">
        <v>17</v>
      </c>
      <c r="E1797" s="31" t="s">
        <v>235</v>
      </c>
      <c r="F1797" s="31" t="s">
        <v>236</v>
      </c>
      <c r="G1797" s="25"/>
      <c r="H1797" s="11"/>
      <c r="I1797" s="21"/>
      <c r="J1797" s="21"/>
      <c r="K1797" s="21"/>
      <c r="L1797" s="21"/>
      <c r="M1797" s="21"/>
      <c r="N1797" s="21"/>
    </row>
    <row r="1798" spans="1:14" ht="15.75" customHeight="1" x14ac:dyDescent="0.25">
      <c r="A1798" s="10">
        <v>1</v>
      </c>
      <c r="B1798" s="124" t="s">
        <v>887</v>
      </c>
      <c r="C1798" s="7">
        <v>3</v>
      </c>
      <c r="D1798" s="7" t="s">
        <v>363</v>
      </c>
      <c r="E1798" s="104">
        <v>129200</v>
      </c>
      <c r="F1798" s="104">
        <f t="shared" ref="F1798:F1808" si="14">E1798*C1798</f>
        <v>387600</v>
      </c>
      <c r="G1798" s="25"/>
      <c r="H1798" s="11"/>
      <c r="I1798" s="21"/>
      <c r="J1798" s="21"/>
      <c r="K1798" s="21"/>
      <c r="L1798" s="21"/>
      <c r="M1798" s="21"/>
      <c r="N1798" s="21"/>
    </row>
    <row r="1799" spans="1:14" ht="15.75" customHeight="1" x14ac:dyDescent="0.25">
      <c r="A1799" s="7">
        <v>2</v>
      </c>
      <c r="B1799" s="124" t="s">
        <v>888</v>
      </c>
      <c r="C1799" s="7">
        <v>2</v>
      </c>
      <c r="D1799" s="7" t="s">
        <v>363</v>
      </c>
      <c r="E1799" s="104">
        <v>307325</v>
      </c>
      <c r="F1799" s="104">
        <f t="shared" si="14"/>
        <v>614650</v>
      </c>
      <c r="G1799" s="25"/>
      <c r="H1799" s="11"/>
      <c r="I1799" s="21"/>
      <c r="J1799" s="21"/>
      <c r="K1799" s="21"/>
      <c r="L1799" s="21"/>
      <c r="M1799" s="21"/>
      <c r="N1799" s="21"/>
    </row>
    <row r="1800" spans="1:14" ht="15.75" customHeight="1" x14ac:dyDescent="0.25">
      <c r="A1800" s="7">
        <v>3</v>
      </c>
      <c r="B1800" s="131" t="s">
        <v>889</v>
      </c>
      <c r="C1800" s="7">
        <v>2</v>
      </c>
      <c r="D1800" s="7" t="s">
        <v>363</v>
      </c>
      <c r="E1800" s="104">
        <v>326325</v>
      </c>
      <c r="F1800" s="104">
        <f t="shared" si="14"/>
        <v>652650</v>
      </c>
      <c r="G1800" s="25"/>
      <c r="H1800" s="11"/>
      <c r="I1800" s="21"/>
      <c r="J1800" s="21"/>
      <c r="K1800" s="21"/>
      <c r="L1800" s="21"/>
      <c r="M1800" s="21"/>
      <c r="N1800" s="21"/>
    </row>
    <row r="1801" spans="1:14" ht="15.75" customHeight="1" x14ac:dyDescent="0.25">
      <c r="A1801" s="7">
        <v>4</v>
      </c>
      <c r="B1801" s="131" t="s">
        <v>890</v>
      </c>
      <c r="C1801" s="7">
        <v>4</v>
      </c>
      <c r="D1801" s="7" t="s">
        <v>363</v>
      </c>
      <c r="E1801" s="104">
        <v>206150</v>
      </c>
      <c r="F1801" s="104">
        <f t="shared" si="14"/>
        <v>824600</v>
      </c>
      <c r="G1801" s="25"/>
      <c r="H1801" s="11"/>
      <c r="I1801" s="21"/>
      <c r="J1801" s="21"/>
      <c r="K1801" s="21"/>
      <c r="L1801" s="21"/>
      <c r="M1801" s="21"/>
      <c r="N1801" s="21"/>
    </row>
    <row r="1802" spans="1:14" ht="15.75" customHeight="1" x14ac:dyDescent="0.25">
      <c r="A1802" s="7">
        <v>5</v>
      </c>
      <c r="B1802" s="41" t="s">
        <v>891</v>
      </c>
      <c r="C1802" s="7">
        <v>3</v>
      </c>
      <c r="D1802" s="7" t="s">
        <v>363</v>
      </c>
      <c r="E1802" s="104">
        <v>276925</v>
      </c>
      <c r="F1802" s="104">
        <f t="shared" si="14"/>
        <v>830775</v>
      </c>
      <c r="G1802" s="25"/>
      <c r="H1802" s="11"/>
      <c r="I1802" s="21"/>
      <c r="J1802" s="21"/>
      <c r="K1802" s="21"/>
      <c r="L1802" s="21"/>
      <c r="M1802" s="21"/>
      <c r="N1802" s="21"/>
    </row>
    <row r="1803" spans="1:14" ht="15.75" customHeight="1" x14ac:dyDescent="0.25">
      <c r="A1803" s="7">
        <v>6</v>
      </c>
      <c r="B1803" s="41" t="s">
        <v>892</v>
      </c>
      <c r="C1803" s="7">
        <v>6</v>
      </c>
      <c r="D1803" s="7" t="s">
        <v>363</v>
      </c>
      <c r="E1803" s="104">
        <v>121410</v>
      </c>
      <c r="F1803" s="104">
        <f t="shared" si="14"/>
        <v>728460</v>
      </c>
      <c r="G1803" s="25"/>
      <c r="H1803" s="11"/>
      <c r="I1803" s="21"/>
      <c r="J1803" s="21"/>
      <c r="K1803" s="21"/>
      <c r="L1803" s="21"/>
      <c r="M1803" s="21"/>
      <c r="N1803" s="21"/>
    </row>
    <row r="1804" spans="1:14" ht="15.75" customHeight="1" x14ac:dyDescent="0.25">
      <c r="A1804" s="7">
        <v>7</v>
      </c>
      <c r="B1804" s="41" t="s">
        <v>893</v>
      </c>
      <c r="C1804" s="7">
        <v>2</v>
      </c>
      <c r="D1804" s="7" t="s">
        <v>363</v>
      </c>
      <c r="E1804" s="104">
        <v>766460</v>
      </c>
      <c r="F1804" s="104">
        <f t="shared" si="14"/>
        <v>1532920</v>
      </c>
      <c r="G1804" s="25"/>
      <c r="H1804" s="11"/>
      <c r="I1804" s="21"/>
      <c r="J1804" s="21"/>
      <c r="K1804" s="21"/>
      <c r="L1804" s="21"/>
      <c r="M1804" s="21"/>
      <c r="N1804" s="21"/>
    </row>
    <row r="1805" spans="1:14" ht="15.75" customHeight="1" x14ac:dyDescent="0.25">
      <c r="A1805" s="7">
        <v>8</v>
      </c>
      <c r="B1805" s="41" t="s">
        <v>894</v>
      </c>
      <c r="C1805" s="7">
        <v>2</v>
      </c>
      <c r="D1805" s="7" t="s">
        <v>363</v>
      </c>
      <c r="E1805" s="104">
        <v>141075</v>
      </c>
      <c r="F1805" s="104">
        <f t="shared" si="14"/>
        <v>282150</v>
      </c>
      <c r="G1805" s="25"/>
      <c r="H1805" s="11"/>
      <c r="I1805" s="21"/>
      <c r="J1805" s="21"/>
      <c r="K1805" s="21"/>
      <c r="L1805" s="21"/>
      <c r="M1805" s="21"/>
      <c r="N1805" s="21"/>
    </row>
    <row r="1806" spans="1:14" ht="15.75" customHeight="1" x14ac:dyDescent="0.25">
      <c r="A1806" s="7">
        <v>9</v>
      </c>
      <c r="B1806" s="41" t="s">
        <v>895</v>
      </c>
      <c r="C1806" s="7">
        <v>3</v>
      </c>
      <c r="D1806" s="7" t="s">
        <v>363</v>
      </c>
      <c r="E1806" s="104">
        <v>123025</v>
      </c>
      <c r="F1806" s="108">
        <f t="shared" si="14"/>
        <v>369075</v>
      </c>
      <c r="G1806" s="25"/>
      <c r="H1806" s="11"/>
      <c r="I1806" s="21"/>
      <c r="J1806" s="21"/>
      <c r="K1806" s="21"/>
      <c r="L1806" s="21"/>
      <c r="M1806" s="21"/>
      <c r="N1806" s="21"/>
    </row>
    <row r="1807" spans="1:14" ht="15.75" customHeight="1" x14ac:dyDescent="0.25">
      <c r="A1807" s="7">
        <v>10</v>
      </c>
      <c r="B1807" s="41" t="s">
        <v>896</v>
      </c>
      <c r="C1807" s="7">
        <v>3</v>
      </c>
      <c r="D1807" s="7" t="s">
        <v>363</v>
      </c>
      <c r="E1807" s="104">
        <v>126825</v>
      </c>
      <c r="F1807" s="104">
        <f t="shared" si="14"/>
        <v>380475</v>
      </c>
      <c r="G1807" s="25"/>
      <c r="H1807" s="11"/>
      <c r="I1807" s="21"/>
      <c r="J1807" s="21"/>
      <c r="K1807" s="21"/>
      <c r="L1807" s="21"/>
      <c r="M1807" s="21"/>
      <c r="N1807" s="21"/>
    </row>
    <row r="1808" spans="1:14" ht="15.75" customHeight="1" x14ac:dyDescent="0.25">
      <c r="A1808" s="7">
        <v>11</v>
      </c>
      <c r="B1808" s="41" t="s">
        <v>897</v>
      </c>
      <c r="C1808" s="7">
        <v>2</v>
      </c>
      <c r="D1808" s="7" t="s">
        <v>363</v>
      </c>
      <c r="E1808" s="104">
        <v>143260</v>
      </c>
      <c r="F1808" s="104">
        <f t="shared" si="14"/>
        <v>286520</v>
      </c>
      <c r="G1808" s="25"/>
      <c r="H1808" s="11"/>
      <c r="I1808" s="21"/>
      <c r="J1808" s="21"/>
      <c r="K1808" s="21"/>
      <c r="L1808" s="21"/>
      <c r="M1808" s="21"/>
      <c r="N1808" s="21"/>
    </row>
    <row r="1809" spans="1:14" ht="15.75" customHeight="1" x14ac:dyDescent="0.25">
      <c r="A1809" s="7"/>
      <c r="B1809" s="343" t="s">
        <v>342</v>
      </c>
      <c r="C1809" s="344"/>
      <c r="D1809" s="344"/>
      <c r="E1809" s="334"/>
      <c r="F1809" s="104">
        <f>SUM(F1798:F1808)</f>
        <v>6889875</v>
      </c>
      <c r="G1809" s="25"/>
      <c r="H1809" s="11"/>
      <c r="I1809" s="21"/>
      <c r="J1809" s="21"/>
      <c r="K1809" s="21"/>
      <c r="L1809" s="21"/>
      <c r="M1809" s="21"/>
      <c r="N1809" s="21"/>
    </row>
    <row r="1810" spans="1:14" ht="15.75" customHeight="1" x14ac:dyDescent="0.25">
      <c r="A1810" s="7"/>
      <c r="B1810" s="343" t="s">
        <v>343</v>
      </c>
      <c r="C1810" s="344"/>
      <c r="D1810" s="344"/>
      <c r="E1810" s="334"/>
      <c r="F1810" s="104">
        <v>757886.25</v>
      </c>
      <c r="G1810" s="25"/>
      <c r="H1810" s="11"/>
      <c r="I1810" s="21"/>
      <c r="J1810" s="21"/>
      <c r="K1810" s="21"/>
      <c r="L1810" s="21"/>
      <c r="M1810" s="21"/>
      <c r="N1810" s="21"/>
    </row>
    <row r="1811" spans="1:14" ht="15.75" customHeight="1" x14ac:dyDescent="0.25">
      <c r="A1811" s="7"/>
      <c r="B1811" s="345" t="s">
        <v>344</v>
      </c>
      <c r="C1811" s="344"/>
      <c r="D1811" s="344"/>
      <c r="E1811" s="334"/>
      <c r="F1811" s="107">
        <f>SUM(F1809:F1810)</f>
        <v>7647761.25</v>
      </c>
      <c r="G1811" s="25"/>
      <c r="H1811" s="11"/>
      <c r="I1811" s="21"/>
      <c r="J1811" s="21"/>
      <c r="K1811" s="21"/>
      <c r="L1811" s="21"/>
      <c r="M1811" s="21"/>
      <c r="N1811" s="21"/>
    </row>
    <row r="1812" spans="1:14" ht="15.75" customHeight="1" x14ac:dyDescent="0.25">
      <c r="A1812" s="21"/>
      <c r="B1812" s="21"/>
      <c r="C1812" s="11"/>
      <c r="D1812" s="11"/>
      <c r="E1812" s="21"/>
      <c r="F1812" s="21"/>
      <c r="G1812" s="25"/>
      <c r="H1812" s="11"/>
      <c r="I1812" s="21"/>
      <c r="J1812" s="21"/>
      <c r="K1812" s="21"/>
      <c r="L1812" s="21"/>
      <c r="M1812" s="21"/>
      <c r="N1812" s="21"/>
    </row>
    <row r="1813" spans="1:14" ht="15.75" customHeight="1" x14ac:dyDescent="0.25">
      <c r="A1813" s="31" t="s">
        <v>14</v>
      </c>
      <c r="B1813" s="31" t="s">
        <v>234</v>
      </c>
      <c r="C1813" s="31" t="s">
        <v>16</v>
      </c>
      <c r="D1813" s="31" t="s">
        <v>17</v>
      </c>
      <c r="E1813" s="31" t="s">
        <v>235</v>
      </c>
      <c r="F1813" s="31" t="s">
        <v>236</v>
      </c>
      <c r="G1813" s="25"/>
      <c r="H1813" s="11"/>
      <c r="I1813" s="21"/>
      <c r="J1813" s="21"/>
      <c r="K1813" s="21"/>
      <c r="L1813" s="21"/>
      <c r="M1813" s="21"/>
      <c r="N1813" s="21"/>
    </row>
    <row r="1814" spans="1:14" ht="15.75" customHeight="1" x14ac:dyDescent="0.25">
      <c r="A1814" s="7">
        <v>1</v>
      </c>
      <c r="B1814" s="124" t="s">
        <v>898</v>
      </c>
      <c r="C1814" s="129">
        <v>200</v>
      </c>
      <c r="D1814" s="7" t="s">
        <v>652</v>
      </c>
      <c r="E1814" s="130">
        <v>26500</v>
      </c>
      <c r="F1814" s="130">
        <f>E1814*C1814</f>
        <v>5300000</v>
      </c>
      <c r="G1814" s="25"/>
      <c r="H1814" s="11"/>
      <c r="I1814" s="21"/>
      <c r="J1814" s="21"/>
      <c r="K1814" s="21"/>
      <c r="L1814" s="21"/>
      <c r="M1814" s="21"/>
      <c r="N1814" s="21"/>
    </row>
    <row r="1815" spans="1:14" ht="15.75" customHeight="1" x14ac:dyDescent="0.25">
      <c r="A1815" s="7">
        <v>2</v>
      </c>
      <c r="B1815" s="120" t="s">
        <v>653</v>
      </c>
      <c r="C1815" s="129">
        <v>200</v>
      </c>
      <c r="D1815" s="7" t="s">
        <v>652</v>
      </c>
      <c r="E1815" s="130">
        <v>26500</v>
      </c>
      <c r="F1815" s="130">
        <f>E1815*C1815</f>
        <v>5300000</v>
      </c>
      <c r="G1815" s="25"/>
      <c r="H1815" s="11"/>
      <c r="I1815" s="21"/>
      <c r="J1815" s="21"/>
      <c r="K1815" s="21"/>
      <c r="L1815" s="21"/>
      <c r="M1815" s="21"/>
      <c r="N1815" s="21"/>
    </row>
    <row r="1816" spans="1:14" ht="15.75" customHeight="1" x14ac:dyDescent="0.25">
      <c r="A1816" s="7">
        <v>3</v>
      </c>
      <c r="B1816" s="131" t="s">
        <v>899</v>
      </c>
      <c r="C1816" s="129">
        <v>50</v>
      </c>
      <c r="D1816" s="7" t="s">
        <v>652</v>
      </c>
      <c r="E1816" s="130">
        <v>26500</v>
      </c>
      <c r="F1816" s="130">
        <f>E1816*C1816</f>
        <v>1325000</v>
      </c>
      <c r="G1816" s="25"/>
      <c r="H1816" s="11"/>
      <c r="I1816" s="21"/>
      <c r="J1816" s="21"/>
      <c r="K1816" s="21"/>
      <c r="L1816" s="21"/>
      <c r="M1816" s="21"/>
      <c r="N1816" s="21"/>
    </row>
    <row r="1817" spans="1:14" ht="15.75" customHeight="1" x14ac:dyDescent="0.25">
      <c r="A1817" s="7"/>
      <c r="B1817" s="343" t="s">
        <v>342</v>
      </c>
      <c r="C1817" s="344"/>
      <c r="D1817" s="344"/>
      <c r="E1817" s="334"/>
      <c r="F1817" s="104">
        <f>SUM(F1814:F1816)</f>
        <v>11925000</v>
      </c>
      <c r="G1817" s="25"/>
      <c r="H1817" s="11"/>
      <c r="I1817" s="21"/>
      <c r="J1817" s="21"/>
      <c r="K1817" s="21"/>
      <c r="L1817" s="21"/>
      <c r="M1817" s="21"/>
      <c r="N1817" s="21"/>
    </row>
    <row r="1818" spans="1:14" ht="15.75" customHeight="1" x14ac:dyDescent="0.25">
      <c r="A1818" s="7"/>
      <c r="B1818" s="343" t="s">
        <v>343</v>
      </c>
      <c r="C1818" s="344"/>
      <c r="D1818" s="344"/>
      <c r="E1818" s="334"/>
      <c r="F1818" s="104">
        <v>1311750</v>
      </c>
      <c r="G1818" s="25"/>
      <c r="H1818" s="11"/>
      <c r="I1818" s="21"/>
      <c r="J1818" s="21"/>
      <c r="K1818" s="21"/>
      <c r="L1818" s="21"/>
      <c r="M1818" s="21"/>
      <c r="N1818" s="21"/>
    </row>
    <row r="1819" spans="1:14" ht="15.75" customHeight="1" x14ac:dyDescent="0.25">
      <c r="A1819" s="7"/>
      <c r="B1819" s="345" t="s">
        <v>344</v>
      </c>
      <c r="C1819" s="344"/>
      <c r="D1819" s="344"/>
      <c r="E1819" s="334"/>
      <c r="F1819" s="107">
        <f>SUM(F1817:F1818)</f>
        <v>13236750</v>
      </c>
      <c r="G1819" s="25"/>
      <c r="H1819" s="11"/>
      <c r="I1819" s="21"/>
      <c r="J1819" s="21"/>
      <c r="K1819" s="21"/>
      <c r="L1819" s="21"/>
      <c r="M1819" s="21"/>
      <c r="N1819" s="21"/>
    </row>
    <row r="1820" spans="1:14" ht="15.75" customHeight="1" x14ac:dyDescent="0.25">
      <c r="A1820" s="21"/>
      <c r="B1820" s="21"/>
      <c r="C1820" s="11"/>
      <c r="D1820" s="11"/>
      <c r="E1820" s="21"/>
      <c r="F1820" s="21"/>
      <c r="G1820" s="25"/>
      <c r="H1820" s="11"/>
      <c r="I1820" s="21"/>
      <c r="J1820" s="21"/>
      <c r="K1820" s="21"/>
      <c r="L1820" s="21"/>
      <c r="M1820" s="21"/>
      <c r="N1820" s="21"/>
    </row>
    <row r="1821" spans="1:14" ht="15.75" customHeight="1" x14ac:dyDescent="0.25">
      <c r="A1821" s="31" t="s">
        <v>14</v>
      </c>
      <c r="B1821" s="31" t="s">
        <v>234</v>
      </c>
      <c r="C1821" s="31" t="s">
        <v>16</v>
      </c>
      <c r="D1821" s="31" t="s">
        <v>17</v>
      </c>
      <c r="E1821" s="31" t="s">
        <v>235</v>
      </c>
      <c r="F1821" s="31" t="s">
        <v>236</v>
      </c>
      <c r="G1821" s="25"/>
      <c r="H1821" s="11"/>
      <c r="I1821" s="21"/>
      <c r="J1821" s="21"/>
      <c r="K1821" s="21"/>
      <c r="L1821" s="21"/>
      <c r="M1821" s="21"/>
      <c r="N1821" s="21"/>
    </row>
    <row r="1822" spans="1:14" ht="15.75" customHeight="1" x14ac:dyDescent="0.25">
      <c r="A1822" s="7">
        <v>1</v>
      </c>
      <c r="B1822" s="124" t="s">
        <v>900</v>
      </c>
      <c r="C1822" s="129">
        <v>100</v>
      </c>
      <c r="D1822" s="7" t="s">
        <v>539</v>
      </c>
      <c r="E1822" s="130">
        <v>47000</v>
      </c>
      <c r="F1822" s="130">
        <f>E1822*C1822</f>
        <v>4700000</v>
      </c>
      <c r="G1822" s="25"/>
      <c r="H1822" s="11"/>
      <c r="I1822" s="21"/>
      <c r="J1822" s="21"/>
      <c r="K1822" s="21"/>
      <c r="L1822" s="21"/>
      <c r="M1822" s="21"/>
      <c r="N1822" s="21"/>
    </row>
    <row r="1823" spans="1:14" ht="15.75" customHeight="1" x14ac:dyDescent="0.25">
      <c r="A1823" s="7">
        <v>2</v>
      </c>
      <c r="B1823" s="120" t="s">
        <v>901</v>
      </c>
      <c r="C1823" s="129">
        <v>40</v>
      </c>
      <c r="D1823" s="7" t="s">
        <v>539</v>
      </c>
      <c r="E1823" s="130">
        <v>47000</v>
      </c>
      <c r="F1823" s="130">
        <f>E1823*C1823</f>
        <v>1880000</v>
      </c>
      <c r="G1823" s="25"/>
      <c r="H1823" s="11"/>
      <c r="I1823" s="21"/>
      <c r="J1823" s="21"/>
      <c r="K1823" s="21"/>
      <c r="L1823" s="21"/>
      <c r="M1823" s="21"/>
      <c r="N1823" s="21"/>
    </row>
    <row r="1824" spans="1:14" ht="15.75" customHeight="1" x14ac:dyDescent="0.25">
      <c r="A1824" s="7">
        <v>3</v>
      </c>
      <c r="B1824" s="131" t="s">
        <v>902</v>
      </c>
      <c r="C1824" s="129">
        <v>40</v>
      </c>
      <c r="D1824" s="7" t="s">
        <v>539</v>
      </c>
      <c r="E1824" s="130">
        <v>35000</v>
      </c>
      <c r="F1824" s="130">
        <f>E1824*C1824</f>
        <v>1400000</v>
      </c>
      <c r="G1824" s="25"/>
      <c r="H1824" s="11"/>
      <c r="I1824" s="21"/>
      <c r="J1824" s="21"/>
      <c r="K1824" s="21"/>
      <c r="L1824" s="21"/>
      <c r="M1824" s="21"/>
      <c r="N1824" s="21"/>
    </row>
    <row r="1825" spans="1:14" ht="15.75" customHeight="1" x14ac:dyDescent="0.25">
      <c r="A1825" s="7"/>
      <c r="B1825" s="343" t="s">
        <v>342</v>
      </c>
      <c r="C1825" s="344"/>
      <c r="D1825" s="344"/>
      <c r="E1825" s="334"/>
      <c r="F1825" s="104">
        <f>SUM(F1822:F1824)</f>
        <v>7980000</v>
      </c>
      <c r="G1825" s="25"/>
      <c r="H1825" s="11"/>
      <c r="I1825" s="21"/>
      <c r="J1825" s="21"/>
      <c r="K1825" s="21"/>
      <c r="L1825" s="21"/>
      <c r="M1825" s="21"/>
      <c r="N1825" s="21"/>
    </row>
    <row r="1826" spans="1:14" ht="15.75" customHeight="1" x14ac:dyDescent="0.25">
      <c r="A1826" s="7"/>
      <c r="B1826" s="343" t="s">
        <v>343</v>
      </c>
      <c r="C1826" s="344"/>
      <c r="D1826" s="344"/>
      <c r="E1826" s="334"/>
      <c r="F1826" s="104">
        <v>877800</v>
      </c>
      <c r="G1826" s="25"/>
      <c r="H1826" s="11"/>
      <c r="I1826" s="21"/>
      <c r="J1826" s="21"/>
      <c r="K1826" s="21"/>
      <c r="L1826" s="21"/>
      <c r="M1826" s="21"/>
      <c r="N1826" s="21"/>
    </row>
    <row r="1827" spans="1:14" ht="15.75" customHeight="1" x14ac:dyDescent="0.25">
      <c r="A1827" s="7"/>
      <c r="B1827" s="345" t="s">
        <v>344</v>
      </c>
      <c r="C1827" s="344"/>
      <c r="D1827" s="344"/>
      <c r="E1827" s="334"/>
      <c r="F1827" s="107">
        <f>SUM(F1825:F1826)</f>
        <v>8857800</v>
      </c>
      <c r="G1827" s="25"/>
      <c r="H1827" s="11"/>
      <c r="I1827" s="21"/>
      <c r="J1827" s="21"/>
      <c r="K1827" s="21"/>
      <c r="L1827" s="21"/>
      <c r="M1827" s="21"/>
      <c r="N1827" s="21"/>
    </row>
    <row r="1828" spans="1:14" ht="15.75" customHeight="1" x14ac:dyDescent="0.25">
      <c r="A1828" s="21"/>
      <c r="B1828" s="21"/>
      <c r="C1828" s="11"/>
      <c r="D1828" s="11"/>
      <c r="E1828" s="21"/>
      <c r="F1828" s="21"/>
      <c r="G1828" s="25"/>
      <c r="H1828" s="11"/>
      <c r="I1828" s="21"/>
      <c r="J1828" s="21"/>
      <c r="K1828" s="21"/>
      <c r="L1828" s="21"/>
      <c r="M1828" s="21"/>
      <c r="N1828" s="21"/>
    </row>
    <row r="1829" spans="1:14" ht="15.75" customHeight="1" x14ac:dyDescent="0.25">
      <c r="A1829" s="31" t="s">
        <v>14</v>
      </c>
      <c r="B1829" s="31" t="s">
        <v>234</v>
      </c>
      <c r="C1829" s="31" t="s">
        <v>16</v>
      </c>
      <c r="D1829" s="31" t="s">
        <v>17</v>
      </c>
      <c r="E1829" s="31" t="s">
        <v>235</v>
      </c>
      <c r="F1829" s="31" t="s">
        <v>236</v>
      </c>
      <c r="G1829" s="25"/>
      <c r="H1829" s="11"/>
      <c r="I1829" s="21"/>
      <c r="J1829" s="21"/>
      <c r="K1829" s="21"/>
      <c r="L1829" s="21"/>
      <c r="M1829" s="21"/>
      <c r="N1829" s="21"/>
    </row>
    <row r="1830" spans="1:14" ht="15.75" customHeight="1" x14ac:dyDescent="0.25">
      <c r="A1830" s="7">
        <v>1</v>
      </c>
      <c r="B1830" s="120" t="s">
        <v>903</v>
      </c>
      <c r="C1830" s="7">
        <v>2</v>
      </c>
      <c r="D1830" s="7" t="s">
        <v>363</v>
      </c>
      <c r="E1830" s="104">
        <v>145000</v>
      </c>
      <c r="F1830" s="104">
        <f>E1830*C1830</f>
        <v>290000</v>
      </c>
      <c r="G1830" s="25"/>
      <c r="H1830" s="11"/>
      <c r="I1830" s="21"/>
      <c r="J1830" s="21"/>
      <c r="K1830" s="21"/>
      <c r="L1830" s="21"/>
      <c r="M1830" s="21"/>
      <c r="N1830" s="21"/>
    </row>
    <row r="1831" spans="1:14" ht="15.75" customHeight="1" x14ac:dyDescent="0.25">
      <c r="A1831" s="7"/>
      <c r="B1831" s="343" t="s">
        <v>342</v>
      </c>
      <c r="C1831" s="344"/>
      <c r="D1831" s="344"/>
      <c r="E1831" s="334"/>
      <c r="F1831" s="104">
        <f>F1830</f>
        <v>290000</v>
      </c>
      <c r="G1831" s="25"/>
      <c r="H1831" s="11"/>
      <c r="I1831" s="21"/>
      <c r="J1831" s="21"/>
      <c r="K1831" s="21"/>
      <c r="L1831" s="21"/>
      <c r="M1831" s="21"/>
      <c r="N1831" s="21"/>
    </row>
    <row r="1832" spans="1:14" ht="15.75" customHeight="1" x14ac:dyDescent="0.25">
      <c r="A1832" s="7"/>
      <c r="B1832" s="343" t="s">
        <v>343</v>
      </c>
      <c r="C1832" s="344"/>
      <c r="D1832" s="344"/>
      <c r="E1832" s="334"/>
      <c r="F1832" s="104">
        <v>31900</v>
      </c>
      <c r="G1832" s="25"/>
      <c r="H1832" s="11"/>
      <c r="I1832" s="21"/>
      <c r="J1832" s="21"/>
      <c r="K1832" s="21"/>
      <c r="L1832" s="21"/>
      <c r="M1832" s="21"/>
      <c r="N1832" s="21"/>
    </row>
    <row r="1833" spans="1:14" ht="15.75" customHeight="1" x14ac:dyDescent="0.25">
      <c r="A1833" s="7"/>
      <c r="B1833" s="345" t="s">
        <v>344</v>
      </c>
      <c r="C1833" s="344"/>
      <c r="D1833" s="344"/>
      <c r="E1833" s="334"/>
      <c r="F1833" s="107">
        <f>SUM(F1831:F1832)</f>
        <v>321900</v>
      </c>
      <c r="G1833" s="25"/>
      <c r="H1833" s="11"/>
      <c r="I1833" s="21"/>
      <c r="J1833" s="21"/>
      <c r="K1833" s="21"/>
      <c r="L1833" s="21"/>
      <c r="M1833" s="21"/>
      <c r="N1833" s="21"/>
    </row>
    <row r="1834" spans="1:14" ht="15.75" customHeight="1" x14ac:dyDescent="0.25">
      <c r="A1834" s="21"/>
      <c r="B1834" s="21"/>
      <c r="C1834" s="11"/>
      <c r="D1834" s="11"/>
      <c r="E1834" s="21"/>
      <c r="F1834" s="21"/>
      <c r="G1834" s="25"/>
      <c r="H1834" s="11"/>
      <c r="I1834" s="21"/>
      <c r="J1834" s="21"/>
      <c r="K1834" s="21"/>
      <c r="L1834" s="21"/>
      <c r="M1834" s="21"/>
      <c r="N1834" s="21"/>
    </row>
    <row r="1835" spans="1:14" ht="15.75" customHeight="1" x14ac:dyDescent="0.25">
      <c r="A1835" s="31" t="s">
        <v>14</v>
      </c>
      <c r="B1835" s="31" t="s">
        <v>234</v>
      </c>
      <c r="C1835" s="31" t="s">
        <v>16</v>
      </c>
      <c r="D1835" s="31" t="s">
        <v>17</v>
      </c>
      <c r="E1835" s="31" t="s">
        <v>235</v>
      </c>
      <c r="F1835" s="31" t="s">
        <v>236</v>
      </c>
      <c r="G1835" s="25"/>
      <c r="H1835" s="11"/>
      <c r="I1835" s="21"/>
      <c r="J1835" s="21"/>
      <c r="K1835" s="21"/>
      <c r="L1835" s="21"/>
      <c r="M1835" s="21"/>
      <c r="N1835" s="21"/>
    </row>
    <row r="1836" spans="1:14" ht="15.75" customHeight="1" x14ac:dyDescent="0.25">
      <c r="A1836" s="7">
        <v>1</v>
      </c>
      <c r="B1836" s="120" t="s">
        <v>904</v>
      </c>
      <c r="C1836" s="7">
        <v>2</v>
      </c>
      <c r="D1836" s="7" t="s">
        <v>363</v>
      </c>
      <c r="E1836" s="104">
        <v>2050000</v>
      </c>
      <c r="F1836" s="104">
        <f>E1836*C1836</f>
        <v>4100000</v>
      </c>
      <c r="G1836" s="25"/>
      <c r="H1836" s="11"/>
      <c r="I1836" s="21"/>
      <c r="J1836" s="21"/>
      <c r="K1836" s="21"/>
      <c r="L1836" s="21"/>
      <c r="M1836" s="21"/>
      <c r="N1836" s="21"/>
    </row>
    <row r="1837" spans="1:14" ht="15.75" customHeight="1" x14ac:dyDescent="0.25">
      <c r="A1837" s="7"/>
      <c r="B1837" s="343" t="s">
        <v>342</v>
      </c>
      <c r="C1837" s="344"/>
      <c r="D1837" s="344"/>
      <c r="E1837" s="334"/>
      <c r="F1837" s="104">
        <f>F1836</f>
        <v>4100000</v>
      </c>
      <c r="G1837" s="25"/>
      <c r="H1837" s="11"/>
      <c r="I1837" s="21"/>
      <c r="J1837" s="21"/>
      <c r="K1837" s="21"/>
      <c r="L1837" s="21"/>
      <c r="M1837" s="21"/>
      <c r="N1837" s="21"/>
    </row>
    <row r="1838" spans="1:14" ht="15.75" customHeight="1" x14ac:dyDescent="0.25">
      <c r="A1838" s="7"/>
      <c r="B1838" s="343" t="s">
        <v>343</v>
      </c>
      <c r="C1838" s="344"/>
      <c r="D1838" s="344"/>
      <c r="E1838" s="334"/>
      <c r="F1838" s="104">
        <v>451000</v>
      </c>
      <c r="G1838" s="25"/>
      <c r="H1838" s="11"/>
      <c r="I1838" s="21"/>
      <c r="J1838" s="21"/>
      <c r="K1838" s="21"/>
      <c r="L1838" s="21"/>
      <c r="M1838" s="21"/>
      <c r="N1838" s="21"/>
    </row>
    <row r="1839" spans="1:14" ht="15.75" customHeight="1" x14ac:dyDescent="0.25">
      <c r="A1839" s="7"/>
      <c r="B1839" s="345" t="s">
        <v>344</v>
      </c>
      <c r="C1839" s="344"/>
      <c r="D1839" s="344"/>
      <c r="E1839" s="334"/>
      <c r="F1839" s="107">
        <f>SUM(F1837:F1838)</f>
        <v>4551000</v>
      </c>
      <c r="G1839" s="25"/>
      <c r="H1839" s="11"/>
      <c r="I1839" s="21"/>
      <c r="J1839" s="21"/>
      <c r="K1839" s="21"/>
      <c r="L1839" s="21"/>
      <c r="M1839" s="21"/>
      <c r="N1839" s="21"/>
    </row>
    <row r="1840" spans="1:14" ht="15.75" customHeight="1" x14ac:dyDescent="0.25">
      <c r="A1840" s="21"/>
      <c r="B1840" s="21"/>
      <c r="C1840" s="11"/>
      <c r="D1840" s="11"/>
      <c r="E1840" s="21"/>
      <c r="F1840" s="21"/>
      <c r="G1840" s="25"/>
      <c r="H1840" s="11"/>
      <c r="I1840" s="21"/>
      <c r="J1840" s="21"/>
      <c r="K1840" s="21"/>
      <c r="L1840" s="21"/>
      <c r="M1840" s="21"/>
      <c r="N1840" s="21"/>
    </row>
    <row r="1841" spans="1:14" ht="15.75" customHeight="1" x14ac:dyDescent="0.25">
      <c r="A1841" s="31" t="s">
        <v>14</v>
      </c>
      <c r="B1841" s="31" t="s">
        <v>234</v>
      </c>
      <c r="C1841" s="31" t="s">
        <v>16</v>
      </c>
      <c r="D1841" s="31" t="s">
        <v>17</v>
      </c>
      <c r="E1841" s="31" t="s">
        <v>235</v>
      </c>
      <c r="F1841" s="31" t="s">
        <v>236</v>
      </c>
      <c r="G1841" s="25"/>
      <c r="H1841" s="11"/>
      <c r="I1841" s="21"/>
      <c r="J1841" s="21"/>
      <c r="K1841" s="21"/>
      <c r="L1841" s="21"/>
      <c r="M1841" s="21"/>
      <c r="N1841" s="21"/>
    </row>
    <row r="1842" spans="1:14" ht="15.75" customHeight="1" x14ac:dyDescent="0.25">
      <c r="A1842" s="10">
        <v>1</v>
      </c>
      <c r="B1842" s="124" t="s">
        <v>905</v>
      </c>
      <c r="C1842" s="7">
        <v>2</v>
      </c>
      <c r="D1842" s="7" t="s">
        <v>363</v>
      </c>
      <c r="E1842" s="104">
        <v>736500</v>
      </c>
      <c r="F1842" s="104">
        <f>E1842*C1842</f>
        <v>1473000</v>
      </c>
      <c r="G1842" s="25"/>
      <c r="H1842" s="11"/>
      <c r="I1842" s="21"/>
      <c r="J1842" s="21"/>
      <c r="K1842" s="21"/>
      <c r="L1842" s="21"/>
      <c r="M1842" s="21"/>
      <c r="N1842" s="21"/>
    </row>
    <row r="1843" spans="1:14" ht="15.75" customHeight="1" x14ac:dyDescent="0.25">
      <c r="A1843" s="7">
        <v>2</v>
      </c>
      <c r="B1843" s="120" t="s">
        <v>906</v>
      </c>
      <c r="C1843" s="7">
        <v>2</v>
      </c>
      <c r="D1843" s="7" t="s">
        <v>363</v>
      </c>
      <c r="E1843" s="104">
        <v>11000</v>
      </c>
      <c r="F1843" s="104">
        <f>E1843*C1843</f>
        <v>22000</v>
      </c>
      <c r="G1843" s="25"/>
      <c r="H1843" s="11"/>
      <c r="I1843" s="21"/>
      <c r="J1843" s="21"/>
      <c r="K1843" s="21"/>
      <c r="L1843" s="21"/>
      <c r="M1843" s="21"/>
      <c r="N1843" s="21"/>
    </row>
    <row r="1844" spans="1:14" ht="15.75" customHeight="1" x14ac:dyDescent="0.25">
      <c r="A1844" s="7">
        <v>3</v>
      </c>
      <c r="B1844" s="131" t="s">
        <v>907</v>
      </c>
      <c r="C1844" s="7">
        <v>16</v>
      </c>
      <c r="D1844" s="7" t="s">
        <v>363</v>
      </c>
      <c r="E1844" s="104">
        <v>3500</v>
      </c>
      <c r="F1844" s="104">
        <f>E1844*C1844</f>
        <v>56000</v>
      </c>
      <c r="G1844" s="25"/>
      <c r="H1844" s="11"/>
      <c r="I1844" s="21"/>
      <c r="J1844" s="21"/>
      <c r="K1844" s="21"/>
      <c r="L1844" s="21"/>
      <c r="M1844" s="21"/>
      <c r="N1844" s="21"/>
    </row>
    <row r="1845" spans="1:14" ht="15.75" customHeight="1" x14ac:dyDescent="0.25">
      <c r="A1845" s="7">
        <v>4</v>
      </c>
      <c r="B1845" s="35" t="s">
        <v>908</v>
      </c>
      <c r="C1845" s="7">
        <v>12</v>
      </c>
      <c r="D1845" s="7" t="s">
        <v>363</v>
      </c>
      <c r="E1845" s="104">
        <v>450000</v>
      </c>
      <c r="F1845" s="104">
        <f>E1845*C1845</f>
        <v>5400000</v>
      </c>
      <c r="G1845" s="25"/>
      <c r="H1845" s="11"/>
      <c r="I1845" s="21"/>
      <c r="J1845" s="21"/>
      <c r="K1845" s="21"/>
      <c r="L1845" s="21"/>
      <c r="M1845" s="21"/>
      <c r="N1845" s="21"/>
    </row>
    <row r="1846" spans="1:14" ht="15.75" customHeight="1" x14ac:dyDescent="0.25">
      <c r="A1846" s="7">
        <v>5</v>
      </c>
      <c r="B1846" s="41" t="s">
        <v>909</v>
      </c>
      <c r="C1846" s="7">
        <v>51</v>
      </c>
      <c r="D1846" s="7" t="s">
        <v>363</v>
      </c>
      <c r="E1846" s="104">
        <v>25500</v>
      </c>
      <c r="F1846" s="104">
        <f>E1846*C1846</f>
        <v>1300500</v>
      </c>
      <c r="G1846" s="25"/>
      <c r="H1846" s="11"/>
      <c r="I1846" s="21"/>
      <c r="J1846" s="21"/>
      <c r="K1846" s="21"/>
      <c r="L1846" s="21"/>
      <c r="M1846" s="21"/>
      <c r="N1846" s="21"/>
    </row>
    <row r="1847" spans="1:14" ht="15.75" customHeight="1" x14ac:dyDescent="0.25">
      <c r="A1847" s="7"/>
      <c r="B1847" s="343" t="s">
        <v>342</v>
      </c>
      <c r="C1847" s="344"/>
      <c r="D1847" s="344"/>
      <c r="E1847" s="334"/>
      <c r="F1847" s="104">
        <f>SUM(F1842:F1846)</f>
        <v>8251500</v>
      </c>
      <c r="G1847" s="25"/>
      <c r="H1847" s="11"/>
      <c r="I1847" s="21"/>
      <c r="J1847" s="21"/>
      <c r="K1847" s="21"/>
      <c r="L1847" s="21"/>
      <c r="M1847" s="21"/>
      <c r="N1847" s="21"/>
    </row>
    <row r="1848" spans="1:14" ht="15.75" customHeight="1" x14ac:dyDescent="0.25">
      <c r="A1848" s="7"/>
      <c r="B1848" s="343" t="s">
        <v>343</v>
      </c>
      <c r="C1848" s="344"/>
      <c r="D1848" s="344"/>
      <c r="E1848" s="334"/>
      <c r="F1848" s="104">
        <v>907665</v>
      </c>
      <c r="G1848" s="25"/>
      <c r="H1848" s="11"/>
      <c r="I1848" s="21"/>
      <c r="J1848" s="21"/>
      <c r="K1848" s="21"/>
      <c r="L1848" s="21"/>
      <c r="M1848" s="21"/>
      <c r="N1848" s="21"/>
    </row>
    <row r="1849" spans="1:14" ht="15.75" customHeight="1" x14ac:dyDescent="0.25">
      <c r="A1849" s="7"/>
      <c r="B1849" s="345" t="s">
        <v>344</v>
      </c>
      <c r="C1849" s="344"/>
      <c r="D1849" s="344"/>
      <c r="E1849" s="334"/>
      <c r="F1849" s="107">
        <f>SUM(F1847:F1848)</f>
        <v>9159165</v>
      </c>
      <c r="G1849" s="25"/>
      <c r="H1849" s="11"/>
      <c r="I1849" s="21"/>
      <c r="J1849" s="21"/>
      <c r="K1849" s="21"/>
      <c r="L1849" s="21"/>
      <c r="M1849" s="21"/>
      <c r="N1849" s="21"/>
    </row>
    <row r="1850" spans="1:14" ht="15.75" customHeight="1" x14ac:dyDescent="0.25">
      <c r="A1850" s="21"/>
      <c r="B1850" s="21"/>
      <c r="C1850" s="11"/>
      <c r="D1850" s="11"/>
      <c r="E1850" s="21"/>
      <c r="F1850" s="21"/>
      <c r="G1850" s="25"/>
      <c r="H1850" s="11"/>
      <c r="I1850" s="21"/>
      <c r="J1850" s="21"/>
      <c r="K1850" s="21"/>
      <c r="L1850" s="21"/>
      <c r="M1850" s="21"/>
      <c r="N1850" s="21"/>
    </row>
    <row r="1851" spans="1:14" ht="15.75" customHeight="1" x14ac:dyDescent="0.25">
      <c r="A1851" s="31" t="s">
        <v>14</v>
      </c>
      <c r="B1851" s="31" t="s">
        <v>234</v>
      </c>
      <c r="C1851" s="31" t="s">
        <v>16</v>
      </c>
      <c r="D1851" s="31" t="s">
        <v>17</v>
      </c>
      <c r="E1851" s="31" t="s">
        <v>235</v>
      </c>
      <c r="F1851" s="31" t="s">
        <v>236</v>
      </c>
      <c r="G1851" s="25"/>
      <c r="H1851" s="11"/>
      <c r="I1851" s="21"/>
      <c r="J1851" s="21"/>
      <c r="K1851" s="21"/>
      <c r="L1851" s="21"/>
      <c r="M1851" s="21"/>
      <c r="N1851" s="21"/>
    </row>
    <row r="1852" spans="1:14" ht="15.75" customHeight="1" x14ac:dyDescent="0.25">
      <c r="A1852" s="7">
        <v>1</v>
      </c>
      <c r="B1852" s="120" t="s">
        <v>910</v>
      </c>
      <c r="C1852" s="7">
        <v>4</v>
      </c>
      <c r="D1852" s="7" t="s">
        <v>363</v>
      </c>
      <c r="E1852" s="104">
        <v>494700</v>
      </c>
      <c r="F1852" s="104">
        <f>E1852*C1852</f>
        <v>1978800</v>
      </c>
      <c r="G1852" s="25"/>
      <c r="H1852" s="11"/>
      <c r="I1852" s="21"/>
      <c r="J1852" s="21"/>
      <c r="K1852" s="21"/>
      <c r="L1852" s="21"/>
      <c r="M1852" s="21"/>
      <c r="N1852" s="21"/>
    </row>
    <row r="1853" spans="1:14" ht="15.75" customHeight="1" x14ac:dyDescent="0.25">
      <c r="A1853" s="7"/>
      <c r="B1853" s="343" t="s">
        <v>342</v>
      </c>
      <c r="C1853" s="344"/>
      <c r="D1853" s="344"/>
      <c r="E1853" s="334"/>
      <c r="F1853" s="104">
        <f>F1852</f>
        <v>1978800</v>
      </c>
      <c r="G1853" s="25"/>
      <c r="H1853" s="11"/>
      <c r="I1853" s="21"/>
      <c r="J1853" s="21"/>
      <c r="K1853" s="21"/>
      <c r="L1853" s="21"/>
      <c r="M1853" s="21"/>
      <c r="N1853" s="21"/>
    </row>
    <row r="1854" spans="1:14" ht="15.75" customHeight="1" x14ac:dyDescent="0.25">
      <c r="A1854" s="7"/>
      <c r="B1854" s="343" t="s">
        <v>343</v>
      </c>
      <c r="C1854" s="344"/>
      <c r="D1854" s="344"/>
      <c r="E1854" s="334"/>
      <c r="F1854" s="104">
        <v>217668</v>
      </c>
      <c r="G1854" s="25"/>
      <c r="H1854" s="11"/>
      <c r="I1854" s="21"/>
      <c r="J1854" s="21"/>
      <c r="K1854" s="21"/>
      <c r="L1854" s="21"/>
      <c r="M1854" s="21"/>
      <c r="N1854" s="21"/>
    </row>
    <row r="1855" spans="1:14" ht="15.75" customHeight="1" x14ac:dyDescent="0.25">
      <c r="A1855" s="7"/>
      <c r="B1855" s="345" t="s">
        <v>344</v>
      </c>
      <c r="C1855" s="344"/>
      <c r="D1855" s="344"/>
      <c r="E1855" s="334"/>
      <c r="F1855" s="107">
        <f>SUM(F1853:F1854)</f>
        <v>2196468</v>
      </c>
      <c r="G1855" s="25"/>
      <c r="H1855" s="11"/>
      <c r="I1855" s="21"/>
      <c r="J1855" s="21"/>
      <c r="K1855" s="21"/>
      <c r="L1855" s="21"/>
      <c r="M1855" s="21"/>
      <c r="N1855" s="21"/>
    </row>
    <row r="1856" spans="1:14" ht="15.75" customHeight="1" x14ac:dyDescent="0.25">
      <c r="A1856" s="21"/>
      <c r="B1856" s="21"/>
      <c r="C1856" s="11"/>
      <c r="D1856" s="11"/>
      <c r="E1856" s="21"/>
      <c r="F1856" s="21"/>
      <c r="G1856" s="25"/>
      <c r="H1856" s="11"/>
      <c r="I1856" s="21"/>
      <c r="J1856" s="21"/>
      <c r="K1856" s="21"/>
      <c r="L1856" s="21"/>
      <c r="M1856" s="21"/>
      <c r="N1856" s="21"/>
    </row>
    <row r="1857" spans="1:14" ht="15.75" customHeight="1" x14ac:dyDescent="0.25">
      <c r="A1857" s="31" t="s">
        <v>14</v>
      </c>
      <c r="B1857" s="31" t="s">
        <v>234</v>
      </c>
      <c r="C1857" s="31" t="s">
        <v>16</v>
      </c>
      <c r="D1857" s="31" t="s">
        <v>17</v>
      </c>
      <c r="E1857" s="31" t="s">
        <v>235</v>
      </c>
      <c r="F1857" s="31" t="s">
        <v>236</v>
      </c>
      <c r="G1857" s="25"/>
      <c r="H1857" s="11"/>
      <c r="I1857" s="21"/>
      <c r="J1857" s="21"/>
      <c r="K1857" s="21"/>
      <c r="L1857" s="21"/>
      <c r="M1857" s="21"/>
      <c r="N1857" s="21"/>
    </row>
    <row r="1858" spans="1:14" ht="15.75" customHeight="1" x14ac:dyDescent="0.25">
      <c r="A1858" s="7">
        <v>1</v>
      </c>
      <c r="B1858" s="120" t="s">
        <v>911</v>
      </c>
      <c r="C1858" s="7">
        <v>50</v>
      </c>
      <c r="D1858" s="7" t="s">
        <v>363</v>
      </c>
      <c r="E1858" s="104">
        <v>95000</v>
      </c>
      <c r="F1858" s="104">
        <f>E1858*C1858</f>
        <v>4750000</v>
      </c>
      <c r="G1858" s="25"/>
      <c r="H1858" s="11"/>
      <c r="I1858" s="21"/>
      <c r="J1858" s="21"/>
      <c r="K1858" s="21"/>
      <c r="L1858" s="21"/>
      <c r="M1858" s="21"/>
      <c r="N1858" s="21"/>
    </row>
    <row r="1859" spans="1:14" ht="15.75" customHeight="1" x14ac:dyDescent="0.25">
      <c r="A1859" s="7"/>
      <c r="B1859" s="343" t="s">
        <v>342</v>
      </c>
      <c r="C1859" s="344"/>
      <c r="D1859" s="344"/>
      <c r="E1859" s="334"/>
      <c r="F1859" s="104">
        <f>F1858</f>
        <v>4750000</v>
      </c>
      <c r="G1859" s="25"/>
      <c r="H1859" s="11"/>
      <c r="I1859" s="21"/>
      <c r="J1859" s="21"/>
      <c r="K1859" s="21"/>
      <c r="L1859" s="21"/>
      <c r="M1859" s="21"/>
      <c r="N1859" s="21"/>
    </row>
    <row r="1860" spans="1:14" ht="15.75" customHeight="1" x14ac:dyDescent="0.25">
      <c r="A1860" s="7"/>
      <c r="B1860" s="343" t="s">
        <v>343</v>
      </c>
      <c r="C1860" s="344"/>
      <c r="D1860" s="344"/>
      <c r="E1860" s="334"/>
      <c r="F1860" s="104">
        <v>522500</v>
      </c>
      <c r="G1860" s="25"/>
      <c r="H1860" s="11"/>
      <c r="I1860" s="21"/>
      <c r="J1860" s="21"/>
      <c r="K1860" s="21"/>
      <c r="L1860" s="21"/>
      <c r="M1860" s="21"/>
      <c r="N1860" s="21"/>
    </row>
    <row r="1861" spans="1:14" ht="15.75" customHeight="1" x14ac:dyDescent="0.25">
      <c r="A1861" s="7"/>
      <c r="B1861" s="345" t="s">
        <v>344</v>
      </c>
      <c r="C1861" s="344"/>
      <c r="D1861" s="344"/>
      <c r="E1861" s="334"/>
      <c r="F1861" s="107">
        <f>SUM(F1859:F1860)</f>
        <v>5272500</v>
      </c>
      <c r="G1861" s="25"/>
      <c r="H1861" s="11"/>
      <c r="I1861" s="21"/>
      <c r="J1861" s="21"/>
      <c r="K1861" s="21"/>
      <c r="L1861" s="21"/>
      <c r="M1861" s="21"/>
      <c r="N1861" s="21"/>
    </row>
    <row r="1862" spans="1:14" ht="15.75" customHeight="1" x14ac:dyDescent="0.25">
      <c r="A1862" s="21"/>
      <c r="B1862" s="21"/>
      <c r="C1862" s="11"/>
      <c r="D1862" s="11"/>
      <c r="E1862" s="21"/>
      <c r="F1862" s="21"/>
      <c r="G1862" s="25"/>
      <c r="H1862" s="11"/>
      <c r="I1862" s="21"/>
      <c r="J1862" s="21"/>
      <c r="K1862" s="21"/>
      <c r="L1862" s="21"/>
      <c r="M1862" s="21"/>
      <c r="N1862" s="21"/>
    </row>
    <row r="1863" spans="1:14" ht="15.75" customHeight="1" x14ac:dyDescent="0.25">
      <c r="A1863" s="31" t="s">
        <v>351</v>
      </c>
      <c r="B1863" s="31" t="s">
        <v>234</v>
      </c>
      <c r="C1863" s="31" t="s">
        <v>16</v>
      </c>
      <c r="D1863" s="31" t="s">
        <v>17</v>
      </c>
      <c r="E1863" s="31" t="s">
        <v>235</v>
      </c>
      <c r="F1863" s="31" t="s">
        <v>236</v>
      </c>
      <c r="G1863" s="25"/>
      <c r="H1863" s="11"/>
      <c r="I1863" s="21"/>
      <c r="J1863" s="21"/>
      <c r="K1863" s="21"/>
      <c r="L1863" s="21"/>
      <c r="M1863" s="21"/>
      <c r="N1863" s="21"/>
    </row>
    <row r="1864" spans="1:14" ht="15.75" customHeight="1" x14ac:dyDescent="0.25">
      <c r="A1864" s="7">
        <v>1</v>
      </c>
      <c r="B1864" s="41" t="s">
        <v>912</v>
      </c>
      <c r="C1864" s="7">
        <v>4</v>
      </c>
      <c r="D1864" s="7" t="s">
        <v>363</v>
      </c>
      <c r="E1864" s="104">
        <v>9500</v>
      </c>
      <c r="F1864" s="104">
        <f>E1864*C1864</f>
        <v>38000</v>
      </c>
      <c r="G1864" s="25"/>
      <c r="H1864" s="11"/>
      <c r="I1864" s="21"/>
      <c r="J1864" s="21"/>
      <c r="K1864" s="21"/>
      <c r="L1864" s="21"/>
      <c r="M1864" s="21"/>
      <c r="N1864" s="21"/>
    </row>
    <row r="1865" spans="1:14" ht="15.75" customHeight="1" x14ac:dyDescent="0.25">
      <c r="A1865" s="7">
        <v>2</v>
      </c>
      <c r="B1865" s="41" t="s">
        <v>913</v>
      </c>
      <c r="C1865" s="7">
        <v>4</v>
      </c>
      <c r="D1865" s="7" t="s">
        <v>363</v>
      </c>
      <c r="E1865" s="104">
        <v>23500</v>
      </c>
      <c r="F1865" s="104">
        <f>E1865*C1865</f>
        <v>94000</v>
      </c>
      <c r="G1865" s="25"/>
      <c r="H1865" s="11"/>
      <c r="I1865" s="21"/>
      <c r="J1865" s="21"/>
      <c r="K1865" s="21"/>
      <c r="L1865" s="21"/>
      <c r="M1865" s="21"/>
      <c r="N1865" s="21"/>
    </row>
    <row r="1866" spans="1:14" ht="15.75" customHeight="1" x14ac:dyDescent="0.25">
      <c r="A1866" s="7"/>
      <c r="B1866" s="343" t="s">
        <v>342</v>
      </c>
      <c r="C1866" s="344"/>
      <c r="D1866" s="344"/>
      <c r="E1866" s="334"/>
      <c r="F1866" s="104">
        <f>SUM(F1864:F1865)</f>
        <v>132000</v>
      </c>
      <c r="G1866" s="25"/>
      <c r="H1866" s="11"/>
      <c r="I1866" s="21"/>
      <c r="J1866" s="21"/>
      <c r="K1866" s="21"/>
      <c r="L1866" s="21"/>
      <c r="M1866" s="21"/>
      <c r="N1866" s="21"/>
    </row>
    <row r="1867" spans="1:14" ht="15.75" customHeight="1" x14ac:dyDescent="0.25">
      <c r="A1867" s="7"/>
      <c r="B1867" s="343" t="s">
        <v>343</v>
      </c>
      <c r="C1867" s="344"/>
      <c r="D1867" s="344"/>
      <c r="E1867" s="334"/>
      <c r="F1867" s="104">
        <v>14520</v>
      </c>
      <c r="G1867" s="25"/>
      <c r="H1867" s="11"/>
      <c r="I1867" s="21"/>
      <c r="J1867" s="21"/>
      <c r="K1867" s="21"/>
      <c r="L1867" s="21"/>
      <c r="M1867" s="21"/>
      <c r="N1867" s="21"/>
    </row>
    <row r="1868" spans="1:14" ht="15.75" customHeight="1" x14ac:dyDescent="0.25">
      <c r="A1868" s="7"/>
      <c r="B1868" s="345" t="s">
        <v>344</v>
      </c>
      <c r="C1868" s="344"/>
      <c r="D1868" s="344"/>
      <c r="E1868" s="334"/>
      <c r="F1868" s="107">
        <f>SUM(F1866:F1867)</f>
        <v>146520</v>
      </c>
      <c r="G1868" s="25"/>
      <c r="H1868" s="11"/>
      <c r="I1868" s="21"/>
      <c r="J1868" s="21"/>
      <c r="K1868" s="21"/>
      <c r="L1868" s="21"/>
      <c r="M1868" s="21"/>
      <c r="N1868" s="21"/>
    </row>
    <row r="1869" spans="1:14" ht="15.75" customHeight="1" x14ac:dyDescent="0.25">
      <c r="A1869" s="21"/>
      <c r="B1869" s="21"/>
      <c r="C1869" s="11"/>
      <c r="D1869" s="11"/>
      <c r="E1869" s="21"/>
      <c r="F1869" s="21"/>
      <c r="G1869" s="25"/>
      <c r="H1869" s="11"/>
      <c r="I1869" s="21"/>
      <c r="J1869" s="21"/>
      <c r="K1869" s="21"/>
      <c r="L1869" s="21"/>
      <c r="M1869" s="21"/>
      <c r="N1869" s="21"/>
    </row>
    <row r="1870" spans="1:14" ht="15.75" customHeight="1" x14ac:dyDescent="0.25">
      <c r="A1870" s="31" t="s">
        <v>14</v>
      </c>
      <c r="B1870" s="31" t="s">
        <v>234</v>
      </c>
      <c r="C1870" s="31" t="s">
        <v>16</v>
      </c>
      <c r="D1870" s="31" t="s">
        <v>17</v>
      </c>
      <c r="E1870" s="31" t="s">
        <v>235</v>
      </c>
      <c r="F1870" s="31" t="s">
        <v>236</v>
      </c>
      <c r="G1870" s="25"/>
      <c r="H1870" s="11"/>
      <c r="I1870" s="21"/>
      <c r="J1870" s="21"/>
      <c r="K1870" s="21"/>
      <c r="L1870" s="21"/>
      <c r="M1870" s="21"/>
      <c r="N1870" s="21"/>
    </row>
    <row r="1871" spans="1:14" ht="15.75" customHeight="1" x14ac:dyDescent="0.25">
      <c r="A1871" s="7">
        <v>1</v>
      </c>
      <c r="B1871" s="124" t="s">
        <v>914</v>
      </c>
      <c r="C1871" s="129">
        <v>10</v>
      </c>
      <c r="D1871" s="7" t="s">
        <v>363</v>
      </c>
      <c r="E1871" s="130">
        <v>12500</v>
      </c>
      <c r="F1871" s="130">
        <f>E1871*C1871</f>
        <v>125000</v>
      </c>
      <c r="G1871" s="25"/>
      <c r="H1871" s="11"/>
      <c r="I1871" s="21"/>
      <c r="J1871" s="21"/>
      <c r="K1871" s="21"/>
      <c r="L1871" s="21"/>
      <c r="M1871" s="21"/>
      <c r="N1871" s="21"/>
    </row>
    <row r="1872" spans="1:14" ht="15.75" customHeight="1" x14ac:dyDescent="0.25">
      <c r="A1872" s="7">
        <v>2</v>
      </c>
      <c r="B1872" s="120" t="s">
        <v>915</v>
      </c>
      <c r="C1872" s="129">
        <v>20</v>
      </c>
      <c r="D1872" s="7" t="s">
        <v>363</v>
      </c>
      <c r="E1872" s="130">
        <v>12160</v>
      </c>
      <c r="F1872" s="130">
        <f>E1872*C1872</f>
        <v>243200</v>
      </c>
      <c r="G1872" s="25"/>
      <c r="H1872" s="11"/>
      <c r="I1872" s="21"/>
      <c r="J1872" s="21"/>
      <c r="K1872" s="21"/>
      <c r="L1872" s="21"/>
      <c r="M1872" s="21"/>
      <c r="N1872" s="21"/>
    </row>
    <row r="1873" spans="1:14" ht="15.75" customHeight="1" x14ac:dyDescent="0.25">
      <c r="A1873" s="7">
        <v>3</v>
      </c>
      <c r="B1873" s="131" t="s">
        <v>916</v>
      </c>
      <c r="C1873" s="129">
        <v>10</v>
      </c>
      <c r="D1873" s="7" t="s">
        <v>363</v>
      </c>
      <c r="E1873" s="130">
        <v>15960</v>
      </c>
      <c r="F1873" s="130">
        <f>E1873*C1873</f>
        <v>159600</v>
      </c>
      <c r="G1873" s="25"/>
      <c r="H1873" s="11"/>
      <c r="I1873" s="21"/>
      <c r="J1873" s="21"/>
      <c r="K1873" s="21"/>
      <c r="L1873" s="21"/>
      <c r="M1873" s="21"/>
      <c r="N1873" s="21"/>
    </row>
    <row r="1874" spans="1:14" ht="15.75" customHeight="1" x14ac:dyDescent="0.25">
      <c r="A1874" s="7"/>
      <c r="B1874" s="343" t="s">
        <v>342</v>
      </c>
      <c r="C1874" s="344"/>
      <c r="D1874" s="344"/>
      <c r="E1874" s="334"/>
      <c r="F1874" s="104">
        <f>SUM(F1871:F1873)</f>
        <v>527800</v>
      </c>
      <c r="G1874" s="25"/>
      <c r="H1874" s="11"/>
      <c r="I1874" s="21"/>
      <c r="J1874" s="21"/>
      <c r="K1874" s="21"/>
      <c r="L1874" s="21"/>
      <c r="M1874" s="21"/>
      <c r="N1874" s="21"/>
    </row>
    <row r="1875" spans="1:14" ht="15.75" customHeight="1" x14ac:dyDescent="0.25">
      <c r="A1875" s="7"/>
      <c r="B1875" s="343" t="s">
        <v>343</v>
      </c>
      <c r="C1875" s="344"/>
      <c r="D1875" s="344"/>
      <c r="E1875" s="334"/>
      <c r="F1875" s="104">
        <v>58058</v>
      </c>
      <c r="G1875" s="25"/>
      <c r="H1875" s="11"/>
      <c r="I1875" s="21"/>
      <c r="J1875" s="21"/>
      <c r="K1875" s="21"/>
      <c r="L1875" s="21"/>
      <c r="M1875" s="21"/>
      <c r="N1875" s="21"/>
    </row>
    <row r="1876" spans="1:14" ht="15.75" customHeight="1" x14ac:dyDescent="0.25">
      <c r="A1876" s="7"/>
      <c r="B1876" s="345" t="s">
        <v>344</v>
      </c>
      <c r="C1876" s="344"/>
      <c r="D1876" s="344"/>
      <c r="E1876" s="334"/>
      <c r="F1876" s="107">
        <f>SUM(F1874:F1875)</f>
        <v>585858</v>
      </c>
      <c r="G1876" s="25"/>
      <c r="H1876" s="11"/>
      <c r="I1876" s="21"/>
      <c r="J1876" s="21"/>
      <c r="K1876" s="21"/>
      <c r="L1876" s="21"/>
      <c r="M1876" s="21"/>
      <c r="N1876" s="21"/>
    </row>
    <row r="1877" spans="1:14" ht="15.75" customHeight="1" x14ac:dyDescent="0.25">
      <c r="A1877" s="21"/>
      <c r="B1877" s="21"/>
      <c r="C1877" s="11"/>
      <c r="D1877" s="11"/>
      <c r="E1877" s="21"/>
      <c r="F1877" s="21"/>
      <c r="G1877" s="25"/>
      <c r="H1877" s="11"/>
      <c r="I1877" s="21"/>
      <c r="J1877" s="21"/>
      <c r="K1877" s="21"/>
      <c r="L1877" s="21"/>
      <c r="M1877" s="21"/>
      <c r="N1877" s="21"/>
    </row>
    <row r="1878" spans="1:14" ht="15.75" customHeight="1" x14ac:dyDescent="0.25">
      <c r="A1878" s="31" t="s">
        <v>14</v>
      </c>
      <c r="B1878" s="31" t="s">
        <v>234</v>
      </c>
      <c r="C1878" s="31" t="s">
        <v>16</v>
      </c>
      <c r="D1878" s="31" t="s">
        <v>17</v>
      </c>
      <c r="E1878" s="31" t="s">
        <v>235</v>
      </c>
      <c r="F1878" s="31" t="s">
        <v>236</v>
      </c>
      <c r="G1878" s="25"/>
      <c r="H1878" s="11"/>
      <c r="I1878" s="21"/>
      <c r="J1878" s="21"/>
      <c r="K1878" s="21"/>
      <c r="L1878" s="21"/>
      <c r="M1878" s="21"/>
      <c r="N1878" s="21"/>
    </row>
    <row r="1879" spans="1:14" ht="15.75" customHeight="1" x14ac:dyDescent="0.25">
      <c r="A1879" s="7">
        <v>1</v>
      </c>
      <c r="B1879" s="120" t="s">
        <v>917</v>
      </c>
      <c r="C1879" s="7">
        <v>6</v>
      </c>
      <c r="D1879" s="7" t="s">
        <v>363</v>
      </c>
      <c r="E1879" s="104">
        <v>332500</v>
      </c>
      <c r="F1879" s="104">
        <f>E1879*C1879</f>
        <v>1995000</v>
      </c>
      <c r="G1879" s="25"/>
      <c r="H1879" s="11"/>
      <c r="I1879" s="21"/>
      <c r="J1879" s="21"/>
      <c r="K1879" s="21"/>
      <c r="L1879" s="21"/>
      <c r="M1879" s="21"/>
      <c r="N1879" s="21"/>
    </row>
    <row r="1880" spans="1:14" ht="15.75" customHeight="1" x14ac:dyDescent="0.25">
      <c r="A1880" s="7"/>
      <c r="B1880" s="343" t="s">
        <v>342</v>
      </c>
      <c r="C1880" s="344"/>
      <c r="D1880" s="344"/>
      <c r="E1880" s="334"/>
      <c r="F1880" s="104">
        <f>F1879</f>
        <v>1995000</v>
      </c>
      <c r="G1880" s="25"/>
      <c r="H1880" s="11"/>
      <c r="I1880" s="21"/>
      <c r="J1880" s="21"/>
      <c r="K1880" s="21"/>
      <c r="L1880" s="21"/>
      <c r="M1880" s="21"/>
      <c r="N1880" s="21"/>
    </row>
    <row r="1881" spans="1:14" ht="15.75" customHeight="1" x14ac:dyDescent="0.25">
      <c r="A1881" s="7"/>
      <c r="B1881" s="343" t="s">
        <v>343</v>
      </c>
      <c r="C1881" s="344"/>
      <c r="D1881" s="344"/>
      <c r="E1881" s="334"/>
      <c r="F1881" s="104">
        <v>219450</v>
      </c>
      <c r="G1881" s="25"/>
      <c r="H1881" s="11"/>
      <c r="I1881" s="21"/>
      <c r="J1881" s="21"/>
      <c r="K1881" s="21"/>
      <c r="L1881" s="21"/>
      <c r="M1881" s="21"/>
      <c r="N1881" s="21"/>
    </row>
    <row r="1882" spans="1:14" ht="15.75" customHeight="1" x14ac:dyDescent="0.25">
      <c r="A1882" s="7"/>
      <c r="B1882" s="345" t="s">
        <v>344</v>
      </c>
      <c r="C1882" s="344"/>
      <c r="D1882" s="344"/>
      <c r="E1882" s="334"/>
      <c r="F1882" s="107">
        <f>SUM(F1880:F1881)</f>
        <v>2214450</v>
      </c>
      <c r="G1882" s="25"/>
      <c r="H1882" s="11"/>
      <c r="I1882" s="21"/>
      <c r="J1882" s="21"/>
      <c r="K1882" s="21"/>
      <c r="L1882" s="21"/>
      <c r="M1882" s="21"/>
      <c r="N1882" s="21"/>
    </row>
    <row r="1883" spans="1:14" ht="15.75" customHeight="1" x14ac:dyDescent="0.25">
      <c r="A1883" s="21"/>
      <c r="B1883" s="21"/>
      <c r="C1883" s="11"/>
      <c r="D1883" s="11"/>
      <c r="E1883" s="21"/>
      <c r="F1883" s="21"/>
      <c r="G1883" s="25"/>
      <c r="H1883" s="11"/>
      <c r="I1883" s="21"/>
      <c r="J1883" s="21"/>
      <c r="K1883" s="21"/>
      <c r="L1883" s="21"/>
      <c r="M1883" s="21"/>
      <c r="N1883" s="21"/>
    </row>
    <row r="1884" spans="1:14" ht="15.75" customHeight="1" x14ac:dyDescent="0.25">
      <c r="A1884" s="31" t="s">
        <v>351</v>
      </c>
      <c r="B1884" s="31" t="s">
        <v>234</v>
      </c>
      <c r="C1884" s="31" t="s">
        <v>16</v>
      </c>
      <c r="D1884" s="31" t="s">
        <v>17</v>
      </c>
      <c r="E1884" s="31" t="s">
        <v>235</v>
      </c>
      <c r="F1884" s="31" t="s">
        <v>236</v>
      </c>
      <c r="G1884" s="25"/>
      <c r="H1884" s="11"/>
      <c r="I1884" s="21"/>
      <c r="J1884" s="21"/>
      <c r="K1884" s="21"/>
      <c r="L1884" s="21"/>
      <c r="M1884" s="21"/>
      <c r="N1884" s="21"/>
    </row>
    <row r="1885" spans="1:14" ht="15.75" customHeight="1" x14ac:dyDescent="0.25">
      <c r="A1885" s="7">
        <v>1</v>
      </c>
      <c r="B1885" s="41" t="s">
        <v>918</v>
      </c>
      <c r="C1885" s="7">
        <v>4</v>
      </c>
      <c r="D1885" s="7" t="s">
        <v>363</v>
      </c>
      <c r="E1885" s="104">
        <v>10625</v>
      </c>
      <c r="F1885" s="104">
        <f>E1885*C1885</f>
        <v>42500</v>
      </c>
      <c r="G1885" s="25"/>
      <c r="H1885" s="11"/>
      <c r="I1885" s="21"/>
      <c r="J1885" s="21"/>
      <c r="K1885" s="21"/>
      <c r="L1885" s="21"/>
      <c r="M1885" s="21"/>
      <c r="N1885" s="21"/>
    </row>
    <row r="1886" spans="1:14" ht="15.75" customHeight="1" x14ac:dyDescent="0.25">
      <c r="A1886" s="7">
        <v>2</v>
      </c>
      <c r="B1886" s="41" t="s">
        <v>919</v>
      </c>
      <c r="C1886" s="7">
        <v>4</v>
      </c>
      <c r="D1886" s="7" t="s">
        <v>363</v>
      </c>
      <c r="E1886" s="104">
        <v>2750</v>
      </c>
      <c r="F1886" s="104">
        <f>E1886*C1886</f>
        <v>11000</v>
      </c>
      <c r="G1886" s="25"/>
      <c r="H1886" s="11"/>
      <c r="I1886" s="21"/>
      <c r="J1886" s="21"/>
      <c r="K1886" s="21"/>
      <c r="L1886" s="21"/>
      <c r="M1886" s="21"/>
      <c r="N1886" s="21"/>
    </row>
    <row r="1887" spans="1:14" ht="15.75" customHeight="1" x14ac:dyDescent="0.25">
      <c r="A1887" s="7"/>
      <c r="B1887" s="343" t="s">
        <v>342</v>
      </c>
      <c r="C1887" s="344"/>
      <c r="D1887" s="344"/>
      <c r="E1887" s="334"/>
      <c r="F1887" s="104">
        <f>SUM(F1885:F1886)</f>
        <v>53500</v>
      </c>
      <c r="G1887" s="25"/>
      <c r="H1887" s="11"/>
      <c r="I1887" s="21"/>
      <c r="J1887" s="21"/>
      <c r="K1887" s="21"/>
      <c r="L1887" s="21"/>
      <c r="M1887" s="21"/>
      <c r="N1887" s="21"/>
    </row>
    <row r="1888" spans="1:14" ht="15.75" customHeight="1" x14ac:dyDescent="0.25">
      <c r="A1888" s="7"/>
      <c r="B1888" s="343" t="s">
        <v>343</v>
      </c>
      <c r="C1888" s="344"/>
      <c r="D1888" s="344"/>
      <c r="E1888" s="334"/>
      <c r="F1888" s="104">
        <v>5885</v>
      </c>
      <c r="G1888" s="25"/>
      <c r="H1888" s="11"/>
      <c r="I1888" s="21"/>
      <c r="J1888" s="21"/>
      <c r="K1888" s="21"/>
      <c r="L1888" s="21"/>
      <c r="M1888" s="21"/>
      <c r="N1888" s="21"/>
    </row>
    <row r="1889" spans="1:14" ht="15.75" customHeight="1" x14ac:dyDescent="0.25">
      <c r="A1889" s="7"/>
      <c r="B1889" s="345" t="s">
        <v>344</v>
      </c>
      <c r="C1889" s="344"/>
      <c r="D1889" s="344"/>
      <c r="E1889" s="334"/>
      <c r="F1889" s="107">
        <f>SUM(F1887:F1888)</f>
        <v>59385</v>
      </c>
      <c r="G1889" s="25"/>
      <c r="H1889" s="11"/>
      <c r="I1889" s="21"/>
      <c r="J1889" s="21"/>
      <c r="K1889" s="21"/>
      <c r="L1889" s="21"/>
      <c r="M1889" s="21"/>
      <c r="N1889" s="21"/>
    </row>
    <row r="1890" spans="1:14" ht="15.75" customHeight="1" x14ac:dyDescent="0.25">
      <c r="A1890" s="21"/>
      <c r="B1890" s="21"/>
      <c r="C1890" s="11"/>
      <c r="D1890" s="11"/>
      <c r="E1890" s="21"/>
      <c r="F1890" s="21"/>
      <c r="G1890" s="25"/>
      <c r="H1890" s="11"/>
      <c r="I1890" s="21"/>
      <c r="J1890" s="21"/>
      <c r="K1890" s="21"/>
      <c r="L1890" s="21"/>
      <c r="M1890" s="21"/>
      <c r="N1890" s="21"/>
    </row>
    <row r="1891" spans="1:14" ht="15.75" customHeight="1" x14ac:dyDescent="0.25">
      <c r="A1891" s="31" t="s">
        <v>14</v>
      </c>
      <c r="B1891" s="31" t="s">
        <v>234</v>
      </c>
      <c r="C1891" s="31" t="s">
        <v>16</v>
      </c>
      <c r="D1891" s="31" t="s">
        <v>17</v>
      </c>
      <c r="E1891" s="31" t="s">
        <v>235</v>
      </c>
      <c r="F1891" s="31" t="s">
        <v>236</v>
      </c>
      <c r="G1891" s="25"/>
      <c r="H1891" s="11"/>
      <c r="I1891" s="21"/>
      <c r="J1891" s="21"/>
      <c r="K1891" s="21"/>
      <c r="L1891" s="21"/>
      <c r="M1891" s="21"/>
      <c r="N1891" s="21"/>
    </row>
    <row r="1892" spans="1:14" ht="15.75" customHeight="1" x14ac:dyDescent="0.25">
      <c r="A1892" s="7">
        <v>1</v>
      </c>
      <c r="B1892" s="124" t="s">
        <v>920</v>
      </c>
      <c r="C1892" s="129">
        <v>1</v>
      </c>
      <c r="D1892" s="7" t="s">
        <v>251</v>
      </c>
      <c r="E1892" s="130">
        <v>2200000</v>
      </c>
      <c r="F1892" s="130">
        <f>E1892*C1892</f>
        <v>2200000</v>
      </c>
      <c r="G1892" s="25"/>
      <c r="H1892" s="11"/>
      <c r="I1892" s="21"/>
      <c r="J1892" s="21"/>
      <c r="K1892" s="21"/>
      <c r="L1892" s="21"/>
      <c r="M1892" s="21"/>
      <c r="N1892" s="21"/>
    </row>
    <row r="1893" spans="1:14" ht="15.75" customHeight="1" x14ac:dyDescent="0.25">
      <c r="A1893" s="7">
        <v>2</v>
      </c>
      <c r="B1893" s="120" t="s">
        <v>921</v>
      </c>
      <c r="C1893" s="129">
        <v>1</v>
      </c>
      <c r="D1893" s="7" t="s">
        <v>251</v>
      </c>
      <c r="E1893" s="130">
        <v>300000</v>
      </c>
      <c r="F1893" s="130">
        <f>E1893*C1893</f>
        <v>300000</v>
      </c>
      <c r="G1893" s="25"/>
      <c r="H1893" s="11"/>
      <c r="I1893" s="21"/>
      <c r="J1893" s="21"/>
      <c r="K1893" s="21"/>
      <c r="L1893" s="21"/>
      <c r="M1893" s="21"/>
      <c r="N1893" s="21"/>
    </row>
    <row r="1894" spans="1:14" ht="15.75" customHeight="1" x14ac:dyDescent="0.25">
      <c r="A1894" s="7">
        <v>3</v>
      </c>
      <c r="B1894" s="131" t="s">
        <v>922</v>
      </c>
      <c r="C1894" s="129">
        <v>1</v>
      </c>
      <c r="D1894" s="7" t="s">
        <v>251</v>
      </c>
      <c r="E1894" s="130">
        <v>3550000</v>
      </c>
      <c r="F1894" s="130">
        <f>E1894*C1894</f>
        <v>3550000</v>
      </c>
      <c r="G1894" s="25"/>
      <c r="H1894" s="11"/>
      <c r="I1894" s="21"/>
      <c r="J1894" s="21"/>
      <c r="K1894" s="21"/>
      <c r="L1894" s="21"/>
      <c r="M1894" s="21"/>
      <c r="N1894" s="21"/>
    </row>
    <row r="1895" spans="1:14" ht="15.75" customHeight="1" x14ac:dyDescent="0.25">
      <c r="A1895" s="7"/>
      <c r="B1895" s="343" t="s">
        <v>342</v>
      </c>
      <c r="C1895" s="344"/>
      <c r="D1895" s="344"/>
      <c r="E1895" s="334"/>
      <c r="F1895" s="104">
        <f>SUM(F1892:F1894)</f>
        <v>6050000</v>
      </c>
      <c r="G1895" s="25"/>
      <c r="H1895" s="11"/>
      <c r="I1895" s="21"/>
      <c r="J1895" s="21"/>
      <c r="K1895" s="21"/>
      <c r="L1895" s="21"/>
      <c r="M1895" s="21"/>
      <c r="N1895" s="21"/>
    </row>
    <row r="1896" spans="1:14" ht="15.75" customHeight="1" x14ac:dyDescent="0.25">
      <c r="A1896" s="7"/>
      <c r="B1896" s="343" t="s">
        <v>343</v>
      </c>
      <c r="C1896" s="344"/>
      <c r="D1896" s="344"/>
      <c r="E1896" s="334"/>
      <c r="F1896" s="104">
        <v>665500</v>
      </c>
      <c r="G1896" s="25"/>
      <c r="H1896" s="11"/>
      <c r="I1896" s="21"/>
      <c r="J1896" s="21"/>
      <c r="K1896" s="21"/>
      <c r="L1896" s="21"/>
      <c r="M1896" s="21"/>
      <c r="N1896" s="21"/>
    </row>
    <row r="1897" spans="1:14" ht="15.75" customHeight="1" x14ac:dyDescent="0.25">
      <c r="A1897" s="7"/>
      <c r="B1897" s="345" t="s">
        <v>344</v>
      </c>
      <c r="C1897" s="344"/>
      <c r="D1897" s="344"/>
      <c r="E1897" s="334"/>
      <c r="F1897" s="107">
        <f>SUM(F1895:F1896)</f>
        <v>6715500</v>
      </c>
      <c r="G1897" s="25"/>
      <c r="H1897" s="11"/>
      <c r="I1897" s="21"/>
      <c r="J1897" s="21"/>
      <c r="K1897" s="21"/>
      <c r="L1897" s="21"/>
      <c r="M1897" s="21"/>
      <c r="N1897" s="21"/>
    </row>
    <row r="1898" spans="1:14" ht="15.75" customHeight="1" x14ac:dyDescent="0.25">
      <c r="A1898" s="21"/>
      <c r="B1898" s="21"/>
      <c r="C1898" s="11"/>
      <c r="D1898" s="11"/>
      <c r="E1898" s="21"/>
      <c r="F1898" s="21"/>
      <c r="G1898" s="25"/>
      <c r="H1898" s="11"/>
      <c r="I1898" s="21"/>
      <c r="J1898" s="21"/>
      <c r="K1898" s="21"/>
      <c r="L1898" s="21"/>
      <c r="M1898" s="21"/>
      <c r="N1898" s="21"/>
    </row>
    <row r="1899" spans="1:14" ht="15.75" customHeight="1" x14ac:dyDescent="0.25">
      <c r="A1899" s="31" t="s">
        <v>351</v>
      </c>
      <c r="B1899" s="31" t="s">
        <v>234</v>
      </c>
      <c r="C1899" s="31" t="s">
        <v>16</v>
      </c>
      <c r="D1899" s="31" t="s">
        <v>17</v>
      </c>
      <c r="E1899" s="31" t="s">
        <v>235</v>
      </c>
      <c r="F1899" s="31" t="s">
        <v>236</v>
      </c>
      <c r="G1899" s="25"/>
      <c r="H1899" s="11"/>
      <c r="I1899" s="21"/>
      <c r="J1899" s="21"/>
      <c r="K1899" s="21"/>
      <c r="L1899" s="21"/>
      <c r="M1899" s="21"/>
      <c r="N1899" s="21"/>
    </row>
    <row r="1900" spans="1:14" ht="15.75" customHeight="1" x14ac:dyDescent="0.25">
      <c r="A1900" s="7">
        <v>1</v>
      </c>
      <c r="B1900" s="41" t="s">
        <v>923</v>
      </c>
      <c r="C1900" s="7">
        <v>10</v>
      </c>
      <c r="D1900" s="7" t="s">
        <v>363</v>
      </c>
      <c r="E1900" s="104">
        <v>99750</v>
      </c>
      <c r="F1900" s="104">
        <f>E1900*C1900</f>
        <v>997500</v>
      </c>
      <c r="G1900" s="25"/>
      <c r="H1900" s="11"/>
      <c r="I1900" s="21"/>
      <c r="J1900" s="21"/>
      <c r="K1900" s="21"/>
      <c r="L1900" s="21"/>
      <c r="M1900" s="21"/>
      <c r="N1900" s="21"/>
    </row>
    <row r="1901" spans="1:14" ht="15.75" customHeight="1" x14ac:dyDescent="0.25">
      <c r="A1901" s="7">
        <v>2</v>
      </c>
      <c r="B1901" s="41" t="s">
        <v>924</v>
      </c>
      <c r="C1901" s="7">
        <v>2</v>
      </c>
      <c r="D1901" s="7" t="s">
        <v>363</v>
      </c>
      <c r="E1901" s="104">
        <v>2418700</v>
      </c>
      <c r="F1901" s="104">
        <f>E1901*C1901</f>
        <v>4837400</v>
      </c>
      <c r="G1901" s="25"/>
      <c r="H1901" s="11"/>
      <c r="I1901" s="21"/>
      <c r="J1901" s="21"/>
      <c r="K1901" s="21"/>
      <c r="L1901" s="21"/>
      <c r="M1901" s="21"/>
      <c r="N1901" s="21"/>
    </row>
    <row r="1902" spans="1:14" ht="15.75" customHeight="1" x14ac:dyDescent="0.25">
      <c r="A1902" s="7"/>
      <c r="B1902" s="343" t="s">
        <v>342</v>
      </c>
      <c r="C1902" s="344"/>
      <c r="D1902" s="344"/>
      <c r="E1902" s="334"/>
      <c r="F1902" s="104">
        <f>SUM(F1900:F1901)</f>
        <v>5834900</v>
      </c>
      <c r="G1902" s="25"/>
      <c r="H1902" s="11"/>
      <c r="I1902" s="21"/>
      <c r="J1902" s="21"/>
      <c r="K1902" s="21"/>
      <c r="L1902" s="21"/>
      <c r="M1902" s="21"/>
      <c r="N1902" s="21"/>
    </row>
    <row r="1903" spans="1:14" ht="15.75" customHeight="1" x14ac:dyDescent="0.25">
      <c r="A1903" s="7"/>
      <c r="B1903" s="343" t="s">
        <v>343</v>
      </c>
      <c r="C1903" s="344"/>
      <c r="D1903" s="344"/>
      <c r="E1903" s="334"/>
      <c r="F1903" s="104">
        <v>641839</v>
      </c>
      <c r="G1903" s="25"/>
      <c r="H1903" s="11"/>
      <c r="I1903" s="21"/>
      <c r="J1903" s="21"/>
      <c r="K1903" s="21"/>
      <c r="L1903" s="21"/>
      <c r="M1903" s="21"/>
      <c r="N1903" s="21"/>
    </row>
    <row r="1904" spans="1:14" ht="15.75" customHeight="1" x14ac:dyDescent="0.25">
      <c r="A1904" s="7"/>
      <c r="B1904" s="345" t="s">
        <v>344</v>
      </c>
      <c r="C1904" s="344"/>
      <c r="D1904" s="344"/>
      <c r="E1904" s="334"/>
      <c r="F1904" s="107">
        <f>SUM(F1902:F1903)</f>
        <v>6476739</v>
      </c>
      <c r="G1904" s="25"/>
      <c r="H1904" s="11"/>
      <c r="I1904" s="21"/>
      <c r="J1904" s="21"/>
      <c r="K1904" s="21"/>
      <c r="L1904" s="21"/>
      <c r="M1904" s="21"/>
      <c r="N1904" s="21"/>
    </row>
    <row r="1905" spans="1:14" ht="15.75" customHeight="1" x14ac:dyDescent="0.25">
      <c r="A1905" s="21"/>
      <c r="B1905" s="21"/>
      <c r="C1905" s="11"/>
      <c r="D1905" s="11"/>
      <c r="E1905" s="21"/>
      <c r="F1905" s="21"/>
      <c r="G1905" s="25"/>
      <c r="H1905" s="11"/>
      <c r="I1905" s="21"/>
      <c r="J1905" s="21"/>
      <c r="K1905" s="21"/>
      <c r="L1905" s="21"/>
      <c r="M1905" s="21"/>
      <c r="N1905" s="21"/>
    </row>
    <row r="1906" spans="1:14" ht="15.75" customHeight="1" x14ac:dyDescent="0.25">
      <c r="A1906" s="31" t="s">
        <v>14</v>
      </c>
      <c r="B1906" s="31" t="s">
        <v>234</v>
      </c>
      <c r="C1906" s="31" t="s">
        <v>16</v>
      </c>
      <c r="D1906" s="31" t="s">
        <v>17</v>
      </c>
      <c r="E1906" s="31" t="s">
        <v>235</v>
      </c>
      <c r="F1906" s="31" t="s">
        <v>236</v>
      </c>
      <c r="G1906" s="25"/>
      <c r="H1906" s="11"/>
      <c r="I1906" s="21"/>
      <c r="J1906" s="21"/>
      <c r="K1906" s="21"/>
      <c r="L1906" s="21"/>
      <c r="M1906" s="21"/>
      <c r="N1906" s="21"/>
    </row>
    <row r="1907" spans="1:14" ht="15.75" customHeight="1" x14ac:dyDescent="0.25">
      <c r="A1907" s="7">
        <v>1</v>
      </c>
      <c r="B1907" s="120" t="s">
        <v>925</v>
      </c>
      <c r="C1907" s="7">
        <v>1</v>
      </c>
      <c r="D1907" s="7" t="s">
        <v>347</v>
      </c>
      <c r="E1907" s="104">
        <v>6425000</v>
      </c>
      <c r="F1907" s="104">
        <f>E1907*C1907</f>
        <v>6425000</v>
      </c>
      <c r="G1907" s="25"/>
      <c r="H1907" s="11"/>
      <c r="I1907" s="21"/>
      <c r="J1907" s="21"/>
      <c r="K1907" s="21"/>
      <c r="L1907" s="21"/>
      <c r="M1907" s="21"/>
      <c r="N1907" s="21"/>
    </row>
    <row r="1908" spans="1:14" ht="15.75" customHeight="1" x14ac:dyDescent="0.25">
      <c r="A1908" s="7"/>
      <c r="B1908" s="343" t="s">
        <v>342</v>
      </c>
      <c r="C1908" s="344"/>
      <c r="D1908" s="344"/>
      <c r="E1908" s="334"/>
      <c r="F1908" s="104">
        <f>F1907</f>
        <v>6425000</v>
      </c>
      <c r="G1908" s="25"/>
      <c r="H1908" s="11"/>
      <c r="I1908" s="21"/>
      <c r="J1908" s="21"/>
      <c r="K1908" s="21"/>
      <c r="L1908" s="21"/>
      <c r="M1908" s="21"/>
      <c r="N1908" s="21"/>
    </row>
    <row r="1909" spans="1:14" ht="15.75" customHeight="1" x14ac:dyDescent="0.25">
      <c r="A1909" s="7"/>
      <c r="B1909" s="343" t="s">
        <v>343</v>
      </c>
      <c r="C1909" s="344"/>
      <c r="D1909" s="344"/>
      <c r="E1909" s="334"/>
      <c r="F1909" s="104">
        <v>706750</v>
      </c>
      <c r="G1909" s="25"/>
      <c r="H1909" s="11"/>
      <c r="I1909" s="21"/>
      <c r="J1909" s="21"/>
      <c r="K1909" s="21"/>
      <c r="L1909" s="21"/>
      <c r="M1909" s="21"/>
      <c r="N1909" s="21"/>
    </row>
    <row r="1910" spans="1:14" ht="15.75" customHeight="1" x14ac:dyDescent="0.25">
      <c r="A1910" s="7"/>
      <c r="B1910" s="345" t="s">
        <v>344</v>
      </c>
      <c r="C1910" s="344"/>
      <c r="D1910" s="344"/>
      <c r="E1910" s="334"/>
      <c r="F1910" s="107">
        <f>SUM(F1908:F1909)</f>
        <v>7131750</v>
      </c>
      <c r="G1910" s="25"/>
      <c r="H1910" s="11"/>
      <c r="I1910" s="21"/>
      <c r="J1910" s="21"/>
      <c r="K1910" s="21"/>
      <c r="L1910" s="21"/>
      <c r="M1910" s="21"/>
      <c r="N1910" s="21"/>
    </row>
    <row r="1911" spans="1:14" ht="15.75" customHeight="1" x14ac:dyDescent="0.25">
      <c r="A1911" s="21"/>
      <c r="B1911" s="21"/>
      <c r="C1911" s="11"/>
      <c r="D1911" s="11"/>
      <c r="E1911" s="21"/>
      <c r="F1911" s="21"/>
      <c r="G1911" s="25"/>
      <c r="H1911" s="11"/>
      <c r="I1911" s="21"/>
      <c r="J1911" s="21"/>
      <c r="K1911" s="21"/>
      <c r="L1911" s="21"/>
      <c r="M1911" s="21"/>
      <c r="N1911" s="21"/>
    </row>
    <row r="1912" spans="1:14" ht="15.75" customHeight="1" x14ac:dyDescent="0.25">
      <c r="A1912" s="31" t="s">
        <v>14</v>
      </c>
      <c r="B1912" s="31" t="s">
        <v>234</v>
      </c>
      <c r="C1912" s="31" t="s">
        <v>16</v>
      </c>
      <c r="D1912" s="31" t="s">
        <v>17</v>
      </c>
      <c r="E1912" s="31" t="s">
        <v>235</v>
      </c>
      <c r="F1912" s="31" t="s">
        <v>236</v>
      </c>
      <c r="G1912" s="25"/>
      <c r="H1912" s="11"/>
      <c r="I1912" s="21"/>
      <c r="J1912" s="21"/>
      <c r="K1912" s="21"/>
      <c r="L1912" s="21"/>
      <c r="M1912" s="21"/>
      <c r="N1912" s="21"/>
    </row>
    <row r="1913" spans="1:14" ht="15.75" customHeight="1" x14ac:dyDescent="0.25">
      <c r="A1913" s="7">
        <v>1</v>
      </c>
      <c r="B1913" s="120" t="s">
        <v>926</v>
      </c>
      <c r="C1913" s="7">
        <v>22</v>
      </c>
      <c r="D1913" s="7" t="s">
        <v>247</v>
      </c>
      <c r="E1913" s="104">
        <v>598975</v>
      </c>
      <c r="F1913" s="104">
        <f>E1913*C1913</f>
        <v>13177450</v>
      </c>
      <c r="G1913" s="25"/>
      <c r="H1913" s="11"/>
      <c r="I1913" s="21"/>
      <c r="J1913" s="21"/>
      <c r="K1913" s="21"/>
      <c r="L1913" s="21"/>
      <c r="M1913" s="21"/>
      <c r="N1913" s="21"/>
    </row>
    <row r="1914" spans="1:14" ht="15.75" customHeight="1" x14ac:dyDescent="0.25">
      <c r="A1914" s="7"/>
      <c r="B1914" s="343" t="s">
        <v>342</v>
      </c>
      <c r="C1914" s="344"/>
      <c r="D1914" s="344"/>
      <c r="E1914" s="334"/>
      <c r="F1914" s="104">
        <f>F1913</f>
        <v>13177450</v>
      </c>
      <c r="G1914" s="25"/>
      <c r="H1914" s="11"/>
      <c r="I1914" s="21"/>
      <c r="J1914" s="21"/>
      <c r="K1914" s="21"/>
      <c r="L1914" s="21"/>
      <c r="M1914" s="21"/>
      <c r="N1914" s="21"/>
    </row>
    <row r="1915" spans="1:14" ht="15.75" customHeight="1" x14ac:dyDescent="0.25">
      <c r="A1915" s="7"/>
      <c r="B1915" s="343" t="s">
        <v>343</v>
      </c>
      <c r="C1915" s="344"/>
      <c r="D1915" s="344"/>
      <c r="E1915" s="334"/>
      <c r="F1915" s="104">
        <v>1449520</v>
      </c>
      <c r="G1915" s="25"/>
      <c r="H1915" s="11"/>
      <c r="I1915" s="21"/>
      <c r="J1915" s="21"/>
      <c r="K1915" s="21"/>
      <c r="L1915" s="21"/>
      <c r="M1915" s="21"/>
      <c r="N1915" s="21"/>
    </row>
    <row r="1916" spans="1:14" ht="15.75" customHeight="1" x14ac:dyDescent="0.25">
      <c r="A1916" s="7"/>
      <c r="B1916" s="345" t="s">
        <v>344</v>
      </c>
      <c r="C1916" s="344"/>
      <c r="D1916" s="344"/>
      <c r="E1916" s="334"/>
      <c r="F1916" s="107">
        <f>SUM(F1914:F1915)</f>
        <v>14626970</v>
      </c>
      <c r="G1916" s="25"/>
      <c r="H1916" s="11"/>
      <c r="I1916" s="21"/>
      <c r="J1916" s="21"/>
      <c r="K1916" s="21"/>
      <c r="L1916" s="21"/>
      <c r="M1916" s="21"/>
      <c r="N1916" s="21"/>
    </row>
    <row r="1917" spans="1:14" ht="15.75" customHeight="1" x14ac:dyDescent="0.25">
      <c r="A1917" s="21"/>
      <c r="B1917" s="21"/>
      <c r="C1917" s="11"/>
      <c r="D1917" s="11"/>
      <c r="E1917" s="21"/>
      <c r="F1917" s="21"/>
      <c r="G1917" s="25"/>
      <c r="H1917" s="11"/>
      <c r="I1917" s="21"/>
      <c r="J1917" s="21"/>
      <c r="K1917" s="21"/>
      <c r="L1917" s="21"/>
      <c r="M1917" s="21"/>
      <c r="N1917" s="21"/>
    </row>
    <row r="1918" spans="1:14" ht="15.75" customHeight="1" x14ac:dyDescent="0.25">
      <c r="A1918" s="31" t="s">
        <v>14</v>
      </c>
      <c r="B1918" s="31" t="s">
        <v>234</v>
      </c>
      <c r="C1918" s="31" t="s">
        <v>16</v>
      </c>
      <c r="D1918" s="31" t="s">
        <v>17</v>
      </c>
      <c r="E1918" s="31" t="s">
        <v>235</v>
      </c>
      <c r="F1918" s="31" t="s">
        <v>236</v>
      </c>
      <c r="G1918" s="25"/>
      <c r="H1918" s="11"/>
      <c r="I1918" s="21"/>
      <c r="J1918" s="21"/>
      <c r="K1918" s="21"/>
      <c r="L1918" s="21"/>
      <c r="M1918" s="21"/>
      <c r="N1918" s="21"/>
    </row>
    <row r="1919" spans="1:14" ht="15.75" customHeight="1" x14ac:dyDescent="0.25">
      <c r="A1919" s="7">
        <v>1</v>
      </c>
      <c r="B1919" s="120" t="s">
        <v>927</v>
      </c>
      <c r="C1919" s="7">
        <v>5</v>
      </c>
      <c r="D1919" s="7" t="s">
        <v>406</v>
      </c>
      <c r="E1919" s="104">
        <v>218500</v>
      </c>
      <c r="F1919" s="104">
        <f>E1919*C1919</f>
        <v>1092500</v>
      </c>
      <c r="G1919" s="25"/>
      <c r="H1919" s="11"/>
      <c r="I1919" s="21"/>
      <c r="J1919" s="21"/>
      <c r="K1919" s="21"/>
      <c r="L1919" s="21"/>
      <c r="M1919" s="21"/>
      <c r="N1919" s="21"/>
    </row>
    <row r="1920" spans="1:14" ht="15.75" customHeight="1" x14ac:dyDescent="0.25">
      <c r="A1920" s="7"/>
      <c r="B1920" s="343" t="s">
        <v>342</v>
      </c>
      <c r="C1920" s="344"/>
      <c r="D1920" s="344"/>
      <c r="E1920" s="334"/>
      <c r="F1920" s="104">
        <f>F1919</f>
        <v>1092500</v>
      </c>
      <c r="G1920" s="25"/>
      <c r="H1920" s="11"/>
      <c r="I1920" s="21"/>
      <c r="J1920" s="21"/>
      <c r="K1920" s="21"/>
      <c r="L1920" s="21"/>
      <c r="M1920" s="21"/>
      <c r="N1920" s="21"/>
    </row>
    <row r="1921" spans="1:14" ht="15.75" customHeight="1" x14ac:dyDescent="0.25">
      <c r="A1921" s="7"/>
      <c r="B1921" s="343" t="s">
        <v>343</v>
      </c>
      <c r="C1921" s="344"/>
      <c r="D1921" s="344"/>
      <c r="E1921" s="334"/>
      <c r="F1921" s="104">
        <v>120175</v>
      </c>
      <c r="G1921" s="25"/>
      <c r="H1921" s="11"/>
      <c r="I1921" s="21"/>
      <c r="J1921" s="21"/>
      <c r="K1921" s="21"/>
      <c r="L1921" s="21"/>
      <c r="M1921" s="21"/>
      <c r="N1921" s="21"/>
    </row>
    <row r="1922" spans="1:14" ht="15.75" customHeight="1" x14ac:dyDescent="0.25">
      <c r="A1922" s="7"/>
      <c r="B1922" s="345" t="s">
        <v>344</v>
      </c>
      <c r="C1922" s="344"/>
      <c r="D1922" s="344"/>
      <c r="E1922" s="334"/>
      <c r="F1922" s="107">
        <f>SUM(F1920:F1921)</f>
        <v>1212675</v>
      </c>
      <c r="G1922" s="25"/>
      <c r="H1922" s="11"/>
      <c r="I1922" s="21"/>
      <c r="J1922" s="21"/>
      <c r="K1922" s="21"/>
      <c r="L1922" s="21"/>
      <c r="M1922" s="21"/>
      <c r="N1922" s="21"/>
    </row>
    <row r="1923" spans="1:14" ht="15.75" customHeight="1" x14ac:dyDescent="0.25">
      <c r="A1923" s="21"/>
      <c r="B1923" s="21"/>
      <c r="C1923" s="11"/>
      <c r="D1923" s="11"/>
      <c r="E1923" s="21"/>
      <c r="F1923" s="21"/>
      <c r="G1923" s="25"/>
      <c r="H1923" s="11"/>
      <c r="I1923" s="21"/>
      <c r="J1923" s="21"/>
      <c r="K1923" s="21"/>
      <c r="L1923" s="21"/>
      <c r="M1923" s="21"/>
      <c r="N1923" s="21"/>
    </row>
    <row r="1924" spans="1:14" ht="15.75" customHeight="1" x14ac:dyDescent="0.25">
      <c r="A1924" s="31" t="s">
        <v>14</v>
      </c>
      <c r="B1924" s="31" t="s">
        <v>234</v>
      </c>
      <c r="C1924" s="31" t="s">
        <v>16</v>
      </c>
      <c r="D1924" s="31" t="s">
        <v>17</v>
      </c>
      <c r="E1924" s="31" t="s">
        <v>235</v>
      </c>
      <c r="F1924" s="31" t="s">
        <v>236</v>
      </c>
      <c r="G1924" s="25"/>
      <c r="H1924" s="11"/>
      <c r="I1924" s="21"/>
      <c r="J1924" s="21"/>
      <c r="K1924" s="21"/>
      <c r="L1924" s="21"/>
      <c r="M1924" s="21"/>
      <c r="N1924" s="21"/>
    </row>
    <row r="1925" spans="1:14" ht="15.75" customHeight="1" x14ac:dyDescent="0.25">
      <c r="A1925" s="10">
        <v>1</v>
      </c>
      <c r="B1925" s="124" t="s">
        <v>928</v>
      </c>
      <c r="C1925" s="7">
        <v>9</v>
      </c>
      <c r="D1925" s="7" t="s">
        <v>363</v>
      </c>
      <c r="E1925" s="104">
        <v>149910</v>
      </c>
      <c r="F1925" s="104">
        <f>E1925*C1925</f>
        <v>1349190</v>
      </c>
      <c r="G1925" s="25"/>
      <c r="H1925" s="11"/>
      <c r="I1925" s="21"/>
      <c r="J1925" s="21"/>
      <c r="K1925" s="21"/>
      <c r="L1925" s="21"/>
      <c r="M1925" s="21"/>
      <c r="N1925" s="21"/>
    </row>
    <row r="1926" spans="1:14" ht="15.75" customHeight="1" x14ac:dyDescent="0.25">
      <c r="A1926" s="7">
        <v>2</v>
      </c>
      <c r="B1926" s="120" t="s">
        <v>531</v>
      </c>
      <c r="C1926" s="7">
        <v>9</v>
      </c>
      <c r="D1926" s="7" t="s">
        <v>363</v>
      </c>
      <c r="E1926" s="104">
        <v>54625</v>
      </c>
      <c r="F1926" s="104">
        <f>E1926*C1926</f>
        <v>491625</v>
      </c>
      <c r="G1926" s="25"/>
      <c r="H1926" s="11"/>
      <c r="I1926" s="21"/>
      <c r="J1926" s="21"/>
      <c r="K1926" s="21"/>
      <c r="L1926" s="21"/>
      <c r="M1926" s="21"/>
      <c r="N1926" s="21"/>
    </row>
    <row r="1927" spans="1:14" ht="15.75" customHeight="1" x14ac:dyDescent="0.25">
      <c r="A1927" s="7">
        <v>3</v>
      </c>
      <c r="B1927" s="131" t="s">
        <v>785</v>
      </c>
      <c r="C1927" s="7">
        <v>9</v>
      </c>
      <c r="D1927" s="7" t="s">
        <v>363</v>
      </c>
      <c r="E1927" s="104">
        <v>8645</v>
      </c>
      <c r="F1927" s="104">
        <f>E1927*C1927</f>
        <v>77805</v>
      </c>
      <c r="G1927" s="25"/>
      <c r="H1927" s="11"/>
      <c r="I1927" s="21"/>
      <c r="J1927" s="21"/>
      <c r="K1927" s="21"/>
      <c r="L1927" s="21"/>
      <c r="M1927" s="21"/>
      <c r="N1927" s="21"/>
    </row>
    <row r="1928" spans="1:14" ht="15.75" customHeight="1" x14ac:dyDescent="0.25">
      <c r="A1928" s="7">
        <v>4</v>
      </c>
      <c r="B1928" s="35" t="s">
        <v>784</v>
      </c>
      <c r="C1928" s="7">
        <v>9</v>
      </c>
      <c r="D1928" s="7" t="s">
        <v>363</v>
      </c>
      <c r="E1928" s="104">
        <v>8645</v>
      </c>
      <c r="F1928" s="104">
        <f>E1928*C1928</f>
        <v>77805</v>
      </c>
      <c r="G1928" s="25"/>
      <c r="H1928" s="11"/>
      <c r="I1928" s="21"/>
      <c r="J1928" s="21"/>
      <c r="K1928" s="21"/>
      <c r="L1928" s="21"/>
      <c r="M1928" s="21"/>
      <c r="N1928" s="21"/>
    </row>
    <row r="1929" spans="1:14" ht="15.75" customHeight="1" x14ac:dyDescent="0.25">
      <c r="A1929" s="7">
        <v>5</v>
      </c>
      <c r="B1929" s="41" t="s">
        <v>929</v>
      </c>
      <c r="C1929" s="7">
        <v>9</v>
      </c>
      <c r="D1929" s="7" t="s">
        <v>363</v>
      </c>
      <c r="E1929" s="104">
        <v>116945</v>
      </c>
      <c r="F1929" s="104">
        <f>E1929*C1929</f>
        <v>1052505</v>
      </c>
      <c r="G1929" s="25"/>
      <c r="H1929" s="11"/>
      <c r="I1929" s="21"/>
      <c r="J1929" s="21"/>
      <c r="K1929" s="21"/>
      <c r="L1929" s="21"/>
      <c r="M1929" s="21"/>
      <c r="N1929" s="21"/>
    </row>
    <row r="1930" spans="1:14" ht="15.75" customHeight="1" x14ac:dyDescent="0.25">
      <c r="A1930" s="7"/>
      <c r="B1930" s="343" t="s">
        <v>342</v>
      </c>
      <c r="C1930" s="344"/>
      <c r="D1930" s="344"/>
      <c r="E1930" s="334"/>
      <c r="F1930" s="104">
        <f>SUM(F1925:F1929)</f>
        <v>3048930</v>
      </c>
      <c r="G1930" s="25"/>
      <c r="H1930" s="11"/>
      <c r="I1930" s="21"/>
      <c r="J1930" s="21"/>
      <c r="K1930" s="21"/>
      <c r="L1930" s="21"/>
      <c r="M1930" s="21"/>
      <c r="N1930" s="21"/>
    </row>
    <row r="1931" spans="1:14" ht="15.75" customHeight="1" x14ac:dyDescent="0.25">
      <c r="A1931" s="7"/>
      <c r="B1931" s="343" t="s">
        <v>343</v>
      </c>
      <c r="C1931" s="344"/>
      <c r="D1931" s="344"/>
      <c r="E1931" s="334"/>
      <c r="F1931" s="104">
        <v>335382</v>
      </c>
      <c r="G1931" s="25"/>
      <c r="H1931" s="11"/>
      <c r="I1931" s="21"/>
      <c r="J1931" s="21"/>
      <c r="K1931" s="21"/>
      <c r="L1931" s="21"/>
      <c r="M1931" s="21"/>
      <c r="N1931" s="21"/>
    </row>
    <row r="1932" spans="1:14" ht="15.75" customHeight="1" x14ac:dyDescent="0.25">
      <c r="A1932" s="7"/>
      <c r="B1932" s="345" t="s">
        <v>344</v>
      </c>
      <c r="C1932" s="344"/>
      <c r="D1932" s="344"/>
      <c r="E1932" s="334"/>
      <c r="F1932" s="107">
        <f>SUM(F1930:F1931)</f>
        <v>3384312</v>
      </c>
      <c r="G1932" s="25"/>
      <c r="H1932" s="11"/>
      <c r="I1932" s="21"/>
      <c r="J1932" s="21"/>
      <c r="K1932" s="21"/>
      <c r="L1932" s="21"/>
      <c r="M1932" s="21"/>
      <c r="N1932" s="21"/>
    </row>
    <row r="1933" spans="1:14" ht="15.75" customHeight="1" x14ac:dyDescent="0.25">
      <c r="A1933" s="21"/>
      <c r="B1933" s="21"/>
      <c r="C1933" s="11"/>
      <c r="D1933" s="11"/>
      <c r="E1933" s="21"/>
      <c r="F1933" s="21"/>
      <c r="G1933" s="25"/>
      <c r="H1933" s="11"/>
      <c r="I1933" s="21"/>
      <c r="J1933" s="21"/>
      <c r="K1933" s="21"/>
      <c r="L1933" s="21"/>
      <c r="M1933" s="21"/>
      <c r="N1933" s="21"/>
    </row>
    <row r="1934" spans="1:14" ht="15.75" customHeight="1" x14ac:dyDescent="0.25">
      <c r="A1934" s="31" t="s">
        <v>351</v>
      </c>
      <c r="B1934" s="31" t="s">
        <v>234</v>
      </c>
      <c r="C1934" s="31" t="s">
        <v>16</v>
      </c>
      <c r="D1934" s="31" t="s">
        <v>17</v>
      </c>
      <c r="E1934" s="31" t="s">
        <v>235</v>
      </c>
      <c r="F1934" s="31" t="s">
        <v>236</v>
      </c>
      <c r="G1934" s="25"/>
      <c r="H1934" s="11"/>
      <c r="I1934" s="21"/>
      <c r="J1934" s="21"/>
      <c r="K1934" s="21"/>
      <c r="L1934" s="21"/>
      <c r="M1934" s="21"/>
      <c r="N1934" s="21"/>
    </row>
    <row r="1935" spans="1:14" ht="15.75" customHeight="1" x14ac:dyDescent="0.25">
      <c r="A1935" s="7">
        <v>1</v>
      </c>
      <c r="B1935" s="41" t="s">
        <v>930</v>
      </c>
      <c r="C1935" s="7">
        <v>10</v>
      </c>
      <c r="D1935" s="7" t="s">
        <v>19</v>
      </c>
      <c r="E1935" s="104">
        <v>465000</v>
      </c>
      <c r="F1935" s="104">
        <f>E1935*C1935</f>
        <v>4650000</v>
      </c>
      <c r="G1935" s="25"/>
      <c r="H1935" s="11"/>
      <c r="I1935" s="21"/>
      <c r="J1935" s="21"/>
      <c r="K1935" s="21"/>
      <c r="L1935" s="21"/>
      <c r="M1935" s="21"/>
      <c r="N1935" s="21"/>
    </row>
    <row r="1936" spans="1:14" ht="15.75" customHeight="1" x14ac:dyDescent="0.25">
      <c r="A1936" s="7">
        <v>2</v>
      </c>
      <c r="B1936" s="41" t="s">
        <v>931</v>
      </c>
      <c r="C1936" s="7">
        <v>8</v>
      </c>
      <c r="D1936" s="7" t="s">
        <v>19</v>
      </c>
      <c r="E1936" s="104">
        <v>790500</v>
      </c>
      <c r="F1936" s="104">
        <f>E1936*C1936</f>
        <v>6324000</v>
      </c>
      <c r="G1936" s="25"/>
      <c r="H1936" s="11"/>
      <c r="I1936" s="21"/>
      <c r="J1936" s="21"/>
      <c r="K1936" s="21"/>
      <c r="L1936" s="21"/>
      <c r="M1936" s="21"/>
      <c r="N1936" s="21"/>
    </row>
    <row r="1937" spans="1:14" ht="15.75" customHeight="1" x14ac:dyDescent="0.25">
      <c r="A1937" s="7"/>
      <c r="B1937" s="343" t="s">
        <v>342</v>
      </c>
      <c r="C1937" s="344"/>
      <c r="D1937" s="344"/>
      <c r="E1937" s="334"/>
      <c r="F1937" s="104">
        <f>SUM(F1935:F1936)</f>
        <v>10974000</v>
      </c>
      <c r="G1937" s="25"/>
      <c r="H1937" s="11"/>
      <c r="I1937" s="21"/>
      <c r="J1937" s="21"/>
      <c r="K1937" s="21"/>
      <c r="L1937" s="21"/>
      <c r="M1937" s="21"/>
      <c r="N1937" s="21"/>
    </row>
    <row r="1938" spans="1:14" ht="15.75" customHeight="1" x14ac:dyDescent="0.25">
      <c r="A1938" s="7"/>
      <c r="B1938" s="343" t="s">
        <v>343</v>
      </c>
      <c r="C1938" s="344"/>
      <c r="D1938" s="344"/>
      <c r="E1938" s="334"/>
      <c r="F1938" s="104">
        <v>1207140</v>
      </c>
      <c r="G1938" s="25"/>
      <c r="H1938" s="11"/>
      <c r="I1938" s="21"/>
      <c r="J1938" s="21"/>
      <c r="K1938" s="21"/>
      <c r="L1938" s="21"/>
      <c r="M1938" s="21"/>
      <c r="N1938" s="21"/>
    </row>
    <row r="1939" spans="1:14" ht="15.75" customHeight="1" x14ac:dyDescent="0.25">
      <c r="A1939" s="7"/>
      <c r="B1939" s="345" t="s">
        <v>344</v>
      </c>
      <c r="C1939" s="344"/>
      <c r="D1939" s="344"/>
      <c r="E1939" s="334"/>
      <c r="F1939" s="107">
        <f>SUM(F1937:F1938)</f>
        <v>12181140</v>
      </c>
      <c r="G1939" s="25"/>
      <c r="H1939" s="11"/>
      <c r="I1939" s="21"/>
      <c r="J1939" s="21"/>
      <c r="K1939" s="21"/>
      <c r="L1939" s="21"/>
      <c r="M1939" s="21"/>
      <c r="N1939" s="21"/>
    </row>
    <row r="1940" spans="1:14" ht="15.75" customHeight="1" x14ac:dyDescent="0.25">
      <c r="A1940" s="21"/>
      <c r="B1940" s="21"/>
      <c r="C1940" s="11"/>
      <c r="D1940" s="11"/>
      <c r="E1940" s="21"/>
      <c r="F1940" s="21"/>
      <c r="G1940" s="25"/>
      <c r="H1940" s="11"/>
      <c r="I1940" s="21"/>
      <c r="J1940" s="21"/>
      <c r="K1940" s="21"/>
      <c r="L1940" s="21"/>
      <c r="M1940" s="21"/>
      <c r="N1940" s="21"/>
    </row>
    <row r="1941" spans="1:14" ht="15.75" customHeight="1" x14ac:dyDescent="0.25">
      <c r="A1941" s="31" t="s">
        <v>14</v>
      </c>
      <c r="B1941" s="31" t="s">
        <v>234</v>
      </c>
      <c r="C1941" s="31" t="s">
        <v>16</v>
      </c>
      <c r="D1941" s="31" t="s">
        <v>17</v>
      </c>
      <c r="E1941" s="31" t="s">
        <v>235</v>
      </c>
      <c r="F1941" s="31" t="s">
        <v>236</v>
      </c>
      <c r="G1941" s="25"/>
      <c r="H1941" s="11"/>
      <c r="I1941" s="21"/>
      <c r="J1941" s="21"/>
      <c r="K1941" s="21"/>
      <c r="L1941" s="21"/>
      <c r="M1941" s="21"/>
      <c r="N1941" s="21"/>
    </row>
    <row r="1942" spans="1:14" ht="15.75" customHeight="1" x14ac:dyDescent="0.25">
      <c r="A1942" s="7">
        <v>1</v>
      </c>
      <c r="B1942" s="124" t="s">
        <v>932</v>
      </c>
      <c r="C1942" s="129">
        <v>2</v>
      </c>
      <c r="D1942" s="7" t="s">
        <v>19</v>
      </c>
      <c r="E1942" s="130">
        <v>135000</v>
      </c>
      <c r="F1942" s="130">
        <f>E1942*C1942</f>
        <v>270000</v>
      </c>
      <c r="G1942" s="25"/>
      <c r="H1942" s="11"/>
      <c r="I1942" s="21"/>
      <c r="J1942" s="21"/>
      <c r="K1942" s="21"/>
      <c r="L1942" s="21"/>
      <c r="M1942" s="21"/>
      <c r="N1942" s="21"/>
    </row>
    <row r="1943" spans="1:14" ht="15.75" customHeight="1" x14ac:dyDescent="0.25">
      <c r="A1943" s="7">
        <v>2</v>
      </c>
      <c r="B1943" s="120" t="s">
        <v>933</v>
      </c>
      <c r="C1943" s="129">
        <v>1</v>
      </c>
      <c r="D1943" s="7" t="s">
        <v>19</v>
      </c>
      <c r="E1943" s="130">
        <v>140000</v>
      </c>
      <c r="F1943" s="130">
        <f>E1943*C1943</f>
        <v>140000</v>
      </c>
      <c r="G1943" s="25"/>
      <c r="H1943" s="11"/>
      <c r="I1943" s="21"/>
      <c r="J1943" s="21"/>
      <c r="K1943" s="21"/>
      <c r="L1943" s="21"/>
      <c r="M1943" s="21"/>
      <c r="N1943" s="21"/>
    </row>
    <row r="1944" spans="1:14" ht="15.75" customHeight="1" x14ac:dyDescent="0.25">
      <c r="A1944" s="7">
        <v>3</v>
      </c>
      <c r="B1944" s="131" t="s">
        <v>934</v>
      </c>
      <c r="C1944" s="129">
        <v>1</v>
      </c>
      <c r="D1944" s="7" t="s">
        <v>19</v>
      </c>
      <c r="E1944" s="130">
        <v>255500</v>
      </c>
      <c r="F1944" s="130">
        <f>E1944*C1944</f>
        <v>255500</v>
      </c>
      <c r="G1944" s="25"/>
      <c r="H1944" s="11"/>
      <c r="I1944" s="21"/>
      <c r="J1944" s="21"/>
      <c r="K1944" s="21"/>
      <c r="L1944" s="21"/>
      <c r="M1944" s="21"/>
      <c r="N1944" s="21"/>
    </row>
    <row r="1945" spans="1:14" ht="15.75" customHeight="1" x14ac:dyDescent="0.25">
      <c r="A1945" s="7"/>
      <c r="B1945" s="343" t="s">
        <v>342</v>
      </c>
      <c r="C1945" s="344"/>
      <c r="D1945" s="344"/>
      <c r="E1945" s="334"/>
      <c r="F1945" s="104">
        <f>SUM(F1942:F1944)</f>
        <v>665500</v>
      </c>
      <c r="G1945" s="25"/>
      <c r="H1945" s="11"/>
      <c r="I1945" s="21"/>
      <c r="J1945" s="21"/>
      <c r="K1945" s="21"/>
      <c r="L1945" s="21"/>
      <c r="M1945" s="21"/>
      <c r="N1945" s="21"/>
    </row>
    <row r="1946" spans="1:14" ht="15.75" customHeight="1" x14ac:dyDescent="0.25">
      <c r="A1946" s="7"/>
      <c r="B1946" s="343" t="s">
        <v>343</v>
      </c>
      <c r="C1946" s="344"/>
      <c r="D1946" s="344"/>
      <c r="E1946" s="334"/>
      <c r="F1946" s="104">
        <v>73205</v>
      </c>
      <c r="G1946" s="25"/>
      <c r="H1946" s="11"/>
      <c r="I1946" s="21"/>
      <c r="J1946" s="21"/>
      <c r="K1946" s="21"/>
      <c r="L1946" s="21"/>
      <c r="M1946" s="21"/>
      <c r="N1946" s="21"/>
    </row>
    <row r="1947" spans="1:14" ht="15.75" customHeight="1" x14ac:dyDescent="0.25">
      <c r="A1947" s="7"/>
      <c r="B1947" s="345" t="s">
        <v>344</v>
      </c>
      <c r="C1947" s="344"/>
      <c r="D1947" s="344"/>
      <c r="E1947" s="334"/>
      <c r="F1947" s="107">
        <f>SUM(F1945:F1946)</f>
        <v>738705</v>
      </c>
      <c r="G1947" s="25"/>
      <c r="H1947" s="11"/>
      <c r="I1947" s="21"/>
      <c r="J1947" s="21"/>
      <c r="K1947" s="21"/>
      <c r="L1947" s="21"/>
      <c r="M1947" s="21"/>
      <c r="N1947" s="21"/>
    </row>
    <row r="1948" spans="1:14" ht="15.75" customHeight="1" x14ac:dyDescent="0.25">
      <c r="A1948" s="21"/>
      <c r="B1948" s="21"/>
      <c r="C1948" s="11"/>
      <c r="D1948" s="11"/>
      <c r="E1948" s="21"/>
      <c r="F1948" s="21"/>
      <c r="G1948" s="25"/>
      <c r="H1948" s="11"/>
      <c r="I1948" s="21"/>
      <c r="J1948" s="21"/>
      <c r="K1948" s="21"/>
      <c r="L1948" s="21"/>
      <c r="M1948" s="21"/>
      <c r="N1948" s="21"/>
    </row>
    <row r="1949" spans="1:14" ht="15.75" customHeight="1" x14ac:dyDescent="0.25">
      <c r="A1949" s="31" t="s">
        <v>14</v>
      </c>
      <c r="B1949" s="31" t="s">
        <v>234</v>
      </c>
      <c r="C1949" s="31" t="s">
        <v>16</v>
      </c>
      <c r="D1949" s="31" t="s">
        <v>17</v>
      </c>
      <c r="E1949" s="31" t="s">
        <v>235</v>
      </c>
      <c r="F1949" s="31" t="s">
        <v>236</v>
      </c>
      <c r="G1949" s="25"/>
      <c r="H1949" s="11"/>
      <c r="I1949" s="21"/>
      <c r="J1949" s="21"/>
      <c r="K1949" s="21"/>
      <c r="L1949" s="21"/>
      <c r="M1949" s="21"/>
      <c r="N1949" s="21"/>
    </row>
    <row r="1950" spans="1:14" ht="15.75" customHeight="1" x14ac:dyDescent="0.25">
      <c r="A1950" s="7">
        <v>1</v>
      </c>
      <c r="B1950" s="120" t="s">
        <v>935</v>
      </c>
      <c r="C1950" s="7">
        <v>1</v>
      </c>
      <c r="D1950" s="7" t="s">
        <v>251</v>
      </c>
      <c r="E1950" s="104">
        <v>557750</v>
      </c>
      <c r="F1950" s="104">
        <f>E1950*C1950</f>
        <v>557750</v>
      </c>
      <c r="G1950" s="25"/>
      <c r="H1950" s="11"/>
      <c r="I1950" s="21"/>
      <c r="J1950" s="21"/>
      <c r="K1950" s="21"/>
      <c r="L1950" s="21"/>
      <c r="M1950" s="21"/>
      <c r="N1950" s="21"/>
    </row>
    <row r="1951" spans="1:14" ht="15.75" customHeight="1" x14ac:dyDescent="0.25">
      <c r="A1951" s="7"/>
      <c r="B1951" s="343" t="s">
        <v>342</v>
      </c>
      <c r="C1951" s="344"/>
      <c r="D1951" s="344"/>
      <c r="E1951" s="334"/>
      <c r="F1951" s="104">
        <f>F1950</f>
        <v>557750</v>
      </c>
      <c r="G1951" s="25"/>
      <c r="H1951" s="11"/>
      <c r="I1951" s="21"/>
      <c r="J1951" s="21"/>
      <c r="K1951" s="21"/>
      <c r="L1951" s="21"/>
      <c r="M1951" s="21"/>
      <c r="N1951" s="21"/>
    </row>
    <row r="1952" spans="1:14" ht="15.75" customHeight="1" x14ac:dyDescent="0.25">
      <c r="A1952" s="7"/>
      <c r="B1952" s="343" t="s">
        <v>343</v>
      </c>
      <c r="C1952" s="344"/>
      <c r="D1952" s="344"/>
      <c r="E1952" s="334"/>
      <c r="F1952" s="108">
        <v>61352.5</v>
      </c>
      <c r="G1952" s="25"/>
      <c r="H1952" s="11"/>
      <c r="I1952" s="21"/>
      <c r="J1952" s="21"/>
      <c r="K1952" s="21"/>
      <c r="L1952" s="21"/>
      <c r="M1952" s="21"/>
      <c r="N1952" s="21"/>
    </row>
    <row r="1953" spans="1:14" ht="15.75" customHeight="1" x14ac:dyDescent="0.25">
      <c r="A1953" s="7"/>
      <c r="B1953" s="345" t="s">
        <v>344</v>
      </c>
      <c r="C1953" s="344"/>
      <c r="D1953" s="344"/>
      <c r="E1953" s="334"/>
      <c r="F1953" s="109">
        <f>SUM(F1951:F1952)</f>
        <v>619102.5</v>
      </c>
      <c r="G1953" s="25"/>
      <c r="H1953" s="11"/>
      <c r="I1953" s="21"/>
      <c r="J1953" s="21"/>
      <c r="K1953" s="21"/>
      <c r="L1953" s="21"/>
      <c r="M1953" s="21"/>
      <c r="N1953" s="21"/>
    </row>
    <row r="1954" spans="1:14" ht="15.75" customHeight="1" x14ac:dyDescent="0.25">
      <c r="A1954" s="21"/>
      <c r="B1954" s="21"/>
      <c r="C1954" s="11"/>
      <c r="D1954" s="11"/>
      <c r="E1954" s="21"/>
      <c r="F1954" s="21"/>
      <c r="G1954" s="25"/>
      <c r="H1954" s="11"/>
      <c r="I1954" s="21"/>
      <c r="J1954" s="21"/>
      <c r="K1954" s="21"/>
      <c r="L1954" s="21"/>
      <c r="M1954" s="21"/>
      <c r="N1954" s="21"/>
    </row>
    <row r="1955" spans="1:14" ht="15.75" customHeight="1" x14ac:dyDescent="0.25">
      <c r="A1955" s="31" t="s">
        <v>14</v>
      </c>
      <c r="B1955" s="31" t="s">
        <v>234</v>
      </c>
      <c r="C1955" s="31" t="s">
        <v>16</v>
      </c>
      <c r="D1955" s="31" t="s">
        <v>17</v>
      </c>
      <c r="E1955" s="31" t="s">
        <v>235</v>
      </c>
      <c r="F1955" s="31" t="s">
        <v>236</v>
      </c>
      <c r="G1955" s="25"/>
      <c r="H1955" s="11"/>
      <c r="I1955" s="21"/>
      <c r="J1955" s="21"/>
      <c r="K1955" s="21"/>
      <c r="L1955" s="21"/>
      <c r="M1955" s="21"/>
      <c r="N1955" s="21"/>
    </row>
    <row r="1956" spans="1:14" ht="15.75" customHeight="1" x14ac:dyDescent="0.25">
      <c r="A1956" s="7">
        <v>1</v>
      </c>
      <c r="B1956" s="120" t="s">
        <v>936</v>
      </c>
      <c r="C1956" s="7">
        <v>2</v>
      </c>
      <c r="D1956" s="7" t="s">
        <v>19</v>
      </c>
      <c r="E1956" s="104">
        <v>5507460</v>
      </c>
      <c r="F1956" s="104">
        <f>E1956*C1956</f>
        <v>11014920</v>
      </c>
      <c r="G1956" s="25"/>
      <c r="H1956" s="11"/>
      <c r="I1956" s="21"/>
      <c r="J1956" s="21"/>
      <c r="K1956" s="21"/>
      <c r="L1956" s="21"/>
      <c r="M1956" s="21"/>
      <c r="N1956" s="21"/>
    </row>
    <row r="1957" spans="1:14" ht="15.75" customHeight="1" x14ac:dyDescent="0.25">
      <c r="A1957" s="7"/>
      <c r="B1957" s="343" t="s">
        <v>342</v>
      </c>
      <c r="C1957" s="344"/>
      <c r="D1957" s="344"/>
      <c r="E1957" s="334"/>
      <c r="F1957" s="104">
        <f>F1956</f>
        <v>11014920</v>
      </c>
      <c r="G1957" s="25"/>
      <c r="H1957" s="11"/>
      <c r="I1957" s="21"/>
      <c r="J1957" s="21"/>
      <c r="K1957" s="21"/>
      <c r="L1957" s="21"/>
      <c r="M1957" s="21"/>
      <c r="N1957" s="21"/>
    </row>
    <row r="1958" spans="1:14" ht="15.75" customHeight="1" x14ac:dyDescent="0.25">
      <c r="A1958" s="7"/>
      <c r="B1958" s="343" t="s">
        <v>343</v>
      </c>
      <c r="C1958" s="344"/>
      <c r="D1958" s="344"/>
      <c r="E1958" s="334"/>
      <c r="F1958" s="108">
        <v>1211641.2</v>
      </c>
      <c r="G1958" s="25"/>
      <c r="H1958" s="11"/>
      <c r="I1958" s="21"/>
      <c r="J1958" s="21"/>
      <c r="K1958" s="21"/>
      <c r="L1958" s="21"/>
      <c r="M1958" s="21"/>
      <c r="N1958" s="21"/>
    </row>
    <row r="1959" spans="1:14" ht="15.75" customHeight="1" x14ac:dyDescent="0.25">
      <c r="A1959" s="7"/>
      <c r="B1959" s="345" t="s">
        <v>344</v>
      </c>
      <c r="C1959" s="344"/>
      <c r="D1959" s="344"/>
      <c r="E1959" s="334"/>
      <c r="F1959" s="109">
        <f>SUM(F1957:F1958)</f>
        <v>12226561.199999999</v>
      </c>
      <c r="G1959" s="25"/>
      <c r="H1959" s="11"/>
      <c r="I1959" s="21"/>
      <c r="J1959" s="21"/>
      <c r="K1959" s="21"/>
      <c r="L1959" s="21"/>
      <c r="M1959" s="21"/>
      <c r="N1959" s="21"/>
    </row>
    <row r="1960" spans="1:14" ht="15.75" customHeight="1" x14ac:dyDescent="0.25">
      <c r="A1960" s="21"/>
      <c r="B1960" s="21"/>
      <c r="C1960" s="11"/>
      <c r="D1960" s="11"/>
      <c r="E1960" s="21"/>
      <c r="F1960" s="21"/>
      <c r="G1960" s="25"/>
      <c r="H1960" s="11"/>
      <c r="I1960" s="21"/>
      <c r="J1960" s="21"/>
      <c r="K1960" s="21"/>
      <c r="L1960" s="21"/>
      <c r="M1960" s="21"/>
      <c r="N1960" s="21"/>
    </row>
    <row r="1961" spans="1:14" ht="15.75" customHeight="1" x14ac:dyDescent="0.25">
      <c r="A1961" s="31" t="s">
        <v>14</v>
      </c>
      <c r="B1961" s="31" t="s">
        <v>234</v>
      </c>
      <c r="C1961" s="31" t="s">
        <v>16</v>
      </c>
      <c r="D1961" s="31" t="s">
        <v>17</v>
      </c>
      <c r="E1961" s="31" t="s">
        <v>235</v>
      </c>
      <c r="F1961" s="31" t="s">
        <v>236</v>
      </c>
      <c r="G1961" s="25"/>
      <c r="H1961" s="11"/>
      <c r="I1961" s="21"/>
      <c r="J1961" s="21"/>
      <c r="K1961" s="21"/>
      <c r="L1961" s="21"/>
      <c r="M1961" s="21"/>
      <c r="N1961" s="21"/>
    </row>
    <row r="1962" spans="1:14" ht="15.75" customHeight="1" x14ac:dyDescent="0.25">
      <c r="A1962" s="7">
        <v>1</v>
      </c>
      <c r="B1962" s="124" t="s">
        <v>937</v>
      </c>
      <c r="C1962" s="129">
        <v>20</v>
      </c>
      <c r="D1962" s="7" t="s">
        <v>19</v>
      </c>
      <c r="E1962" s="130">
        <v>97500</v>
      </c>
      <c r="F1962" s="130">
        <f>E1962*C1962</f>
        <v>1950000</v>
      </c>
      <c r="G1962" s="25"/>
      <c r="H1962" s="11"/>
      <c r="I1962" s="21"/>
      <c r="J1962" s="21"/>
      <c r="K1962" s="21"/>
      <c r="L1962" s="21"/>
      <c r="M1962" s="21"/>
      <c r="N1962" s="21"/>
    </row>
    <row r="1963" spans="1:14" ht="15.75" customHeight="1" x14ac:dyDescent="0.25">
      <c r="A1963" s="7">
        <v>2</v>
      </c>
      <c r="B1963" s="120" t="s">
        <v>938</v>
      </c>
      <c r="C1963" s="129">
        <v>4</v>
      </c>
      <c r="D1963" s="7" t="s">
        <v>19</v>
      </c>
      <c r="E1963" s="130">
        <v>97500</v>
      </c>
      <c r="F1963" s="130">
        <f>E1963*C1963</f>
        <v>390000</v>
      </c>
      <c r="G1963" s="25"/>
      <c r="H1963" s="11"/>
      <c r="I1963" s="21"/>
      <c r="J1963" s="21"/>
      <c r="K1963" s="21"/>
      <c r="L1963" s="21"/>
      <c r="M1963" s="21"/>
      <c r="N1963" s="21"/>
    </row>
    <row r="1964" spans="1:14" ht="15.75" customHeight="1" x14ac:dyDescent="0.25">
      <c r="A1964" s="7">
        <v>3</v>
      </c>
      <c r="B1964" s="131" t="s">
        <v>939</v>
      </c>
      <c r="C1964" s="129">
        <v>1</v>
      </c>
      <c r="D1964" s="7" t="s">
        <v>347</v>
      </c>
      <c r="E1964" s="130">
        <v>902500</v>
      </c>
      <c r="F1964" s="130">
        <f>E1964*C1964</f>
        <v>902500</v>
      </c>
      <c r="G1964" s="25"/>
      <c r="H1964" s="11"/>
      <c r="I1964" s="21"/>
      <c r="J1964" s="21"/>
      <c r="K1964" s="21"/>
      <c r="L1964" s="21"/>
      <c r="M1964" s="21"/>
      <c r="N1964" s="21"/>
    </row>
    <row r="1965" spans="1:14" ht="15.75" customHeight="1" x14ac:dyDescent="0.25">
      <c r="A1965" s="7"/>
      <c r="B1965" s="343" t="s">
        <v>342</v>
      </c>
      <c r="C1965" s="344"/>
      <c r="D1965" s="344"/>
      <c r="E1965" s="334"/>
      <c r="F1965" s="104">
        <f>SUM(F1962:F1964)</f>
        <v>3242500</v>
      </c>
      <c r="G1965" s="25"/>
      <c r="H1965" s="11"/>
      <c r="I1965" s="21"/>
      <c r="J1965" s="21"/>
      <c r="K1965" s="21"/>
      <c r="L1965" s="21"/>
      <c r="M1965" s="21"/>
      <c r="N1965" s="21"/>
    </row>
    <row r="1966" spans="1:14" ht="15.75" customHeight="1" x14ac:dyDescent="0.25">
      <c r="A1966" s="7"/>
      <c r="B1966" s="343" t="s">
        <v>343</v>
      </c>
      <c r="C1966" s="344"/>
      <c r="D1966" s="344"/>
      <c r="E1966" s="334"/>
      <c r="F1966" s="104">
        <v>356675</v>
      </c>
      <c r="G1966" s="25"/>
      <c r="H1966" s="11"/>
      <c r="I1966" s="21"/>
      <c r="J1966" s="21"/>
      <c r="K1966" s="21"/>
      <c r="L1966" s="21"/>
      <c r="M1966" s="21"/>
      <c r="N1966" s="21"/>
    </row>
    <row r="1967" spans="1:14" ht="15.75" customHeight="1" x14ac:dyDescent="0.25">
      <c r="A1967" s="7"/>
      <c r="B1967" s="345" t="s">
        <v>344</v>
      </c>
      <c r="C1967" s="344"/>
      <c r="D1967" s="344"/>
      <c r="E1967" s="334"/>
      <c r="F1967" s="107">
        <f>SUM(F1965:F1966)</f>
        <v>3599175</v>
      </c>
      <c r="G1967" s="25"/>
      <c r="H1967" s="11"/>
      <c r="I1967" s="21"/>
      <c r="J1967" s="21"/>
      <c r="K1967" s="21"/>
      <c r="L1967" s="21"/>
      <c r="M1967" s="21"/>
      <c r="N1967" s="21"/>
    </row>
    <row r="1968" spans="1:14" ht="15.75" customHeight="1" x14ac:dyDescent="0.25">
      <c r="A1968" s="21"/>
      <c r="B1968" s="21"/>
      <c r="C1968" s="11"/>
      <c r="D1968" s="11"/>
      <c r="E1968" s="21"/>
      <c r="F1968" s="21"/>
      <c r="G1968" s="25"/>
      <c r="H1968" s="11"/>
      <c r="I1968" s="21"/>
      <c r="J1968" s="21"/>
      <c r="K1968" s="21"/>
      <c r="L1968" s="21"/>
      <c r="M1968" s="21"/>
      <c r="N1968" s="21"/>
    </row>
    <row r="1969" spans="1:14" ht="15.75" customHeight="1" x14ac:dyDescent="0.25">
      <c r="A1969" s="31" t="s">
        <v>14</v>
      </c>
      <c r="B1969" s="31" t="s">
        <v>234</v>
      </c>
      <c r="C1969" s="31" t="s">
        <v>16</v>
      </c>
      <c r="D1969" s="31" t="s">
        <v>17</v>
      </c>
      <c r="E1969" s="31" t="s">
        <v>235</v>
      </c>
      <c r="F1969" s="31" t="s">
        <v>236</v>
      </c>
      <c r="G1969" s="25"/>
      <c r="H1969" s="11"/>
      <c r="I1969" s="21"/>
      <c r="J1969" s="21"/>
      <c r="K1969" s="21"/>
      <c r="L1969" s="21"/>
      <c r="M1969" s="21"/>
      <c r="N1969" s="21"/>
    </row>
    <row r="1970" spans="1:14" ht="15.75" customHeight="1" x14ac:dyDescent="0.25">
      <c r="A1970" s="10">
        <v>1</v>
      </c>
      <c r="B1970" s="124" t="s">
        <v>940</v>
      </c>
      <c r="C1970" s="7">
        <v>3</v>
      </c>
      <c r="D1970" s="7" t="s">
        <v>363</v>
      </c>
      <c r="E1970" s="104">
        <v>97500</v>
      </c>
      <c r="F1970" s="104">
        <f>E1970*C1970</f>
        <v>292500</v>
      </c>
      <c r="G1970" s="25"/>
      <c r="H1970" s="11"/>
      <c r="I1970" s="21"/>
      <c r="J1970" s="21"/>
      <c r="K1970" s="21"/>
      <c r="L1970" s="21"/>
      <c r="M1970" s="21"/>
      <c r="N1970" s="21"/>
    </row>
    <row r="1971" spans="1:14" ht="15.75" customHeight="1" x14ac:dyDescent="0.25">
      <c r="A1971" s="7">
        <v>2</v>
      </c>
      <c r="B1971" s="120" t="s">
        <v>941</v>
      </c>
      <c r="C1971" s="7">
        <v>1</v>
      </c>
      <c r="D1971" s="7" t="s">
        <v>363</v>
      </c>
      <c r="E1971" s="104">
        <v>3634000</v>
      </c>
      <c r="F1971" s="104">
        <f>E1971*C1971</f>
        <v>3634000</v>
      </c>
      <c r="G1971" s="25"/>
      <c r="H1971" s="11"/>
      <c r="I1971" s="21"/>
      <c r="J1971" s="21"/>
      <c r="K1971" s="21"/>
      <c r="L1971" s="21"/>
      <c r="M1971" s="21"/>
      <c r="N1971" s="21"/>
    </row>
    <row r="1972" spans="1:14" ht="15.75" customHeight="1" x14ac:dyDescent="0.25">
      <c r="A1972" s="7">
        <v>3</v>
      </c>
      <c r="B1972" s="131" t="s">
        <v>942</v>
      </c>
      <c r="C1972" s="7">
        <v>3</v>
      </c>
      <c r="D1972" s="7" t="s">
        <v>363</v>
      </c>
      <c r="E1972" s="104">
        <v>97500</v>
      </c>
      <c r="F1972" s="104">
        <f>E1972*C1972</f>
        <v>292500</v>
      </c>
      <c r="G1972" s="25"/>
      <c r="H1972" s="11"/>
      <c r="I1972" s="21"/>
      <c r="J1972" s="21"/>
      <c r="K1972" s="21"/>
      <c r="L1972" s="21"/>
      <c r="M1972" s="21"/>
      <c r="N1972" s="21"/>
    </row>
    <row r="1973" spans="1:14" ht="29.25" customHeight="1" x14ac:dyDescent="0.25">
      <c r="A1973" s="7">
        <v>4</v>
      </c>
      <c r="B1973" s="61" t="s">
        <v>943</v>
      </c>
      <c r="C1973" s="7">
        <v>3</v>
      </c>
      <c r="D1973" s="7" t="s">
        <v>363</v>
      </c>
      <c r="E1973" s="104">
        <v>97500</v>
      </c>
      <c r="F1973" s="104">
        <f>E1973*C1973</f>
        <v>292500</v>
      </c>
      <c r="G1973" s="25"/>
      <c r="H1973" s="11"/>
      <c r="I1973" s="21"/>
      <c r="J1973" s="21"/>
      <c r="K1973" s="21"/>
      <c r="L1973" s="21"/>
      <c r="M1973" s="21"/>
      <c r="N1973" s="21"/>
    </row>
    <row r="1974" spans="1:14" ht="15.75" customHeight="1" x14ac:dyDescent="0.25">
      <c r="A1974" s="7">
        <v>5</v>
      </c>
      <c r="B1974" s="41" t="s">
        <v>944</v>
      </c>
      <c r="C1974" s="7">
        <v>3</v>
      </c>
      <c r="D1974" s="7" t="s">
        <v>363</v>
      </c>
      <c r="E1974" s="104">
        <v>97500</v>
      </c>
      <c r="F1974" s="104">
        <f>E1974*C1974</f>
        <v>292500</v>
      </c>
      <c r="G1974" s="25"/>
      <c r="H1974" s="11"/>
      <c r="I1974" s="21"/>
      <c r="J1974" s="21"/>
      <c r="K1974" s="21"/>
      <c r="L1974" s="21"/>
      <c r="M1974" s="21"/>
      <c r="N1974" s="21"/>
    </row>
    <row r="1975" spans="1:14" ht="15.75" customHeight="1" x14ac:dyDescent="0.25">
      <c r="A1975" s="7"/>
      <c r="B1975" s="343" t="s">
        <v>342</v>
      </c>
      <c r="C1975" s="344"/>
      <c r="D1975" s="344"/>
      <c r="E1975" s="334"/>
      <c r="F1975" s="104">
        <f>SUM(F1970:F1974)</f>
        <v>4804000</v>
      </c>
      <c r="G1975" s="25"/>
      <c r="H1975" s="11"/>
      <c r="I1975" s="21"/>
      <c r="J1975" s="21"/>
      <c r="K1975" s="21"/>
      <c r="L1975" s="21"/>
      <c r="M1975" s="21"/>
      <c r="N1975" s="21"/>
    </row>
    <row r="1976" spans="1:14" ht="15.75" customHeight="1" x14ac:dyDescent="0.25">
      <c r="A1976" s="7"/>
      <c r="B1976" s="343" t="s">
        <v>343</v>
      </c>
      <c r="C1976" s="344"/>
      <c r="D1976" s="344"/>
      <c r="E1976" s="334"/>
      <c r="F1976" s="104">
        <v>528440</v>
      </c>
      <c r="G1976" s="25"/>
      <c r="H1976" s="11"/>
      <c r="I1976" s="21"/>
      <c r="J1976" s="21"/>
      <c r="K1976" s="21"/>
      <c r="L1976" s="21"/>
      <c r="M1976" s="21"/>
      <c r="N1976" s="21"/>
    </row>
    <row r="1977" spans="1:14" ht="15.75" customHeight="1" x14ac:dyDescent="0.25">
      <c r="A1977" s="7"/>
      <c r="B1977" s="345" t="s">
        <v>344</v>
      </c>
      <c r="C1977" s="344"/>
      <c r="D1977" s="344"/>
      <c r="E1977" s="334"/>
      <c r="F1977" s="107">
        <f>SUM(F1975:F1976)</f>
        <v>5332440</v>
      </c>
      <c r="G1977" s="25"/>
      <c r="H1977" s="11"/>
      <c r="I1977" s="21"/>
      <c r="J1977" s="21"/>
      <c r="K1977" s="21"/>
      <c r="L1977" s="21"/>
      <c r="M1977" s="21"/>
      <c r="N1977" s="21"/>
    </row>
    <row r="1978" spans="1:14" ht="15.75" customHeight="1" x14ac:dyDescent="0.25">
      <c r="A1978" s="21"/>
      <c r="B1978" s="21"/>
      <c r="C1978" s="11"/>
      <c r="D1978" s="11"/>
      <c r="E1978" s="21"/>
      <c r="F1978" s="21"/>
      <c r="G1978" s="25"/>
      <c r="H1978" s="11"/>
      <c r="I1978" s="21"/>
      <c r="J1978" s="21"/>
      <c r="K1978" s="21"/>
      <c r="L1978" s="21"/>
      <c r="M1978" s="21"/>
      <c r="N1978" s="21"/>
    </row>
    <row r="1979" spans="1:14" ht="15.75" customHeight="1" x14ac:dyDescent="0.25">
      <c r="A1979" s="31" t="s">
        <v>351</v>
      </c>
      <c r="B1979" s="31" t="s">
        <v>234</v>
      </c>
      <c r="C1979" s="31" t="s">
        <v>16</v>
      </c>
      <c r="D1979" s="31" t="s">
        <v>17</v>
      </c>
      <c r="E1979" s="31" t="s">
        <v>235</v>
      </c>
      <c r="F1979" s="31" t="s">
        <v>236</v>
      </c>
      <c r="G1979" s="25"/>
      <c r="H1979" s="11"/>
      <c r="I1979" s="21"/>
      <c r="J1979" s="21"/>
      <c r="K1979" s="21"/>
      <c r="L1979" s="21"/>
      <c r="M1979" s="21"/>
      <c r="N1979" s="21"/>
    </row>
    <row r="1980" spans="1:14" ht="15.75" customHeight="1" x14ac:dyDescent="0.25">
      <c r="A1980" s="7">
        <v>1</v>
      </c>
      <c r="B1980" s="41" t="s">
        <v>945</v>
      </c>
      <c r="C1980" s="7">
        <v>4</v>
      </c>
      <c r="D1980" s="7" t="s">
        <v>19</v>
      </c>
      <c r="E1980" s="104">
        <v>372000</v>
      </c>
      <c r="F1980" s="104">
        <f>E1980*C1980</f>
        <v>1488000</v>
      </c>
      <c r="G1980" s="25"/>
      <c r="H1980" s="11"/>
      <c r="I1980" s="21"/>
      <c r="J1980" s="21"/>
      <c r="K1980" s="21"/>
      <c r="L1980" s="21"/>
      <c r="M1980" s="21"/>
      <c r="N1980" s="21"/>
    </row>
    <row r="1981" spans="1:14" ht="15.75" customHeight="1" x14ac:dyDescent="0.25">
      <c r="A1981" s="7">
        <v>2</v>
      </c>
      <c r="B1981" s="41" t="s">
        <v>946</v>
      </c>
      <c r="C1981" s="7">
        <v>4</v>
      </c>
      <c r="D1981" s="7" t="s">
        <v>19</v>
      </c>
      <c r="E1981" s="104">
        <v>686340</v>
      </c>
      <c r="F1981" s="104">
        <f>E1981*C1981</f>
        <v>2745360</v>
      </c>
      <c r="G1981" s="25"/>
      <c r="H1981" s="11"/>
      <c r="I1981" s="21"/>
      <c r="J1981" s="21"/>
      <c r="K1981" s="21"/>
      <c r="L1981" s="21"/>
      <c r="M1981" s="21"/>
      <c r="N1981" s="21"/>
    </row>
    <row r="1982" spans="1:14" ht="15.75" customHeight="1" x14ac:dyDescent="0.25">
      <c r="A1982" s="7"/>
      <c r="B1982" s="343" t="s">
        <v>342</v>
      </c>
      <c r="C1982" s="344"/>
      <c r="D1982" s="344"/>
      <c r="E1982" s="334"/>
      <c r="F1982" s="104">
        <f>SUM(F1980:F1981)</f>
        <v>4233360</v>
      </c>
      <c r="G1982" s="25"/>
      <c r="H1982" s="11"/>
      <c r="I1982" s="21"/>
      <c r="J1982" s="21"/>
      <c r="K1982" s="21"/>
      <c r="L1982" s="21"/>
      <c r="M1982" s="21"/>
      <c r="N1982" s="21"/>
    </row>
    <row r="1983" spans="1:14" ht="15.75" customHeight="1" x14ac:dyDescent="0.25">
      <c r="A1983" s="7"/>
      <c r="B1983" s="343" t="s">
        <v>343</v>
      </c>
      <c r="C1983" s="344"/>
      <c r="D1983" s="344"/>
      <c r="E1983" s="334"/>
      <c r="F1983" s="108">
        <v>465669.6</v>
      </c>
      <c r="G1983" s="25"/>
      <c r="H1983" s="11"/>
      <c r="I1983" s="21"/>
      <c r="J1983" s="21"/>
      <c r="K1983" s="21"/>
      <c r="L1983" s="21"/>
      <c r="M1983" s="21"/>
      <c r="N1983" s="21"/>
    </row>
    <row r="1984" spans="1:14" ht="15.75" customHeight="1" x14ac:dyDescent="0.25">
      <c r="A1984" s="7"/>
      <c r="B1984" s="345" t="s">
        <v>344</v>
      </c>
      <c r="C1984" s="344"/>
      <c r="D1984" s="344"/>
      <c r="E1984" s="334"/>
      <c r="F1984" s="109">
        <f>SUM(F1982:F1983)</f>
        <v>4699029.5999999996</v>
      </c>
      <c r="G1984" s="25"/>
      <c r="H1984" s="11"/>
      <c r="I1984" s="21"/>
      <c r="J1984" s="21"/>
      <c r="K1984" s="21"/>
      <c r="L1984" s="21"/>
      <c r="M1984" s="21"/>
      <c r="N1984" s="21"/>
    </row>
    <row r="1985" spans="1:14" ht="15.75" customHeight="1" x14ac:dyDescent="0.25">
      <c r="A1985" s="21"/>
      <c r="B1985" s="21"/>
      <c r="C1985" s="11"/>
      <c r="D1985" s="11"/>
      <c r="E1985" s="21"/>
      <c r="F1985" s="21"/>
      <c r="G1985" s="25"/>
      <c r="H1985" s="11"/>
      <c r="I1985" s="21"/>
      <c r="J1985" s="21"/>
      <c r="K1985" s="21"/>
      <c r="L1985" s="21"/>
      <c r="M1985" s="21"/>
      <c r="N1985" s="21"/>
    </row>
    <row r="1986" spans="1:14" ht="15.75" customHeight="1" x14ac:dyDescent="0.25">
      <c r="A1986" s="31" t="s">
        <v>14</v>
      </c>
      <c r="B1986" s="31" t="s">
        <v>234</v>
      </c>
      <c r="C1986" s="31" t="s">
        <v>16</v>
      </c>
      <c r="D1986" s="31" t="s">
        <v>17</v>
      </c>
      <c r="E1986" s="31" t="s">
        <v>235</v>
      </c>
      <c r="F1986" s="31" t="s">
        <v>236</v>
      </c>
      <c r="G1986" s="25"/>
      <c r="H1986" s="11"/>
      <c r="I1986" s="21"/>
      <c r="J1986" s="21"/>
      <c r="K1986" s="21"/>
      <c r="L1986" s="21"/>
      <c r="M1986" s="21"/>
      <c r="N1986" s="21"/>
    </row>
    <row r="1987" spans="1:14" ht="15.75" customHeight="1" x14ac:dyDescent="0.25">
      <c r="A1987" s="10">
        <v>1</v>
      </c>
      <c r="B1987" s="38" t="s">
        <v>947</v>
      </c>
      <c r="C1987" s="7">
        <v>4</v>
      </c>
      <c r="D1987" s="7" t="s">
        <v>363</v>
      </c>
      <c r="E1987" s="104">
        <v>1495000</v>
      </c>
      <c r="F1987" s="104">
        <f t="shared" ref="F1987:F2028" si="15">E1987*C1987</f>
        <v>5980000</v>
      </c>
      <c r="G1987" s="25"/>
      <c r="H1987" s="11"/>
      <c r="I1987" s="21"/>
      <c r="J1987" s="21"/>
      <c r="K1987" s="21"/>
      <c r="L1987" s="21"/>
      <c r="M1987" s="21"/>
      <c r="N1987" s="21"/>
    </row>
    <row r="1988" spans="1:14" ht="15.75" customHeight="1" x14ac:dyDescent="0.25">
      <c r="A1988" s="7">
        <v>2</v>
      </c>
      <c r="B1988" s="124" t="s">
        <v>948</v>
      </c>
      <c r="C1988" s="7">
        <v>24</v>
      </c>
      <c r="D1988" s="7" t="s">
        <v>363</v>
      </c>
      <c r="E1988" s="104">
        <v>214500</v>
      </c>
      <c r="F1988" s="104">
        <f t="shared" si="15"/>
        <v>5148000</v>
      </c>
      <c r="G1988" s="25"/>
      <c r="H1988" s="11"/>
      <c r="I1988" s="21"/>
      <c r="J1988" s="21"/>
      <c r="K1988" s="21"/>
      <c r="L1988" s="21"/>
      <c r="M1988" s="21"/>
      <c r="N1988" s="21"/>
    </row>
    <row r="1989" spans="1:14" ht="15.75" customHeight="1" x14ac:dyDescent="0.25">
      <c r="A1989" s="7">
        <v>3</v>
      </c>
      <c r="B1989" s="122" t="s">
        <v>949</v>
      </c>
      <c r="C1989" s="7">
        <v>4</v>
      </c>
      <c r="D1989" s="7" t="s">
        <v>363</v>
      </c>
      <c r="E1989" s="104">
        <v>430800</v>
      </c>
      <c r="F1989" s="104">
        <f t="shared" si="15"/>
        <v>1723200</v>
      </c>
      <c r="G1989" s="25"/>
      <c r="H1989" s="11"/>
      <c r="I1989" s="21"/>
      <c r="J1989" s="21"/>
      <c r="K1989" s="21"/>
      <c r="L1989" s="21"/>
      <c r="M1989" s="21"/>
      <c r="N1989" s="21"/>
    </row>
    <row r="1990" spans="1:14" ht="15.75" customHeight="1" x14ac:dyDescent="0.25">
      <c r="A1990" s="7">
        <v>4</v>
      </c>
      <c r="B1990" s="35" t="s">
        <v>950</v>
      </c>
      <c r="C1990" s="7">
        <v>4</v>
      </c>
      <c r="D1990" s="7" t="s">
        <v>363</v>
      </c>
      <c r="E1990" s="104">
        <v>178000</v>
      </c>
      <c r="F1990" s="104">
        <f t="shared" si="15"/>
        <v>712000</v>
      </c>
      <c r="G1990" s="25"/>
      <c r="H1990" s="11"/>
      <c r="I1990" s="21"/>
      <c r="J1990" s="21"/>
      <c r="K1990" s="21"/>
      <c r="L1990" s="21"/>
      <c r="M1990" s="21"/>
      <c r="N1990" s="21"/>
    </row>
    <row r="1991" spans="1:14" ht="15.75" customHeight="1" x14ac:dyDescent="0.25">
      <c r="A1991" s="7">
        <v>5</v>
      </c>
      <c r="B1991" s="35" t="s">
        <v>951</v>
      </c>
      <c r="C1991" s="7">
        <v>8</v>
      </c>
      <c r="D1991" s="7" t="s">
        <v>363</v>
      </c>
      <c r="E1991" s="104">
        <v>682500</v>
      </c>
      <c r="F1991" s="104">
        <f t="shared" si="15"/>
        <v>5460000</v>
      </c>
      <c r="G1991" s="25"/>
      <c r="H1991" s="11"/>
      <c r="I1991" s="21"/>
      <c r="J1991" s="21"/>
      <c r="K1991" s="21"/>
      <c r="L1991" s="21"/>
      <c r="M1991" s="21"/>
      <c r="N1991" s="21"/>
    </row>
    <row r="1992" spans="1:14" ht="15.75" customHeight="1" x14ac:dyDescent="0.25">
      <c r="A1992" s="7">
        <v>6</v>
      </c>
      <c r="B1992" s="35" t="s">
        <v>952</v>
      </c>
      <c r="C1992" s="7">
        <v>4</v>
      </c>
      <c r="D1992" s="7" t="s">
        <v>363</v>
      </c>
      <c r="E1992" s="104">
        <v>665000</v>
      </c>
      <c r="F1992" s="104">
        <f t="shared" si="15"/>
        <v>2660000</v>
      </c>
      <c r="G1992" s="25"/>
      <c r="H1992" s="11"/>
      <c r="I1992" s="21"/>
      <c r="J1992" s="21"/>
      <c r="K1992" s="21"/>
      <c r="L1992" s="21"/>
      <c r="M1992" s="21"/>
      <c r="N1992" s="21"/>
    </row>
    <row r="1993" spans="1:14" ht="15.75" customHeight="1" x14ac:dyDescent="0.25">
      <c r="A1993" s="7">
        <v>7</v>
      </c>
      <c r="B1993" s="35" t="s">
        <v>953</v>
      </c>
      <c r="C1993" s="7">
        <v>24</v>
      </c>
      <c r="D1993" s="7" t="s">
        <v>363</v>
      </c>
      <c r="E1993" s="104">
        <v>468000</v>
      </c>
      <c r="F1993" s="104">
        <f t="shared" si="15"/>
        <v>11232000</v>
      </c>
      <c r="G1993" s="25"/>
      <c r="H1993" s="11"/>
      <c r="I1993" s="21"/>
      <c r="J1993" s="21"/>
      <c r="K1993" s="21"/>
      <c r="L1993" s="21"/>
      <c r="M1993" s="21"/>
      <c r="N1993" s="21"/>
    </row>
    <row r="1994" spans="1:14" ht="15.75" customHeight="1" x14ac:dyDescent="0.25">
      <c r="A1994" s="7">
        <v>8</v>
      </c>
      <c r="B1994" s="61" t="s">
        <v>954</v>
      </c>
      <c r="C1994" s="7">
        <v>15</v>
      </c>
      <c r="D1994" s="7" t="s">
        <v>363</v>
      </c>
      <c r="E1994" s="104">
        <v>782500</v>
      </c>
      <c r="F1994" s="104">
        <f t="shared" si="15"/>
        <v>11737500</v>
      </c>
      <c r="G1994" s="25"/>
      <c r="H1994" s="11"/>
      <c r="I1994" s="21"/>
      <c r="J1994" s="21"/>
      <c r="K1994" s="21"/>
      <c r="L1994" s="21"/>
      <c r="M1994" s="21"/>
      <c r="N1994" s="21"/>
    </row>
    <row r="1995" spans="1:14" ht="15.75" customHeight="1" x14ac:dyDescent="0.25">
      <c r="A1995" s="7">
        <v>9</v>
      </c>
      <c r="B1995" s="35" t="s">
        <v>955</v>
      </c>
      <c r="C1995" s="7">
        <v>16</v>
      </c>
      <c r="D1995" s="7" t="s">
        <v>363</v>
      </c>
      <c r="E1995" s="104">
        <v>455000</v>
      </c>
      <c r="F1995" s="104">
        <f t="shared" si="15"/>
        <v>7280000</v>
      </c>
      <c r="G1995" s="25"/>
      <c r="H1995" s="11"/>
      <c r="I1995" s="21"/>
      <c r="J1995" s="21"/>
      <c r="K1995" s="21"/>
      <c r="L1995" s="21"/>
      <c r="M1995" s="21"/>
      <c r="N1995" s="21"/>
    </row>
    <row r="1996" spans="1:14" ht="15.75" customHeight="1" x14ac:dyDescent="0.25">
      <c r="A1996" s="7">
        <v>10</v>
      </c>
      <c r="B1996" s="35" t="s">
        <v>956</v>
      </c>
      <c r="C1996" s="7">
        <v>4</v>
      </c>
      <c r="D1996" s="7" t="s">
        <v>363</v>
      </c>
      <c r="E1996" s="104">
        <v>2665000</v>
      </c>
      <c r="F1996" s="104">
        <f t="shared" si="15"/>
        <v>10660000</v>
      </c>
      <c r="G1996" s="25"/>
      <c r="H1996" s="11"/>
      <c r="I1996" s="21"/>
      <c r="J1996" s="21"/>
      <c r="K1996" s="21"/>
      <c r="L1996" s="21"/>
      <c r="M1996" s="21"/>
      <c r="N1996" s="21"/>
    </row>
    <row r="1997" spans="1:14" ht="15.75" customHeight="1" x14ac:dyDescent="0.25">
      <c r="A1997" s="7">
        <v>11</v>
      </c>
      <c r="B1997" s="35" t="s">
        <v>957</v>
      </c>
      <c r="C1997" s="7">
        <v>6</v>
      </c>
      <c r="D1997" s="7" t="s">
        <v>363</v>
      </c>
      <c r="E1997" s="104">
        <v>275000</v>
      </c>
      <c r="F1997" s="104">
        <f t="shared" si="15"/>
        <v>1650000</v>
      </c>
      <c r="G1997" s="25"/>
      <c r="H1997" s="11"/>
      <c r="I1997" s="21"/>
      <c r="J1997" s="21"/>
      <c r="K1997" s="21"/>
      <c r="L1997" s="21"/>
      <c r="M1997" s="21"/>
      <c r="N1997" s="21"/>
    </row>
    <row r="1998" spans="1:14" ht="15.75" customHeight="1" x14ac:dyDescent="0.25">
      <c r="A1998" s="7">
        <v>12</v>
      </c>
      <c r="B1998" s="35" t="s">
        <v>958</v>
      </c>
      <c r="C1998" s="7">
        <v>8</v>
      </c>
      <c r="D1998" s="7" t="s">
        <v>363</v>
      </c>
      <c r="E1998" s="104">
        <v>574800</v>
      </c>
      <c r="F1998" s="104">
        <f t="shared" si="15"/>
        <v>4598400</v>
      </c>
      <c r="G1998" s="25"/>
      <c r="H1998" s="11"/>
      <c r="I1998" s="21"/>
      <c r="J1998" s="21"/>
      <c r="K1998" s="21"/>
      <c r="L1998" s="21"/>
      <c r="M1998" s="21"/>
      <c r="N1998" s="21"/>
    </row>
    <row r="1999" spans="1:14" ht="15.75" customHeight="1" x14ac:dyDescent="0.25">
      <c r="A1999" s="7">
        <v>13</v>
      </c>
      <c r="B1999" s="35" t="s">
        <v>959</v>
      </c>
      <c r="C1999" s="7">
        <v>5</v>
      </c>
      <c r="D1999" s="7" t="s">
        <v>363</v>
      </c>
      <c r="E1999" s="104">
        <v>595000</v>
      </c>
      <c r="F1999" s="104">
        <f t="shared" si="15"/>
        <v>2975000</v>
      </c>
      <c r="G1999" s="25"/>
      <c r="H1999" s="11"/>
      <c r="I1999" s="21"/>
      <c r="J1999" s="21"/>
      <c r="K1999" s="21"/>
      <c r="L1999" s="21"/>
      <c r="M1999" s="21"/>
      <c r="N1999" s="21"/>
    </row>
    <row r="2000" spans="1:14" ht="15.75" customHeight="1" x14ac:dyDescent="0.25">
      <c r="A2000" s="7">
        <v>14</v>
      </c>
      <c r="B2000" s="35" t="s">
        <v>960</v>
      </c>
      <c r="C2000" s="7">
        <v>4</v>
      </c>
      <c r="D2000" s="7" t="s">
        <v>363</v>
      </c>
      <c r="E2000" s="104">
        <v>820000</v>
      </c>
      <c r="F2000" s="104">
        <f t="shared" si="15"/>
        <v>3280000</v>
      </c>
      <c r="G2000" s="25"/>
      <c r="H2000" s="11"/>
      <c r="I2000" s="21"/>
      <c r="J2000" s="21"/>
      <c r="K2000" s="21"/>
      <c r="L2000" s="21"/>
      <c r="M2000" s="21"/>
      <c r="N2000" s="21"/>
    </row>
    <row r="2001" spans="1:14" ht="15.75" customHeight="1" x14ac:dyDescent="0.25">
      <c r="A2001" s="7">
        <v>15</v>
      </c>
      <c r="B2001" s="35" t="s">
        <v>961</v>
      </c>
      <c r="C2001" s="7">
        <v>4</v>
      </c>
      <c r="D2001" s="7" t="s">
        <v>363</v>
      </c>
      <c r="E2001" s="104">
        <v>1092000</v>
      </c>
      <c r="F2001" s="104">
        <f t="shared" si="15"/>
        <v>4368000</v>
      </c>
      <c r="G2001" s="25"/>
      <c r="H2001" s="11"/>
      <c r="I2001" s="21"/>
      <c r="J2001" s="21"/>
      <c r="K2001" s="21"/>
      <c r="L2001" s="21"/>
      <c r="M2001" s="21"/>
      <c r="N2001" s="21"/>
    </row>
    <row r="2002" spans="1:14" ht="15.75" customHeight="1" x14ac:dyDescent="0.25">
      <c r="A2002" s="7">
        <v>16</v>
      </c>
      <c r="B2002" s="35" t="s">
        <v>962</v>
      </c>
      <c r="C2002" s="7">
        <v>70</v>
      </c>
      <c r="D2002" s="7" t="s">
        <v>363</v>
      </c>
      <c r="E2002" s="104">
        <v>615000</v>
      </c>
      <c r="F2002" s="104">
        <f t="shared" si="15"/>
        <v>43050000</v>
      </c>
      <c r="G2002" s="25"/>
      <c r="H2002" s="11"/>
      <c r="I2002" s="21"/>
      <c r="J2002" s="21"/>
      <c r="K2002" s="21"/>
      <c r="L2002" s="21"/>
      <c r="M2002" s="21"/>
      <c r="N2002" s="21"/>
    </row>
    <row r="2003" spans="1:14" ht="15.75" customHeight="1" x14ac:dyDescent="0.25">
      <c r="A2003" s="7">
        <v>17</v>
      </c>
      <c r="B2003" s="41" t="s">
        <v>963</v>
      </c>
      <c r="C2003" s="7">
        <v>70</v>
      </c>
      <c r="D2003" s="7" t="s">
        <v>363</v>
      </c>
      <c r="E2003" s="104">
        <v>76500</v>
      </c>
      <c r="F2003" s="104">
        <f t="shared" si="15"/>
        <v>5355000</v>
      </c>
      <c r="G2003" s="25"/>
      <c r="H2003" s="11"/>
      <c r="I2003" s="21"/>
      <c r="J2003" s="21"/>
      <c r="K2003" s="21"/>
      <c r="L2003" s="21"/>
      <c r="M2003" s="21"/>
      <c r="N2003" s="21"/>
    </row>
    <row r="2004" spans="1:14" ht="15.75" customHeight="1" x14ac:dyDescent="0.25">
      <c r="A2004" s="7">
        <v>18</v>
      </c>
      <c r="B2004" s="41" t="s">
        <v>964</v>
      </c>
      <c r="C2004" s="7">
        <v>20</v>
      </c>
      <c r="D2004" s="7" t="s">
        <v>363</v>
      </c>
      <c r="E2004" s="104">
        <v>85000</v>
      </c>
      <c r="F2004" s="104">
        <f t="shared" si="15"/>
        <v>1700000</v>
      </c>
      <c r="G2004" s="25"/>
      <c r="H2004" s="11"/>
      <c r="I2004" s="21"/>
      <c r="J2004" s="21"/>
      <c r="K2004" s="21"/>
      <c r="L2004" s="21"/>
      <c r="M2004" s="21"/>
      <c r="N2004" s="21"/>
    </row>
    <row r="2005" spans="1:14" ht="15.75" customHeight="1" x14ac:dyDescent="0.25">
      <c r="A2005" s="7">
        <v>19</v>
      </c>
      <c r="B2005" s="41" t="s">
        <v>965</v>
      </c>
      <c r="C2005" s="7">
        <v>10</v>
      </c>
      <c r="D2005" s="7" t="s">
        <v>363</v>
      </c>
      <c r="E2005" s="104">
        <v>100200</v>
      </c>
      <c r="F2005" s="104">
        <f t="shared" si="15"/>
        <v>1002000</v>
      </c>
      <c r="G2005" s="25"/>
      <c r="H2005" s="11"/>
      <c r="I2005" s="21"/>
      <c r="J2005" s="21"/>
      <c r="K2005" s="21"/>
      <c r="L2005" s="21"/>
      <c r="M2005" s="21"/>
      <c r="N2005" s="21"/>
    </row>
    <row r="2006" spans="1:14" ht="15.75" customHeight="1" x14ac:dyDescent="0.25">
      <c r="A2006" s="7">
        <v>20</v>
      </c>
      <c r="B2006" s="41" t="s">
        <v>966</v>
      </c>
      <c r="C2006" s="7">
        <v>20</v>
      </c>
      <c r="D2006" s="7" t="s">
        <v>363</v>
      </c>
      <c r="E2006" s="104">
        <v>92000</v>
      </c>
      <c r="F2006" s="104">
        <f t="shared" si="15"/>
        <v>1840000</v>
      </c>
      <c r="G2006" s="25"/>
      <c r="H2006" s="11"/>
      <c r="I2006" s="21"/>
      <c r="J2006" s="21"/>
      <c r="K2006" s="21"/>
      <c r="L2006" s="21"/>
      <c r="M2006" s="21"/>
      <c r="N2006" s="21"/>
    </row>
    <row r="2007" spans="1:14" ht="15.75" customHeight="1" x14ac:dyDescent="0.25">
      <c r="A2007" s="7">
        <v>21</v>
      </c>
      <c r="B2007" s="35" t="s">
        <v>967</v>
      </c>
      <c r="C2007" s="7">
        <v>6</v>
      </c>
      <c r="D2007" s="7" t="s">
        <v>363</v>
      </c>
      <c r="E2007" s="104">
        <v>158000</v>
      </c>
      <c r="F2007" s="104">
        <f t="shared" si="15"/>
        <v>948000</v>
      </c>
      <c r="G2007" s="25"/>
      <c r="H2007" s="11"/>
      <c r="I2007" s="21"/>
      <c r="J2007" s="21"/>
      <c r="K2007" s="21"/>
      <c r="L2007" s="21"/>
      <c r="M2007" s="21"/>
      <c r="N2007" s="21"/>
    </row>
    <row r="2008" spans="1:14" ht="15.75" customHeight="1" x14ac:dyDescent="0.25">
      <c r="A2008" s="7">
        <v>22</v>
      </c>
      <c r="B2008" s="35" t="s">
        <v>968</v>
      </c>
      <c r="C2008" s="7">
        <v>6</v>
      </c>
      <c r="D2008" s="7" t="s">
        <v>363</v>
      </c>
      <c r="E2008" s="104">
        <v>41600</v>
      </c>
      <c r="F2008" s="104">
        <f t="shared" si="15"/>
        <v>249600</v>
      </c>
      <c r="G2008" s="25"/>
      <c r="H2008" s="11"/>
      <c r="I2008" s="21"/>
      <c r="J2008" s="21"/>
      <c r="K2008" s="21"/>
      <c r="L2008" s="21"/>
      <c r="M2008" s="21"/>
      <c r="N2008" s="21"/>
    </row>
    <row r="2009" spans="1:14" ht="15.75" customHeight="1" x14ac:dyDescent="0.25">
      <c r="A2009" s="7">
        <v>23</v>
      </c>
      <c r="B2009" s="35" t="s">
        <v>969</v>
      </c>
      <c r="C2009" s="7">
        <v>4</v>
      </c>
      <c r="D2009" s="7" t="s">
        <v>363</v>
      </c>
      <c r="E2009" s="104">
        <v>84500</v>
      </c>
      <c r="F2009" s="104">
        <f t="shared" si="15"/>
        <v>338000</v>
      </c>
      <c r="G2009" s="25"/>
      <c r="H2009" s="11"/>
      <c r="I2009" s="21"/>
      <c r="J2009" s="21"/>
      <c r="K2009" s="21"/>
      <c r="L2009" s="21"/>
      <c r="M2009" s="21"/>
      <c r="N2009" s="21"/>
    </row>
    <row r="2010" spans="1:14" ht="15.75" customHeight="1" x14ac:dyDescent="0.25">
      <c r="A2010" s="7">
        <v>24</v>
      </c>
      <c r="B2010" s="35" t="s">
        <v>970</v>
      </c>
      <c r="C2010" s="7">
        <v>10</v>
      </c>
      <c r="D2010" s="7" t="s">
        <v>363</v>
      </c>
      <c r="E2010" s="104">
        <v>37800</v>
      </c>
      <c r="F2010" s="104">
        <f t="shared" si="15"/>
        <v>378000</v>
      </c>
      <c r="G2010" s="25"/>
      <c r="H2010" s="11"/>
      <c r="I2010" s="21"/>
      <c r="J2010" s="21"/>
      <c r="K2010" s="21"/>
      <c r="L2010" s="21"/>
      <c r="M2010" s="21"/>
      <c r="N2010" s="21"/>
    </row>
    <row r="2011" spans="1:14" ht="15.75" customHeight="1" x14ac:dyDescent="0.25">
      <c r="A2011" s="10">
        <v>25</v>
      </c>
      <c r="B2011" s="38" t="s">
        <v>971</v>
      </c>
      <c r="C2011" s="7">
        <v>10</v>
      </c>
      <c r="D2011" s="7" t="s">
        <v>363</v>
      </c>
      <c r="E2011" s="104">
        <v>10300</v>
      </c>
      <c r="F2011" s="104">
        <f t="shared" si="15"/>
        <v>103000</v>
      </c>
      <c r="G2011" s="25"/>
      <c r="H2011" s="11"/>
      <c r="I2011" s="21"/>
      <c r="J2011" s="21"/>
      <c r="K2011" s="21"/>
      <c r="L2011" s="21"/>
      <c r="M2011" s="21"/>
      <c r="N2011" s="21"/>
    </row>
    <row r="2012" spans="1:14" ht="15.75" customHeight="1" x14ac:dyDescent="0.25">
      <c r="A2012" s="7">
        <v>26</v>
      </c>
      <c r="B2012" s="124" t="s">
        <v>972</v>
      </c>
      <c r="C2012" s="7">
        <v>25</v>
      </c>
      <c r="D2012" s="7" t="s">
        <v>973</v>
      </c>
      <c r="E2012" s="104">
        <v>484500</v>
      </c>
      <c r="F2012" s="104">
        <f t="shared" si="15"/>
        <v>12112500</v>
      </c>
      <c r="G2012" s="25"/>
      <c r="H2012" s="11"/>
      <c r="I2012" s="21"/>
      <c r="J2012" s="21"/>
      <c r="K2012" s="21"/>
      <c r="L2012" s="21"/>
      <c r="M2012" s="21"/>
      <c r="N2012" s="21"/>
    </row>
    <row r="2013" spans="1:14" ht="15.75" customHeight="1" x14ac:dyDescent="0.25">
      <c r="A2013" s="7">
        <v>27</v>
      </c>
      <c r="B2013" s="122" t="s">
        <v>974</v>
      </c>
      <c r="C2013" s="7">
        <v>1</v>
      </c>
      <c r="D2013" s="7" t="s">
        <v>363</v>
      </c>
      <c r="E2013" s="104">
        <v>156000</v>
      </c>
      <c r="F2013" s="104">
        <f t="shared" si="15"/>
        <v>156000</v>
      </c>
      <c r="G2013" s="25"/>
      <c r="H2013" s="11"/>
      <c r="I2013" s="21"/>
      <c r="J2013" s="21"/>
      <c r="K2013" s="21"/>
      <c r="L2013" s="21"/>
      <c r="M2013" s="21"/>
      <c r="N2013" s="21"/>
    </row>
    <row r="2014" spans="1:14" ht="15.75" customHeight="1" x14ac:dyDescent="0.25">
      <c r="A2014" s="7">
        <v>28</v>
      </c>
      <c r="B2014" s="35" t="s">
        <v>975</v>
      </c>
      <c r="C2014" s="7">
        <v>8</v>
      </c>
      <c r="D2014" s="7" t="s">
        <v>363</v>
      </c>
      <c r="E2014" s="104">
        <v>5800</v>
      </c>
      <c r="F2014" s="104">
        <f t="shared" si="15"/>
        <v>46400</v>
      </c>
      <c r="G2014" s="25"/>
      <c r="H2014" s="11"/>
      <c r="I2014" s="21"/>
      <c r="J2014" s="21"/>
      <c r="K2014" s="21"/>
      <c r="L2014" s="21"/>
      <c r="M2014" s="21"/>
      <c r="N2014" s="21"/>
    </row>
    <row r="2015" spans="1:14" ht="15.75" customHeight="1" x14ac:dyDescent="0.25">
      <c r="A2015" s="7">
        <v>29</v>
      </c>
      <c r="B2015" s="35" t="s">
        <v>976</v>
      </c>
      <c r="C2015" s="7">
        <v>8</v>
      </c>
      <c r="D2015" s="7" t="s">
        <v>363</v>
      </c>
      <c r="E2015" s="104">
        <v>65000</v>
      </c>
      <c r="F2015" s="104">
        <f t="shared" si="15"/>
        <v>520000</v>
      </c>
      <c r="G2015" s="25"/>
      <c r="H2015" s="11"/>
      <c r="I2015" s="21"/>
      <c r="J2015" s="21"/>
      <c r="K2015" s="21"/>
      <c r="L2015" s="21"/>
      <c r="M2015" s="21"/>
      <c r="N2015" s="21"/>
    </row>
    <row r="2016" spans="1:14" ht="15.75" customHeight="1" x14ac:dyDescent="0.25">
      <c r="A2016" s="7">
        <v>30</v>
      </c>
      <c r="B2016" s="35" t="s">
        <v>969</v>
      </c>
      <c r="C2016" s="7">
        <v>4</v>
      </c>
      <c r="D2016" s="7" t="s">
        <v>363</v>
      </c>
      <c r="E2016" s="104">
        <v>84500</v>
      </c>
      <c r="F2016" s="104">
        <f t="shared" si="15"/>
        <v>338000</v>
      </c>
      <c r="G2016" s="25"/>
      <c r="H2016" s="11"/>
      <c r="I2016" s="21"/>
      <c r="J2016" s="21"/>
      <c r="K2016" s="21"/>
      <c r="L2016" s="21"/>
      <c r="M2016" s="21"/>
      <c r="N2016" s="21"/>
    </row>
    <row r="2017" spans="1:14" ht="15.75" customHeight="1" x14ac:dyDescent="0.25">
      <c r="A2017" s="7">
        <v>31</v>
      </c>
      <c r="B2017" s="35" t="s">
        <v>977</v>
      </c>
      <c r="C2017" s="7">
        <v>6</v>
      </c>
      <c r="D2017" s="7" t="s">
        <v>363</v>
      </c>
      <c r="E2017" s="104">
        <v>210000</v>
      </c>
      <c r="F2017" s="104">
        <f t="shared" si="15"/>
        <v>1260000</v>
      </c>
      <c r="G2017" s="25"/>
      <c r="H2017" s="11"/>
      <c r="I2017" s="21"/>
      <c r="J2017" s="21"/>
      <c r="K2017" s="21"/>
      <c r="L2017" s="21"/>
      <c r="M2017" s="21"/>
      <c r="N2017" s="21"/>
    </row>
    <row r="2018" spans="1:14" ht="15.75" customHeight="1" x14ac:dyDescent="0.25">
      <c r="A2018" s="7">
        <v>32</v>
      </c>
      <c r="B2018" s="35" t="s">
        <v>978</v>
      </c>
      <c r="C2018" s="7">
        <v>24</v>
      </c>
      <c r="D2018" s="7" t="s">
        <v>363</v>
      </c>
      <c r="E2018" s="104">
        <v>41600</v>
      </c>
      <c r="F2018" s="104">
        <f t="shared" si="15"/>
        <v>998400</v>
      </c>
      <c r="G2018" s="25"/>
      <c r="H2018" s="11"/>
      <c r="I2018" s="21"/>
      <c r="J2018" s="21"/>
      <c r="K2018" s="21"/>
      <c r="L2018" s="21"/>
      <c r="M2018" s="21"/>
      <c r="N2018" s="21"/>
    </row>
    <row r="2019" spans="1:14" ht="15.75" customHeight="1" x14ac:dyDescent="0.25">
      <c r="A2019" s="7">
        <v>33</v>
      </c>
      <c r="B2019" s="35" t="s">
        <v>979</v>
      </c>
      <c r="C2019" s="7">
        <v>5</v>
      </c>
      <c r="D2019" s="7" t="s">
        <v>363</v>
      </c>
      <c r="E2019" s="104">
        <v>106250</v>
      </c>
      <c r="F2019" s="104">
        <f t="shared" si="15"/>
        <v>531250</v>
      </c>
      <c r="G2019" s="25"/>
      <c r="H2019" s="11"/>
      <c r="I2019" s="21"/>
      <c r="J2019" s="21"/>
      <c r="K2019" s="21"/>
      <c r="L2019" s="21"/>
      <c r="M2019" s="21"/>
      <c r="N2019" s="21"/>
    </row>
    <row r="2020" spans="1:14" ht="15.75" customHeight="1" x14ac:dyDescent="0.25">
      <c r="A2020" s="7">
        <v>34</v>
      </c>
      <c r="B2020" s="35" t="s">
        <v>980</v>
      </c>
      <c r="C2020" s="7">
        <v>1</v>
      </c>
      <c r="D2020" s="7" t="s">
        <v>363</v>
      </c>
      <c r="E2020" s="104">
        <v>84500</v>
      </c>
      <c r="F2020" s="104">
        <f t="shared" si="15"/>
        <v>84500</v>
      </c>
      <c r="G2020" s="25"/>
      <c r="H2020" s="11"/>
      <c r="I2020" s="21"/>
      <c r="J2020" s="21"/>
      <c r="K2020" s="21"/>
      <c r="L2020" s="21"/>
      <c r="M2020" s="21"/>
      <c r="N2020" s="21"/>
    </row>
    <row r="2021" spans="1:14" ht="15.75" customHeight="1" x14ac:dyDescent="0.25">
      <c r="A2021" s="7">
        <v>35</v>
      </c>
      <c r="B2021" s="35" t="s">
        <v>981</v>
      </c>
      <c r="C2021" s="7">
        <v>14</v>
      </c>
      <c r="D2021" s="7" t="s">
        <v>363</v>
      </c>
      <c r="E2021" s="104">
        <v>45500</v>
      </c>
      <c r="F2021" s="104">
        <f t="shared" si="15"/>
        <v>637000</v>
      </c>
      <c r="G2021" s="25"/>
      <c r="H2021" s="11"/>
      <c r="I2021" s="21"/>
      <c r="J2021" s="21"/>
      <c r="K2021" s="21"/>
      <c r="L2021" s="21"/>
      <c r="M2021" s="21"/>
      <c r="N2021" s="21"/>
    </row>
    <row r="2022" spans="1:14" ht="15.75" customHeight="1" x14ac:dyDescent="0.25">
      <c r="A2022" s="7">
        <v>36</v>
      </c>
      <c r="B2022" s="35" t="s">
        <v>982</v>
      </c>
      <c r="C2022" s="7">
        <v>6</v>
      </c>
      <c r="D2022" s="7" t="s">
        <v>363</v>
      </c>
      <c r="E2022" s="104">
        <v>78500</v>
      </c>
      <c r="F2022" s="104">
        <f t="shared" si="15"/>
        <v>471000</v>
      </c>
      <c r="G2022" s="25"/>
      <c r="H2022" s="11"/>
      <c r="I2022" s="21"/>
      <c r="J2022" s="21"/>
      <c r="K2022" s="21"/>
      <c r="L2022" s="21"/>
      <c r="M2022" s="21"/>
      <c r="N2022" s="21"/>
    </row>
    <row r="2023" spans="1:14" ht="15.75" customHeight="1" x14ac:dyDescent="0.25">
      <c r="A2023" s="7">
        <v>37</v>
      </c>
      <c r="B2023" s="35" t="s">
        <v>983</v>
      </c>
      <c r="C2023" s="7">
        <v>40</v>
      </c>
      <c r="D2023" s="7" t="s">
        <v>363</v>
      </c>
      <c r="E2023" s="104">
        <v>15600</v>
      </c>
      <c r="F2023" s="104">
        <f t="shared" si="15"/>
        <v>624000</v>
      </c>
      <c r="G2023" s="25"/>
      <c r="H2023" s="11"/>
      <c r="I2023" s="21"/>
      <c r="J2023" s="21"/>
      <c r="K2023" s="21"/>
      <c r="L2023" s="21"/>
      <c r="M2023" s="21"/>
      <c r="N2023" s="21"/>
    </row>
    <row r="2024" spans="1:14" ht="15.75" customHeight="1" x14ac:dyDescent="0.25">
      <c r="A2024" s="7">
        <v>38</v>
      </c>
      <c r="B2024" s="35" t="s">
        <v>984</v>
      </c>
      <c r="C2024" s="7">
        <v>2</v>
      </c>
      <c r="D2024" s="7" t="s">
        <v>363</v>
      </c>
      <c r="E2024" s="104">
        <v>26000</v>
      </c>
      <c r="F2024" s="104">
        <f t="shared" si="15"/>
        <v>52000</v>
      </c>
      <c r="G2024" s="25"/>
      <c r="H2024" s="11"/>
      <c r="I2024" s="21"/>
      <c r="J2024" s="21"/>
      <c r="K2024" s="21"/>
      <c r="L2024" s="21"/>
      <c r="M2024" s="21"/>
      <c r="N2024" s="21"/>
    </row>
    <row r="2025" spans="1:14" ht="15.75" customHeight="1" x14ac:dyDescent="0.25">
      <c r="A2025" s="7">
        <v>39</v>
      </c>
      <c r="B2025" s="35" t="s">
        <v>975</v>
      </c>
      <c r="C2025" s="7">
        <v>12</v>
      </c>
      <c r="D2025" s="7" t="s">
        <v>363</v>
      </c>
      <c r="E2025" s="104">
        <v>5800</v>
      </c>
      <c r="F2025" s="104">
        <f t="shared" si="15"/>
        <v>69600</v>
      </c>
      <c r="G2025" s="25"/>
      <c r="H2025" s="11"/>
      <c r="I2025" s="21"/>
      <c r="J2025" s="21"/>
      <c r="K2025" s="21"/>
      <c r="L2025" s="21"/>
      <c r="M2025" s="21"/>
      <c r="N2025" s="21"/>
    </row>
    <row r="2026" spans="1:14" ht="15.75" customHeight="1" x14ac:dyDescent="0.25">
      <c r="A2026" s="7">
        <v>40</v>
      </c>
      <c r="B2026" s="35" t="s">
        <v>984</v>
      </c>
      <c r="C2026" s="7">
        <v>4</v>
      </c>
      <c r="D2026" s="7" t="s">
        <v>363</v>
      </c>
      <c r="E2026" s="104">
        <v>26000</v>
      </c>
      <c r="F2026" s="104">
        <f t="shared" si="15"/>
        <v>104000</v>
      </c>
      <c r="G2026" s="25"/>
      <c r="H2026" s="11"/>
      <c r="I2026" s="21"/>
      <c r="J2026" s="21"/>
      <c r="K2026" s="21"/>
      <c r="L2026" s="21"/>
      <c r="M2026" s="21"/>
      <c r="N2026" s="21"/>
    </row>
    <row r="2027" spans="1:14" ht="15.75" customHeight="1" x14ac:dyDescent="0.25">
      <c r="A2027" s="7">
        <v>41</v>
      </c>
      <c r="B2027" s="35" t="s">
        <v>967</v>
      </c>
      <c r="C2027" s="7">
        <v>1</v>
      </c>
      <c r="D2027" s="7" t="s">
        <v>363</v>
      </c>
      <c r="E2027" s="104">
        <v>156000</v>
      </c>
      <c r="F2027" s="104">
        <f t="shared" si="15"/>
        <v>156000</v>
      </c>
      <c r="G2027" s="25"/>
      <c r="H2027" s="11"/>
      <c r="I2027" s="21"/>
      <c r="J2027" s="21"/>
      <c r="K2027" s="21"/>
      <c r="L2027" s="21"/>
      <c r="M2027" s="21"/>
      <c r="N2027" s="21"/>
    </row>
    <row r="2028" spans="1:14" ht="15.75" customHeight="1" x14ac:dyDescent="0.25">
      <c r="A2028" s="7">
        <v>42</v>
      </c>
      <c r="B2028" s="35" t="s">
        <v>985</v>
      </c>
      <c r="C2028" s="7">
        <v>1</v>
      </c>
      <c r="D2028" s="7" t="s">
        <v>363</v>
      </c>
      <c r="E2028" s="104">
        <v>97500</v>
      </c>
      <c r="F2028" s="104">
        <f t="shared" si="15"/>
        <v>97500</v>
      </c>
      <c r="G2028" s="25"/>
      <c r="H2028" s="11"/>
      <c r="I2028" s="21"/>
      <c r="J2028" s="21"/>
      <c r="K2028" s="21"/>
      <c r="L2028" s="21"/>
      <c r="M2028" s="21"/>
      <c r="N2028" s="21"/>
    </row>
    <row r="2029" spans="1:14" ht="15.75" customHeight="1" x14ac:dyDescent="0.25">
      <c r="A2029" s="7"/>
      <c r="B2029" s="343" t="s">
        <v>342</v>
      </c>
      <c r="C2029" s="344"/>
      <c r="D2029" s="344"/>
      <c r="E2029" s="334"/>
      <c r="F2029" s="104">
        <f>SUM(F1987:F2028)</f>
        <v>152685850</v>
      </c>
      <c r="G2029" s="25"/>
      <c r="H2029" s="11"/>
      <c r="I2029" s="21"/>
      <c r="J2029" s="21"/>
      <c r="K2029" s="21"/>
      <c r="L2029" s="21"/>
      <c r="M2029" s="21"/>
      <c r="N2029" s="21"/>
    </row>
    <row r="2030" spans="1:14" ht="15.75" customHeight="1" x14ac:dyDescent="0.25">
      <c r="A2030" s="7"/>
      <c r="B2030" s="343" t="s">
        <v>986</v>
      </c>
      <c r="C2030" s="344"/>
      <c r="D2030" s="344"/>
      <c r="E2030" s="334"/>
      <c r="F2030" s="108">
        <v>4580575.5</v>
      </c>
      <c r="G2030" s="25"/>
      <c r="H2030" s="11"/>
      <c r="I2030" s="21"/>
      <c r="J2030" s="21"/>
      <c r="K2030" s="21"/>
      <c r="L2030" s="21"/>
      <c r="M2030" s="21"/>
      <c r="N2030" s="21"/>
    </row>
    <row r="2031" spans="1:14" ht="15.75" customHeight="1" x14ac:dyDescent="0.25">
      <c r="A2031" s="7"/>
      <c r="B2031" s="345" t="s">
        <v>342</v>
      </c>
      <c r="C2031" s="344"/>
      <c r="D2031" s="344"/>
      <c r="E2031" s="334"/>
      <c r="F2031" s="109">
        <f>F2029-F2030</f>
        <v>148105274.5</v>
      </c>
      <c r="G2031" s="25"/>
      <c r="H2031" s="11"/>
      <c r="I2031" s="21"/>
      <c r="J2031" s="21"/>
      <c r="K2031" s="21"/>
      <c r="L2031" s="21"/>
      <c r="M2031" s="21"/>
      <c r="N2031" s="21"/>
    </row>
    <row r="2032" spans="1:14" ht="15.75" customHeight="1" x14ac:dyDescent="0.25">
      <c r="A2032" s="7"/>
      <c r="B2032" s="345" t="s">
        <v>429</v>
      </c>
      <c r="C2032" s="344"/>
      <c r="D2032" s="344"/>
      <c r="E2032" s="334"/>
      <c r="F2032" s="107">
        <v>59242109.799999997</v>
      </c>
      <c r="G2032" s="25"/>
      <c r="H2032" s="11"/>
      <c r="I2032" s="21"/>
      <c r="J2032" s="21"/>
      <c r="K2032" s="21"/>
      <c r="L2032" s="21"/>
      <c r="M2032" s="21"/>
      <c r="N2032" s="21"/>
    </row>
    <row r="2033" spans="1:14" ht="15.75" customHeight="1" x14ac:dyDescent="0.25">
      <c r="A2033" s="7"/>
      <c r="B2033" s="343" t="s">
        <v>343</v>
      </c>
      <c r="C2033" s="344"/>
      <c r="D2033" s="344"/>
      <c r="E2033" s="334"/>
      <c r="F2033" s="104">
        <v>6516632.0999999996</v>
      </c>
      <c r="G2033" s="25"/>
      <c r="H2033" s="11"/>
      <c r="I2033" s="21"/>
      <c r="J2033" s="21"/>
      <c r="K2033" s="21"/>
      <c r="L2033" s="21"/>
      <c r="M2033" s="21"/>
      <c r="N2033" s="21"/>
    </row>
    <row r="2034" spans="1:14" ht="15.75" customHeight="1" x14ac:dyDescent="0.25">
      <c r="A2034" s="7"/>
      <c r="B2034" s="345" t="s">
        <v>344</v>
      </c>
      <c r="C2034" s="344"/>
      <c r="D2034" s="344"/>
      <c r="E2034" s="334"/>
      <c r="F2034" s="107">
        <f>SUM(F2032:F2033)</f>
        <v>65758741.899999999</v>
      </c>
      <c r="G2034" s="25"/>
      <c r="H2034" s="11"/>
      <c r="I2034" s="21"/>
      <c r="J2034" s="21"/>
      <c r="K2034" s="21"/>
      <c r="L2034" s="21"/>
      <c r="M2034" s="21"/>
      <c r="N2034" s="21"/>
    </row>
    <row r="2035" spans="1:14" ht="15.75" customHeight="1" x14ac:dyDescent="0.25">
      <c r="A2035" s="21"/>
      <c r="B2035" s="21"/>
      <c r="C2035" s="11"/>
      <c r="D2035" s="11"/>
      <c r="E2035" s="21"/>
      <c r="F2035" s="21"/>
      <c r="G2035" s="25"/>
      <c r="H2035" s="11"/>
      <c r="I2035" s="21"/>
      <c r="J2035" s="21"/>
      <c r="K2035" s="21"/>
      <c r="L2035" s="21"/>
      <c r="M2035" s="21"/>
      <c r="N2035" s="21"/>
    </row>
    <row r="2036" spans="1:14" ht="15.75" customHeight="1" x14ac:dyDescent="0.25">
      <c r="A2036" s="31" t="s">
        <v>14</v>
      </c>
      <c r="B2036" s="31" t="s">
        <v>234</v>
      </c>
      <c r="C2036" s="31" t="s">
        <v>16</v>
      </c>
      <c r="D2036" s="31" t="s">
        <v>17</v>
      </c>
      <c r="E2036" s="31" t="s">
        <v>235</v>
      </c>
      <c r="F2036" s="31" t="s">
        <v>236</v>
      </c>
      <c r="G2036" s="25"/>
      <c r="H2036" s="11"/>
      <c r="I2036" s="21"/>
      <c r="J2036" s="21"/>
      <c r="K2036" s="21"/>
      <c r="L2036" s="21"/>
      <c r="M2036" s="21"/>
      <c r="N2036" s="21"/>
    </row>
    <row r="2037" spans="1:14" ht="15.75" customHeight="1" x14ac:dyDescent="0.25">
      <c r="A2037" s="7">
        <v>1</v>
      </c>
      <c r="B2037" s="120" t="s">
        <v>987</v>
      </c>
      <c r="C2037" s="7">
        <v>1</v>
      </c>
      <c r="D2037" s="7" t="s">
        <v>412</v>
      </c>
      <c r="E2037" s="108">
        <v>148105274.5</v>
      </c>
      <c r="F2037" s="108">
        <f>E2037*C2037</f>
        <v>148105274.5</v>
      </c>
      <c r="G2037" s="25"/>
      <c r="H2037" s="11"/>
      <c r="I2037" s="21"/>
      <c r="J2037" s="21"/>
      <c r="K2037" s="21"/>
      <c r="L2037" s="21"/>
      <c r="M2037" s="21"/>
      <c r="N2037" s="21"/>
    </row>
    <row r="2038" spans="1:14" ht="15.75" customHeight="1" x14ac:dyDescent="0.25">
      <c r="A2038" s="7"/>
      <c r="B2038" s="343" t="s">
        <v>342</v>
      </c>
      <c r="C2038" s="344"/>
      <c r="D2038" s="344"/>
      <c r="E2038" s="334"/>
      <c r="F2038" s="108">
        <f>F2037</f>
        <v>148105274.5</v>
      </c>
      <c r="G2038" s="25"/>
      <c r="H2038" s="11"/>
      <c r="I2038" s="21"/>
      <c r="J2038" s="21"/>
      <c r="K2038" s="21"/>
      <c r="L2038" s="21"/>
      <c r="M2038" s="21"/>
      <c r="N2038" s="21"/>
    </row>
    <row r="2039" spans="1:14" ht="15.75" customHeight="1" x14ac:dyDescent="0.25">
      <c r="A2039" s="7"/>
      <c r="B2039" s="343" t="s">
        <v>429</v>
      </c>
      <c r="C2039" s="344"/>
      <c r="D2039" s="344"/>
      <c r="E2039" s="334"/>
      <c r="F2039" s="104">
        <v>59242109.799999997</v>
      </c>
      <c r="G2039" s="25"/>
      <c r="H2039" s="11"/>
      <c r="I2039" s="21"/>
      <c r="J2039" s="21"/>
      <c r="K2039" s="21"/>
      <c r="L2039" s="21"/>
      <c r="M2039" s="21"/>
      <c r="N2039" s="21"/>
    </row>
    <row r="2040" spans="1:14" ht="15.75" customHeight="1" x14ac:dyDescent="0.25">
      <c r="A2040" s="7"/>
      <c r="B2040" s="343" t="s">
        <v>343</v>
      </c>
      <c r="C2040" s="344"/>
      <c r="D2040" s="344"/>
      <c r="E2040" s="334"/>
      <c r="F2040" s="104">
        <v>6516632</v>
      </c>
      <c r="G2040" s="25"/>
      <c r="H2040" s="11"/>
      <c r="I2040" s="21"/>
      <c r="J2040" s="21"/>
      <c r="K2040" s="21"/>
      <c r="L2040" s="21"/>
      <c r="M2040" s="21"/>
      <c r="N2040" s="21"/>
    </row>
    <row r="2041" spans="1:14" ht="15.75" customHeight="1" x14ac:dyDescent="0.25">
      <c r="A2041" s="7"/>
      <c r="B2041" s="345" t="s">
        <v>344</v>
      </c>
      <c r="C2041" s="344"/>
      <c r="D2041" s="344"/>
      <c r="E2041" s="334"/>
      <c r="F2041" s="107">
        <f>SUM(F2039:F2040)</f>
        <v>65758741.799999997</v>
      </c>
      <c r="G2041" s="25"/>
      <c r="H2041" s="11"/>
      <c r="I2041" s="21"/>
      <c r="J2041" s="21"/>
      <c r="K2041" s="21"/>
      <c r="L2041" s="21"/>
      <c r="M2041" s="21"/>
      <c r="N2041" s="21"/>
    </row>
    <row r="2042" spans="1:14" ht="15.75" customHeight="1" x14ac:dyDescent="0.25">
      <c r="A2042" s="21"/>
      <c r="B2042" s="21"/>
      <c r="C2042" s="11"/>
      <c r="D2042" s="11"/>
      <c r="E2042" s="21"/>
      <c r="F2042" s="21"/>
      <c r="G2042" s="25"/>
      <c r="H2042" s="11"/>
      <c r="I2042" s="21"/>
      <c r="J2042" s="21"/>
      <c r="K2042" s="21"/>
      <c r="L2042" s="21"/>
      <c r="M2042" s="21"/>
      <c r="N2042" s="21"/>
    </row>
    <row r="2043" spans="1:14" ht="15.75" customHeight="1" x14ac:dyDescent="0.25">
      <c r="A2043" s="31" t="s">
        <v>14</v>
      </c>
      <c r="B2043" s="31" t="s">
        <v>234</v>
      </c>
      <c r="C2043" s="31" t="s">
        <v>16</v>
      </c>
      <c r="D2043" s="31" t="s">
        <v>17</v>
      </c>
      <c r="E2043" s="31" t="s">
        <v>235</v>
      </c>
      <c r="F2043" s="31" t="s">
        <v>236</v>
      </c>
      <c r="G2043" s="25"/>
      <c r="H2043" s="11"/>
      <c r="I2043" s="21"/>
      <c r="J2043" s="21"/>
      <c r="K2043" s="21"/>
      <c r="L2043" s="21"/>
      <c r="M2043" s="21"/>
      <c r="N2043" s="21"/>
    </row>
    <row r="2044" spans="1:14" ht="15.75" customHeight="1" x14ac:dyDescent="0.25">
      <c r="A2044" s="7">
        <v>1</v>
      </c>
      <c r="B2044" s="120" t="s">
        <v>988</v>
      </c>
      <c r="C2044" s="7">
        <v>3</v>
      </c>
      <c r="D2044" s="7" t="s">
        <v>989</v>
      </c>
      <c r="E2044" s="104">
        <v>101850</v>
      </c>
      <c r="F2044" s="104">
        <f>E2044*C2044</f>
        <v>305550</v>
      </c>
      <c r="G2044" s="25"/>
      <c r="H2044" s="11"/>
      <c r="I2044" s="21"/>
      <c r="J2044" s="21"/>
      <c r="K2044" s="21"/>
      <c r="L2044" s="21"/>
      <c r="M2044" s="21"/>
      <c r="N2044" s="21"/>
    </row>
    <row r="2045" spans="1:14" ht="15.75" customHeight="1" x14ac:dyDescent="0.25">
      <c r="A2045" s="7"/>
      <c r="B2045" s="343" t="s">
        <v>342</v>
      </c>
      <c r="C2045" s="344"/>
      <c r="D2045" s="344"/>
      <c r="E2045" s="334"/>
      <c r="F2045" s="104">
        <f>F2044</f>
        <v>305550</v>
      </c>
      <c r="G2045" s="25"/>
      <c r="H2045" s="11"/>
      <c r="I2045" s="21"/>
      <c r="J2045" s="21"/>
      <c r="K2045" s="21"/>
      <c r="L2045" s="21"/>
      <c r="M2045" s="21"/>
      <c r="N2045" s="21"/>
    </row>
    <row r="2046" spans="1:14" ht="15.75" customHeight="1" x14ac:dyDescent="0.25">
      <c r="A2046" s="7"/>
      <c r="B2046" s="343" t="s">
        <v>343</v>
      </c>
      <c r="C2046" s="344"/>
      <c r="D2046" s="344"/>
      <c r="E2046" s="334"/>
      <c r="F2046" s="108">
        <v>33610.5</v>
      </c>
      <c r="G2046" s="25"/>
      <c r="H2046" s="11"/>
      <c r="I2046" s="21"/>
      <c r="J2046" s="21"/>
      <c r="K2046" s="21"/>
      <c r="L2046" s="21"/>
      <c r="M2046" s="21"/>
      <c r="N2046" s="21"/>
    </row>
    <row r="2047" spans="1:14" ht="15.75" customHeight="1" x14ac:dyDescent="0.25">
      <c r="A2047" s="7"/>
      <c r="B2047" s="345" t="s">
        <v>344</v>
      </c>
      <c r="C2047" s="344"/>
      <c r="D2047" s="344"/>
      <c r="E2047" s="334"/>
      <c r="F2047" s="109">
        <f>SUM(F2045:F2046)</f>
        <v>339160.5</v>
      </c>
      <c r="G2047" s="25"/>
      <c r="H2047" s="11"/>
      <c r="I2047" s="21"/>
      <c r="J2047" s="21"/>
      <c r="K2047" s="21"/>
      <c r="L2047" s="21"/>
      <c r="M2047" s="21"/>
      <c r="N2047" s="21"/>
    </row>
    <row r="2048" spans="1:14" ht="15.75" customHeight="1" x14ac:dyDescent="0.25">
      <c r="A2048" s="21"/>
      <c r="B2048" s="21"/>
      <c r="C2048" s="11"/>
      <c r="D2048" s="11"/>
      <c r="E2048" s="21"/>
      <c r="F2048" s="21"/>
      <c r="G2048" s="25"/>
      <c r="H2048" s="11"/>
      <c r="I2048" s="21"/>
      <c r="J2048" s="21"/>
      <c r="K2048" s="21"/>
      <c r="L2048" s="21"/>
      <c r="M2048" s="21"/>
      <c r="N2048" s="21"/>
    </row>
    <row r="2049" spans="1:14" ht="15.75" customHeight="1" x14ac:dyDescent="0.25">
      <c r="A2049" s="31" t="s">
        <v>14</v>
      </c>
      <c r="B2049" s="31" t="s">
        <v>234</v>
      </c>
      <c r="C2049" s="31" t="s">
        <v>16</v>
      </c>
      <c r="D2049" s="31" t="s">
        <v>17</v>
      </c>
      <c r="E2049" s="31" t="s">
        <v>235</v>
      </c>
      <c r="F2049" s="31" t="s">
        <v>236</v>
      </c>
      <c r="G2049" s="25"/>
      <c r="H2049" s="11"/>
      <c r="I2049" s="21"/>
      <c r="J2049" s="21"/>
      <c r="K2049" s="21"/>
      <c r="L2049" s="21"/>
      <c r="M2049" s="21"/>
      <c r="N2049" s="21"/>
    </row>
    <row r="2050" spans="1:14" ht="15.75" customHeight="1" x14ac:dyDescent="0.25">
      <c r="A2050" s="10">
        <v>1</v>
      </c>
      <c r="B2050" s="124" t="s">
        <v>990</v>
      </c>
      <c r="C2050" s="7">
        <v>60</v>
      </c>
      <c r="D2050" s="7" t="s">
        <v>539</v>
      </c>
      <c r="E2050" s="104">
        <v>35000</v>
      </c>
      <c r="F2050" s="104">
        <f>E2050*C2050</f>
        <v>2100000</v>
      </c>
      <c r="G2050" s="25"/>
      <c r="H2050" s="11"/>
      <c r="I2050" s="21"/>
      <c r="J2050" s="21"/>
      <c r="K2050" s="21"/>
      <c r="L2050" s="21"/>
      <c r="M2050" s="21"/>
      <c r="N2050" s="21"/>
    </row>
    <row r="2051" spans="1:14" ht="15.75" customHeight="1" x14ac:dyDescent="0.25">
      <c r="A2051" s="7">
        <v>2</v>
      </c>
      <c r="B2051" s="120" t="s">
        <v>991</v>
      </c>
      <c r="C2051" s="7">
        <v>20</v>
      </c>
      <c r="D2051" s="7" t="s">
        <v>363</v>
      </c>
      <c r="E2051" s="104">
        <v>4000</v>
      </c>
      <c r="F2051" s="104">
        <f>E2051*C2051</f>
        <v>80000</v>
      </c>
      <c r="G2051" s="25"/>
      <c r="H2051" s="11"/>
      <c r="I2051" s="21"/>
      <c r="J2051" s="21"/>
      <c r="K2051" s="21"/>
      <c r="L2051" s="21"/>
      <c r="M2051" s="21"/>
      <c r="N2051" s="21"/>
    </row>
    <row r="2052" spans="1:14" ht="15.75" customHeight="1" x14ac:dyDescent="0.25">
      <c r="A2052" s="7">
        <v>3</v>
      </c>
      <c r="B2052" s="131" t="s">
        <v>992</v>
      </c>
      <c r="C2052" s="7">
        <v>20</v>
      </c>
      <c r="D2052" s="7" t="s">
        <v>363</v>
      </c>
      <c r="E2052" s="104">
        <v>2000</v>
      </c>
      <c r="F2052" s="104">
        <f>E2052*C2052</f>
        <v>40000</v>
      </c>
      <c r="G2052" s="25"/>
      <c r="H2052" s="11"/>
      <c r="I2052" s="21"/>
      <c r="J2052" s="21"/>
      <c r="K2052" s="21"/>
      <c r="L2052" s="21"/>
      <c r="M2052" s="21"/>
      <c r="N2052" s="21"/>
    </row>
    <row r="2053" spans="1:14" ht="15.75" customHeight="1" x14ac:dyDescent="0.25">
      <c r="A2053" s="7">
        <v>4</v>
      </c>
      <c r="B2053" s="61" t="s">
        <v>993</v>
      </c>
      <c r="C2053" s="7">
        <v>5</v>
      </c>
      <c r="D2053" s="7" t="s">
        <v>363</v>
      </c>
      <c r="E2053" s="104">
        <v>116500</v>
      </c>
      <c r="F2053" s="104">
        <f>E2053*C2053</f>
        <v>582500</v>
      </c>
      <c r="G2053" s="25"/>
      <c r="H2053" s="11"/>
      <c r="I2053" s="21"/>
      <c r="J2053" s="21"/>
      <c r="K2053" s="21"/>
      <c r="L2053" s="21"/>
      <c r="M2053" s="21"/>
      <c r="N2053" s="21"/>
    </row>
    <row r="2054" spans="1:14" ht="15.75" customHeight="1" x14ac:dyDescent="0.25">
      <c r="A2054" s="7">
        <v>5</v>
      </c>
      <c r="B2054" s="41" t="s">
        <v>994</v>
      </c>
      <c r="C2054" s="7">
        <v>1</v>
      </c>
      <c r="D2054" s="7" t="s">
        <v>363</v>
      </c>
      <c r="E2054" s="104">
        <v>220000</v>
      </c>
      <c r="F2054" s="104">
        <f>E2054*C2054</f>
        <v>220000</v>
      </c>
      <c r="G2054" s="25"/>
      <c r="H2054" s="11"/>
      <c r="I2054" s="21"/>
      <c r="J2054" s="21"/>
      <c r="K2054" s="21"/>
      <c r="L2054" s="21"/>
      <c r="M2054" s="21"/>
      <c r="N2054" s="21"/>
    </row>
    <row r="2055" spans="1:14" ht="15.75" customHeight="1" x14ac:dyDescent="0.25">
      <c r="A2055" s="7"/>
      <c r="B2055" s="343" t="s">
        <v>342</v>
      </c>
      <c r="C2055" s="344"/>
      <c r="D2055" s="344"/>
      <c r="E2055" s="334"/>
      <c r="F2055" s="104">
        <f>SUM(F2050:F2054)</f>
        <v>3022500</v>
      </c>
      <c r="G2055" s="25"/>
      <c r="H2055" s="11"/>
      <c r="I2055" s="21"/>
      <c r="J2055" s="21"/>
      <c r="K2055" s="21"/>
      <c r="L2055" s="21"/>
      <c r="M2055" s="21"/>
      <c r="N2055" s="21"/>
    </row>
    <row r="2056" spans="1:14" ht="15.75" customHeight="1" x14ac:dyDescent="0.25">
      <c r="A2056" s="7"/>
      <c r="B2056" s="343" t="s">
        <v>343</v>
      </c>
      <c r="C2056" s="344"/>
      <c r="D2056" s="344"/>
      <c r="E2056" s="334"/>
      <c r="F2056" s="104">
        <v>332475</v>
      </c>
      <c r="G2056" s="25"/>
      <c r="H2056" s="11"/>
      <c r="I2056" s="21"/>
      <c r="J2056" s="21"/>
      <c r="K2056" s="21"/>
      <c r="L2056" s="21"/>
      <c r="M2056" s="21"/>
      <c r="N2056" s="21"/>
    </row>
    <row r="2057" spans="1:14" ht="15.75" customHeight="1" x14ac:dyDescent="0.25">
      <c r="A2057" s="7"/>
      <c r="B2057" s="345" t="s">
        <v>344</v>
      </c>
      <c r="C2057" s="344"/>
      <c r="D2057" s="344"/>
      <c r="E2057" s="334"/>
      <c r="F2057" s="107">
        <f>SUM(F2055:F2056)</f>
        <v>3354975</v>
      </c>
      <c r="G2057" s="25"/>
      <c r="H2057" s="11"/>
      <c r="I2057" s="21"/>
      <c r="J2057" s="21"/>
      <c r="K2057" s="21"/>
      <c r="L2057" s="21"/>
      <c r="M2057" s="21"/>
      <c r="N2057" s="21"/>
    </row>
    <row r="2058" spans="1:14" ht="15.75" customHeight="1" x14ac:dyDescent="0.25">
      <c r="A2058" s="21"/>
      <c r="B2058" s="21"/>
      <c r="C2058" s="11"/>
      <c r="D2058" s="11"/>
      <c r="E2058" s="21"/>
      <c r="F2058" s="21"/>
      <c r="G2058" s="25"/>
      <c r="H2058" s="11"/>
      <c r="I2058" s="21"/>
      <c r="J2058" s="21"/>
      <c r="K2058" s="21"/>
      <c r="L2058" s="21"/>
      <c r="M2058" s="21"/>
      <c r="N2058" s="21"/>
    </row>
    <row r="2059" spans="1:14" ht="15.75" customHeight="1" x14ac:dyDescent="0.25">
      <c r="A2059" s="31" t="s">
        <v>351</v>
      </c>
      <c r="B2059" s="31" t="s">
        <v>234</v>
      </c>
      <c r="C2059" s="31" t="s">
        <v>16</v>
      </c>
      <c r="D2059" s="31" t="s">
        <v>17</v>
      </c>
      <c r="E2059" s="31" t="s">
        <v>235</v>
      </c>
      <c r="F2059" s="31" t="s">
        <v>236</v>
      </c>
      <c r="G2059" s="25"/>
      <c r="H2059" s="11"/>
      <c r="I2059" s="21"/>
      <c r="J2059" s="21"/>
      <c r="K2059" s="21"/>
      <c r="L2059" s="21"/>
      <c r="M2059" s="21"/>
      <c r="N2059" s="21"/>
    </row>
    <row r="2060" spans="1:14" ht="15.75" customHeight="1" x14ac:dyDescent="0.25">
      <c r="A2060" s="7">
        <v>1</v>
      </c>
      <c r="B2060" s="41" t="s">
        <v>995</v>
      </c>
      <c r="C2060" s="7">
        <v>2</v>
      </c>
      <c r="D2060" s="7" t="s">
        <v>19</v>
      </c>
      <c r="E2060" s="104">
        <v>63175</v>
      </c>
      <c r="F2060" s="104">
        <f>E2060*C2060</f>
        <v>126350</v>
      </c>
      <c r="G2060" s="25"/>
      <c r="H2060" s="11"/>
      <c r="I2060" s="21"/>
      <c r="J2060" s="21"/>
      <c r="K2060" s="21"/>
      <c r="L2060" s="21"/>
      <c r="M2060" s="21"/>
      <c r="N2060" s="21"/>
    </row>
    <row r="2061" spans="1:14" ht="15.75" customHeight="1" x14ac:dyDescent="0.25">
      <c r="A2061" s="7">
        <v>2</v>
      </c>
      <c r="B2061" s="41" t="s">
        <v>996</v>
      </c>
      <c r="C2061" s="7">
        <v>4</v>
      </c>
      <c r="D2061" s="7" t="s">
        <v>19</v>
      </c>
      <c r="E2061" s="104">
        <v>248805</v>
      </c>
      <c r="F2061" s="104">
        <f>E2061*C2061</f>
        <v>995220</v>
      </c>
      <c r="G2061" s="25"/>
      <c r="H2061" s="11"/>
      <c r="I2061" s="21"/>
      <c r="J2061" s="21"/>
      <c r="K2061" s="21"/>
      <c r="L2061" s="21"/>
      <c r="M2061" s="21"/>
      <c r="N2061" s="21"/>
    </row>
    <row r="2062" spans="1:14" ht="15.75" customHeight="1" x14ac:dyDescent="0.25">
      <c r="A2062" s="7"/>
      <c r="B2062" s="343" t="s">
        <v>342</v>
      </c>
      <c r="C2062" s="344"/>
      <c r="D2062" s="344"/>
      <c r="E2062" s="334"/>
      <c r="F2062" s="104">
        <f>SUM(F2060:F2061)</f>
        <v>1121570</v>
      </c>
      <c r="G2062" s="25"/>
      <c r="H2062" s="11"/>
      <c r="I2062" s="21"/>
      <c r="J2062" s="21"/>
      <c r="K2062" s="21"/>
      <c r="L2062" s="21"/>
      <c r="M2062" s="21"/>
      <c r="N2062" s="21"/>
    </row>
    <row r="2063" spans="1:14" ht="15.75" customHeight="1" x14ac:dyDescent="0.25">
      <c r="A2063" s="7"/>
      <c r="B2063" s="343" t="s">
        <v>343</v>
      </c>
      <c r="C2063" s="344"/>
      <c r="D2063" s="344"/>
      <c r="E2063" s="334"/>
      <c r="F2063" s="108">
        <v>123372.7</v>
      </c>
      <c r="G2063" s="25"/>
      <c r="H2063" s="11"/>
      <c r="I2063" s="21"/>
      <c r="J2063" s="21"/>
      <c r="K2063" s="21"/>
      <c r="L2063" s="21"/>
      <c r="M2063" s="21"/>
      <c r="N2063" s="21"/>
    </row>
    <row r="2064" spans="1:14" ht="15.75" customHeight="1" x14ac:dyDescent="0.25">
      <c r="A2064" s="7"/>
      <c r="B2064" s="345" t="s">
        <v>344</v>
      </c>
      <c r="C2064" s="344"/>
      <c r="D2064" s="344"/>
      <c r="E2064" s="334"/>
      <c r="F2064" s="109">
        <f>SUM(F2062:F2063)</f>
        <v>1244942.7</v>
      </c>
      <c r="G2064" s="25"/>
      <c r="H2064" s="11"/>
      <c r="I2064" s="21"/>
      <c r="J2064" s="21"/>
      <c r="K2064" s="21"/>
      <c r="L2064" s="21"/>
      <c r="M2064" s="21"/>
      <c r="N2064" s="21"/>
    </row>
    <row r="2065" spans="1:14" ht="15.75" customHeight="1" x14ac:dyDescent="0.25">
      <c r="A2065" s="21"/>
      <c r="B2065" s="21"/>
      <c r="C2065" s="11"/>
      <c r="D2065" s="11"/>
      <c r="E2065" s="21"/>
      <c r="F2065" s="21"/>
      <c r="G2065" s="25"/>
      <c r="H2065" s="11"/>
      <c r="I2065" s="21"/>
      <c r="J2065" s="21"/>
      <c r="K2065" s="21"/>
      <c r="L2065" s="21"/>
      <c r="M2065" s="21"/>
      <c r="N2065" s="21"/>
    </row>
    <row r="2066" spans="1:14" ht="15.75" customHeight="1" x14ac:dyDescent="0.25">
      <c r="A2066" s="31" t="s">
        <v>351</v>
      </c>
      <c r="B2066" s="31" t="s">
        <v>234</v>
      </c>
      <c r="C2066" s="31" t="s">
        <v>16</v>
      </c>
      <c r="D2066" s="31" t="s">
        <v>17</v>
      </c>
      <c r="E2066" s="31" t="s">
        <v>235</v>
      </c>
      <c r="F2066" s="31" t="s">
        <v>236</v>
      </c>
      <c r="G2066" s="25"/>
      <c r="H2066" s="11"/>
      <c r="I2066" s="21"/>
      <c r="J2066" s="21"/>
      <c r="K2066" s="21"/>
      <c r="L2066" s="21"/>
      <c r="M2066" s="21"/>
      <c r="N2066" s="21"/>
    </row>
    <row r="2067" spans="1:14" ht="15.75" customHeight="1" x14ac:dyDescent="0.25">
      <c r="A2067" s="7">
        <v>1</v>
      </c>
      <c r="B2067" s="41" t="s">
        <v>997</v>
      </c>
      <c r="C2067" s="7">
        <v>1</v>
      </c>
      <c r="D2067" s="7" t="s">
        <v>243</v>
      </c>
      <c r="E2067" s="104">
        <v>8778500</v>
      </c>
      <c r="F2067" s="104">
        <f>E2067*C2067</f>
        <v>8778500</v>
      </c>
      <c r="G2067" s="25"/>
      <c r="H2067" s="11"/>
      <c r="I2067" s="21"/>
      <c r="J2067" s="21"/>
      <c r="K2067" s="21"/>
      <c r="L2067" s="21"/>
      <c r="M2067" s="21"/>
      <c r="N2067" s="21"/>
    </row>
    <row r="2068" spans="1:14" ht="15.75" customHeight="1" x14ac:dyDescent="0.25">
      <c r="A2068" s="7">
        <v>2</v>
      </c>
      <c r="B2068" s="41" t="s">
        <v>998</v>
      </c>
      <c r="C2068" s="7">
        <v>1</v>
      </c>
      <c r="D2068" s="7" t="s">
        <v>243</v>
      </c>
      <c r="E2068" s="104">
        <v>2590870</v>
      </c>
      <c r="F2068" s="104">
        <f>E2068*C2068</f>
        <v>2590870</v>
      </c>
      <c r="G2068" s="25"/>
      <c r="H2068" s="11"/>
      <c r="I2068" s="21"/>
      <c r="J2068" s="21"/>
      <c r="K2068" s="21"/>
      <c r="L2068" s="21"/>
      <c r="M2068" s="21"/>
      <c r="N2068" s="21"/>
    </row>
    <row r="2069" spans="1:14" ht="15.75" customHeight="1" x14ac:dyDescent="0.25">
      <c r="A2069" s="7"/>
      <c r="B2069" s="343" t="s">
        <v>342</v>
      </c>
      <c r="C2069" s="344"/>
      <c r="D2069" s="344"/>
      <c r="E2069" s="334"/>
      <c r="F2069" s="104">
        <f>SUM(F2067:F2068)</f>
        <v>11369370</v>
      </c>
      <c r="G2069" s="25"/>
      <c r="H2069" s="11"/>
      <c r="I2069" s="21"/>
      <c r="J2069" s="21"/>
      <c r="K2069" s="21"/>
      <c r="L2069" s="21"/>
      <c r="M2069" s="21"/>
      <c r="N2069" s="21"/>
    </row>
    <row r="2070" spans="1:14" ht="15.75" customHeight="1" x14ac:dyDescent="0.25">
      <c r="A2070" s="7"/>
      <c r="B2070" s="343" t="s">
        <v>343</v>
      </c>
      <c r="C2070" s="344"/>
      <c r="D2070" s="344"/>
      <c r="E2070" s="334"/>
      <c r="F2070" s="108">
        <v>1250630.7</v>
      </c>
      <c r="G2070" s="25"/>
      <c r="H2070" s="11"/>
      <c r="I2070" s="21"/>
      <c r="J2070" s="21"/>
      <c r="K2070" s="21"/>
      <c r="L2070" s="21"/>
      <c r="M2070" s="21"/>
      <c r="N2070" s="21"/>
    </row>
    <row r="2071" spans="1:14" ht="15.75" customHeight="1" x14ac:dyDescent="0.25">
      <c r="A2071" s="7"/>
      <c r="B2071" s="345" t="s">
        <v>344</v>
      </c>
      <c r="C2071" s="344"/>
      <c r="D2071" s="344"/>
      <c r="E2071" s="334"/>
      <c r="F2071" s="109">
        <f>SUM(F2069:F2070)</f>
        <v>12620000.699999999</v>
      </c>
      <c r="G2071" s="25"/>
      <c r="H2071" s="11"/>
      <c r="I2071" s="21"/>
      <c r="J2071" s="21"/>
      <c r="K2071" s="21"/>
      <c r="L2071" s="21"/>
      <c r="M2071" s="21"/>
      <c r="N2071" s="21"/>
    </row>
    <row r="2072" spans="1:14" ht="15.75" customHeight="1" x14ac:dyDescent="0.25">
      <c r="A2072" s="21"/>
      <c r="B2072" s="21"/>
      <c r="C2072" s="11"/>
      <c r="D2072" s="11"/>
      <c r="E2072" s="21"/>
      <c r="F2072" s="21"/>
      <c r="G2072" s="25"/>
      <c r="H2072" s="11"/>
      <c r="I2072" s="21"/>
      <c r="J2072" s="21"/>
      <c r="K2072" s="21"/>
      <c r="L2072" s="21"/>
      <c r="M2072" s="21"/>
      <c r="N2072" s="21"/>
    </row>
    <row r="2073" spans="1:14" ht="15.75" customHeight="1" x14ac:dyDescent="0.25">
      <c r="A2073" s="31" t="s">
        <v>14</v>
      </c>
      <c r="B2073" s="31" t="s">
        <v>234</v>
      </c>
      <c r="C2073" s="31" t="s">
        <v>16</v>
      </c>
      <c r="D2073" s="31" t="s">
        <v>17</v>
      </c>
      <c r="E2073" s="31" t="s">
        <v>235</v>
      </c>
      <c r="F2073" s="31" t="s">
        <v>236</v>
      </c>
      <c r="G2073" s="25"/>
      <c r="H2073" s="11"/>
      <c r="I2073" s="21"/>
      <c r="J2073" s="21"/>
      <c r="K2073" s="21"/>
      <c r="L2073" s="21"/>
      <c r="M2073" s="21"/>
      <c r="N2073" s="21"/>
    </row>
    <row r="2074" spans="1:14" ht="15.75" customHeight="1" x14ac:dyDescent="0.25">
      <c r="A2074" s="7">
        <v>1</v>
      </c>
      <c r="B2074" s="120" t="s">
        <v>999</v>
      </c>
      <c r="C2074" s="129">
        <v>3</v>
      </c>
      <c r="D2074" s="7" t="s">
        <v>363</v>
      </c>
      <c r="E2074" s="130">
        <v>101000</v>
      </c>
      <c r="F2074" s="130">
        <f>E2074*C2074</f>
        <v>303000</v>
      </c>
      <c r="G2074" s="25"/>
      <c r="H2074" s="11"/>
      <c r="I2074" s="21"/>
      <c r="J2074" s="21"/>
      <c r="K2074" s="21"/>
      <c r="L2074" s="21"/>
      <c r="M2074" s="21"/>
      <c r="N2074" s="21"/>
    </row>
    <row r="2075" spans="1:14" ht="15.75" customHeight="1" x14ac:dyDescent="0.25">
      <c r="A2075" s="7"/>
      <c r="B2075" s="343" t="s">
        <v>342</v>
      </c>
      <c r="C2075" s="344"/>
      <c r="D2075" s="344"/>
      <c r="E2075" s="334"/>
      <c r="F2075" s="104">
        <f>SUM(F2074)</f>
        <v>303000</v>
      </c>
      <c r="G2075" s="25"/>
      <c r="H2075" s="11"/>
      <c r="I2075" s="21"/>
      <c r="J2075" s="21"/>
      <c r="K2075" s="21"/>
      <c r="L2075" s="21"/>
      <c r="M2075" s="21"/>
      <c r="N2075" s="21"/>
    </row>
    <row r="2076" spans="1:14" ht="15.75" customHeight="1" x14ac:dyDescent="0.25">
      <c r="A2076" s="7"/>
      <c r="B2076" s="343" t="s">
        <v>343</v>
      </c>
      <c r="C2076" s="344"/>
      <c r="D2076" s="344"/>
      <c r="E2076" s="334"/>
      <c r="F2076" s="104">
        <v>33330</v>
      </c>
      <c r="G2076" s="25"/>
      <c r="H2076" s="11"/>
      <c r="I2076" s="21"/>
      <c r="J2076" s="21"/>
      <c r="K2076" s="21"/>
      <c r="L2076" s="21"/>
      <c r="M2076" s="21"/>
      <c r="N2076" s="21"/>
    </row>
    <row r="2077" spans="1:14" ht="15.75" customHeight="1" x14ac:dyDescent="0.25">
      <c r="A2077" s="7"/>
      <c r="B2077" s="345" t="s">
        <v>344</v>
      </c>
      <c r="C2077" s="344"/>
      <c r="D2077" s="344"/>
      <c r="E2077" s="334"/>
      <c r="F2077" s="107">
        <f>SUM(F2075:F2076)</f>
        <v>336330</v>
      </c>
      <c r="G2077" s="25"/>
      <c r="H2077" s="11"/>
      <c r="I2077" s="21"/>
      <c r="J2077" s="21"/>
      <c r="K2077" s="21"/>
      <c r="L2077" s="21"/>
      <c r="M2077" s="21"/>
      <c r="N2077" s="21"/>
    </row>
    <row r="2078" spans="1:14" ht="15.75" customHeight="1" x14ac:dyDescent="0.25">
      <c r="A2078" s="21"/>
      <c r="B2078" s="21"/>
      <c r="C2078" s="11"/>
      <c r="D2078" s="11"/>
      <c r="E2078" s="21"/>
      <c r="F2078" s="21"/>
      <c r="G2078" s="25"/>
      <c r="H2078" s="11"/>
      <c r="I2078" s="21"/>
      <c r="J2078" s="21"/>
      <c r="K2078" s="21"/>
      <c r="L2078" s="21"/>
      <c r="M2078" s="21"/>
      <c r="N2078" s="21"/>
    </row>
    <row r="2079" spans="1:14" ht="15.75" customHeight="1" x14ac:dyDescent="0.25">
      <c r="A2079" s="31" t="s">
        <v>14</v>
      </c>
      <c r="B2079" s="31" t="s">
        <v>234</v>
      </c>
      <c r="C2079" s="31" t="s">
        <v>16</v>
      </c>
      <c r="D2079" s="31" t="s">
        <v>17</v>
      </c>
      <c r="E2079" s="31" t="s">
        <v>235</v>
      </c>
      <c r="F2079" s="31" t="s">
        <v>236</v>
      </c>
      <c r="G2079" s="25"/>
      <c r="H2079" s="11"/>
      <c r="I2079" s="21"/>
      <c r="J2079" s="21"/>
      <c r="K2079" s="21"/>
      <c r="L2079" s="21"/>
      <c r="M2079" s="21"/>
      <c r="N2079" s="21"/>
    </row>
    <row r="2080" spans="1:14" ht="15.75" customHeight="1" x14ac:dyDescent="0.25">
      <c r="A2080" s="7">
        <v>1</v>
      </c>
      <c r="B2080" s="120" t="s">
        <v>1000</v>
      </c>
      <c r="C2080" s="129">
        <v>2</v>
      </c>
      <c r="D2080" s="7" t="s">
        <v>363</v>
      </c>
      <c r="E2080" s="130">
        <v>100510</v>
      </c>
      <c r="F2080" s="130">
        <f>E2080*C2080</f>
        <v>201020</v>
      </c>
      <c r="G2080" s="25"/>
      <c r="H2080" s="11"/>
      <c r="I2080" s="21"/>
      <c r="J2080" s="21"/>
      <c r="K2080" s="21"/>
      <c r="L2080" s="21"/>
      <c r="M2080" s="21"/>
      <c r="N2080" s="21"/>
    </row>
    <row r="2081" spans="1:14" ht="15.75" customHeight="1" x14ac:dyDescent="0.25">
      <c r="A2081" s="7"/>
      <c r="B2081" s="343" t="s">
        <v>342</v>
      </c>
      <c r="C2081" s="344"/>
      <c r="D2081" s="344"/>
      <c r="E2081" s="334"/>
      <c r="F2081" s="104">
        <f>SUM(F2080)</f>
        <v>201020</v>
      </c>
      <c r="G2081" s="25"/>
      <c r="H2081" s="11"/>
      <c r="I2081" s="21"/>
      <c r="J2081" s="21"/>
      <c r="K2081" s="21"/>
      <c r="L2081" s="21"/>
      <c r="M2081" s="21"/>
      <c r="N2081" s="21"/>
    </row>
    <row r="2082" spans="1:14" ht="15.75" customHeight="1" x14ac:dyDescent="0.25">
      <c r="A2082" s="7"/>
      <c r="B2082" s="343" t="s">
        <v>343</v>
      </c>
      <c r="C2082" s="344"/>
      <c r="D2082" s="344"/>
      <c r="E2082" s="334"/>
      <c r="F2082" s="108">
        <v>22112.2</v>
      </c>
      <c r="G2082" s="25"/>
      <c r="H2082" s="11"/>
      <c r="I2082" s="21"/>
      <c r="J2082" s="21"/>
      <c r="K2082" s="21"/>
      <c r="L2082" s="21"/>
      <c r="M2082" s="21"/>
      <c r="N2082" s="21"/>
    </row>
    <row r="2083" spans="1:14" ht="15.75" customHeight="1" x14ac:dyDescent="0.25">
      <c r="A2083" s="7"/>
      <c r="B2083" s="345" t="s">
        <v>344</v>
      </c>
      <c r="C2083" s="344"/>
      <c r="D2083" s="344"/>
      <c r="E2083" s="334"/>
      <c r="F2083" s="109">
        <f>SUM(F2081:F2082)</f>
        <v>223132.2</v>
      </c>
      <c r="G2083" s="25"/>
      <c r="H2083" s="11"/>
      <c r="I2083" s="21"/>
      <c r="J2083" s="21"/>
      <c r="K2083" s="21"/>
      <c r="L2083" s="21"/>
      <c r="M2083" s="21"/>
      <c r="N2083" s="21"/>
    </row>
    <row r="2084" spans="1:14" ht="15.75" customHeight="1" x14ac:dyDescent="0.25">
      <c r="A2084" s="21"/>
      <c r="B2084" s="21"/>
      <c r="C2084" s="11"/>
      <c r="D2084" s="11"/>
      <c r="E2084" s="21"/>
      <c r="F2084" s="21"/>
      <c r="G2084" s="25"/>
      <c r="H2084" s="11"/>
      <c r="I2084" s="21"/>
      <c r="J2084" s="21"/>
      <c r="K2084" s="21"/>
      <c r="L2084" s="21"/>
      <c r="M2084" s="21"/>
      <c r="N2084" s="21"/>
    </row>
    <row r="2085" spans="1:14" ht="15.75" customHeight="1" x14ac:dyDescent="0.25">
      <c r="A2085" s="31" t="s">
        <v>14</v>
      </c>
      <c r="B2085" s="31" t="s">
        <v>234</v>
      </c>
      <c r="C2085" s="31" t="s">
        <v>16</v>
      </c>
      <c r="D2085" s="31" t="s">
        <v>17</v>
      </c>
      <c r="E2085" s="31" t="s">
        <v>235</v>
      </c>
      <c r="F2085" s="31" t="s">
        <v>236</v>
      </c>
      <c r="G2085" s="25"/>
      <c r="H2085" s="11"/>
      <c r="I2085" s="21"/>
      <c r="J2085" s="21"/>
      <c r="K2085" s="21"/>
      <c r="L2085" s="21"/>
      <c r="M2085" s="21"/>
      <c r="N2085" s="21"/>
    </row>
    <row r="2086" spans="1:14" ht="15.75" customHeight="1" x14ac:dyDescent="0.25">
      <c r="A2086" s="10">
        <v>1</v>
      </c>
      <c r="B2086" s="120" t="s">
        <v>1001</v>
      </c>
      <c r="C2086" s="7">
        <v>4</v>
      </c>
      <c r="D2086" s="7" t="s">
        <v>19</v>
      </c>
      <c r="E2086" s="104">
        <v>80000</v>
      </c>
      <c r="F2086" s="104">
        <f t="shared" ref="F2086:F2098" si="16">E2086*C2086</f>
        <v>320000</v>
      </c>
      <c r="G2086" s="25"/>
      <c r="H2086" s="11"/>
      <c r="I2086" s="21"/>
      <c r="J2086" s="21"/>
      <c r="K2086" s="21"/>
      <c r="L2086" s="21"/>
      <c r="M2086" s="21"/>
      <c r="N2086" s="21"/>
    </row>
    <row r="2087" spans="1:14" ht="15.75" customHeight="1" x14ac:dyDescent="0.25">
      <c r="A2087" s="7">
        <v>2</v>
      </c>
      <c r="B2087" s="124" t="s">
        <v>1002</v>
      </c>
      <c r="C2087" s="7">
        <v>2</v>
      </c>
      <c r="D2087" s="7" t="s">
        <v>19</v>
      </c>
      <c r="E2087" s="104">
        <v>198000</v>
      </c>
      <c r="F2087" s="104">
        <f t="shared" si="16"/>
        <v>396000</v>
      </c>
      <c r="G2087" s="25"/>
      <c r="H2087" s="11"/>
      <c r="I2087" s="21"/>
      <c r="J2087" s="21"/>
      <c r="K2087" s="21"/>
      <c r="L2087" s="21"/>
      <c r="M2087" s="21"/>
      <c r="N2087" s="21"/>
    </row>
    <row r="2088" spans="1:14" ht="15.75" customHeight="1" x14ac:dyDescent="0.25">
      <c r="A2088" s="7">
        <v>3</v>
      </c>
      <c r="B2088" s="131" t="s">
        <v>1001</v>
      </c>
      <c r="C2088" s="7">
        <v>4</v>
      </c>
      <c r="D2088" s="7" t="s">
        <v>19</v>
      </c>
      <c r="E2088" s="104">
        <v>80000</v>
      </c>
      <c r="F2088" s="104">
        <f t="shared" si="16"/>
        <v>320000</v>
      </c>
      <c r="G2088" s="25"/>
      <c r="H2088" s="11"/>
      <c r="I2088" s="21"/>
      <c r="J2088" s="21"/>
      <c r="K2088" s="21"/>
      <c r="L2088" s="21"/>
      <c r="M2088" s="21"/>
      <c r="N2088" s="21"/>
    </row>
    <row r="2089" spans="1:14" ht="15.75" customHeight="1" x14ac:dyDescent="0.25">
      <c r="A2089" s="7">
        <v>4</v>
      </c>
      <c r="B2089" s="35" t="s">
        <v>1002</v>
      </c>
      <c r="C2089" s="7">
        <v>2</v>
      </c>
      <c r="D2089" s="7" t="s">
        <v>19</v>
      </c>
      <c r="E2089" s="104">
        <v>198000</v>
      </c>
      <c r="F2089" s="104">
        <f t="shared" si="16"/>
        <v>396000</v>
      </c>
      <c r="G2089" s="25"/>
      <c r="H2089" s="11"/>
      <c r="I2089" s="21"/>
      <c r="J2089" s="21"/>
      <c r="K2089" s="21"/>
      <c r="L2089" s="21"/>
      <c r="M2089" s="21"/>
      <c r="N2089" s="21"/>
    </row>
    <row r="2090" spans="1:14" ht="15.75" customHeight="1" x14ac:dyDescent="0.25">
      <c r="A2090" s="7">
        <v>5</v>
      </c>
      <c r="B2090" s="41" t="s">
        <v>1001</v>
      </c>
      <c r="C2090" s="7">
        <v>4</v>
      </c>
      <c r="D2090" s="7" t="s">
        <v>19</v>
      </c>
      <c r="E2090" s="104">
        <v>80000</v>
      </c>
      <c r="F2090" s="104">
        <f t="shared" si="16"/>
        <v>320000</v>
      </c>
      <c r="G2090" s="25"/>
      <c r="H2090" s="11"/>
      <c r="I2090" s="21"/>
      <c r="J2090" s="21"/>
      <c r="K2090" s="21"/>
      <c r="L2090" s="21"/>
      <c r="M2090" s="21"/>
      <c r="N2090" s="21"/>
    </row>
    <row r="2091" spans="1:14" ht="15.75" customHeight="1" x14ac:dyDescent="0.25">
      <c r="A2091" s="7">
        <v>6</v>
      </c>
      <c r="B2091" s="35" t="s">
        <v>1002</v>
      </c>
      <c r="C2091" s="7">
        <v>2</v>
      </c>
      <c r="D2091" s="7" t="s">
        <v>19</v>
      </c>
      <c r="E2091" s="104">
        <v>198000</v>
      </c>
      <c r="F2091" s="104">
        <f t="shared" si="16"/>
        <v>396000</v>
      </c>
      <c r="G2091" s="25"/>
      <c r="H2091" s="11"/>
      <c r="I2091" s="21"/>
      <c r="J2091" s="21"/>
      <c r="K2091" s="21"/>
      <c r="L2091" s="21"/>
      <c r="M2091" s="21"/>
      <c r="N2091" s="21"/>
    </row>
    <row r="2092" spans="1:14" ht="15.75" customHeight="1" x14ac:dyDescent="0.25">
      <c r="A2092" s="7">
        <v>7</v>
      </c>
      <c r="B2092" s="41" t="s">
        <v>1001</v>
      </c>
      <c r="C2092" s="7">
        <v>4</v>
      </c>
      <c r="D2092" s="7" t="s">
        <v>19</v>
      </c>
      <c r="E2092" s="104">
        <v>80000</v>
      </c>
      <c r="F2092" s="104">
        <f t="shared" si="16"/>
        <v>320000</v>
      </c>
      <c r="G2092" s="25"/>
      <c r="H2092" s="11"/>
      <c r="I2092" s="21"/>
      <c r="J2092" s="21"/>
      <c r="K2092" s="21"/>
      <c r="L2092" s="21"/>
      <c r="M2092" s="21"/>
      <c r="N2092" s="21"/>
    </row>
    <row r="2093" spans="1:14" ht="15.75" customHeight="1" x14ac:dyDescent="0.25">
      <c r="A2093" s="7">
        <v>8</v>
      </c>
      <c r="B2093" s="35" t="s">
        <v>1003</v>
      </c>
      <c r="C2093" s="7">
        <v>4</v>
      </c>
      <c r="D2093" s="7" t="s">
        <v>19</v>
      </c>
      <c r="E2093" s="104">
        <v>26800</v>
      </c>
      <c r="F2093" s="104">
        <f t="shared" si="16"/>
        <v>107200</v>
      </c>
      <c r="G2093" s="25"/>
      <c r="H2093" s="11"/>
      <c r="I2093" s="21"/>
      <c r="J2093" s="21"/>
      <c r="K2093" s="21"/>
      <c r="L2093" s="21"/>
      <c r="M2093" s="21"/>
      <c r="N2093" s="21"/>
    </row>
    <row r="2094" spans="1:14" ht="15.75" customHeight="1" x14ac:dyDescent="0.25">
      <c r="A2094" s="7">
        <v>9</v>
      </c>
      <c r="B2094" s="35" t="s">
        <v>1004</v>
      </c>
      <c r="C2094" s="7">
        <v>6</v>
      </c>
      <c r="D2094" s="7" t="s">
        <v>19</v>
      </c>
      <c r="E2094" s="104">
        <v>217000</v>
      </c>
      <c r="F2094" s="104">
        <f t="shared" si="16"/>
        <v>1302000</v>
      </c>
      <c r="G2094" s="25"/>
      <c r="H2094" s="11"/>
      <c r="I2094" s="21"/>
      <c r="J2094" s="21"/>
      <c r="K2094" s="21"/>
      <c r="L2094" s="21"/>
      <c r="M2094" s="21"/>
      <c r="N2094" s="21"/>
    </row>
    <row r="2095" spans="1:14" ht="15.75" customHeight="1" x14ac:dyDescent="0.25">
      <c r="A2095" s="7">
        <v>10</v>
      </c>
      <c r="B2095" s="35" t="s">
        <v>1005</v>
      </c>
      <c r="C2095" s="7">
        <v>4</v>
      </c>
      <c r="D2095" s="7" t="s">
        <v>19</v>
      </c>
      <c r="E2095" s="104">
        <v>26800</v>
      </c>
      <c r="F2095" s="104">
        <f t="shared" si="16"/>
        <v>107200</v>
      </c>
      <c r="G2095" s="25"/>
      <c r="H2095" s="11"/>
      <c r="I2095" s="21"/>
      <c r="J2095" s="21"/>
      <c r="K2095" s="21"/>
      <c r="L2095" s="21"/>
      <c r="M2095" s="21"/>
      <c r="N2095" s="21"/>
    </row>
    <row r="2096" spans="1:14" ht="15.75" customHeight="1" x14ac:dyDescent="0.25">
      <c r="A2096" s="7">
        <v>11</v>
      </c>
      <c r="B2096" s="35" t="s">
        <v>1006</v>
      </c>
      <c r="C2096" s="7">
        <v>4</v>
      </c>
      <c r="D2096" s="7" t="s">
        <v>19</v>
      </c>
      <c r="E2096" s="104">
        <v>26800</v>
      </c>
      <c r="F2096" s="104">
        <f t="shared" si="16"/>
        <v>107200</v>
      </c>
      <c r="G2096" s="25"/>
      <c r="H2096" s="11"/>
      <c r="I2096" s="21"/>
      <c r="J2096" s="21"/>
      <c r="K2096" s="21"/>
      <c r="L2096" s="21"/>
      <c r="M2096" s="21"/>
      <c r="N2096" s="21"/>
    </row>
    <row r="2097" spans="1:14" ht="15.75" customHeight="1" x14ac:dyDescent="0.25">
      <c r="A2097" s="7">
        <v>12</v>
      </c>
      <c r="B2097" s="35" t="s">
        <v>1005</v>
      </c>
      <c r="C2097" s="7">
        <v>4</v>
      </c>
      <c r="D2097" s="7" t="s">
        <v>19</v>
      </c>
      <c r="E2097" s="104">
        <v>26800</v>
      </c>
      <c r="F2097" s="104">
        <f t="shared" si="16"/>
        <v>107200</v>
      </c>
      <c r="G2097" s="25"/>
      <c r="H2097" s="11"/>
      <c r="I2097" s="21"/>
      <c r="J2097" s="21"/>
      <c r="K2097" s="21"/>
      <c r="L2097" s="21"/>
      <c r="M2097" s="21"/>
      <c r="N2097" s="21"/>
    </row>
    <row r="2098" spans="1:14" ht="15.75" customHeight="1" x14ac:dyDescent="0.25">
      <c r="A2098" s="7">
        <v>13</v>
      </c>
      <c r="B2098" s="35" t="s">
        <v>1007</v>
      </c>
      <c r="C2098" s="7">
        <v>5</v>
      </c>
      <c r="D2098" s="7" t="s">
        <v>19</v>
      </c>
      <c r="E2098" s="104">
        <v>41600</v>
      </c>
      <c r="F2098" s="104">
        <f t="shared" si="16"/>
        <v>208000</v>
      </c>
      <c r="G2098" s="25"/>
      <c r="H2098" s="11"/>
      <c r="I2098" s="21"/>
      <c r="J2098" s="21"/>
      <c r="K2098" s="21"/>
      <c r="L2098" s="21"/>
      <c r="M2098" s="21"/>
      <c r="N2098" s="21"/>
    </row>
    <row r="2099" spans="1:14" ht="15.75" customHeight="1" x14ac:dyDescent="0.25">
      <c r="A2099" s="7"/>
      <c r="B2099" s="343" t="s">
        <v>342</v>
      </c>
      <c r="C2099" s="344"/>
      <c r="D2099" s="344"/>
      <c r="E2099" s="334"/>
      <c r="F2099" s="104">
        <f>SUM(F2086:F2098)</f>
        <v>4406800</v>
      </c>
      <c r="G2099" s="25"/>
      <c r="H2099" s="11"/>
      <c r="I2099" s="21"/>
      <c r="J2099" s="21"/>
      <c r="K2099" s="21"/>
      <c r="L2099" s="21"/>
      <c r="M2099" s="21"/>
      <c r="N2099" s="21"/>
    </row>
    <row r="2100" spans="1:14" ht="15.75" customHeight="1" x14ac:dyDescent="0.25">
      <c r="A2100" s="7"/>
      <c r="B2100" s="343" t="s">
        <v>986</v>
      </c>
      <c r="C2100" s="344"/>
      <c r="D2100" s="344"/>
      <c r="E2100" s="334"/>
      <c r="F2100" s="104">
        <v>132204</v>
      </c>
      <c r="G2100" s="25"/>
      <c r="H2100" s="11"/>
      <c r="I2100" s="21"/>
      <c r="J2100" s="21"/>
      <c r="K2100" s="21"/>
      <c r="L2100" s="21"/>
      <c r="M2100" s="21"/>
      <c r="N2100" s="21"/>
    </row>
    <row r="2101" spans="1:14" ht="15.75" customHeight="1" x14ac:dyDescent="0.25">
      <c r="A2101" s="7"/>
      <c r="B2101" s="343" t="s">
        <v>344</v>
      </c>
      <c r="C2101" s="344"/>
      <c r="D2101" s="344"/>
      <c r="E2101" s="334"/>
      <c r="F2101" s="104">
        <f>F2099-F2100</f>
        <v>4274596</v>
      </c>
      <c r="G2101" s="25"/>
      <c r="H2101" s="11"/>
      <c r="I2101" s="21"/>
      <c r="J2101" s="21"/>
      <c r="K2101" s="21"/>
      <c r="L2101" s="21"/>
      <c r="M2101" s="21"/>
      <c r="N2101" s="21"/>
    </row>
    <row r="2102" spans="1:14" ht="15.75" customHeight="1" x14ac:dyDescent="0.25">
      <c r="A2102" s="7"/>
      <c r="B2102" s="343" t="s">
        <v>343</v>
      </c>
      <c r="C2102" s="344"/>
      <c r="D2102" s="344"/>
      <c r="E2102" s="334"/>
      <c r="F2102" s="104">
        <v>470205.56</v>
      </c>
      <c r="G2102" s="25"/>
      <c r="H2102" s="11"/>
      <c r="I2102" s="21"/>
      <c r="J2102" s="21"/>
      <c r="K2102" s="21"/>
      <c r="L2102" s="21"/>
      <c r="M2102" s="21"/>
      <c r="N2102" s="21"/>
    </row>
    <row r="2103" spans="1:14" ht="15.75" customHeight="1" x14ac:dyDescent="0.25">
      <c r="A2103" s="7"/>
      <c r="B2103" s="106" t="s">
        <v>344</v>
      </c>
      <c r="C2103" s="145"/>
      <c r="D2103" s="145"/>
      <c r="E2103" s="146"/>
      <c r="F2103" s="107">
        <f>SUM(F2101:F2102)</f>
        <v>4744801.5599999996</v>
      </c>
      <c r="G2103" s="25"/>
      <c r="H2103" s="11"/>
      <c r="I2103" s="21"/>
      <c r="J2103" s="21"/>
      <c r="K2103" s="21"/>
      <c r="L2103" s="21"/>
      <c r="M2103" s="21"/>
      <c r="N2103" s="21"/>
    </row>
    <row r="2104" spans="1:14" ht="15.75" customHeight="1" x14ac:dyDescent="0.25">
      <c r="A2104" s="21"/>
      <c r="B2104" s="21"/>
      <c r="C2104" s="11"/>
      <c r="D2104" s="11"/>
      <c r="E2104" s="21"/>
      <c r="F2104" s="21"/>
      <c r="G2104" s="25"/>
      <c r="H2104" s="11"/>
      <c r="I2104" s="21"/>
      <c r="J2104" s="21"/>
      <c r="K2104" s="21"/>
      <c r="L2104" s="21"/>
      <c r="M2104" s="21"/>
      <c r="N2104" s="21"/>
    </row>
    <row r="2105" spans="1:14" ht="15.75" customHeight="1" x14ac:dyDescent="0.25">
      <c r="A2105" s="31" t="s">
        <v>351</v>
      </c>
      <c r="B2105" s="31" t="s">
        <v>234</v>
      </c>
      <c r="C2105" s="31" t="s">
        <v>16</v>
      </c>
      <c r="D2105" s="31" t="s">
        <v>17</v>
      </c>
      <c r="E2105" s="31" t="s">
        <v>235</v>
      </c>
      <c r="F2105" s="31" t="s">
        <v>236</v>
      </c>
      <c r="G2105" s="25"/>
      <c r="H2105" s="11"/>
      <c r="I2105" s="21"/>
      <c r="J2105" s="21"/>
      <c r="K2105" s="21"/>
      <c r="L2105" s="21"/>
      <c r="M2105" s="21"/>
      <c r="N2105" s="21"/>
    </row>
    <row r="2106" spans="1:14" ht="15.75" customHeight="1" x14ac:dyDescent="0.25">
      <c r="A2106" s="7">
        <v>1</v>
      </c>
      <c r="B2106" s="41" t="s">
        <v>1008</v>
      </c>
      <c r="C2106" s="7">
        <v>2</v>
      </c>
      <c r="D2106" s="7" t="s">
        <v>243</v>
      </c>
      <c r="E2106" s="104">
        <v>58000000</v>
      </c>
      <c r="F2106" s="104">
        <f>E2106*C2106</f>
        <v>116000000</v>
      </c>
      <c r="G2106" s="25"/>
      <c r="H2106" s="11"/>
      <c r="I2106" s="21"/>
      <c r="J2106" s="21"/>
      <c r="K2106" s="21"/>
      <c r="L2106" s="21"/>
      <c r="M2106" s="21"/>
      <c r="N2106" s="21"/>
    </row>
    <row r="2107" spans="1:14" ht="15.75" customHeight="1" x14ac:dyDescent="0.25">
      <c r="A2107" s="7">
        <v>2</v>
      </c>
      <c r="B2107" s="41" t="s">
        <v>1009</v>
      </c>
      <c r="C2107" s="7">
        <v>2</v>
      </c>
      <c r="D2107" s="7" t="s">
        <v>243</v>
      </c>
      <c r="E2107" s="104">
        <v>65000000</v>
      </c>
      <c r="F2107" s="104">
        <f>E2107*C2107</f>
        <v>130000000</v>
      </c>
      <c r="G2107" s="25"/>
      <c r="H2107" s="11"/>
      <c r="I2107" s="21"/>
      <c r="J2107" s="21"/>
      <c r="K2107" s="21"/>
      <c r="L2107" s="21"/>
      <c r="M2107" s="21"/>
      <c r="N2107" s="21"/>
    </row>
    <row r="2108" spans="1:14" ht="15.75" customHeight="1" x14ac:dyDescent="0.25">
      <c r="A2108" s="7"/>
      <c r="B2108" s="343" t="s">
        <v>342</v>
      </c>
      <c r="C2108" s="344"/>
      <c r="D2108" s="344"/>
      <c r="E2108" s="334"/>
      <c r="F2108" s="104">
        <f>SUM(F2106:F2107)</f>
        <v>246000000</v>
      </c>
      <c r="G2108" s="25"/>
      <c r="H2108" s="11"/>
      <c r="I2108" s="21"/>
      <c r="J2108" s="21"/>
      <c r="K2108" s="21"/>
      <c r="L2108" s="21"/>
      <c r="M2108" s="21"/>
      <c r="N2108" s="21"/>
    </row>
    <row r="2109" spans="1:14" ht="15.75" customHeight="1" x14ac:dyDescent="0.25">
      <c r="A2109" s="7"/>
      <c r="B2109" s="343" t="s">
        <v>429</v>
      </c>
      <c r="C2109" s="344"/>
      <c r="D2109" s="344"/>
      <c r="E2109" s="334"/>
      <c r="F2109" s="104">
        <v>98400000</v>
      </c>
      <c r="G2109" s="25"/>
      <c r="H2109" s="11"/>
      <c r="I2109" s="21"/>
      <c r="J2109" s="21"/>
      <c r="K2109" s="21"/>
      <c r="L2109" s="21"/>
      <c r="M2109" s="21"/>
      <c r="N2109" s="21"/>
    </row>
    <row r="2110" spans="1:14" ht="15.75" customHeight="1" x14ac:dyDescent="0.25">
      <c r="A2110" s="7"/>
      <c r="B2110" s="343" t="s">
        <v>343</v>
      </c>
      <c r="C2110" s="344"/>
      <c r="D2110" s="344"/>
      <c r="E2110" s="334"/>
      <c r="F2110" s="104">
        <v>10824000</v>
      </c>
      <c r="G2110" s="25"/>
      <c r="H2110" s="11"/>
      <c r="I2110" s="21"/>
      <c r="J2110" s="21"/>
      <c r="K2110" s="21"/>
      <c r="L2110" s="21"/>
      <c r="M2110" s="21"/>
      <c r="N2110" s="21"/>
    </row>
    <row r="2111" spans="1:14" ht="15.75" customHeight="1" x14ac:dyDescent="0.25">
      <c r="A2111" s="7"/>
      <c r="B2111" s="106" t="s">
        <v>344</v>
      </c>
      <c r="C2111" s="145"/>
      <c r="D2111" s="145"/>
      <c r="E2111" s="146"/>
      <c r="F2111" s="107">
        <f>SUM(F2109:F2110)</f>
        <v>109224000</v>
      </c>
      <c r="G2111" s="25"/>
      <c r="H2111" s="11"/>
      <c r="I2111" s="21"/>
      <c r="J2111" s="21"/>
      <c r="K2111" s="21"/>
      <c r="L2111" s="21"/>
      <c r="M2111" s="21"/>
      <c r="N2111" s="21"/>
    </row>
    <row r="2112" spans="1:14" ht="15.75" customHeight="1" x14ac:dyDescent="0.25">
      <c r="A2112" s="21"/>
      <c r="B2112" s="21"/>
      <c r="C2112" s="11"/>
      <c r="D2112" s="11"/>
      <c r="E2112" s="21"/>
      <c r="F2112" s="21"/>
      <c r="G2112" s="25"/>
      <c r="H2112" s="11"/>
      <c r="I2112" s="21"/>
      <c r="J2112" s="21"/>
      <c r="K2112" s="21"/>
      <c r="L2112" s="21"/>
      <c r="M2112" s="21"/>
      <c r="N2112" s="21"/>
    </row>
    <row r="2113" spans="1:14" ht="15.75" customHeight="1" x14ac:dyDescent="0.25">
      <c r="A2113" s="31" t="s">
        <v>14</v>
      </c>
      <c r="B2113" s="31" t="s">
        <v>234</v>
      </c>
      <c r="C2113" s="31" t="s">
        <v>16</v>
      </c>
      <c r="D2113" s="31" t="s">
        <v>17</v>
      </c>
      <c r="E2113" s="31" t="s">
        <v>235</v>
      </c>
      <c r="F2113" s="31" t="s">
        <v>236</v>
      </c>
      <c r="G2113" s="25"/>
      <c r="H2113" s="11"/>
      <c r="I2113" s="21"/>
      <c r="J2113" s="21"/>
      <c r="K2113" s="21"/>
      <c r="L2113" s="21"/>
      <c r="M2113" s="21"/>
      <c r="N2113" s="21"/>
    </row>
    <row r="2114" spans="1:14" ht="15.75" customHeight="1" x14ac:dyDescent="0.25">
      <c r="A2114" s="10">
        <v>1</v>
      </c>
      <c r="B2114" s="124" t="s">
        <v>1010</v>
      </c>
      <c r="C2114" s="7">
        <v>20</v>
      </c>
      <c r="D2114" s="7" t="s">
        <v>363</v>
      </c>
      <c r="E2114" s="104">
        <v>8730</v>
      </c>
      <c r="F2114" s="104">
        <f t="shared" ref="F2114:F2120" si="17">E2114*C2114</f>
        <v>174600</v>
      </c>
      <c r="G2114" s="25"/>
      <c r="H2114" s="11"/>
      <c r="I2114" s="21"/>
      <c r="J2114" s="21"/>
      <c r="K2114" s="21"/>
      <c r="L2114" s="21"/>
      <c r="M2114" s="21"/>
      <c r="N2114" s="21"/>
    </row>
    <row r="2115" spans="1:14" ht="15.75" customHeight="1" x14ac:dyDescent="0.25">
      <c r="A2115" s="7">
        <v>2</v>
      </c>
      <c r="B2115" s="120" t="s">
        <v>1011</v>
      </c>
      <c r="C2115" s="7">
        <v>20</v>
      </c>
      <c r="D2115" s="7" t="s">
        <v>363</v>
      </c>
      <c r="E2115" s="104">
        <v>6790</v>
      </c>
      <c r="F2115" s="104">
        <f t="shared" si="17"/>
        <v>135800</v>
      </c>
      <c r="G2115" s="25"/>
      <c r="H2115" s="11"/>
      <c r="I2115" s="21"/>
      <c r="J2115" s="21"/>
      <c r="K2115" s="21"/>
      <c r="L2115" s="21"/>
      <c r="M2115" s="21"/>
      <c r="N2115" s="21"/>
    </row>
    <row r="2116" spans="1:14" ht="15.75" customHeight="1" x14ac:dyDescent="0.25">
      <c r="A2116" s="7">
        <v>3</v>
      </c>
      <c r="B2116" s="131" t="s">
        <v>1012</v>
      </c>
      <c r="C2116" s="7">
        <v>35</v>
      </c>
      <c r="D2116" s="7" t="s">
        <v>363</v>
      </c>
      <c r="E2116" s="104">
        <v>12125</v>
      </c>
      <c r="F2116" s="104">
        <f t="shared" si="17"/>
        <v>424375</v>
      </c>
      <c r="G2116" s="25"/>
      <c r="H2116" s="11"/>
      <c r="I2116" s="21"/>
      <c r="J2116" s="21"/>
      <c r="K2116" s="21"/>
      <c r="L2116" s="21"/>
      <c r="M2116" s="21"/>
      <c r="N2116" s="21"/>
    </row>
    <row r="2117" spans="1:14" ht="15.75" customHeight="1" x14ac:dyDescent="0.25">
      <c r="A2117" s="7">
        <v>4</v>
      </c>
      <c r="B2117" s="61" t="s">
        <v>1013</v>
      </c>
      <c r="C2117" s="7">
        <v>35</v>
      </c>
      <c r="D2117" s="7" t="s">
        <v>363</v>
      </c>
      <c r="E2117" s="104">
        <v>10185</v>
      </c>
      <c r="F2117" s="104">
        <f t="shared" si="17"/>
        <v>356475</v>
      </c>
      <c r="G2117" s="25"/>
      <c r="H2117" s="11"/>
      <c r="I2117" s="21"/>
      <c r="J2117" s="21"/>
      <c r="K2117" s="21"/>
      <c r="L2117" s="21"/>
      <c r="M2117" s="21"/>
      <c r="N2117" s="21"/>
    </row>
    <row r="2118" spans="1:14" ht="15.75" customHeight="1" x14ac:dyDescent="0.25">
      <c r="A2118" s="7">
        <v>5</v>
      </c>
      <c r="B2118" s="35" t="s">
        <v>1014</v>
      </c>
      <c r="C2118" s="7">
        <v>10</v>
      </c>
      <c r="D2118" s="7" t="s">
        <v>363</v>
      </c>
      <c r="E2118" s="104">
        <v>106700</v>
      </c>
      <c r="F2118" s="104">
        <f t="shared" si="17"/>
        <v>1067000</v>
      </c>
      <c r="G2118" s="25"/>
      <c r="H2118" s="11"/>
      <c r="I2118" s="21"/>
      <c r="J2118" s="21"/>
      <c r="K2118" s="21"/>
      <c r="L2118" s="21"/>
      <c r="M2118" s="21"/>
      <c r="N2118" s="21"/>
    </row>
    <row r="2119" spans="1:14" ht="15.75" customHeight="1" x14ac:dyDescent="0.25">
      <c r="A2119" s="7">
        <v>6</v>
      </c>
      <c r="B2119" s="41" t="s">
        <v>1015</v>
      </c>
      <c r="C2119" s="7">
        <v>35</v>
      </c>
      <c r="D2119" s="7" t="s">
        <v>363</v>
      </c>
      <c r="E2119" s="104">
        <v>87300</v>
      </c>
      <c r="F2119" s="104">
        <f t="shared" si="17"/>
        <v>3055500</v>
      </c>
      <c r="G2119" s="25"/>
      <c r="H2119" s="11"/>
      <c r="I2119" s="21"/>
      <c r="J2119" s="21"/>
      <c r="K2119" s="21"/>
      <c r="L2119" s="21"/>
      <c r="M2119" s="21"/>
      <c r="N2119" s="21"/>
    </row>
    <row r="2120" spans="1:14" ht="15.75" customHeight="1" x14ac:dyDescent="0.25">
      <c r="A2120" s="7">
        <v>7</v>
      </c>
      <c r="B2120" s="41" t="s">
        <v>1015</v>
      </c>
      <c r="C2120" s="7">
        <v>10</v>
      </c>
      <c r="D2120" s="7" t="s">
        <v>363</v>
      </c>
      <c r="E2120" s="104">
        <v>87300</v>
      </c>
      <c r="F2120" s="104">
        <f t="shared" si="17"/>
        <v>873000</v>
      </c>
      <c r="G2120" s="25"/>
      <c r="H2120" s="11"/>
      <c r="I2120" s="21"/>
      <c r="J2120" s="21"/>
      <c r="K2120" s="21"/>
      <c r="L2120" s="21"/>
      <c r="M2120" s="21"/>
      <c r="N2120" s="21"/>
    </row>
    <row r="2121" spans="1:14" ht="15.75" customHeight="1" x14ac:dyDescent="0.25">
      <c r="A2121" s="7"/>
      <c r="B2121" s="343" t="s">
        <v>342</v>
      </c>
      <c r="C2121" s="344"/>
      <c r="D2121" s="344"/>
      <c r="E2121" s="334"/>
      <c r="F2121" s="104">
        <f>SUM(F2114:F2120)</f>
        <v>6086750</v>
      </c>
      <c r="G2121" s="25"/>
      <c r="H2121" s="11"/>
      <c r="I2121" s="21"/>
      <c r="J2121" s="21"/>
      <c r="K2121" s="21"/>
      <c r="L2121" s="21"/>
      <c r="M2121" s="21"/>
      <c r="N2121" s="21"/>
    </row>
    <row r="2122" spans="1:14" ht="15.75" customHeight="1" x14ac:dyDescent="0.25">
      <c r="A2122" s="7"/>
      <c r="B2122" s="343" t="s">
        <v>343</v>
      </c>
      <c r="C2122" s="344"/>
      <c r="D2122" s="344"/>
      <c r="E2122" s="334"/>
      <c r="F2122" s="104">
        <v>669542.5</v>
      </c>
      <c r="G2122" s="25"/>
      <c r="H2122" s="11"/>
      <c r="I2122" s="21"/>
      <c r="J2122" s="21"/>
      <c r="K2122" s="21"/>
      <c r="L2122" s="21"/>
      <c r="M2122" s="21"/>
      <c r="N2122" s="21"/>
    </row>
    <row r="2123" spans="1:14" ht="15.75" customHeight="1" x14ac:dyDescent="0.25">
      <c r="A2123" s="7"/>
      <c r="B2123" s="345" t="s">
        <v>344</v>
      </c>
      <c r="C2123" s="344"/>
      <c r="D2123" s="344"/>
      <c r="E2123" s="334"/>
      <c r="F2123" s="107">
        <f>SUM(F2121:F2122)</f>
        <v>6756292.5</v>
      </c>
      <c r="G2123" s="25"/>
      <c r="H2123" s="11"/>
      <c r="I2123" s="21"/>
      <c r="J2123" s="21"/>
      <c r="K2123" s="21"/>
      <c r="L2123" s="21"/>
      <c r="M2123" s="21"/>
      <c r="N2123" s="21"/>
    </row>
    <row r="2124" spans="1:14" ht="15.75" customHeight="1" x14ac:dyDescent="0.25">
      <c r="A2124" s="21"/>
      <c r="B2124" s="21"/>
      <c r="C2124" s="11"/>
      <c r="D2124" s="11"/>
      <c r="E2124" s="21"/>
      <c r="F2124" s="21"/>
      <c r="G2124" s="25"/>
      <c r="H2124" s="11"/>
      <c r="I2124" s="21"/>
      <c r="J2124" s="21"/>
      <c r="K2124" s="21"/>
      <c r="L2124" s="21"/>
      <c r="M2124" s="21"/>
      <c r="N2124" s="21"/>
    </row>
    <row r="2125" spans="1:14" ht="15.75" customHeight="1" x14ac:dyDescent="0.25">
      <c r="A2125" s="31" t="s">
        <v>14</v>
      </c>
      <c r="B2125" s="31" t="s">
        <v>15</v>
      </c>
      <c r="C2125" s="31" t="s">
        <v>16</v>
      </c>
      <c r="D2125" s="31" t="s">
        <v>17</v>
      </c>
      <c r="E2125" s="31" t="s">
        <v>235</v>
      </c>
      <c r="F2125" s="31" t="s">
        <v>236</v>
      </c>
      <c r="G2125" s="25"/>
      <c r="H2125" s="11"/>
      <c r="I2125" s="21"/>
      <c r="J2125" s="21"/>
      <c r="K2125" s="21"/>
      <c r="L2125" s="21"/>
      <c r="M2125" s="21"/>
      <c r="N2125" s="21"/>
    </row>
    <row r="2126" spans="1:14" ht="15.75" customHeight="1" x14ac:dyDescent="0.25">
      <c r="A2126" s="7">
        <v>1</v>
      </c>
      <c r="B2126" s="120" t="s">
        <v>1016</v>
      </c>
      <c r="C2126" s="7">
        <v>3</v>
      </c>
      <c r="D2126" s="7" t="s">
        <v>406</v>
      </c>
      <c r="E2126" s="104">
        <v>833490</v>
      </c>
      <c r="F2126" s="104">
        <f>E2126*C2126</f>
        <v>2500470</v>
      </c>
      <c r="G2126" s="25"/>
      <c r="H2126" s="11"/>
      <c r="I2126" s="21"/>
      <c r="J2126" s="21"/>
      <c r="K2126" s="21"/>
      <c r="L2126" s="21"/>
      <c r="M2126" s="21"/>
      <c r="N2126" s="21"/>
    </row>
    <row r="2127" spans="1:14" ht="15.75" customHeight="1" x14ac:dyDescent="0.25">
      <c r="A2127" s="7">
        <v>2</v>
      </c>
      <c r="B2127" s="124" t="s">
        <v>1017</v>
      </c>
      <c r="C2127" s="7">
        <v>5</v>
      </c>
      <c r="D2127" s="7" t="s">
        <v>406</v>
      </c>
      <c r="E2127" s="104">
        <v>535080</v>
      </c>
      <c r="F2127" s="104">
        <f>E2127*C2127</f>
        <v>2675400</v>
      </c>
      <c r="G2127" s="25"/>
      <c r="H2127" s="11"/>
      <c r="I2127" s="21"/>
      <c r="J2127" s="21"/>
      <c r="K2127" s="21"/>
      <c r="L2127" s="21"/>
      <c r="M2127" s="21"/>
      <c r="N2127" s="21"/>
    </row>
    <row r="2128" spans="1:14" ht="15.75" customHeight="1" x14ac:dyDescent="0.25">
      <c r="A2128" s="7">
        <v>3</v>
      </c>
      <c r="B2128" s="38" t="s">
        <v>1018</v>
      </c>
      <c r="C2128" s="7">
        <v>6</v>
      </c>
      <c r="D2128" s="7" t="s">
        <v>363</v>
      </c>
      <c r="E2128" s="104">
        <v>35084</v>
      </c>
      <c r="F2128" s="104">
        <f>E2128*C2128</f>
        <v>210504</v>
      </c>
      <c r="G2128" s="25"/>
      <c r="H2128" s="11"/>
      <c r="I2128" s="21"/>
      <c r="J2128" s="21"/>
      <c r="K2128" s="21"/>
      <c r="L2128" s="21"/>
      <c r="M2128" s="21"/>
      <c r="N2128" s="21"/>
    </row>
    <row r="2129" spans="1:14" ht="15.75" customHeight="1" x14ac:dyDescent="0.25">
      <c r="A2129" s="7">
        <v>4</v>
      </c>
      <c r="B2129" s="38" t="s">
        <v>1019</v>
      </c>
      <c r="C2129" s="7">
        <v>6</v>
      </c>
      <c r="D2129" s="7" t="s">
        <v>363</v>
      </c>
      <c r="E2129" s="104">
        <v>17444</v>
      </c>
      <c r="F2129" s="104">
        <f>E2129*C2129</f>
        <v>104664</v>
      </c>
      <c r="G2129" s="25"/>
      <c r="H2129" s="11"/>
      <c r="I2129" s="21"/>
      <c r="J2129" s="21"/>
      <c r="K2129" s="21"/>
      <c r="L2129" s="21"/>
      <c r="M2129" s="21"/>
      <c r="N2129" s="21"/>
    </row>
    <row r="2130" spans="1:14" ht="15.75" customHeight="1" x14ac:dyDescent="0.25">
      <c r="A2130" s="7"/>
      <c r="B2130" s="105" t="s">
        <v>342</v>
      </c>
      <c r="C2130" s="125"/>
      <c r="D2130" s="125"/>
      <c r="E2130" s="126"/>
      <c r="F2130" s="104">
        <f>SUM(F2126:F2129)</f>
        <v>5491038</v>
      </c>
      <c r="G2130" s="25"/>
      <c r="H2130" s="11"/>
      <c r="I2130" s="21"/>
      <c r="J2130" s="21"/>
      <c r="K2130" s="21"/>
      <c r="L2130" s="21"/>
      <c r="M2130" s="21"/>
      <c r="N2130" s="21"/>
    </row>
    <row r="2131" spans="1:14" ht="15.75" customHeight="1" x14ac:dyDescent="0.25">
      <c r="A2131" s="7"/>
      <c r="B2131" s="343" t="s">
        <v>343</v>
      </c>
      <c r="C2131" s="344"/>
      <c r="D2131" s="344"/>
      <c r="E2131" s="334"/>
      <c r="F2131" s="104">
        <v>604014.18000000005</v>
      </c>
      <c r="G2131" s="25"/>
      <c r="H2131" s="11"/>
      <c r="I2131" s="21"/>
      <c r="J2131" s="21"/>
      <c r="K2131" s="21"/>
      <c r="L2131" s="21"/>
      <c r="M2131" s="21"/>
      <c r="N2131" s="21"/>
    </row>
    <row r="2132" spans="1:14" ht="15.75" customHeight="1" x14ac:dyDescent="0.25">
      <c r="A2132" s="7"/>
      <c r="B2132" s="345" t="s">
        <v>344</v>
      </c>
      <c r="C2132" s="344"/>
      <c r="D2132" s="344"/>
      <c r="E2132" s="334"/>
      <c r="F2132" s="107">
        <f>SUM(F2130:F2131)</f>
        <v>6095052.1799999997</v>
      </c>
      <c r="G2132" s="25"/>
      <c r="H2132" s="11"/>
      <c r="I2132" s="21"/>
      <c r="J2132" s="21"/>
      <c r="K2132" s="21"/>
      <c r="L2132" s="21"/>
      <c r="M2132" s="21"/>
      <c r="N2132" s="21"/>
    </row>
    <row r="2133" spans="1:14" ht="15.75" customHeight="1" x14ac:dyDescent="0.25">
      <c r="A2133" s="21"/>
      <c r="B2133" s="21"/>
      <c r="C2133" s="11"/>
      <c r="D2133" s="11"/>
      <c r="E2133" s="21"/>
      <c r="F2133" s="21"/>
      <c r="G2133" s="25"/>
      <c r="H2133" s="11"/>
      <c r="I2133" s="21"/>
      <c r="J2133" s="21"/>
      <c r="K2133" s="21"/>
      <c r="L2133" s="21"/>
      <c r="M2133" s="21"/>
      <c r="N2133" s="21"/>
    </row>
    <row r="2134" spans="1:14" ht="15.75" customHeight="1" x14ac:dyDescent="0.25">
      <c r="A2134" s="31" t="s">
        <v>14</v>
      </c>
      <c r="B2134" s="31" t="s">
        <v>234</v>
      </c>
      <c r="C2134" s="31" t="s">
        <v>16</v>
      </c>
      <c r="D2134" s="31" t="s">
        <v>17</v>
      </c>
      <c r="E2134" s="31" t="s">
        <v>235</v>
      </c>
      <c r="F2134" s="31" t="s">
        <v>236</v>
      </c>
      <c r="G2134" s="25"/>
      <c r="H2134" s="11"/>
      <c r="I2134" s="21"/>
      <c r="J2134" s="21"/>
      <c r="K2134" s="21"/>
      <c r="L2134" s="21"/>
      <c r="M2134" s="21"/>
      <c r="N2134" s="21"/>
    </row>
    <row r="2135" spans="1:14" ht="15.75" customHeight="1" x14ac:dyDescent="0.25">
      <c r="A2135" s="7">
        <v>1</v>
      </c>
      <c r="B2135" s="124" t="s">
        <v>1020</v>
      </c>
      <c r="C2135" s="129">
        <v>30</v>
      </c>
      <c r="D2135" s="7" t="s">
        <v>19</v>
      </c>
      <c r="E2135" s="130">
        <v>7050</v>
      </c>
      <c r="F2135" s="130">
        <f>E2135*C2135</f>
        <v>211500</v>
      </c>
      <c r="G2135" s="25"/>
      <c r="H2135" s="11"/>
      <c r="I2135" s="21"/>
      <c r="J2135" s="21"/>
      <c r="K2135" s="21"/>
      <c r="L2135" s="21"/>
      <c r="M2135" s="21"/>
      <c r="N2135" s="21"/>
    </row>
    <row r="2136" spans="1:14" ht="15.75" customHeight="1" x14ac:dyDescent="0.25">
      <c r="A2136" s="7">
        <v>2</v>
      </c>
      <c r="B2136" s="120" t="s">
        <v>1021</v>
      </c>
      <c r="C2136" s="129">
        <v>20</v>
      </c>
      <c r="D2136" s="7" t="s">
        <v>19</v>
      </c>
      <c r="E2136" s="130">
        <v>4000</v>
      </c>
      <c r="F2136" s="130">
        <f>E2136*C2136</f>
        <v>80000</v>
      </c>
      <c r="G2136" s="25"/>
      <c r="H2136" s="11"/>
      <c r="I2136" s="21"/>
      <c r="J2136" s="21"/>
      <c r="K2136" s="21"/>
      <c r="L2136" s="21"/>
      <c r="M2136" s="21"/>
      <c r="N2136" s="21"/>
    </row>
    <row r="2137" spans="1:14" ht="15.75" customHeight="1" x14ac:dyDescent="0.25">
      <c r="A2137" s="7">
        <v>3</v>
      </c>
      <c r="B2137" s="131" t="s">
        <v>1022</v>
      </c>
      <c r="C2137" s="129">
        <v>10</v>
      </c>
      <c r="D2137" s="7" t="s">
        <v>19</v>
      </c>
      <c r="E2137" s="130">
        <v>35000</v>
      </c>
      <c r="F2137" s="130">
        <f>E2137*C2137</f>
        <v>350000</v>
      </c>
      <c r="G2137" s="25"/>
      <c r="H2137" s="11"/>
      <c r="I2137" s="21"/>
      <c r="J2137" s="21"/>
      <c r="K2137" s="21"/>
      <c r="L2137" s="21"/>
      <c r="M2137" s="21"/>
      <c r="N2137" s="21"/>
    </row>
    <row r="2138" spans="1:14" ht="15.75" customHeight="1" x14ac:dyDescent="0.25">
      <c r="A2138" s="7"/>
      <c r="B2138" s="343" t="s">
        <v>342</v>
      </c>
      <c r="C2138" s="344"/>
      <c r="D2138" s="344"/>
      <c r="E2138" s="334"/>
      <c r="F2138" s="104">
        <f>SUM(F2135:F2137)</f>
        <v>641500</v>
      </c>
      <c r="G2138" s="25"/>
      <c r="H2138" s="11"/>
      <c r="I2138" s="21"/>
      <c r="J2138" s="21"/>
      <c r="K2138" s="21"/>
      <c r="L2138" s="21"/>
      <c r="M2138" s="21"/>
      <c r="N2138" s="21"/>
    </row>
    <row r="2139" spans="1:14" ht="15.75" customHeight="1" x14ac:dyDescent="0.25">
      <c r="A2139" s="7"/>
      <c r="B2139" s="343" t="s">
        <v>343</v>
      </c>
      <c r="C2139" s="344"/>
      <c r="D2139" s="344"/>
      <c r="E2139" s="334"/>
      <c r="F2139" s="104">
        <v>70565</v>
      </c>
      <c r="G2139" s="25"/>
      <c r="H2139" s="11"/>
      <c r="I2139" s="21"/>
      <c r="J2139" s="21"/>
      <c r="K2139" s="21"/>
      <c r="L2139" s="21"/>
      <c r="M2139" s="21"/>
      <c r="N2139" s="21"/>
    </row>
    <row r="2140" spans="1:14" ht="15.75" customHeight="1" x14ac:dyDescent="0.25">
      <c r="A2140" s="7"/>
      <c r="B2140" s="345" t="s">
        <v>344</v>
      </c>
      <c r="C2140" s="344"/>
      <c r="D2140" s="344"/>
      <c r="E2140" s="334"/>
      <c r="F2140" s="107">
        <f>SUM(F2138:F2139)</f>
        <v>712065</v>
      </c>
      <c r="G2140" s="25"/>
      <c r="H2140" s="11"/>
      <c r="I2140" s="21"/>
      <c r="J2140" s="21"/>
      <c r="K2140" s="21"/>
      <c r="L2140" s="21"/>
      <c r="M2140" s="21"/>
      <c r="N2140" s="21"/>
    </row>
    <row r="2141" spans="1:14" ht="15.75" customHeight="1" x14ac:dyDescent="0.25">
      <c r="A2141" s="21"/>
      <c r="B2141" s="21"/>
      <c r="C2141" s="11"/>
      <c r="D2141" s="11"/>
      <c r="E2141" s="21"/>
      <c r="F2141" s="21"/>
      <c r="G2141" s="25"/>
      <c r="H2141" s="11"/>
      <c r="I2141" s="21"/>
      <c r="J2141" s="21"/>
      <c r="K2141" s="21"/>
      <c r="L2141" s="21"/>
      <c r="M2141" s="21"/>
      <c r="N2141" s="21"/>
    </row>
    <row r="2142" spans="1:14" ht="15.75" customHeight="1" x14ac:dyDescent="0.25">
      <c r="A2142" s="31" t="s">
        <v>351</v>
      </c>
      <c r="B2142" s="31" t="s">
        <v>234</v>
      </c>
      <c r="C2142" s="31" t="s">
        <v>16</v>
      </c>
      <c r="D2142" s="31" t="s">
        <v>17</v>
      </c>
      <c r="E2142" s="31" t="s">
        <v>235</v>
      </c>
      <c r="F2142" s="31" t="s">
        <v>236</v>
      </c>
      <c r="G2142" s="25"/>
      <c r="H2142" s="11"/>
      <c r="I2142" s="21"/>
      <c r="J2142" s="21"/>
      <c r="K2142" s="21"/>
      <c r="L2142" s="21"/>
      <c r="M2142" s="21"/>
      <c r="N2142" s="21"/>
    </row>
    <row r="2143" spans="1:14" ht="15.75" customHeight="1" x14ac:dyDescent="0.25">
      <c r="A2143" s="7">
        <v>1</v>
      </c>
      <c r="B2143" s="41" t="s">
        <v>1023</v>
      </c>
      <c r="C2143" s="7">
        <v>2</v>
      </c>
      <c r="D2143" s="7" t="s">
        <v>19</v>
      </c>
      <c r="E2143" s="104">
        <v>397800</v>
      </c>
      <c r="F2143" s="104">
        <f>E2143*C2143</f>
        <v>795600</v>
      </c>
      <c r="G2143" s="25"/>
      <c r="H2143" s="11"/>
      <c r="I2143" s="21"/>
      <c r="J2143" s="21"/>
      <c r="K2143" s="21"/>
      <c r="L2143" s="21"/>
      <c r="M2143" s="21"/>
      <c r="N2143" s="21"/>
    </row>
    <row r="2144" spans="1:14" ht="15.75" customHeight="1" x14ac:dyDescent="0.25">
      <c r="A2144" s="7">
        <v>2</v>
      </c>
      <c r="B2144" s="41" t="s">
        <v>1024</v>
      </c>
      <c r="C2144" s="7">
        <v>20</v>
      </c>
      <c r="D2144" s="7" t="s">
        <v>19</v>
      </c>
      <c r="E2144" s="104">
        <v>128500</v>
      </c>
      <c r="F2144" s="104">
        <f>E2144*C2144</f>
        <v>2570000</v>
      </c>
      <c r="G2144" s="25"/>
      <c r="H2144" s="11"/>
      <c r="I2144" s="21"/>
      <c r="J2144" s="21"/>
      <c r="K2144" s="21"/>
      <c r="L2144" s="21"/>
      <c r="M2144" s="21"/>
      <c r="N2144" s="21"/>
    </row>
    <row r="2145" spans="1:14" ht="15.75" customHeight="1" x14ac:dyDescent="0.25">
      <c r="A2145" s="7"/>
      <c r="B2145" s="343" t="s">
        <v>342</v>
      </c>
      <c r="C2145" s="344"/>
      <c r="D2145" s="344"/>
      <c r="E2145" s="334"/>
      <c r="F2145" s="104">
        <f>SUM(F2143:F2144)</f>
        <v>3365600</v>
      </c>
      <c r="G2145" s="25"/>
      <c r="H2145" s="11"/>
      <c r="I2145" s="21"/>
      <c r="J2145" s="21"/>
      <c r="K2145" s="21"/>
      <c r="L2145" s="21"/>
      <c r="M2145" s="21"/>
      <c r="N2145" s="21"/>
    </row>
    <row r="2146" spans="1:14" ht="15.75" customHeight="1" x14ac:dyDescent="0.25">
      <c r="A2146" s="7"/>
      <c r="B2146" s="343" t="s">
        <v>343</v>
      </c>
      <c r="C2146" s="344"/>
      <c r="D2146" s="344"/>
      <c r="E2146" s="334"/>
      <c r="F2146" s="104">
        <v>370216</v>
      </c>
      <c r="G2146" s="25"/>
      <c r="H2146" s="11"/>
      <c r="I2146" s="21"/>
      <c r="J2146" s="21"/>
      <c r="K2146" s="21"/>
      <c r="L2146" s="21"/>
      <c r="M2146" s="21"/>
      <c r="N2146" s="21"/>
    </row>
    <row r="2147" spans="1:14" ht="15.75" customHeight="1" x14ac:dyDescent="0.25">
      <c r="A2147" s="7"/>
      <c r="B2147" s="345" t="s">
        <v>344</v>
      </c>
      <c r="C2147" s="344"/>
      <c r="D2147" s="344"/>
      <c r="E2147" s="334"/>
      <c r="F2147" s="107">
        <f>SUM(F2145:F2146)</f>
        <v>3735816</v>
      </c>
      <c r="G2147" s="25"/>
      <c r="H2147" s="11"/>
      <c r="I2147" s="21"/>
      <c r="J2147" s="21"/>
      <c r="K2147" s="21"/>
      <c r="L2147" s="21"/>
      <c r="M2147" s="21"/>
      <c r="N2147" s="21"/>
    </row>
    <row r="2148" spans="1:14" ht="15.75" customHeight="1" x14ac:dyDescent="0.25">
      <c r="A2148" s="21"/>
      <c r="B2148" s="21"/>
      <c r="C2148" s="11"/>
      <c r="D2148" s="11"/>
      <c r="E2148" s="21"/>
      <c r="F2148" s="21"/>
      <c r="G2148" s="25"/>
      <c r="H2148" s="11"/>
      <c r="I2148" s="21"/>
      <c r="J2148" s="21"/>
      <c r="K2148" s="21"/>
      <c r="L2148" s="21"/>
      <c r="M2148" s="21"/>
      <c r="N2148" s="21"/>
    </row>
    <row r="2149" spans="1:14" ht="15.75" customHeight="1" x14ac:dyDescent="0.25">
      <c r="A2149" s="31" t="s">
        <v>14</v>
      </c>
      <c r="B2149" s="31" t="s">
        <v>15</v>
      </c>
      <c r="C2149" s="31" t="s">
        <v>16</v>
      </c>
      <c r="D2149" s="31" t="s">
        <v>17</v>
      </c>
      <c r="E2149" s="31" t="s">
        <v>235</v>
      </c>
      <c r="F2149" s="31" t="s">
        <v>236</v>
      </c>
      <c r="G2149" s="25"/>
      <c r="H2149" s="11"/>
      <c r="I2149" s="21"/>
      <c r="J2149" s="21"/>
      <c r="K2149" s="21"/>
      <c r="L2149" s="21"/>
      <c r="M2149" s="21"/>
      <c r="N2149" s="21"/>
    </row>
    <row r="2150" spans="1:14" ht="15.75" customHeight="1" x14ac:dyDescent="0.25">
      <c r="A2150" s="7">
        <v>1</v>
      </c>
      <c r="B2150" s="147" t="s">
        <v>1025</v>
      </c>
      <c r="C2150" s="133">
        <v>2</v>
      </c>
      <c r="D2150" s="7" t="s">
        <v>363</v>
      </c>
      <c r="E2150" s="104">
        <v>2665560</v>
      </c>
      <c r="F2150" s="104">
        <f t="shared" ref="F2150:F2158" si="18">E2150*C2150</f>
        <v>5331120</v>
      </c>
      <c r="G2150" s="25"/>
      <c r="H2150" s="11"/>
      <c r="I2150" s="21"/>
      <c r="J2150" s="21"/>
      <c r="K2150" s="21"/>
      <c r="L2150" s="21"/>
      <c r="M2150" s="21"/>
      <c r="N2150" s="21"/>
    </row>
    <row r="2151" spans="1:14" ht="15.75" customHeight="1" x14ac:dyDescent="0.25">
      <c r="A2151" s="7">
        <v>2</v>
      </c>
      <c r="B2151" s="147" t="s">
        <v>1026</v>
      </c>
      <c r="C2151" s="133">
        <v>2</v>
      </c>
      <c r="D2151" s="7" t="s">
        <v>363</v>
      </c>
      <c r="E2151" s="104">
        <v>6268140</v>
      </c>
      <c r="F2151" s="104">
        <f t="shared" si="18"/>
        <v>12536280</v>
      </c>
      <c r="G2151" s="25"/>
      <c r="H2151" s="11"/>
      <c r="I2151" s="21"/>
      <c r="J2151" s="21"/>
      <c r="K2151" s="21"/>
      <c r="L2151" s="21"/>
      <c r="M2151" s="21"/>
      <c r="N2151" s="21"/>
    </row>
    <row r="2152" spans="1:14" ht="15.75" customHeight="1" x14ac:dyDescent="0.25">
      <c r="A2152" s="7">
        <v>3</v>
      </c>
      <c r="B2152" s="148" t="s">
        <v>1027</v>
      </c>
      <c r="C2152" s="149">
        <v>2</v>
      </c>
      <c r="D2152" s="7" t="s">
        <v>363</v>
      </c>
      <c r="E2152" s="104">
        <v>630500</v>
      </c>
      <c r="F2152" s="104">
        <f t="shared" si="18"/>
        <v>1261000</v>
      </c>
      <c r="G2152" s="25"/>
      <c r="H2152" s="11"/>
      <c r="I2152" s="21"/>
      <c r="J2152" s="21"/>
      <c r="K2152" s="21"/>
      <c r="L2152" s="21"/>
      <c r="M2152" s="21"/>
      <c r="N2152" s="21"/>
    </row>
    <row r="2153" spans="1:14" ht="15.75" customHeight="1" x14ac:dyDescent="0.25">
      <c r="A2153" s="7">
        <v>4</v>
      </c>
      <c r="B2153" s="150" t="s">
        <v>1028</v>
      </c>
      <c r="C2153" s="133">
        <v>1</v>
      </c>
      <c r="D2153" s="7" t="s">
        <v>363</v>
      </c>
      <c r="E2153" s="104">
        <v>174600</v>
      </c>
      <c r="F2153" s="104">
        <f t="shared" si="18"/>
        <v>174600</v>
      </c>
      <c r="G2153" s="25"/>
      <c r="H2153" s="11"/>
      <c r="I2153" s="21"/>
      <c r="J2153" s="21"/>
      <c r="K2153" s="21"/>
      <c r="L2153" s="21"/>
      <c r="M2153" s="21"/>
      <c r="N2153" s="21"/>
    </row>
    <row r="2154" spans="1:14" ht="30" customHeight="1" x14ac:dyDescent="0.25">
      <c r="A2154" s="7">
        <v>5</v>
      </c>
      <c r="B2154" s="150" t="s">
        <v>1029</v>
      </c>
      <c r="C2154" s="134">
        <v>90</v>
      </c>
      <c r="D2154" s="7" t="s">
        <v>363</v>
      </c>
      <c r="E2154" s="104">
        <v>197880</v>
      </c>
      <c r="F2154" s="104">
        <f t="shared" si="18"/>
        <v>17809200</v>
      </c>
      <c r="G2154" s="25"/>
      <c r="H2154" s="11"/>
      <c r="I2154" s="21"/>
      <c r="J2154" s="21"/>
      <c r="K2154" s="21"/>
      <c r="L2154" s="21"/>
      <c r="M2154" s="21"/>
      <c r="N2154" s="21"/>
    </row>
    <row r="2155" spans="1:14" ht="15.75" customHeight="1" x14ac:dyDescent="0.25">
      <c r="A2155" s="7">
        <v>6</v>
      </c>
      <c r="B2155" s="150" t="s">
        <v>1030</v>
      </c>
      <c r="C2155" s="133">
        <v>17</v>
      </c>
      <c r="D2155" s="7" t="s">
        <v>363</v>
      </c>
      <c r="E2155" s="104">
        <v>826440</v>
      </c>
      <c r="F2155" s="104">
        <f t="shared" si="18"/>
        <v>14049480</v>
      </c>
      <c r="G2155" s="25"/>
      <c r="H2155" s="11"/>
      <c r="I2155" s="21"/>
      <c r="J2155" s="21"/>
      <c r="K2155" s="21"/>
      <c r="L2155" s="21"/>
      <c r="M2155" s="21"/>
      <c r="N2155" s="21"/>
    </row>
    <row r="2156" spans="1:14" ht="15.75" customHeight="1" x14ac:dyDescent="0.25">
      <c r="A2156" s="7">
        <v>7</v>
      </c>
      <c r="B2156" s="150" t="s">
        <v>1031</v>
      </c>
      <c r="C2156" s="151">
        <v>2</v>
      </c>
      <c r="D2156" s="133" t="s">
        <v>363</v>
      </c>
      <c r="E2156" s="104">
        <v>407400</v>
      </c>
      <c r="F2156" s="104">
        <f t="shared" si="18"/>
        <v>814800</v>
      </c>
      <c r="G2156" s="25"/>
      <c r="H2156" s="11"/>
      <c r="I2156" s="21"/>
      <c r="J2156" s="21"/>
      <c r="K2156" s="21"/>
      <c r="L2156" s="21"/>
      <c r="M2156" s="21"/>
      <c r="N2156" s="21"/>
    </row>
    <row r="2157" spans="1:14" ht="15.75" customHeight="1" x14ac:dyDescent="0.25">
      <c r="A2157" s="7">
        <v>8</v>
      </c>
      <c r="B2157" s="150" t="s">
        <v>1032</v>
      </c>
      <c r="C2157" s="134">
        <v>2</v>
      </c>
      <c r="D2157" s="7" t="s">
        <v>363</v>
      </c>
      <c r="E2157" s="104">
        <v>407400</v>
      </c>
      <c r="F2157" s="104">
        <f t="shared" si="18"/>
        <v>814800</v>
      </c>
      <c r="G2157" s="25"/>
      <c r="H2157" s="11"/>
      <c r="I2157" s="21"/>
      <c r="J2157" s="21"/>
      <c r="K2157" s="21"/>
      <c r="L2157" s="21"/>
      <c r="M2157" s="21"/>
      <c r="N2157" s="21"/>
    </row>
    <row r="2158" spans="1:14" ht="15.75" customHeight="1" x14ac:dyDescent="0.25">
      <c r="A2158" s="7">
        <v>9</v>
      </c>
      <c r="B2158" s="150" t="s">
        <v>1033</v>
      </c>
      <c r="C2158" s="133">
        <v>2</v>
      </c>
      <c r="D2158" s="7" t="s">
        <v>363</v>
      </c>
      <c r="E2158" s="104">
        <v>407400</v>
      </c>
      <c r="F2158" s="104">
        <f t="shared" si="18"/>
        <v>814800</v>
      </c>
      <c r="G2158" s="25"/>
      <c r="H2158" s="11"/>
      <c r="I2158" s="21"/>
      <c r="J2158" s="21"/>
      <c r="K2158" s="21"/>
      <c r="L2158" s="21"/>
      <c r="M2158" s="21"/>
      <c r="N2158" s="21"/>
    </row>
    <row r="2159" spans="1:14" ht="15.75" customHeight="1" x14ac:dyDescent="0.25">
      <c r="A2159" s="7"/>
      <c r="B2159" s="343" t="s">
        <v>342</v>
      </c>
      <c r="C2159" s="344"/>
      <c r="D2159" s="344"/>
      <c r="E2159" s="334"/>
      <c r="F2159" s="104">
        <f>SUM(F2150:F2158)</f>
        <v>53606080</v>
      </c>
      <c r="G2159" s="25"/>
      <c r="H2159" s="11"/>
      <c r="I2159" s="21"/>
      <c r="J2159" s="21"/>
      <c r="K2159" s="21"/>
      <c r="L2159" s="21"/>
      <c r="M2159" s="21"/>
      <c r="N2159" s="21"/>
    </row>
    <row r="2160" spans="1:14" ht="15.75" customHeight="1" x14ac:dyDescent="0.25">
      <c r="A2160" s="7"/>
      <c r="B2160" s="343" t="s">
        <v>343</v>
      </c>
      <c r="C2160" s="344"/>
      <c r="D2160" s="344"/>
      <c r="E2160" s="334"/>
      <c r="F2160" s="104">
        <v>5896668.7999999998</v>
      </c>
      <c r="G2160" s="25"/>
      <c r="H2160" s="11"/>
      <c r="I2160" s="21"/>
      <c r="J2160" s="21"/>
      <c r="K2160" s="21"/>
      <c r="L2160" s="21"/>
      <c r="M2160" s="21"/>
      <c r="N2160" s="21"/>
    </row>
    <row r="2161" spans="1:14" ht="15.75" customHeight="1" x14ac:dyDescent="0.25">
      <c r="A2161" s="7"/>
      <c r="B2161" s="345" t="s">
        <v>344</v>
      </c>
      <c r="C2161" s="344"/>
      <c r="D2161" s="344"/>
      <c r="E2161" s="334"/>
      <c r="F2161" s="107">
        <f>SUM(F2159:F2160)</f>
        <v>59502748.799999997</v>
      </c>
      <c r="G2161" s="25"/>
      <c r="H2161" s="11"/>
      <c r="I2161" s="21"/>
      <c r="J2161" s="21"/>
      <c r="K2161" s="21"/>
      <c r="L2161" s="21"/>
      <c r="M2161" s="21"/>
      <c r="N2161" s="21"/>
    </row>
    <row r="2162" spans="1:14" ht="15.75" customHeight="1" x14ac:dyDescent="0.25">
      <c r="A2162" s="21"/>
      <c r="B2162" s="21"/>
      <c r="C2162" s="11"/>
      <c r="D2162" s="11"/>
      <c r="E2162" s="21"/>
      <c r="F2162" s="21"/>
      <c r="G2162" s="25"/>
      <c r="H2162" s="11"/>
      <c r="I2162" s="21"/>
      <c r="J2162" s="21"/>
      <c r="K2162" s="21"/>
      <c r="L2162" s="21"/>
      <c r="M2162" s="21"/>
      <c r="N2162" s="21"/>
    </row>
    <row r="2163" spans="1:14" ht="15.75" customHeight="1" x14ac:dyDescent="0.25">
      <c r="A2163" s="31" t="s">
        <v>14</v>
      </c>
      <c r="B2163" s="31" t="s">
        <v>234</v>
      </c>
      <c r="C2163" s="31" t="s">
        <v>16</v>
      </c>
      <c r="D2163" s="31" t="s">
        <v>17</v>
      </c>
      <c r="E2163" s="31" t="s">
        <v>235</v>
      </c>
      <c r="F2163" s="31" t="s">
        <v>236</v>
      </c>
      <c r="G2163" s="25"/>
      <c r="H2163" s="11"/>
      <c r="I2163" s="21"/>
      <c r="J2163" s="21"/>
      <c r="K2163" s="21"/>
      <c r="L2163" s="21"/>
      <c r="M2163" s="21"/>
      <c r="N2163" s="21"/>
    </row>
    <row r="2164" spans="1:14" ht="15.75" customHeight="1" x14ac:dyDescent="0.25">
      <c r="A2164" s="7">
        <v>1</v>
      </c>
      <c r="B2164" s="120" t="s">
        <v>1034</v>
      </c>
      <c r="C2164" s="7">
        <v>8</v>
      </c>
      <c r="D2164" s="7" t="s">
        <v>363</v>
      </c>
      <c r="E2164" s="104">
        <v>135000</v>
      </c>
      <c r="F2164" s="104">
        <f>E2164*C2164</f>
        <v>1080000</v>
      </c>
      <c r="G2164" s="25"/>
      <c r="H2164" s="11"/>
      <c r="I2164" s="21"/>
      <c r="J2164" s="21"/>
      <c r="K2164" s="21"/>
      <c r="L2164" s="21"/>
      <c r="M2164" s="21"/>
      <c r="N2164" s="21"/>
    </row>
    <row r="2165" spans="1:14" ht="15.75" customHeight="1" x14ac:dyDescent="0.25">
      <c r="A2165" s="7"/>
      <c r="B2165" s="343" t="s">
        <v>342</v>
      </c>
      <c r="C2165" s="344"/>
      <c r="D2165" s="344"/>
      <c r="E2165" s="334"/>
      <c r="F2165" s="104">
        <f>SUM(F2164)</f>
        <v>1080000</v>
      </c>
      <c r="G2165" s="25"/>
      <c r="H2165" s="11"/>
      <c r="I2165" s="21"/>
      <c r="J2165" s="21"/>
      <c r="K2165" s="21"/>
      <c r="L2165" s="21"/>
      <c r="M2165" s="21"/>
      <c r="N2165" s="21"/>
    </row>
    <row r="2166" spans="1:14" ht="15.75" customHeight="1" x14ac:dyDescent="0.25">
      <c r="A2166" s="7"/>
      <c r="B2166" s="343" t="s">
        <v>1035</v>
      </c>
      <c r="C2166" s="344"/>
      <c r="D2166" s="344"/>
      <c r="E2166" s="334"/>
      <c r="F2166" s="104">
        <v>32400</v>
      </c>
      <c r="G2166" s="25"/>
      <c r="H2166" s="11"/>
      <c r="I2166" s="21"/>
      <c r="J2166" s="21"/>
      <c r="K2166" s="21"/>
      <c r="L2166" s="21"/>
      <c r="M2166" s="21"/>
      <c r="N2166" s="21"/>
    </row>
    <row r="2167" spans="1:14" ht="15.75" customHeight="1" x14ac:dyDescent="0.25">
      <c r="A2167" s="7"/>
      <c r="B2167" s="343" t="s">
        <v>342</v>
      </c>
      <c r="C2167" s="344"/>
      <c r="D2167" s="344"/>
      <c r="E2167" s="334"/>
      <c r="F2167" s="104">
        <f>F2165-F2166</f>
        <v>1047600</v>
      </c>
      <c r="G2167" s="25"/>
      <c r="H2167" s="11"/>
      <c r="I2167" s="21"/>
      <c r="J2167" s="21"/>
      <c r="K2167" s="21"/>
      <c r="L2167" s="21"/>
      <c r="M2167" s="21"/>
      <c r="N2167" s="21"/>
    </row>
    <row r="2168" spans="1:14" ht="15.75" customHeight="1" x14ac:dyDescent="0.25">
      <c r="A2168" s="7"/>
      <c r="B2168" s="343" t="s">
        <v>343</v>
      </c>
      <c r="C2168" s="344"/>
      <c r="D2168" s="344"/>
      <c r="E2168" s="334"/>
      <c r="F2168" s="104">
        <v>115236</v>
      </c>
      <c r="G2168" s="25"/>
      <c r="H2168" s="11"/>
      <c r="I2168" s="21"/>
      <c r="J2168" s="21"/>
      <c r="K2168" s="21"/>
      <c r="L2168" s="21"/>
      <c r="M2168" s="21"/>
      <c r="N2168" s="21"/>
    </row>
    <row r="2169" spans="1:14" ht="15.75" customHeight="1" x14ac:dyDescent="0.25">
      <c r="A2169" s="7"/>
      <c r="B2169" s="345" t="s">
        <v>344</v>
      </c>
      <c r="C2169" s="344"/>
      <c r="D2169" s="344"/>
      <c r="E2169" s="334"/>
      <c r="F2169" s="107">
        <f>SUM(F2167:F2168)</f>
        <v>1162836</v>
      </c>
      <c r="G2169" s="25"/>
      <c r="H2169" s="11"/>
      <c r="I2169" s="21"/>
      <c r="J2169" s="21"/>
      <c r="K2169" s="21"/>
      <c r="L2169" s="21"/>
      <c r="M2169" s="21"/>
      <c r="N2169" s="21"/>
    </row>
    <row r="2170" spans="1:14" ht="15.75" customHeight="1" x14ac:dyDescent="0.25">
      <c r="A2170" s="21"/>
      <c r="B2170" s="21"/>
      <c r="C2170" s="11"/>
      <c r="D2170" s="11"/>
      <c r="E2170" s="21"/>
      <c r="F2170" s="21"/>
      <c r="G2170" s="25"/>
      <c r="H2170" s="11"/>
      <c r="I2170" s="21"/>
      <c r="J2170" s="21"/>
      <c r="K2170" s="21"/>
      <c r="L2170" s="21"/>
      <c r="M2170" s="21"/>
      <c r="N2170" s="21"/>
    </row>
    <row r="2171" spans="1:14" ht="15.75" customHeight="1" x14ac:dyDescent="0.25">
      <c r="A2171" s="31" t="s">
        <v>14</v>
      </c>
      <c r="B2171" s="31" t="s">
        <v>234</v>
      </c>
      <c r="C2171" s="31" t="s">
        <v>16</v>
      </c>
      <c r="D2171" s="31" t="s">
        <v>17</v>
      </c>
      <c r="E2171" s="31" t="s">
        <v>235</v>
      </c>
      <c r="F2171" s="31" t="s">
        <v>236</v>
      </c>
      <c r="G2171" s="25"/>
      <c r="H2171" s="11"/>
      <c r="I2171" s="21"/>
      <c r="J2171" s="21"/>
      <c r="K2171" s="21"/>
      <c r="L2171" s="21"/>
      <c r="M2171" s="21"/>
      <c r="N2171" s="21"/>
    </row>
    <row r="2172" spans="1:14" ht="15.75" customHeight="1" x14ac:dyDescent="0.25">
      <c r="A2172" s="7">
        <v>1</v>
      </c>
      <c r="B2172" s="120" t="s">
        <v>1036</v>
      </c>
      <c r="C2172" s="129">
        <v>1</v>
      </c>
      <c r="D2172" s="7" t="s">
        <v>243</v>
      </c>
      <c r="E2172" s="130">
        <v>4500000</v>
      </c>
      <c r="F2172" s="130">
        <f>E2172*C2172</f>
        <v>4500000</v>
      </c>
      <c r="G2172" s="25"/>
      <c r="H2172" s="11"/>
      <c r="I2172" s="21"/>
      <c r="J2172" s="21"/>
      <c r="K2172" s="21"/>
      <c r="L2172" s="21"/>
      <c r="M2172" s="21"/>
      <c r="N2172" s="21"/>
    </row>
    <row r="2173" spans="1:14" ht="15.75" customHeight="1" x14ac:dyDescent="0.25">
      <c r="A2173" s="7"/>
      <c r="B2173" s="343" t="s">
        <v>342</v>
      </c>
      <c r="C2173" s="344"/>
      <c r="D2173" s="344"/>
      <c r="E2173" s="334"/>
      <c r="F2173" s="104">
        <f>SUM(F2172)</f>
        <v>4500000</v>
      </c>
      <c r="G2173" s="25"/>
      <c r="H2173" s="11"/>
      <c r="I2173" s="21"/>
      <c r="J2173" s="21"/>
      <c r="K2173" s="21"/>
      <c r="L2173" s="21"/>
      <c r="M2173" s="21"/>
      <c r="N2173" s="21"/>
    </row>
    <row r="2174" spans="1:14" ht="15.75" customHeight="1" x14ac:dyDescent="0.25">
      <c r="A2174" s="7"/>
      <c r="B2174" s="343" t="s">
        <v>343</v>
      </c>
      <c r="C2174" s="344"/>
      <c r="D2174" s="344"/>
      <c r="E2174" s="334"/>
      <c r="F2174" s="104">
        <v>495000</v>
      </c>
      <c r="G2174" s="25"/>
      <c r="H2174" s="11"/>
      <c r="I2174" s="21"/>
      <c r="J2174" s="21"/>
      <c r="K2174" s="21"/>
      <c r="L2174" s="21"/>
      <c r="M2174" s="21"/>
      <c r="N2174" s="21"/>
    </row>
    <row r="2175" spans="1:14" ht="15.75" customHeight="1" x14ac:dyDescent="0.25">
      <c r="A2175" s="7"/>
      <c r="B2175" s="345" t="s">
        <v>344</v>
      </c>
      <c r="C2175" s="344"/>
      <c r="D2175" s="344"/>
      <c r="E2175" s="334"/>
      <c r="F2175" s="107">
        <f>SUM(F2173:F2174)</f>
        <v>4995000</v>
      </c>
      <c r="G2175" s="25"/>
      <c r="H2175" s="11"/>
      <c r="I2175" s="21"/>
      <c r="J2175" s="21"/>
      <c r="K2175" s="21"/>
      <c r="L2175" s="21"/>
      <c r="M2175" s="21"/>
      <c r="N2175" s="21"/>
    </row>
    <row r="2176" spans="1:14" ht="15.75" customHeight="1" x14ac:dyDescent="0.25">
      <c r="A2176" s="21"/>
      <c r="B2176" s="21"/>
      <c r="C2176" s="11"/>
      <c r="D2176" s="11"/>
      <c r="E2176" s="21"/>
      <c r="F2176" s="21"/>
      <c r="G2176" s="25"/>
      <c r="H2176" s="11"/>
      <c r="I2176" s="21"/>
      <c r="J2176" s="21"/>
      <c r="K2176" s="21"/>
      <c r="L2176" s="21"/>
      <c r="M2176" s="21"/>
      <c r="N2176" s="21"/>
    </row>
    <row r="2177" spans="1:14" ht="15.75" customHeight="1" x14ac:dyDescent="0.25">
      <c r="A2177" s="31" t="s">
        <v>351</v>
      </c>
      <c r="B2177" s="31" t="s">
        <v>234</v>
      </c>
      <c r="C2177" s="31" t="s">
        <v>16</v>
      </c>
      <c r="D2177" s="31" t="s">
        <v>17</v>
      </c>
      <c r="E2177" s="31" t="s">
        <v>235</v>
      </c>
      <c r="F2177" s="31" t="s">
        <v>236</v>
      </c>
      <c r="G2177" s="25"/>
      <c r="H2177" s="11"/>
      <c r="I2177" s="21"/>
      <c r="J2177" s="21"/>
      <c r="K2177" s="21"/>
      <c r="L2177" s="21"/>
      <c r="M2177" s="21"/>
      <c r="N2177" s="21"/>
    </row>
    <row r="2178" spans="1:14" ht="15.75" customHeight="1" x14ac:dyDescent="0.25">
      <c r="A2178" s="7">
        <v>1</v>
      </c>
      <c r="B2178" s="41" t="s">
        <v>1037</v>
      </c>
      <c r="C2178" s="7">
        <v>2</v>
      </c>
      <c r="D2178" s="7" t="s">
        <v>243</v>
      </c>
      <c r="E2178" s="104">
        <v>559360</v>
      </c>
      <c r="F2178" s="104">
        <f>E2178*C2178</f>
        <v>1118720</v>
      </c>
      <c r="G2178" s="25"/>
      <c r="H2178" s="11"/>
      <c r="I2178" s="21"/>
      <c r="J2178" s="21"/>
      <c r="K2178" s="21"/>
      <c r="L2178" s="21"/>
      <c r="M2178" s="21"/>
      <c r="N2178" s="21"/>
    </row>
    <row r="2179" spans="1:14" ht="15.75" customHeight="1" x14ac:dyDescent="0.25">
      <c r="A2179" s="7">
        <v>2</v>
      </c>
      <c r="B2179" s="41" t="s">
        <v>1038</v>
      </c>
      <c r="C2179" s="7">
        <v>1</v>
      </c>
      <c r="D2179" s="7" t="s">
        <v>989</v>
      </c>
      <c r="E2179" s="104">
        <v>2910000</v>
      </c>
      <c r="F2179" s="104">
        <f>E2179*C2179</f>
        <v>2910000</v>
      </c>
      <c r="G2179" s="25"/>
      <c r="H2179" s="11"/>
      <c r="I2179" s="21"/>
      <c r="J2179" s="21"/>
      <c r="K2179" s="21"/>
      <c r="L2179" s="21"/>
      <c r="M2179" s="21"/>
      <c r="N2179" s="21"/>
    </row>
    <row r="2180" spans="1:14" ht="15.75" customHeight="1" x14ac:dyDescent="0.25">
      <c r="A2180" s="7"/>
      <c r="B2180" s="343" t="s">
        <v>342</v>
      </c>
      <c r="C2180" s="344"/>
      <c r="D2180" s="344"/>
      <c r="E2180" s="334"/>
      <c r="F2180" s="104">
        <f>SUM(F2178:F2179)</f>
        <v>4028720</v>
      </c>
      <c r="G2180" s="25"/>
      <c r="H2180" s="11"/>
      <c r="I2180" s="21"/>
      <c r="J2180" s="21"/>
      <c r="K2180" s="21"/>
      <c r="L2180" s="21"/>
      <c r="M2180" s="21"/>
      <c r="N2180" s="21"/>
    </row>
    <row r="2181" spans="1:14" ht="15.75" customHeight="1" x14ac:dyDescent="0.25">
      <c r="A2181" s="7"/>
      <c r="B2181" s="343" t="s">
        <v>343</v>
      </c>
      <c r="C2181" s="344"/>
      <c r="D2181" s="344"/>
      <c r="E2181" s="334"/>
      <c r="F2181" s="108">
        <v>443159.2</v>
      </c>
      <c r="G2181" s="25"/>
      <c r="H2181" s="11"/>
      <c r="I2181" s="21"/>
      <c r="J2181" s="21"/>
      <c r="K2181" s="21"/>
      <c r="L2181" s="21"/>
      <c r="M2181" s="21"/>
      <c r="N2181" s="21"/>
    </row>
    <row r="2182" spans="1:14" ht="15.75" customHeight="1" x14ac:dyDescent="0.25">
      <c r="A2182" s="7"/>
      <c r="B2182" s="345" t="s">
        <v>344</v>
      </c>
      <c r="C2182" s="344"/>
      <c r="D2182" s="344"/>
      <c r="E2182" s="334"/>
      <c r="F2182" s="109">
        <f>SUM(F2180:F2181)</f>
        <v>4471879.2</v>
      </c>
      <c r="G2182" s="25"/>
      <c r="H2182" s="11"/>
      <c r="I2182" s="21"/>
      <c r="J2182" s="21"/>
      <c r="K2182" s="21"/>
      <c r="L2182" s="21"/>
      <c r="M2182" s="21"/>
      <c r="N2182" s="21"/>
    </row>
    <row r="2183" spans="1:14" ht="15.75" customHeight="1" x14ac:dyDescent="0.25">
      <c r="A2183" s="21"/>
      <c r="B2183" s="21"/>
      <c r="C2183" s="11"/>
      <c r="D2183" s="11"/>
      <c r="E2183" s="21"/>
      <c r="F2183" s="21"/>
      <c r="G2183" s="25"/>
      <c r="H2183" s="11"/>
      <c r="I2183" s="21"/>
      <c r="J2183" s="21"/>
      <c r="K2183" s="21"/>
      <c r="L2183" s="21"/>
      <c r="M2183" s="21"/>
      <c r="N2183" s="21"/>
    </row>
    <row r="2184" spans="1:14" ht="15.75" customHeight="1" x14ac:dyDescent="0.25">
      <c r="A2184" s="31" t="s">
        <v>14</v>
      </c>
      <c r="B2184" s="31" t="s">
        <v>234</v>
      </c>
      <c r="C2184" s="31" t="s">
        <v>16</v>
      </c>
      <c r="D2184" s="31" t="s">
        <v>17</v>
      </c>
      <c r="E2184" s="31" t="s">
        <v>235</v>
      </c>
      <c r="F2184" s="31" t="s">
        <v>236</v>
      </c>
      <c r="G2184" s="25"/>
      <c r="H2184" s="11"/>
      <c r="I2184" s="21"/>
      <c r="J2184" s="21"/>
      <c r="K2184" s="21"/>
      <c r="L2184" s="21"/>
      <c r="M2184" s="21"/>
      <c r="N2184" s="21"/>
    </row>
    <row r="2185" spans="1:14" ht="15.75" customHeight="1" x14ac:dyDescent="0.25">
      <c r="A2185" s="7">
        <v>1</v>
      </c>
      <c r="B2185" s="120" t="s">
        <v>1039</v>
      </c>
      <c r="C2185" s="129">
        <v>4</v>
      </c>
      <c r="D2185" s="7" t="s">
        <v>989</v>
      </c>
      <c r="E2185" s="130">
        <v>101850</v>
      </c>
      <c r="F2185" s="130">
        <f>E2185*C2185</f>
        <v>407400</v>
      </c>
      <c r="G2185" s="25"/>
      <c r="H2185" s="11"/>
      <c r="I2185" s="21"/>
      <c r="J2185" s="21"/>
      <c r="K2185" s="21"/>
      <c r="L2185" s="21"/>
      <c r="M2185" s="21"/>
      <c r="N2185" s="21"/>
    </row>
    <row r="2186" spans="1:14" ht="15.75" customHeight="1" x14ac:dyDescent="0.25">
      <c r="A2186" s="7"/>
      <c r="B2186" s="343" t="s">
        <v>342</v>
      </c>
      <c r="C2186" s="344"/>
      <c r="D2186" s="344"/>
      <c r="E2186" s="334"/>
      <c r="F2186" s="104">
        <f>SUM(F2185)</f>
        <v>407400</v>
      </c>
      <c r="G2186" s="25"/>
      <c r="H2186" s="11"/>
      <c r="I2186" s="21"/>
      <c r="J2186" s="21"/>
      <c r="K2186" s="21"/>
      <c r="L2186" s="21"/>
      <c r="M2186" s="21"/>
      <c r="N2186" s="21"/>
    </row>
    <row r="2187" spans="1:14" ht="15.75" customHeight="1" x14ac:dyDescent="0.25">
      <c r="A2187" s="7"/>
      <c r="B2187" s="343" t="s">
        <v>343</v>
      </c>
      <c r="C2187" s="344"/>
      <c r="D2187" s="344"/>
      <c r="E2187" s="334"/>
      <c r="F2187" s="104">
        <v>44814</v>
      </c>
      <c r="G2187" s="25"/>
      <c r="H2187" s="11"/>
      <c r="I2187" s="21"/>
      <c r="J2187" s="21"/>
      <c r="K2187" s="21"/>
      <c r="L2187" s="21"/>
      <c r="M2187" s="21"/>
      <c r="N2187" s="21"/>
    </row>
    <row r="2188" spans="1:14" ht="15.75" customHeight="1" x14ac:dyDescent="0.25">
      <c r="A2188" s="7"/>
      <c r="B2188" s="345" t="s">
        <v>344</v>
      </c>
      <c r="C2188" s="344"/>
      <c r="D2188" s="344"/>
      <c r="E2188" s="334"/>
      <c r="F2188" s="107">
        <f>SUM(F2186:F2187)</f>
        <v>452214</v>
      </c>
      <c r="G2188" s="25"/>
      <c r="H2188" s="11"/>
      <c r="I2188" s="21"/>
      <c r="J2188" s="21"/>
      <c r="K2188" s="21"/>
      <c r="L2188" s="21"/>
      <c r="M2188" s="21"/>
      <c r="N2188" s="21"/>
    </row>
    <row r="2189" spans="1:14" ht="15.75" customHeight="1" x14ac:dyDescent="0.25">
      <c r="A2189" s="21"/>
      <c r="B2189" s="21"/>
      <c r="C2189" s="11"/>
      <c r="D2189" s="11"/>
      <c r="E2189" s="21"/>
      <c r="F2189" s="21"/>
      <c r="G2189" s="25"/>
      <c r="H2189" s="11"/>
      <c r="I2189" s="21"/>
      <c r="J2189" s="21"/>
      <c r="K2189" s="21"/>
      <c r="L2189" s="21"/>
      <c r="M2189" s="21"/>
      <c r="N2189" s="21"/>
    </row>
    <row r="2190" spans="1:14" ht="15.75" customHeight="1" x14ac:dyDescent="0.25">
      <c r="A2190" s="31" t="s">
        <v>14</v>
      </c>
      <c r="B2190" s="31" t="s">
        <v>234</v>
      </c>
      <c r="C2190" s="31" t="s">
        <v>16</v>
      </c>
      <c r="D2190" s="31" t="s">
        <v>17</v>
      </c>
      <c r="E2190" s="31" t="s">
        <v>235</v>
      </c>
      <c r="F2190" s="31" t="s">
        <v>236</v>
      </c>
      <c r="G2190" s="25"/>
      <c r="H2190" s="11"/>
      <c r="I2190" s="21"/>
      <c r="J2190" s="21"/>
      <c r="K2190" s="21"/>
      <c r="L2190" s="21"/>
      <c r="M2190" s="21"/>
      <c r="N2190" s="21"/>
    </row>
    <row r="2191" spans="1:14" ht="15.75" customHeight="1" x14ac:dyDescent="0.25">
      <c r="A2191" s="7">
        <v>1</v>
      </c>
      <c r="B2191" s="120" t="s">
        <v>1040</v>
      </c>
      <c r="C2191" s="129">
        <v>1</v>
      </c>
      <c r="D2191" s="7" t="s">
        <v>243</v>
      </c>
      <c r="E2191" s="130">
        <v>2631500</v>
      </c>
      <c r="F2191" s="130">
        <f>E2191*C2191</f>
        <v>2631500</v>
      </c>
      <c r="G2191" s="25"/>
      <c r="H2191" s="11"/>
      <c r="I2191" s="21"/>
      <c r="J2191" s="21"/>
      <c r="K2191" s="21"/>
      <c r="L2191" s="21"/>
      <c r="M2191" s="21"/>
      <c r="N2191" s="21"/>
    </row>
    <row r="2192" spans="1:14" ht="15.75" customHeight="1" x14ac:dyDescent="0.25">
      <c r="A2192" s="7"/>
      <c r="B2192" s="343" t="s">
        <v>342</v>
      </c>
      <c r="C2192" s="344"/>
      <c r="D2192" s="344"/>
      <c r="E2192" s="334"/>
      <c r="F2192" s="104">
        <f>SUM(F2191)</f>
        <v>2631500</v>
      </c>
      <c r="G2192" s="25"/>
      <c r="H2192" s="11"/>
      <c r="I2192" s="21"/>
      <c r="J2192" s="21"/>
      <c r="K2192" s="21"/>
      <c r="L2192" s="21"/>
      <c r="M2192" s="21"/>
      <c r="N2192" s="21"/>
    </row>
    <row r="2193" spans="1:14" ht="15.75" customHeight="1" x14ac:dyDescent="0.25">
      <c r="A2193" s="7"/>
      <c r="B2193" s="343" t="s">
        <v>343</v>
      </c>
      <c r="C2193" s="344"/>
      <c r="D2193" s="344"/>
      <c r="E2193" s="334"/>
      <c r="F2193" s="104">
        <v>289465</v>
      </c>
      <c r="G2193" s="25"/>
      <c r="H2193" s="11"/>
      <c r="I2193" s="21"/>
      <c r="J2193" s="21"/>
      <c r="K2193" s="21"/>
      <c r="L2193" s="21"/>
      <c r="M2193" s="21"/>
      <c r="N2193" s="21"/>
    </row>
    <row r="2194" spans="1:14" ht="15.75" customHeight="1" x14ac:dyDescent="0.25">
      <c r="A2194" s="7"/>
      <c r="B2194" s="345" t="s">
        <v>344</v>
      </c>
      <c r="C2194" s="344"/>
      <c r="D2194" s="344"/>
      <c r="E2194" s="334"/>
      <c r="F2194" s="107">
        <f>SUM(F2192:F2193)</f>
        <v>2920965</v>
      </c>
      <c r="G2194" s="25"/>
      <c r="H2194" s="11"/>
      <c r="I2194" s="21"/>
      <c r="J2194" s="21"/>
      <c r="K2194" s="21"/>
      <c r="L2194" s="21"/>
      <c r="M2194" s="21"/>
      <c r="N2194" s="21"/>
    </row>
    <row r="2195" spans="1:14" ht="15.75" customHeight="1" x14ac:dyDescent="0.25">
      <c r="A2195" s="21"/>
      <c r="B2195" s="21"/>
      <c r="C2195" s="11"/>
      <c r="D2195" s="11"/>
      <c r="E2195" s="21"/>
      <c r="F2195" s="21"/>
      <c r="G2195" s="25"/>
      <c r="H2195" s="11"/>
      <c r="I2195" s="21"/>
      <c r="J2195" s="21"/>
      <c r="K2195" s="21"/>
      <c r="L2195" s="21"/>
      <c r="M2195" s="21"/>
      <c r="N2195" s="21"/>
    </row>
    <row r="2196" spans="1:14" ht="15.75" customHeight="1" x14ac:dyDescent="0.25">
      <c r="A2196" s="31" t="s">
        <v>14</v>
      </c>
      <c r="B2196" s="31" t="s">
        <v>234</v>
      </c>
      <c r="C2196" s="31" t="s">
        <v>16</v>
      </c>
      <c r="D2196" s="31" t="s">
        <v>17</v>
      </c>
      <c r="E2196" s="31" t="s">
        <v>235</v>
      </c>
      <c r="F2196" s="31" t="s">
        <v>236</v>
      </c>
      <c r="G2196" s="25"/>
      <c r="H2196" s="11"/>
      <c r="I2196" s="21"/>
      <c r="J2196" s="21"/>
      <c r="K2196" s="21"/>
      <c r="L2196" s="21"/>
      <c r="M2196" s="21"/>
      <c r="N2196" s="21"/>
    </row>
    <row r="2197" spans="1:14" ht="15.75" customHeight="1" x14ac:dyDescent="0.25">
      <c r="A2197" s="7">
        <v>1</v>
      </c>
      <c r="B2197" s="124" t="s">
        <v>1041</v>
      </c>
      <c r="C2197" s="129">
        <v>100</v>
      </c>
      <c r="D2197" s="7" t="s">
        <v>539</v>
      </c>
      <c r="E2197" s="130">
        <v>48325</v>
      </c>
      <c r="F2197" s="130">
        <f>E2197*C2197</f>
        <v>4832500</v>
      </c>
      <c r="G2197" s="25"/>
      <c r="H2197" s="11"/>
      <c r="I2197" s="21"/>
      <c r="J2197" s="21"/>
      <c r="K2197" s="21"/>
      <c r="L2197" s="21"/>
      <c r="M2197" s="21"/>
      <c r="N2197" s="21"/>
    </row>
    <row r="2198" spans="1:14" ht="15.75" customHeight="1" x14ac:dyDescent="0.25">
      <c r="A2198" s="7">
        <v>2</v>
      </c>
      <c r="B2198" s="120" t="s">
        <v>1042</v>
      </c>
      <c r="C2198" s="129">
        <v>40</v>
      </c>
      <c r="D2198" s="7" t="s">
        <v>539</v>
      </c>
      <c r="E2198" s="130">
        <v>48325</v>
      </c>
      <c r="F2198" s="130">
        <f>E2198*C2198</f>
        <v>1933000</v>
      </c>
      <c r="G2198" s="25"/>
      <c r="H2198" s="11"/>
      <c r="I2198" s="21"/>
      <c r="J2198" s="21"/>
      <c r="K2198" s="21"/>
      <c r="L2198" s="21"/>
      <c r="M2198" s="21"/>
      <c r="N2198" s="21"/>
    </row>
    <row r="2199" spans="1:14" ht="15.75" customHeight="1" x14ac:dyDescent="0.25">
      <c r="A2199" s="7">
        <v>3</v>
      </c>
      <c r="B2199" s="131" t="s">
        <v>1043</v>
      </c>
      <c r="C2199" s="129">
        <v>60</v>
      </c>
      <c r="D2199" s="7" t="s">
        <v>539</v>
      </c>
      <c r="E2199" s="130">
        <v>36900</v>
      </c>
      <c r="F2199" s="130">
        <f>E2199*C2199</f>
        <v>2214000</v>
      </c>
      <c r="G2199" s="25"/>
      <c r="H2199" s="11"/>
      <c r="I2199" s="21"/>
      <c r="J2199" s="21"/>
      <c r="K2199" s="21"/>
      <c r="L2199" s="21"/>
      <c r="M2199" s="21"/>
      <c r="N2199" s="21"/>
    </row>
    <row r="2200" spans="1:14" ht="15.75" customHeight="1" x14ac:dyDescent="0.25">
      <c r="A2200" s="7"/>
      <c r="B2200" s="343" t="s">
        <v>342</v>
      </c>
      <c r="C2200" s="344"/>
      <c r="D2200" s="344"/>
      <c r="E2200" s="334"/>
      <c r="F2200" s="104">
        <f>SUM(F2197:F2199)</f>
        <v>8979500</v>
      </c>
      <c r="G2200" s="25"/>
      <c r="H2200" s="11"/>
      <c r="I2200" s="21"/>
      <c r="J2200" s="21"/>
      <c r="K2200" s="21"/>
      <c r="L2200" s="21"/>
      <c r="M2200" s="21"/>
      <c r="N2200" s="21"/>
    </row>
    <row r="2201" spans="1:14" ht="15.75" customHeight="1" x14ac:dyDescent="0.25">
      <c r="A2201" s="7"/>
      <c r="B2201" s="343" t="s">
        <v>343</v>
      </c>
      <c r="C2201" s="344"/>
      <c r="D2201" s="344"/>
      <c r="E2201" s="334"/>
      <c r="F2201" s="104">
        <v>987745</v>
      </c>
      <c r="G2201" s="25"/>
      <c r="H2201" s="11"/>
      <c r="I2201" s="21"/>
      <c r="J2201" s="21"/>
      <c r="K2201" s="21"/>
      <c r="L2201" s="21"/>
      <c r="M2201" s="21"/>
      <c r="N2201" s="21"/>
    </row>
    <row r="2202" spans="1:14" ht="15.75" customHeight="1" x14ac:dyDescent="0.25">
      <c r="A2202" s="7"/>
      <c r="B2202" s="345" t="s">
        <v>344</v>
      </c>
      <c r="C2202" s="344"/>
      <c r="D2202" s="344"/>
      <c r="E2202" s="334"/>
      <c r="F2202" s="107">
        <f>SUM(F2200:F2201)</f>
        <v>9967245</v>
      </c>
      <c r="G2202" s="25"/>
      <c r="H2202" s="11"/>
      <c r="I2202" s="21"/>
      <c r="J2202" s="21"/>
      <c r="K2202" s="21"/>
      <c r="L2202" s="21"/>
      <c r="M2202" s="21"/>
      <c r="N2202" s="21"/>
    </row>
    <row r="2203" spans="1:14" ht="15.75" customHeight="1" x14ac:dyDescent="0.25">
      <c r="A2203" s="21"/>
      <c r="B2203" s="21"/>
      <c r="C2203" s="11"/>
      <c r="D2203" s="11"/>
      <c r="E2203" s="21"/>
      <c r="F2203" s="21"/>
      <c r="G2203" s="25"/>
      <c r="H2203" s="11"/>
      <c r="I2203" s="21"/>
      <c r="J2203" s="21"/>
      <c r="K2203" s="21"/>
      <c r="L2203" s="21"/>
      <c r="M2203" s="21"/>
      <c r="N2203" s="21"/>
    </row>
    <row r="2204" spans="1:14" ht="15.75" customHeight="1" x14ac:dyDescent="0.25">
      <c r="A2204" s="31" t="s">
        <v>14</v>
      </c>
      <c r="B2204" s="31" t="s">
        <v>234</v>
      </c>
      <c r="C2204" s="31" t="s">
        <v>16</v>
      </c>
      <c r="D2204" s="31" t="s">
        <v>17</v>
      </c>
      <c r="E2204" s="31" t="s">
        <v>235</v>
      </c>
      <c r="F2204" s="31" t="s">
        <v>236</v>
      </c>
      <c r="G2204" s="25"/>
      <c r="H2204" s="11"/>
      <c r="I2204" s="21"/>
      <c r="J2204" s="21"/>
      <c r="K2204" s="21"/>
      <c r="L2204" s="21"/>
      <c r="M2204" s="21"/>
      <c r="N2204" s="21"/>
    </row>
    <row r="2205" spans="1:14" ht="15.75" customHeight="1" x14ac:dyDescent="0.25">
      <c r="A2205" s="7">
        <v>1</v>
      </c>
      <c r="B2205" s="120" t="s">
        <v>1044</v>
      </c>
      <c r="C2205" s="129">
        <v>1</v>
      </c>
      <c r="D2205" s="7" t="s">
        <v>243</v>
      </c>
      <c r="E2205" s="130">
        <v>2600000</v>
      </c>
      <c r="F2205" s="130">
        <f>E2205*C2205</f>
        <v>2600000</v>
      </c>
      <c r="G2205" s="25"/>
      <c r="H2205" s="11"/>
      <c r="I2205" s="21"/>
      <c r="J2205" s="21"/>
      <c r="K2205" s="21"/>
      <c r="L2205" s="21"/>
      <c r="M2205" s="21"/>
      <c r="N2205" s="21"/>
    </row>
    <row r="2206" spans="1:14" ht="15.75" customHeight="1" x14ac:dyDescent="0.25">
      <c r="A2206" s="7"/>
      <c r="B2206" s="343" t="s">
        <v>342</v>
      </c>
      <c r="C2206" s="344"/>
      <c r="D2206" s="344"/>
      <c r="E2206" s="334"/>
      <c r="F2206" s="104">
        <f>SUM(F2205)</f>
        <v>2600000</v>
      </c>
      <c r="G2206" s="25"/>
      <c r="H2206" s="11"/>
      <c r="I2206" s="21"/>
      <c r="J2206" s="21"/>
      <c r="K2206" s="21"/>
      <c r="L2206" s="21"/>
      <c r="M2206" s="21"/>
      <c r="N2206" s="21"/>
    </row>
    <row r="2207" spans="1:14" ht="15.75" customHeight="1" x14ac:dyDescent="0.25">
      <c r="A2207" s="7"/>
      <c r="B2207" s="343" t="s">
        <v>343</v>
      </c>
      <c r="C2207" s="344"/>
      <c r="D2207" s="344"/>
      <c r="E2207" s="334"/>
      <c r="F2207" s="104">
        <v>286000</v>
      </c>
      <c r="G2207" s="25"/>
      <c r="H2207" s="11"/>
      <c r="I2207" s="21"/>
      <c r="J2207" s="21"/>
      <c r="K2207" s="21"/>
      <c r="L2207" s="21"/>
      <c r="M2207" s="21"/>
      <c r="N2207" s="21"/>
    </row>
    <row r="2208" spans="1:14" ht="15.75" customHeight="1" x14ac:dyDescent="0.25">
      <c r="A2208" s="7"/>
      <c r="B2208" s="345" t="s">
        <v>344</v>
      </c>
      <c r="C2208" s="344"/>
      <c r="D2208" s="344"/>
      <c r="E2208" s="334"/>
      <c r="F2208" s="107">
        <f>SUM(F2206:F2207)</f>
        <v>2886000</v>
      </c>
      <c r="G2208" s="25"/>
      <c r="H2208" s="11"/>
      <c r="I2208" s="21"/>
      <c r="J2208" s="21"/>
      <c r="K2208" s="21"/>
      <c r="L2208" s="21"/>
      <c r="M2208" s="21"/>
      <c r="N2208" s="21"/>
    </row>
    <row r="2209" spans="1:14" ht="15.75" customHeight="1" x14ac:dyDescent="0.25">
      <c r="A2209" s="21"/>
      <c r="B2209" s="21"/>
      <c r="C2209" s="11"/>
      <c r="D2209" s="11"/>
      <c r="E2209" s="21"/>
      <c r="F2209" s="21"/>
      <c r="G2209" s="25"/>
      <c r="H2209" s="11"/>
      <c r="I2209" s="21"/>
      <c r="J2209" s="21"/>
      <c r="K2209" s="21"/>
      <c r="L2209" s="21"/>
      <c r="M2209" s="21"/>
      <c r="N2209" s="21"/>
    </row>
    <row r="2210" spans="1:14" ht="15.75" customHeight="1" x14ac:dyDescent="0.25">
      <c r="A2210" s="31" t="s">
        <v>14</v>
      </c>
      <c r="B2210" s="31" t="s">
        <v>234</v>
      </c>
      <c r="C2210" s="31" t="s">
        <v>16</v>
      </c>
      <c r="D2210" s="31" t="s">
        <v>17</v>
      </c>
      <c r="E2210" s="31" t="s">
        <v>235</v>
      </c>
      <c r="F2210" s="31" t="s">
        <v>236</v>
      </c>
      <c r="G2210" s="25"/>
      <c r="H2210" s="11"/>
      <c r="I2210" s="21"/>
      <c r="J2210" s="21"/>
      <c r="K2210" s="21"/>
      <c r="L2210" s="21"/>
      <c r="M2210" s="21"/>
      <c r="N2210" s="21"/>
    </row>
    <row r="2211" spans="1:14" ht="15.75" customHeight="1" x14ac:dyDescent="0.25">
      <c r="A2211" s="7">
        <v>1</v>
      </c>
      <c r="B2211" s="120" t="s">
        <v>688</v>
      </c>
      <c r="C2211" s="129">
        <v>20</v>
      </c>
      <c r="D2211" s="7" t="s">
        <v>363</v>
      </c>
      <c r="E2211" s="130">
        <v>122500</v>
      </c>
      <c r="F2211" s="130">
        <f>E2211*C2211</f>
        <v>2450000</v>
      </c>
      <c r="G2211" s="25"/>
      <c r="H2211" s="11"/>
      <c r="I2211" s="21"/>
      <c r="J2211" s="21"/>
      <c r="K2211" s="21"/>
      <c r="L2211" s="21"/>
      <c r="M2211" s="21"/>
      <c r="N2211" s="21"/>
    </row>
    <row r="2212" spans="1:14" ht="15.75" customHeight="1" x14ac:dyDescent="0.25">
      <c r="A2212" s="7"/>
      <c r="B2212" s="343" t="s">
        <v>342</v>
      </c>
      <c r="C2212" s="344"/>
      <c r="D2212" s="344"/>
      <c r="E2212" s="334"/>
      <c r="F2212" s="104">
        <f>SUM(F2211)</f>
        <v>2450000</v>
      </c>
      <c r="G2212" s="25"/>
      <c r="H2212" s="11"/>
      <c r="I2212" s="21"/>
      <c r="J2212" s="21"/>
      <c r="K2212" s="21"/>
      <c r="L2212" s="21"/>
      <c r="M2212" s="21"/>
      <c r="N2212" s="21"/>
    </row>
    <row r="2213" spans="1:14" ht="15.75" customHeight="1" x14ac:dyDescent="0.25">
      <c r="A2213" s="7"/>
      <c r="B2213" s="343" t="s">
        <v>343</v>
      </c>
      <c r="C2213" s="344"/>
      <c r="D2213" s="344"/>
      <c r="E2213" s="334"/>
      <c r="F2213" s="104">
        <v>269500</v>
      </c>
      <c r="G2213" s="25"/>
      <c r="H2213" s="11"/>
      <c r="I2213" s="21"/>
      <c r="J2213" s="21"/>
      <c r="K2213" s="21"/>
      <c r="L2213" s="21"/>
      <c r="M2213" s="21"/>
      <c r="N2213" s="21"/>
    </row>
    <row r="2214" spans="1:14" ht="15.75" customHeight="1" x14ac:dyDescent="0.25">
      <c r="A2214" s="7"/>
      <c r="B2214" s="345" t="s">
        <v>344</v>
      </c>
      <c r="C2214" s="344"/>
      <c r="D2214" s="344"/>
      <c r="E2214" s="334"/>
      <c r="F2214" s="107">
        <f>SUM(F2212:F2213)</f>
        <v>2719500</v>
      </c>
      <c r="G2214" s="25"/>
      <c r="H2214" s="11"/>
      <c r="I2214" s="21"/>
      <c r="J2214" s="21"/>
      <c r="K2214" s="21"/>
      <c r="L2214" s="21"/>
      <c r="M2214" s="21"/>
      <c r="N2214" s="21"/>
    </row>
    <row r="2215" spans="1:14" ht="15.75" customHeight="1" x14ac:dyDescent="0.25">
      <c r="A2215" s="21"/>
      <c r="B2215" s="21"/>
      <c r="C2215" s="11"/>
      <c r="D2215" s="11"/>
      <c r="E2215" s="21"/>
      <c r="F2215" s="21"/>
      <c r="G2215" s="25"/>
      <c r="H2215" s="11"/>
      <c r="I2215" s="21"/>
      <c r="J2215" s="21"/>
      <c r="K2215" s="21"/>
      <c r="L2215" s="21"/>
      <c r="M2215" s="21"/>
      <c r="N2215" s="21"/>
    </row>
    <row r="2216" spans="1:14" ht="15.75" customHeight="1" x14ac:dyDescent="0.25">
      <c r="A2216" s="31" t="s">
        <v>14</v>
      </c>
      <c r="B2216" s="31" t="s">
        <v>234</v>
      </c>
      <c r="C2216" s="31" t="s">
        <v>16</v>
      </c>
      <c r="D2216" s="31" t="s">
        <v>17</v>
      </c>
      <c r="E2216" s="31" t="s">
        <v>235</v>
      </c>
      <c r="F2216" s="31" t="s">
        <v>236</v>
      </c>
      <c r="G2216" s="25"/>
      <c r="H2216" s="11"/>
      <c r="I2216" s="21"/>
      <c r="J2216" s="21"/>
      <c r="K2216" s="21"/>
      <c r="L2216" s="21"/>
      <c r="M2216" s="21"/>
      <c r="N2216" s="21"/>
    </row>
    <row r="2217" spans="1:14" ht="15.75" customHeight="1" x14ac:dyDescent="0.25">
      <c r="A2217" s="7">
        <v>1</v>
      </c>
      <c r="B2217" s="120" t="s">
        <v>1045</v>
      </c>
      <c r="C2217" s="129">
        <v>5</v>
      </c>
      <c r="D2217" s="7" t="s">
        <v>363</v>
      </c>
      <c r="E2217" s="130">
        <v>120000</v>
      </c>
      <c r="F2217" s="130">
        <f>E2217*C2217</f>
        <v>600000</v>
      </c>
      <c r="G2217" s="25"/>
      <c r="H2217" s="11"/>
      <c r="I2217" s="21"/>
      <c r="J2217" s="21"/>
      <c r="K2217" s="21"/>
      <c r="L2217" s="21"/>
      <c r="M2217" s="21"/>
      <c r="N2217" s="21"/>
    </row>
    <row r="2218" spans="1:14" ht="15.75" customHeight="1" x14ac:dyDescent="0.25">
      <c r="A2218" s="7"/>
      <c r="B2218" s="343" t="s">
        <v>342</v>
      </c>
      <c r="C2218" s="344"/>
      <c r="D2218" s="344"/>
      <c r="E2218" s="334"/>
      <c r="F2218" s="104">
        <f>SUM(F2217)</f>
        <v>600000</v>
      </c>
      <c r="G2218" s="25"/>
      <c r="H2218" s="11"/>
      <c r="I2218" s="21"/>
      <c r="J2218" s="21"/>
      <c r="K2218" s="21"/>
      <c r="L2218" s="21"/>
      <c r="M2218" s="21"/>
      <c r="N2218" s="21"/>
    </row>
    <row r="2219" spans="1:14" ht="15.75" customHeight="1" x14ac:dyDescent="0.25">
      <c r="A2219" s="7"/>
      <c r="B2219" s="343" t="s">
        <v>343</v>
      </c>
      <c r="C2219" s="344"/>
      <c r="D2219" s="344"/>
      <c r="E2219" s="334"/>
      <c r="F2219" s="104">
        <v>66000</v>
      </c>
      <c r="G2219" s="25"/>
      <c r="H2219" s="11"/>
      <c r="I2219" s="21"/>
      <c r="J2219" s="21"/>
      <c r="K2219" s="21"/>
      <c r="L2219" s="21"/>
      <c r="M2219" s="21"/>
      <c r="N2219" s="21"/>
    </row>
    <row r="2220" spans="1:14" ht="15.75" customHeight="1" x14ac:dyDescent="0.25">
      <c r="A2220" s="7"/>
      <c r="B2220" s="345" t="s">
        <v>344</v>
      </c>
      <c r="C2220" s="344"/>
      <c r="D2220" s="344"/>
      <c r="E2220" s="334"/>
      <c r="F2220" s="107">
        <f>SUM(F2218:F2219)</f>
        <v>666000</v>
      </c>
      <c r="G2220" s="25"/>
      <c r="H2220" s="11"/>
      <c r="I2220" s="21"/>
      <c r="J2220" s="21"/>
      <c r="K2220" s="21"/>
      <c r="L2220" s="21"/>
      <c r="M2220" s="21"/>
      <c r="N2220" s="21"/>
    </row>
    <row r="2221" spans="1:14" ht="15.75" customHeight="1" x14ac:dyDescent="0.25">
      <c r="A2221" s="21"/>
      <c r="B2221" s="21"/>
      <c r="C2221" s="11"/>
      <c r="D2221" s="11"/>
      <c r="E2221" s="21"/>
      <c r="F2221" s="21"/>
      <c r="G2221" s="25"/>
      <c r="H2221" s="11"/>
      <c r="I2221" s="21"/>
      <c r="J2221" s="21"/>
      <c r="K2221" s="21"/>
      <c r="L2221" s="21"/>
      <c r="M2221" s="21"/>
      <c r="N2221" s="21"/>
    </row>
    <row r="2222" spans="1:14" ht="15.75" customHeight="1" x14ac:dyDescent="0.25">
      <c r="A2222" s="31" t="s">
        <v>351</v>
      </c>
      <c r="B2222" s="31" t="s">
        <v>234</v>
      </c>
      <c r="C2222" s="31" t="s">
        <v>16</v>
      </c>
      <c r="D2222" s="31" t="s">
        <v>17</v>
      </c>
      <c r="E2222" s="31" t="s">
        <v>235</v>
      </c>
      <c r="F2222" s="31" t="s">
        <v>236</v>
      </c>
      <c r="G2222" s="25"/>
      <c r="H2222" s="11"/>
      <c r="I2222" s="21"/>
      <c r="J2222" s="21"/>
      <c r="K2222" s="21"/>
      <c r="L2222" s="21"/>
      <c r="M2222" s="21"/>
      <c r="N2222" s="21"/>
    </row>
    <row r="2223" spans="1:14" ht="15.75" customHeight="1" x14ac:dyDescent="0.25">
      <c r="A2223" s="7">
        <v>1</v>
      </c>
      <c r="B2223" s="41" t="s">
        <v>1046</v>
      </c>
      <c r="C2223" s="7">
        <v>2</v>
      </c>
      <c r="D2223" s="7" t="s">
        <v>19</v>
      </c>
      <c r="E2223" s="104">
        <v>85000</v>
      </c>
      <c r="F2223" s="104">
        <f>E2223*C2223</f>
        <v>170000</v>
      </c>
      <c r="G2223" s="25"/>
      <c r="H2223" s="11"/>
      <c r="I2223" s="21"/>
      <c r="J2223" s="21"/>
      <c r="K2223" s="21"/>
      <c r="L2223" s="21"/>
      <c r="M2223" s="21"/>
      <c r="N2223" s="21"/>
    </row>
    <row r="2224" spans="1:14" ht="15.75" customHeight="1" x14ac:dyDescent="0.25">
      <c r="A2224" s="7">
        <v>2</v>
      </c>
      <c r="B2224" s="41" t="s">
        <v>1047</v>
      </c>
      <c r="C2224" s="7">
        <v>1</v>
      </c>
      <c r="D2224" s="7" t="s">
        <v>243</v>
      </c>
      <c r="E2224" s="104">
        <v>2085500</v>
      </c>
      <c r="F2224" s="104">
        <f>E2224*C2224</f>
        <v>2085500</v>
      </c>
      <c r="G2224" s="25"/>
      <c r="H2224" s="11"/>
      <c r="I2224" s="21"/>
      <c r="J2224" s="21"/>
      <c r="K2224" s="21"/>
      <c r="L2224" s="21"/>
      <c r="M2224" s="21"/>
      <c r="N2224" s="21"/>
    </row>
    <row r="2225" spans="1:14" ht="15.75" customHeight="1" x14ac:dyDescent="0.25">
      <c r="A2225" s="7"/>
      <c r="B2225" s="343" t="s">
        <v>342</v>
      </c>
      <c r="C2225" s="344"/>
      <c r="D2225" s="344"/>
      <c r="E2225" s="334"/>
      <c r="F2225" s="104">
        <f>SUM(F2223:F2224)</f>
        <v>2255500</v>
      </c>
      <c r="G2225" s="25"/>
      <c r="H2225" s="11"/>
      <c r="I2225" s="21"/>
      <c r="J2225" s="21"/>
      <c r="K2225" s="21"/>
      <c r="L2225" s="21"/>
      <c r="M2225" s="21"/>
      <c r="N2225" s="21"/>
    </row>
    <row r="2226" spans="1:14" ht="15.75" customHeight="1" x14ac:dyDescent="0.25">
      <c r="A2226" s="7"/>
      <c r="B2226" s="343" t="s">
        <v>343</v>
      </c>
      <c r="C2226" s="344"/>
      <c r="D2226" s="344"/>
      <c r="E2226" s="334"/>
      <c r="F2226" s="104">
        <v>248105</v>
      </c>
      <c r="G2226" s="25"/>
      <c r="H2226" s="11"/>
      <c r="I2226" s="21"/>
      <c r="J2226" s="21"/>
      <c r="K2226" s="21"/>
      <c r="L2226" s="21"/>
      <c r="M2226" s="21"/>
      <c r="N2226" s="21"/>
    </row>
    <row r="2227" spans="1:14" ht="15.75" customHeight="1" x14ac:dyDescent="0.25">
      <c r="A2227" s="7"/>
      <c r="B2227" s="345" t="s">
        <v>344</v>
      </c>
      <c r="C2227" s="344"/>
      <c r="D2227" s="344"/>
      <c r="E2227" s="334"/>
      <c r="F2227" s="107">
        <f>SUM(F2225:F2226)</f>
        <v>2503605</v>
      </c>
      <c r="G2227" s="25"/>
      <c r="H2227" s="11"/>
      <c r="I2227" s="21"/>
      <c r="J2227" s="21"/>
      <c r="K2227" s="21"/>
      <c r="L2227" s="21"/>
      <c r="M2227" s="21"/>
      <c r="N2227" s="21"/>
    </row>
    <row r="2228" spans="1:14" ht="15.75" customHeight="1" x14ac:dyDescent="0.25">
      <c r="A2228" s="21"/>
      <c r="B2228" s="21"/>
      <c r="C2228" s="11"/>
      <c r="D2228" s="11"/>
      <c r="E2228" s="21"/>
      <c r="F2228" s="21"/>
      <c r="G2228" s="25"/>
      <c r="H2228" s="11"/>
      <c r="I2228" s="21"/>
      <c r="J2228" s="21"/>
      <c r="K2228" s="21"/>
      <c r="L2228" s="21"/>
      <c r="M2228" s="21"/>
      <c r="N2228" s="21"/>
    </row>
    <row r="2229" spans="1:14" ht="15.75" customHeight="1" x14ac:dyDescent="0.25">
      <c r="A2229" s="31" t="s">
        <v>14</v>
      </c>
      <c r="B2229" s="31" t="s">
        <v>234</v>
      </c>
      <c r="C2229" s="31" t="s">
        <v>16</v>
      </c>
      <c r="D2229" s="31" t="s">
        <v>17</v>
      </c>
      <c r="E2229" s="31" t="s">
        <v>235</v>
      </c>
      <c r="F2229" s="31" t="s">
        <v>236</v>
      </c>
      <c r="G2229" s="25"/>
      <c r="H2229" s="11"/>
      <c r="I2229" s="21"/>
      <c r="J2229" s="21"/>
      <c r="K2229" s="21"/>
      <c r="L2229" s="21"/>
      <c r="M2229" s="21"/>
      <c r="N2229" s="21"/>
    </row>
    <row r="2230" spans="1:14" ht="15.75" customHeight="1" x14ac:dyDescent="0.25">
      <c r="A2230" s="7">
        <v>1</v>
      </c>
      <c r="B2230" s="120" t="s">
        <v>987</v>
      </c>
      <c r="C2230" s="7">
        <v>1</v>
      </c>
      <c r="D2230" s="7" t="s">
        <v>412</v>
      </c>
      <c r="E2230" s="108">
        <v>148105274.5</v>
      </c>
      <c r="F2230" s="108">
        <f>E2230*C2230</f>
        <v>148105274.5</v>
      </c>
      <c r="G2230" s="25"/>
      <c r="H2230" s="11"/>
      <c r="I2230" s="21"/>
      <c r="J2230" s="21"/>
      <c r="K2230" s="21"/>
      <c r="L2230" s="21"/>
      <c r="M2230" s="21"/>
      <c r="N2230" s="21"/>
    </row>
    <row r="2231" spans="1:14" ht="15.75" customHeight="1" x14ac:dyDescent="0.25">
      <c r="A2231" s="7"/>
      <c r="B2231" s="343" t="s">
        <v>342</v>
      </c>
      <c r="C2231" s="344"/>
      <c r="D2231" s="344"/>
      <c r="E2231" s="334"/>
      <c r="F2231" s="108">
        <f>F2230</f>
        <v>148105274.5</v>
      </c>
      <c r="G2231" s="25"/>
      <c r="H2231" s="11"/>
      <c r="I2231" s="21"/>
      <c r="J2231" s="21"/>
      <c r="K2231" s="21"/>
      <c r="L2231" s="21"/>
      <c r="M2231" s="21"/>
      <c r="N2231" s="21"/>
    </row>
    <row r="2232" spans="1:14" ht="15.75" customHeight="1" x14ac:dyDescent="0.25">
      <c r="A2232" s="7"/>
      <c r="B2232" s="343" t="s">
        <v>1048</v>
      </c>
      <c r="C2232" s="344"/>
      <c r="D2232" s="344"/>
      <c r="E2232" s="334"/>
      <c r="F2232" s="104">
        <v>88863164.700000003</v>
      </c>
      <c r="G2232" s="25"/>
      <c r="H2232" s="11"/>
      <c r="I2232" s="21"/>
      <c r="J2232" s="21"/>
      <c r="K2232" s="21"/>
      <c r="L2232" s="21"/>
      <c r="M2232" s="21"/>
      <c r="N2232" s="21"/>
    </row>
    <row r="2233" spans="1:14" ht="15.75" customHeight="1" x14ac:dyDescent="0.25">
      <c r="A2233" s="7"/>
      <c r="B2233" s="343" t="s">
        <v>343</v>
      </c>
      <c r="C2233" s="344"/>
      <c r="D2233" s="344"/>
      <c r="E2233" s="334"/>
      <c r="F2233" s="104">
        <v>9774948.1500000004</v>
      </c>
      <c r="G2233" s="25"/>
      <c r="H2233" s="11"/>
      <c r="I2233" s="21"/>
      <c r="J2233" s="21"/>
      <c r="K2233" s="21"/>
      <c r="L2233" s="21"/>
      <c r="M2233" s="21"/>
      <c r="N2233" s="21"/>
    </row>
    <row r="2234" spans="1:14" ht="15.75" customHeight="1" x14ac:dyDescent="0.25">
      <c r="A2234" s="7"/>
      <c r="B2234" s="345" t="s">
        <v>344</v>
      </c>
      <c r="C2234" s="344"/>
      <c r="D2234" s="344"/>
      <c r="E2234" s="334"/>
      <c r="F2234" s="107">
        <f>SUM(F2232:F2233)</f>
        <v>98638112.850000009</v>
      </c>
      <c r="G2234" s="25"/>
      <c r="H2234" s="11"/>
      <c r="I2234" s="21"/>
      <c r="J2234" s="21"/>
      <c r="K2234" s="21"/>
      <c r="L2234" s="21"/>
      <c r="M2234" s="21"/>
      <c r="N2234" s="21"/>
    </row>
    <row r="2235" spans="1:14" ht="15.75" customHeight="1" x14ac:dyDescent="0.25">
      <c r="A2235" s="21"/>
      <c r="B2235" s="21"/>
      <c r="C2235" s="11"/>
      <c r="D2235" s="11"/>
      <c r="E2235" s="21"/>
      <c r="F2235" s="21"/>
      <c r="G2235" s="25"/>
      <c r="H2235" s="11"/>
      <c r="I2235" s="21"/>
      <c r="J2235" s="21"/>
      <c r="K2235" s="21"/>
      <c r="L2235" s="21"/>
      <c r="M2235" s="21"/>
      <c r="N2235" s="21"/>
    </row>
    <row r="2236" spans="1:14" ht="15.75" customHeight="1" x14ac:dyDescent="0.25">
      <c r="A2236" s="31" t="s">
        <v>351</v>
      </c>
      <c r="B2236" s="31" t="s">
        <v>234</v>
      </c>
      <c r="C2236" s="31" t="s">
        <v>16</v>
      </c>
      <c r="D2236" s="31" t="s">
        <v>17</v>
      </c>
      <c r="E2236" s="31" t="s">
        <v>235</v>
      </c>
      <c r="F2236" s="31" t="s">
        <v>236</v>
      </c>
      <c r="G2236" s="25"/>
      <c r="H2236" s="11"/>
      <c r="I2236" s="21"/>
      <c r="J2236" s="21"/>
      <c r="K2236" s="21"/>
      <c r="L2236" s="21"/>
      <c r="M2236" s="21"/>
      <c r="N2236" s="21"/>
    </row>
    <row r="2237" spans="1:14" ht="15.75" customHeight="1" x14ac:dyDescent="0.25">
      <c r="A2237" s="7">
        <v>1</v>
      </c>
      <c r="B2237" s="41" t="s">
        <v>1049</v>
      </c>
      <c r="C2237" s="7">
        <v>4</v>
      </c>
      <c r="D2237" s="7" t="s">
        <v>19</v>
      </c>
      <c r="E2237" s="104">
        <v>30500</v>
      </c>
      <c r="F2237" s="104">
        <f>E2237*C2237</f>
        <v>122000</v>
      </c>
      <c r="G2237" s="25"/>
      <c r="H2237" s="11"/>
      <c r="I2237" s="21"/>
      <c r="J2237" s="21"/>
      <c r="K2237" s="21"/>
      <c r="L2237" s="21"/>
      <c r="M2237" s="21"/>
      <c r="N2237" s="21"/>
    </row>
    <row r="2238" spans="1:14" ht="15.75" customHeight="1" x14ac:dyDescent="0.25">
      <c r="A2238" s="7">
        <v>2</v>
      </c>
      <c r="B2238" s="41" t="s">
        <v>1050</v>
      </c>
      <c r="C2238" s="7">
        <v>15</v>
      </c>
      <c r="D2238" s="7" t="s">
        <v>19</v>
      </c>
      <c r="E2238" s="104">
        <v>391600</v>
      </c>
      <c r="F2238" s="104">
        <f>E2238*C2238</f>
        <v>5874000</v>
      </c>
      <c r="G2238" s="25"/>
      <c r="H2238" s="11"/>
      <c r="I2238" s="21"/>
      <c r="J2238" s="21"/>
      <c r="K2238" s="21"/>
      <c r="L2238" s="21"/>
      <c r="M2238" s="21"/>
      <c r="N2238" s="21"/>
    </row>
    <row r="2239" spans="1:14" ht="15.75" customHeight="1" x14ac:dyDescent="0.25">
      <c r="A2239" s="7"/>
      <c r="B2239" s="343" t="s">
        <v>342</v>
      </c>
      <c r="C2239" s="344"/>
      <c r="D2239" s="344"/>
      <c r="E2239" s="334"/>
      <c r="F2239" s="104">
        <f>SUM(F2237:F2238)</f>
        <v>5996000</v>
      </c>
      <c r="G2239" s="25"/>
      <c r="H2239" s="11"/>
      <c r="I2239" s="21"/>
      <c r="J2239" s="21"/>
      <c r="K2239" s="21"/>
      <c r="L2239" s="21"/>
      <c r="M2239" s="21"/>
      <c r="N2239" s="21"/>
    </row>
    <row r="2240" spans="1:14" ht="15.75" customHeight="1" x14ac:dyDescent="0.25">
      <c r="A2240" s="7"/>
      <c r="B2240" s="343" t="s">
        <v>986</v>
      </c>
      <c r="C2240" s="344"/>
      <c r="D2240" s="344"/>
      <c r="E2240" s="334"/>
      <c r="F2240" s="104">
        <v>179880</v>
      </c>
      <c r="G2240" s="25"/>
      <c r="H2240" s="11"/>
      <c r="I2240" s="21"/>
      <c r="J2240" s="21"/>
      <c r="K2240" s="21"/>
      <c r="L2240" s="21"/>
      <c r="M2240" s="21"/>
      <c r="N2240" s="21"/>
    </row>
    <row r="2241" spans="1:14" ht="15.75" customHeight="1" x14ac:dyDescent="0.25">
      <c r="A2241" s="7"/>
      <c r="B2241" s="343" t="s">
        <v>342</v>
      </c>
      <c r="C2241" s="344"/>
      <c r="D2241" s="344"/>
      <c r="E2241" s="334"/>
      <c r="F2241" s="104">
        <f>F2239-F2240</f>
        <v>5816120</v>
      </c>
      <c r="G2241" s="25"/>
      <c r="H2241" s="11"/>
      <c r="I2241" s="21"/>
      <c r="J2241" s="21"/>
      <c r="K2241" s="21"/>
      <c r="L2241" s="21"/>
      <c r="M2241" s="21"/>
      <c r="N2241" s="21"/>
    </row>
    <row r="2242" spans="1:14" ht="15.75" customHeight="1" x14ac:dyDescent="0.25">
      <c r="A2242" s="7"/>
      <c r="B2242" s="343" t="s">
        <v>343</v>
      </c>
      <c r="C2242" s="344"/>
      <c r="D2242" s="344"/>
      <c r="E2242" s="334"/>
      <c r="F2242" s="104">
        <v>639773</v>
      </c>
      <c r="G2242" s="25"/>
      <c r="H2242" s="11"/>
      <c r="I2242" s="21"/>
      <c r="J2242" s="21"/>
      <c r="K2242" s="21"/>
      <c r="L2242" s="21"/>
      <c r="M2242" s="21"/>
      <c r="N2242" s="21"/>
    </row>
    <row r="2243" spans="1:14" ht="15.75" customHeight="1" x14ac:dyDescent="0.25">
      <c r="A2243" s="7"/>
      <c r="B2243" s="345" t="s">
        <v>344</v>
      </c>
      <c r="C2243" s="344"/>
      <c r="D2243" s="344"/>
      <c r="E2243" s="334"/>
      <c r="F2243" s="107">
        <f>SUM(F2241:F2242)</f>
        <v>6455893</v>
      </c>
      <c r="G2243" s="25"/>
      <c r="H2243" s="11"/>
      <c r="I2243" s="21"/>
      <c r="J2243" s="21"/>
      <c r="K2243" s="21"/>
      <c r="L2243" s="21"/>
      <c r="M2243" s="21"/>
      <c r="N2243" s="21"/>
    </row>
    <row r="2244" spans="1:14" ht="15.75" customHeight="1" x14ac:dyDescent="0.25">
      <c r="A2244" s="21"/>
      <c r="B2244" s="21"/>
      <c r="C2244" s="11"/>
      <c r="D2244" s="11"/>
      <c r="E2244" s="21"/>
      <c r="F2244" s="21"/>
      <c r="G2244" s="25"/>
      <c r="H2244" s="11"/>
      <c r="I2244" s="21"/>
      <c r="J2244" s="21"/>
      <c r="K2244" s="21"/>
      <c r="L2244" s="21"/>
      <c r="M2244" s="21"/>
      <c r="N2244" s="21"/>
    </row>
    <row r="2245" spans="1:14" ht="15.75" customHeight="1" x14ac:dyDescent="0.25">
      <c r="A2245" s="31" t="s">
        <v>351</v>
      </c>
      <c r="B2245" s="31" t="s">
        <v>234</v>
      </c>
      <c r="C2245" s="31" t="s">
        <v>16</v>
      </c>
      <c r="D2245" s="31" t="s">
        <v>17</v>
      </c>
      <c r="E2245" s="31" t="s">
        <v>235</v>
      </c>
      <c r="F2245" s="31" t="s">
        <v>236</v>
      </c>
      <c r="G2245" s="25"/>
      <c r="H2245" s="11"/>
      <c r="I2245" s="21"/>
      <c r="J2245" s="21"/>
      <c r="K2245" s="21"/>
      <c r="L2245" s="21"/>
      <c r="M2245" s="21"/>
      <c r="N2245" s="21"/>
    </row>
    <row r="2246" spans="1:14" ht="15.75" customHeight="1" x14ac:dyDescent="0.25">
      <c r="A2246" s="7">
        <v>1</v>
      </c>
      <c r="B2246" s="152" t="s">
        <v>1051</v>
      </c>
      <c r="C2246" s="7">
        <v>1</v>
      </c>
      <c r="D2246" s="7" t="s">
        <v>19</v>
      </c>
      <c r="E2246" s="104">
        <v>3467750</v>
      </c>
      <c r="F2246" s="104">
        <f>E2246*C2246</f>
        <v>3467750</v>
      </c>
      <c r="G2246" s="25"/>
      <c r="H2246" s="11"/>
      <c r="I2246" s="21"/>
      <c r="J2246" s="21"/>
      <c r="K2246" s="21"/>
      <c r="L2246" s="21"/>
      <c r="M2246" s="21"/>
      <c r="N2246" s="21"/>
    </row>
    <row r="2247" spans="1:14" ht="15.75" customHeight="1" x14ac:dyDescent="0.25">
      <c r="A2247" s="7">
        <v>2</v>
      </c>
      <c r="B2247" s="124" t="s">
        <v>1052</v>
      </c>
      <c r="C2247" s="7">
        <v>1</v>
      </c>
      <c r="D2247" s="7" t="s">
        <v>19</v>
      </c>
      <c r="E2247" s="104">
        <v>7430200</v>
      </c>
      <c r="F2247" s="104">
        <f>E2247*C2247</f>
        <v>7430200</v>
      </c>
      <c r="G2247" s="25"/>
      <c r="H2247" s="11"/>
      <c r="I2247" s="21"/>
      <c r="J2247" s="21"/>
      <c r="K2247" s="21"/>
      <c r="L2247" s="21"/>
      <c r="M2247" s="21"/>
      <c r="N2247" s="21"/>
    </row>
    <row r="2248" spans="1:14" ht="15.75" customHeight="1" x14ac:dyDescent="0.25">
      <c r="A2248" s="7"/>
      <c r="B2248" s="343" t="s">
        <v>342</v>
      </c>
      <c r="C2248" s="344"/>
      <c r="D2248" s="344"/>
      <c r="E2248" s="334"/>
      <c r="F2248" s="104">
        <f>SUM(F2246:F2247)</f>
        <v>10897950</v>
      </c>
      <c r="G2248" s="25"/>
      <c r="H2248" s="11"/>
      <c r="I2248" s="21"/>
      <c r="J2248" s="21"/>
      <c r="K2248" s="21"/>
      <c r="L2248" s="21"/>
      <c r="M2248" s="21"/>
      <c r="N2248" s="21"/>
    </row>
    <row r="2249" spans="1:14" ht="15.75" customHeight="1" x14ac:dyDescent="0.25">
      <c r="A2249" s="7"/>
      <c r="B2249" s="343" t="s">
        <v>343</v>
      </c>
      <c r="C2249" s="344"/>
      <c r="D2249" s="344"/>
      <c r="E2249" s="334"/>
      <c r="F2249" s="104">
        <v>1198774.5</v>
      </c>
      <c r="G2249" s="25"/>
      <c r="H2249" s="11"/>
      <c r="I2249" s="21"/>
      <c r="J2249" s="21"/>
      <c r="K2249" s="21"/>
      <c r="L2249" s="21"/>
      <c r="M2249" s="21"/>
      <c r="N2249" s="21"/>
    </row>
    <row r="2250" spans="1:14" ht="15.75" customHeight="1" x14ac:dyDescent="0.25">
      <c r="A2250" s="7"/>
      <c r="B2250" s="345" t="s">
        <v>344</v>
      </c>
      <c r="C2250" s="344"/>
      <c r="D2250" s="344"/>
      <c r="E2250" s="334"/>
      <c r="F2250" s="107">
        <f>SUM(F2248:F2249)</f>
        <v>12096724.5</v>
      </c>
      <c r="G2250" s="25"/>
      <c r="H2250" s="11"/>
      <c r="I2250" s="21"/>
      <c r="J2250" s="21"/>
      <c r="K2250" s="21"/>
      <c r="L2250" s="21"/>
      <c r="M2250" s="21"/>
      <c r="N2250" s="21"/>
    </row>
    <row r="2251" spans="1:14" ht="15.75" customHeight="1" x14ac:dyDescent="0.25">
      <c r="A2251" s="21"/>
      <c r="B2251" s="21"/>
      <c r="C2251" s="11"/>
      <c r="D2251" s="11"/>
      <c r="E2251" s="21"/>
      <c r="F2251" s="21"/>
      <c r="G2251" s="25"/>
      <c r="H2251" s="11"/>
      <c r="I2251" s="21"/>
      <c r="J2251" s="21"/>
      <c r="K2251" s="21"/>
      <c r="L2251" s="21"/>
      <c r="M2251" s="21"/>
      <c r="N2251" s="21"/>
    </row>
    <row r="2252" spans="1:14" ht="15.75" customHeight="1" x14ac:dyDescent="0.25">
      <c r="A2252" s="31" t="s">
        <v>14</v>
      </c>
      <c r="B2252" s="31" t="s">
        <v>234</v>
      </c>
      <c r="C2252" s="31" t="s">
        <v>16</v>
      </c>
      <c r="D2252" s="31" t="s">
        <v>17</v>
      </c>
      <c r="E2252" s="31" t="s">
        <v>235</v>
      </c>
      <c r="F2252" s="31" t="s">
        <v>236</v>
      </c>
      <c r="G2252" s="25"/>
      <c r="H2252" s="11"/>
      <c r="I2252" s="21"/>
      <c r="J2252" s="21"/>
      <c r="K2252" s="21"/>
      <c r="L2252" s="21"/>
      <c r="M2252" s="21"/>
      <c r="N2252" s="21"/>
    </row>
    <row r="2253" spans="1:14" ht="15.75" customHeight="1" x14ac:dyDescent="0.25">
      <c r="A2253" s="7">
        <v>1</v>
      </c>
      <c r="B2253" s="120" t="s">
        <v>1053</v>
      </c>
      <c r="C2253" s="129">
        <v>4</v>
      </c>
      <c r="D2253" s="7" t="s">
        <v>363</v>
      </c>
      <c r="E2253" s="130">
        <v>1680040</v>
      </c>
      <c r="F2253" s="130">
        <f>E2253*C2253</f>
        <v>6720160</v>
      </c>
      <c r="G2253" s="25"/>
      <c r="H2253" s="11"/>
      <c r="I2253" s="21"/>
      <c r="J2253" s="21"/>
      <c r="K2253" s="21"/>
      <c r="L2253" s="21"/>
      <c r="M2253" s="21"/>
      <c r="N2253" s="21"/>
    </row>
    <row r="2254" spans="1:14" ht="15.75" customHeight="1" x14ac:dyDescent="0.25">
      <c r="A2254" s="7"/>
      <c r="B2254" s="343" t="s">
        <v>342</v>
      </c>
      <c r="C2254" s="344"/>
      <c r="D2254" s="344"/>
      <c r="E2254" s="334"/>
      <c r="F2254" s="104">
        <f>SUM(F2253)</f>
        <v>6720160</v>
      </c>
      <c r="G2254" s="25"/>
      <c r="H2254" s="11"/>
      <c r="I2254" s="21"/>
      <c r="J2254" s="21"/>
      <c r="K2254" s="21"/>
      <c r="L2254" s="21"/>
      <c r="M2254" s="21"/>
      <c r="N2254" s="21"/>
    </row>
    <row r="2255" spans="1:14" ht="15.75" customHeight="1" x14ac:dyDescent="0.25">
      <c r="A2255" s="7"/>
      <c r="B2255" s="343" t="s">
        <v>343</v>
      </c>
      <c r="C2255" s="344"/>
      <c r="D2255" s="344"/>
      <c r="E2255" s="334"/>
      <c r="F2255" s="104">
        <v>739217.6</v>
      </c>
      <c r="G2255" s="25"/>
      <c r="H2255" s="11"/>
      <c r="I2255" s="21"/>
      <c r="J2255" s="21"/>
      <c r="K2255" s="21"/>
      <c r="L2255" s="21"/>
      <c r="M2255" s="21"/>
      <c r="N2255" s="21"/>
    </row>
    <row r="2256" spans="1:14" ht="15.75" customHeight="1" x14ac:dyDescent="0.25">
      <c r="A2256" s="7"/>
      <c r="B2256" s="345" t="s">
        <v>344</v>
      </c>
      <c r="C2256" s="344"/>
      <c r="D2256" s="344"/>
      <c r="E2256" s="334"/>
      <c r="F2256" s="107">
        <f>SUM(F2254:F2255)</f>
        <v>7459377.5999999996</v>
      </c>
      <c r="G2256" s="25"/>
      <c r="H2256" s="11"/>
      <c r="I2256" s="21"/>
      <c r="J2256" s="21"/>
      <c r="K2256" s="21"/>
      <c r="L2256" s="21"/>
      <c r="M2256" s="21"/>
      <c r="N2256" s="21"/>
    </row>
    <row r="2257" spans="1:14" ht="15.75" customHeight="1" x14ac:dyDescent="0.25">
      <c r="A2257" s="21"/>
      <c r="B2257" s="21"/>
      <c r="C2257" s="11"/>
      <c r="D2257" s="11"/>
      <c r="E2257" s="21"/>
      <c r="F2257" s="21"/>
      <c r="G2257" s="25"/>
      <c r="H2257" s="11"/>
      <c r="I2257" s="21"/>
      <c r="J2257" s="21"/>
      <c r="K2257" s="21"/>
      <c r="L2257" s="21"/>
      <c r="M2257" s="21"/>
      <c r="N2257" s="21"/>
    </row>
    <row r="2258" spans="1:14" ht="15.75" customHeight="1" x14ac:dyDescent="0.25">
      <c r="A2258" s="31" t="s">
        <v>351</v>
      </c>
      <c r="B2258" s="31" t="s">
        <v>234</v>
      </c>
      <c r="C2258" s="31" t="s">
        <v>16</v>
      </c>
      <c r="D2258" s="31" t="s">
        <v>17</v>
      </c>
      <c r="E2258" s="31" t="s">
        <v>235</v>
      </c>
      <c r="F2258" s="31" t="s">
        <v>236</v>
      </c>
      <c r="G2258" s="25"/>
      <c r="H2258" s="11"/>
      <c r="I2258" s="21"/>
      <c r="J2258" s="21"/>
      <c r="K2258" s="21"/>
      <c r="L2258" s="21"/>
      <c r="M2258" s="21"/>
      <c r="N2258" s="21"/>
    </row>
    <row r="2259" spans="1:14" ht="15.75" customHeight="1" x14ac:dyDescent="0.25">
      <c r="A2259" s="7">
        <v>1</v>
      </c>
      <c r="B2259" s="41" t="s">
        <v>1054</v>
      </c>
      <c r="C2259" s="7">
        <v>6</v>
      </c>
      <c r="D2259" s="7" t="s">
        <v>353</v>
      </c>
      <c r="E2259" s="104">
        <v>71250</v>
      </c>
      <c r="F2259" s="104">
        <f>E2259*C2259</f>
        <v>427500</v>
      </c>
      <c r="G2259" s="25"/>
      <c r="H2259" s="11"/>
      <c r="I2259" s="21"/>
      <c r="J2259" s="21"/>
      <c r="K2259" s="21"/>
      <c r="L2259" s="21"/>
      <c r="M2259" s="21"/>
      <c r="N2259" s="21"/>
    </row>
    <row r="2260" spans="1:14" ht="15.75" customHeight="1" x14ac:dyDescent="0.25">
      <c r="A2260" s="7">
        <v>2</v>
      </c>
      <c r="B2260" s="41" t="s">
        <v>1055</v>
      </c>
      <c r="C2260" s="7">
        <v>4</v>
      </c>
      <c r="D2260" s="7" t="s">
        <v>353</v>
      </c>
      <c r="E2260" s="104">
        <v>71250</v>
      </c>
      <c r="F2260" s="104">
        <f>E2260*C2260</f>
        <v>285000</v>
      </c>
      <c r="G2260" s="25"/>
      <c r="H2260" s="11"/>
      <c r="I2260" s="21"/>
      <c r="J2260" s="21"/>
      <c r="K2260" s="21"/>
      <c r="L2260" s="21"/>
      <c r="M2260" s="21"/>
      <c r="N2260" s="21"/>
    </row>
    <row r="2261" spans="1:14" ht="15.75" customHeight="1" x14ac:dyDescent="0.25">
      <c r="A2261" s="7"/>
      <c r="B2261" s="343" t="s">
        <v>342</v>
      </c>
      <c r="C2261" s="344"/>
      <c r="D2261" s="344"/>
      <c r="E2261" s="334"/>
      <c r="F2261" s="104">
        <f>SUM(F2259:F2260)</f>
        <v>712500</v>
      </c>
      <c r="G2261" s="25"/>
      <c r="H2261" s="11"/>
      <c r="I2261" s="21"/>
      <c r="J2261" s="21"/>
      <c r="K2261" s="21"/>
      <c r="L2261" s="21"/>
      <c r="M2261" s="21"/>
      <c r="N2261" s="21"/>
    </row>
    <row r="2262" spans="1:14" ht="15.75" customHeight="1" x14ac:dyDescent="0.25">
      <c r="A2262" s="7"/>
      <c r="B2262" s="343" t="s">
        <v>343</v>
      </c>
      <c r="C2262" s="344"/>
      <c r="D2262" s="344"/>
      <c r="E2262" s="334"/>
      <c r="F2262" s="104">
        <v>78375</v>
      </c>
      <c r="G2262" s="25"/>
      <c r="H2262" s="11"/>
      <c r="I2262" s="21"/>
      <c r="J2262" s="21"/>
      <c r="K2262" s="21"/>
      <c r="L2262" s="21"/>
      <c r="M2262" s="21"/>
      <c r="N2262" s="21"/>
    </row>
    <row r="2263" spans="1:14" ht="15.75" customHeight="1" x14ac:dyDescent="0.25">
      <c r="A2263" s="7"/>
      <c r="B2263" s="345" t="s">
        <v>344</v>
      </c>
      <c r="C2263" s="344"/>
      <c r="D2263" s="344"/>
      <c r="E2263" s="334"/>
      <c r="F2263" s="107">
        <f>SUM(F2261:F2262)</f>
        <v>790875</v>
      </c>
      <c r="G2263" s="25"/>
      <c r="H2263" s="11"/>
      <c r="I2263" s="21"/>
      <c r="J2263" s="21"/>
      <c r="K2263" s="21"/>
      <c r="L2263" s="21"/>
      <c r="M2263" s="21"/>
      <c r="N2263" s="21"/>
    </row>
    <row r="2264" spans="1:14" ht="15.75" customHeight="1" x14ac:dyDescent="0.25">
      <c r="A2264" s="21"/>
      <c r="B2264" s="21"/>
      <c r="C2264" s="11"/>
      <c r="D2264" s="11"/>
      <c r="E2264" s="21"/>
      <c r="F2264" s="21"/>
      <c r="G2264" s="25"/>
      <c r="H2264" s="11"/>
      <c r="I2264" s="21"/>
      <c r="J2264" s="21"/>
      <c r="K2264" s="21"/>
      <c r="L2264" s="21"/>
      <c r="M2264" s="21"/>
      <c r="N2264" s="21"/>
    </row>
    <row r="2265" spans="1:14" ht="15.75" customHeight="1" x14ac:dyDescent="0.25">
      <c r="A2265" s="31" t="s">
        <v>14</v>
      </c>
      <c r="B2265" s="31" t="s">
        <v>234</v>
      </c>
      <c r="C2265" s="31" t="s">
        <v>16</v>
      </c>
      <c r="D2265" s="31" t="s">
        <v>17</v>
      </c>
      <c r="E2265" s="31" t="s">
        <v>235</v>
      </c>
      <c r="F2265" s="31" t="s">
        <v>236</v>
      </c>
      <c r="G2265" s="25"/>
      <c r="H2265" s="11"/>
      <c r="I2265" s="21"/>
      <c r="J2265" s="21"/>
      <c r="K2265" s="21"/>
      <c r="L2265" s="21"/>
      <c r="M2265" s="21"/>
      <c r="N2265" s="21"/>
    </row>
    <row r="2266" spans="1:14" ht="15.75" customHeight="1" x14ac:dyDescent="0.25">
      <c r="A2266" s="7">
        <v>1</v>
      </c>
      <c r="B2266" s="120" t="s">
        <v>1056</v>
      </c>
      <c r="C2266" s="129">
        <v>6</v>
      </c>
      <c r="D2266" s="7" t="s">
        <v>363</v>
      </c>
      <c r="E2266" s="130">
        <v>28500</v>
      </c>
      <c r="F2266" s="130">
        <f>E2266*C2266</f>
        <v>171000</v>
      </c>
      <c r="G2266" s="25"/>
      <c r="H2266" s="11"/>
      <c r="I2266" s="21"/>
      <c r="J2266" s="21"/>
      <c r="K2266" s="21"/>
      <c r="L2266" s="21"/>
      <c r="M2266" s="21"/>
      <c r="N2266" s="21"/>
    </row>
    <row r="2267" spans="1:14" ht="15.75" customHeight="1" x14ac:dyDescent="0.25">
      <c r="A2267" s="7"/>
      <c r="B2267" s="343" t="s">
        <v>342</v>
      </c>
      <c r="C2267" s="344"/>
      <c r="D2267" s="344"/>
      <c r="E2267" s="334"/>
      <c r="F2267" s="104">
        <f>SUM(F2266)</f>
        <v>171000</v>
      </c>
      <c r="G2267" s="25"/>
      <c r="H2267" s="11"/>
      <c r="I2267" s="21"/>
      <c r="J2267" s="21"/>
      <c r="K2267" s="21"/>
      <c r="L2267" s="21"/>
      <c r="M2267" s="21"/>
      <c r="N2267" s="21"/>
    </row>
    <row r="2268" spans="1:14" ht="15.75" customHeight="1" x14ac:dyDescent="0.25">
      <c r="A2268" s="7"/>
      <c r="B2268" s="343" t="s">
        <v>343</v>
      </c>
      <c r="C2268" s="344"/>
      <c r="D2268" s="344"/>
      <c r="E2268" s="334"/>
      <c r="F2268" s="104">
        <v>18810</v>
      </c>
      <c r="G2268" s="25"/>
      <c r="H2268" s="11"/>
      <c r="I2268" s="21"/>
      <c r="J2268" s="21"/>
      <c r="K2268" s="21"/>
      <c r="L2268" s="21"/>
      <c r="M2268" s="21"/>
      <c r="N2268" s="21"/>
    </row>
    <row r="2269" spans="1:14" ht="15.75" customHeight="1" x14ac:dyDescent="0.25">
      <c r="A2269" s="7"/>
      <c r="B2269" s="345" t="s">
        <v>344</v>
      </c>
      <c r="C2269" s="344"/>
      <c r="D2269" s="344"/>
      <c r="E2269" s="334"/>
      <c r="F2269" s="107">
        <f>SUM(F2267:F2268)</f>
        <v>189810</v>
      </c>
      <c r="G2269" s="25"/>
      <c r="H2269" s="11"/>
      <c r="I2269" s="21"/>
      <c r="J2269" s="21"/>
      <c r="K2269" s="21"/>
      <c r="L2269" s="21"/>
      <c r="M2269" s="21"/>
      <c r="N2269" s="21"/>
    </row>
    <row r="2270" spans="1:14" ht="15.75" customHeight="1" x14ac:dyDescent="0.25">
      <c r="A2270" s="21"/>
      <c r="B2270" s="21"/>
      <c r="C2270" s="11"/>
      <c r="D2270" s="11"/>
      <c r="E2270" s="21"/>
      <c r="F2270" s="21"/>
      <c r="G2270" s="25"/>
      <c r="H2270" s="11"/>
      <c r="I2270" s="21"/>
      <c r="J2270" s="21"/>
      <c r="K2270" s="21"/>
      <c r="L2270" s="21"/>
      <c r="M2270" s="21"/>
      <c r="N2270" s="21"/>
    </row>
    <row r="2271" spans="1:14" ht="15.75" customHeight="1" x14ac:dyDescent="0.25">
      <c r="A2271" s="31" t="s">
        <v>14</v>
      </c>
      <c r="B2271" s="31" t="s">
        <v>234</v>
      </c>
      <c r="C2271" s="31" t="s">
        <v>16</v>
      </c>
      <c r="D2271" s="31" t="s">
        <v>17</v>
      </c>
      <c r="E2271" s="31" t="s">
        <v>235</v>
      </c>
      <c r="F2271" s="31" t="s">
        <v>236</v>
      </c>
      <c r="G2271" s="25"/>
      <c r="H2271" s="11"/>
      <c r="I2271" s="21"/>
      <c r="J2271" s="21"/>
      <c r="K2271" s="21"/>
      <c r="L2271" s="21"/>
      <c r="M2271" s="21"/>
      <c r="N2271" s="21"/>
    </row>
    <row r="2272" spans="1:14" ht="15.75" customHeight="1" x14ac:dyDescent="0.25">
      <c r="A2272" s="7">
        <v>1</v>
      </c>
      <c r="B2272" s="120" t="s">
        <v>1057</v>
      </c>
      <c r="C2272" s="129">
        <v>20</v>
      </c>
      <c r="D2272" s="7" t="s">
        <v>426</v>
      </c>
      <c r="E2272" s="130">
        <v>71250</v>
      </c>
      <c r="F2272" s="130">
        <f>E2272*C2272</f>
        <v>1425000</v>
      </c>
      <c r="G2272" s="25"/>
      <c r="H2272" s="11"/>
      <c r="I2272" s="21"/>
      <c r="J2272" s="21"/>
      <c r="K2272" s="21"/>
      <c r="L2272" s="21"/>
      <c r="M2272" s="21"/>
      <c r="N2272" s="21"/>
    </row>
    <row r="2273" spans="1:14" ht="15.75" customHeight="1" x14ac:dyDescent="0.25">
      <c r="A2273" s="7"/>
      <c r="B2273" s="343" t="s">
        <v>342</v>
      </c>
      <c r="C2273" s="344"/>
      <c r="D2273" s="344"/>
      <c r="E2273" s="334"/>
      <c r="F2273" s="104">
        <f>SUM(F2272)</f>
        <v>1425000</v>
      </c>
      <c r="G2273" s="25"/>
      <c r="H2273" s="11"/>
      <c r="I2273" s="21"/>
      <c r="J2273" s="21"/>
      <c r="K2273" s="21"/>
      <c r="L2273" s="21"/>
      <c r="M2273" s="21"/>
      <c r="N2273" s="21"/>
    </row>
    <row r="2274" spans="1:14" ht="15.75" customHeight="1" x14ac:dyDescent="0.25">
      <c r="A2274" s="7"/>
      <c r="B2274" s="343" t="s">
        <v>343</v>
      </c>
      <c r="C2274" s="344"/>
      <c r="D2274" s="344"/>
      <c r="E2274" s="334"/>
      <c r="F2274" s="104">
        <v>156750</v>
      </c>
      <c r="G2274" s="25"/>
      <c r="H2274" s="11"/>
      <c r="I2274" s="21"/>
      <c r="J2274" s="21"/>
      <c r="K2274" s="21"/>
      <c r="L2274" s="21"/>
      <c r="M2274" s="21"/>
      <c r="N2274" s="21"/>
    </row>
    <row r="2275" spans="1:14" ht="15.75" customHeight="1" x14ac:dyDescent="0.25">
      <c r="A2275" s="7"/>
      <c r="B2275" s="345" t="s">
        <v>344</v>
      </c>
      <c r="C2275" s="344"/>
      <c r="D2275" s="344"/>
      <c r="E2275" s="334"/>
      <c r="F2275" s="107">
        <f>SUM(F2273:F2274)</f>
        <v>1581750</v>
      </c>
      <c r="G2275" s="25"/>
      <c r="H2275" s="11"/>
      <c r="I2275" s="21"/>
      <c r="J2275" s="21"/>
      <c r="K2275" s="21"/>
      <c r="L2275" s="21"/>
      <c r="M2275" s="21"/>
      <c r="N2275" s="21"/>
    </row>
    <row r="2276" spans="1:14" ht="15.75" customHeight="1" x14ac:dyDescent="0.25">
      <c r="A2276" s="21"/>
      <c r="B2276" s="21"/>
      <c r="C2276" s="11"/>
      <c r="D2276" s="11"/>
      <c r="E2276" s="21"/>
      <c r="F2276" s="21"/>
      <c r="G2276" s="25"/>
      <c r="H2276" s="11"/>
      <c r="I2276" s="21"/>
      <c r="J2276" s="21"/>
      <c r="K2276" s="21"/>
      <c r="L2276" s="21"/>
      <c r="M2276" s="21"/>
      <c r="N2276" s="21"/>
    </row>
    <row r="2277" spans="1:14" ht="15.75" customHeight="1" x14ac:dyDescent="0.25">
      <c r="A2277" s="31" t="s">
        <v>14</v>
      </c>
      <c r="B2277" s="31" t="s">
        <v>234</v>
      </c>
      <c r="C2277" s="31" t="s">
        <v>16</v>
      </c>
      <c r="D2277" s="31" t="s">
        <v>17</v>
      </c>
      <c r="E2277" s="31" t="s">
        <v>235</v>
      </c>
      <c r="F2277" s="31" t="s">
        <v>236</v>
      </c>
      <c r="G2277" s="25"/>
      <c r="H2277" s="11"/>
      <c r="I2277" s="21"/>
      <c r="J2277" s="21"/>
      <c r="K2277" s="21"/>
      <c r="L2277" s="21"/>
      <c r="M2277" s="21"/>
      <c r="N2277" s="21"/>
    </row>
    <row r="2278" spans="1:14" ht="15.75" customHeight="1" x14ac:dyDescent="0.25">
      <c r="A2278" s="7">
        <v>1</v>
      </c>
      <c r="B2278" s="120" t="s">
        <v>1058</v>
      </c>
      <c r="C2278" s="129">
        <v>1</v>
      </c>
      <c r="D2278" s="7" t="s">
        <v>19</v>
      </c>
      <c r="E2278" s="130">
        <v>6825000</v>
      </c>
      <c r="F2278" s="130">
        <f>E2278*C2278</f>
        <v>6825000</v>
      </c>
      <c r="G2278" s="25"/>
      <c r="H2278" s="11"/>
      <c r="I2278" s="21"/>
      <c r="J2278" s="21"/>
      <c r="K2278" s="21"/>
      <c r="L2278" s="21"/>
      <c r="M2278" s="21"/>
      <c r="N2278" s="21"/>
    </row>
    <row r="2279" spans="1:14" ht="15.75" customHeight="1" x14ac:dyDescent="0.25">
      <c r="A2279" s="7"/>
      <c r="B2279" s="343" t="s">
        <v>342</v>
      </c>
      <c r="C2279" s="344"/>
      <c r="D2279" s="344"/>
      <c r="E2279" s="334"/>
      <c r="F2279" s="104">
        <f>SUM(F2277:F2278)</f>
        <v>6825000</v>
      </c>
      <c r="G2279" s="25"/>
      <c r="H2279" s="11"/>
      <c r="I2279" s="21"/>
      <c r="J2279" s="21"/>
      <c r="K2279" s="21"/>
      <c r="L2279" s="21"/>
      <c r="M2279" s="21"/>
      <c r="N2279" s="21"/>
    </row>
    <row r="2280" spans="1:14" ht="15.75" customHeight="1" x14ac:dyDescent="0.25">
      <c r="A2280" s="7"/>
      <c r="B2280" s="343" t="s">
        <v>986</v>
      </c>
      <c r="C2280" s="344"/>
      <c r="D2280" s="344"/>
      <c r="E2280" s="334"/>
      <c r="F2280" s="104">
        <v>204750</v>
      </c>
      <c r="G2280" s="25"/>
      <c r="H2280" s="11"/>
      <c r="I2280" s="21"/>
      <c r="J2280" s="21"/>
      <c r="K2280" s="21"/>
      <c r="L2280" s="21"/>
      <c r="M2280" s="21"/>
      <c r="N2280" s="21"/>
    </row>
    <row r="2281" spans="1:14" ht="15.75" customHeight="1" x14ac:dyDescent="0.25">
      <c r="A2281" s="7"/>
      <c r="B2281" s="343" t="s">
        <v>342</v>
      </c>
      <c r="C2281" s="344"/>
      <c r="D2281" s="344"/>
      <c r="E2281" s="334"/>
      <c r="F2281" s="104">
        <f>F2279-F2280</f>
        <v>6620250</v>
      </c>
      <c r="G2281" s="25"/>
      <c r="H2281" s="11"/>
      <c r="I2281" s="21"/>
      <c r="J2281" s="21"/>
      <c r="K2281" s="21"/>
      <c r="L2281" s="21"/>
      <c r="M2281" s="21"/>
      <c r="N2281" s="21"/>
    </row>
    <row r="2282" spans="1:14" ht="15.75" customHeight="1" x14ac:dyDescent="0.25">
      <c r="A2282" s="7"/>
      <c r="B2282" s="343" t="s">
        <v>343</v>
      </c>
      <c r="C2282" s="344"/>
      <c r="D2282" s="344"/>
      <c r="E2282" s="334"/>
      <c r="F2282" s="104">
        <v>728227.5</v>
      </c>
      <c r="G2282" s="25"/>
      <c r="H2282" s="11"/>
      <c r="I2282" s="21"/>
      <c r="J2282" s="21"/>
      <c r="K2282" s="21"/>
      <c r="L2282" s="21"/>
      <c r="M2282" s="21"/>
      <c r="N2282" s="21"/>
    </row>
    <row r="2283" spans="1:14" ht="15.75" customHeight="1" x14ac:dyDescent="0.25">
      <c r="A2283" s="7"/>
      <c r="B2283" s="345" t="s">
        <v>344</v>
      </c>
      <c r="C2283" s="344"/>
      <c r="D2283" s="344"/>
      <c r="E2283" s="334"/>
      <c r="F2283" s="107">
        <f>SUM(F2281:F2282)</f>
        <v>7348477.5</v>
      </c>
      <c r="G2283" s="25"/>
      <c r="H2283" s="11"/>
      <c r="I2283" s="21"/>
      <c r="J2283" s="21"/>
      <c r="K2283" s="21"/>
      <c r="L2283" s="21"/>
      <c r="M2283" s="21"/>
      <c r="N2283" s="21"/>
    </row>
    <row r="2284" spans="1:14" ht="15.75" customHeight="1" x14ac:dyDescent="0.25">
      <c r="A2284" s="21"/>
      <c r="B2284" s="21"/>
      <c r="C2284" s="11"/>
      <c r="D2284" s="11"/>
      <c r="E2284" s="21"/>
      <c r="F2284" s="21"/>
      <c r="G2284" s="25"/>
      <c r="H2284" s="11"/>
      <c r="I2284" s="21"/>
      <c r="J2284" s="21"/>
      <c r="K2284" s="21"/>
      <c r="L2284" s="21"/>
      <c r="M2284" s="21"/>
      <c r="N2284" s="21"/>
    </row>
    <row r="2285" spans="1:14" ht="15.75" customHeight="1" x14ac:dyDescent="0.25">
      <c r="A2285" s="31" t="s">
        <v>14</v>
      </c>
      <c r="B2285" s="31" t="s">
        <v>234</v>
      </c>
      <c r="C2285" s="31" t="s">
        <v>16</v>
      </c>
      <c r="D2285" s="31" t="s">
        <v>17</v>
      </c>
      <c r="E2285" s="31" t="s">
        <v>235</v>
      </c>
      <c r="F2285" s="31" t="s">
        <v>236</v>
      </c>
      <c r="G2285" s="25"/>
      <c r="H2285" s="11"/>
      <c r="I2285" s="21"/>
      <c r="J2285" s="21"/>
      <c r="K2285" s="21"/>
      <c r="L2285" s="21"/>
      <c r="M2285" s="21"/>
      <c r="N2285" s="21"/>
    </row>
    <row r="2286" spans="1:14" ht="15.75" customHeight="1" x14ac:dyDescent="0.25">
      <c r="A2286" s="7">
        <v>1</v>
      </c>
      <c r="B2286" s="124" t="s">
        <v>1059</v>
      </c>
      <c r="C2286" s="129">
        <v>1</v>
      </c>
      <c r="D2286" s="7" t="s">
        <v>363</v>
      </c>
      <c r="E2286" s="130">
        <v>55000</v>
      </c>
      <c r="F2286" s="130">
        <f>E2286*C2286</f>
        <v>55000</v>
      </c>
      <c r="G2286" s="25"/>
      <c r="H2286" s="11"/>
      <c r="I2286" s="21"/>
      <c r="J2286" s="21"/>
      <c r="K2286" s="21"/>
      <c r="L2286" s="21"/>
      <c r="M2286" s="21"/>
      <c r="N2286" s="21"/>
    </row>
    <row r="2287" spans="1:14" ht="15.75" customHeight="1" x14ac:dyDescent="0.25">
      <c r="A2287" s="7">
        <v>2</v>
      </c>
      <c r="B2287" s="120" t="s">
        <v>1060</v>
      </c>
      <c r="C2287" s="129">
        <v>4</v>
      </c>
      <c r="D2287" s="7" t="s">
        <v>363</v>
      </c>
      <c r="E2287" s="130">
        <v>125000</v>
      </c>
      <c r="F2287" s="130">
        <f>E2287*C2287</f>
        <v>500000</v>
      </c>
      <c r="G2287" s="25"/>
      <c r="H2287" s="11"/>
      <c r="I2287" s="21"/>
      <c r="J2287" s="21"/>
      <c r="K2287" s="21"/>
      <c r="L2287" s="21"/>
      <c r="M2287" s="21"/>
      <c r="N2287" s="21"/>
    </row>
    <row r="2288" spans="1:14" ht="15.75" customHeight="1" x14ac:dyDescent="0.25">
      <c r="A2288" s="7">
        <v>3</v>
      </c>
      <c r="B2288" s="131" t="s">
        <v>1061</v>
      </c>
      <c r="C2288" s="129">
        <v>1</v>
      </c>
      <c r="D2288" s="7" t="s">
        <v>363</v>
      </c>
      <c r="E2288" s="130">
        <v>624000</v>
      </c>
      <c r="F2288" s="130">
        <f>E2288*C2288</f>
        <v>624000</v>
      </c>
      <c r="G2288" s="25"/>
      <c r="H2288" s="11"/>
      <c r="I2288" s="21"/>
      <c r="J2288" s="21"/>
      <c r="K2288" s="21"/>
      <c r="L2288" s="21"/>
      <c r="M2288" s="21"/>
      <c r="N2288" s="21"/>
    </row>
    <row r="2289" spans="1:14" ht="15.75" customHeight="1" x14ac:dyDescent="0.25">
      <c r="A2289" s="7"/>
      <c r="B2289" s="343" t="s">
        <v>342</v>
      </c>
      <c r="C2289" s="344"/>
      <c r="D2289" s="344"/>
      <c r="E2289" s="334"/>
      <c r="F2289" s="104">
        <f>SUM(F2286:F2288)</f>
        <v>1179000</v>
      </c>
      <c r="G2289" s="25"/>
      <c r="H2289" s="11"/>
      <c r="I2289" s="21"/>
      <c r="J2289" s="21"/>
      <c r="K2289" s="21"/>
      <c r="L2289" s="21"/>
      <c r="M2289" s="21"/>
      <c r="N2289" s="21"/>
    </row>
    <row r="2290" spans="1:14" ht="15.75" customHeight="1" x14ac:dyDescent="0.25">
      <c r="A2290" s="7"/>
      <c r="B2290" s="343" t="s">
        <v>986</v>
      </c>
      <c r="C2290" s="344"/>
      <c r="D2290" s="344"/>
      <c r="E2290" s="334"/>
      <c r="F2290" s="104">
        <v>35370</v>
      </c>
      <c r="G2290" s="25"/>
      <c r="H2290" s="11"/>
      <c r="I2290" s="21"/>
      <c r="J2290" s="21"/>
      <c r="K2290" s="21"/>
      <c r="L2290" s="21"/>
      <c r="M2290" s="21"/>
      <c r="N2290" s="21"/>
    </row>
    <row r="2291" spans="1:14" ht="15.75" customHeight="1" x14ac:dyDescent="0.25">
      <c r="A2291" s="7"/>
      <c r="B2291" s="343" t="s">
        <v>342</v>
      </c>
      <c r="C2291" s="344"/>
      <c r="D2291" s="344"/>
      <c r="E2291" s="334"/>
      <c r="F2291" s="104">
        <f>F2289-F2290</f>
        <v>1143630</v>
      </c>
      <c r="G2291" s="25"/>
      <c r="H2291" s="11"/>
      <c r="I2291" s="21"/>
      <c r="J2291" s="21"/>
      <c r="K2291" s="21"/>
      <c r="L2291" s="21"/>
      <c r="M2291" s="21"/>
      <c r="N2291" s="21"/>
    </row>
    <row r="2292" spans="1:14" ht="15.75" customHeight="1" x14ac:dyDescent="0.25">
      <c r="A2292" s="7"/>
      <c r="B2292" s="343" t="s">
        <v>343</v>
      </c>
      <c r="C2292" s="344"/>
      <c r="D2292" s="344"/>
      <c r="E2292" s="334"/>
      <c r="F2292" s="104">
        <v>125799</v>
      </c>
      <c r="G2292" s="25"/>
      <c r="H2292" s="11"/>
      <c r="I2292" s="21"/>
      <c r="J2292" s="21"/>
      <c r="K2292" s="21"/>
      <c r="L2292" s="21"/>
      <c r="M2292" s="21"/>
      <c r="N2292" s="21"/>
    </row>
    <row r="2293" spans="1:14" ht="15.75" customHeight="1" x14ac:dyDescent="0.25">
      <c r="A2293" s="7"/>
      <c r="B2293" s="345" t="s">
        <v>344</v>
      </c>
      <c r="C2293" s="344"/>
      <c r="D2293" s="344"/>
      <c r="E2293" s="334"/>
      <c r="F2293" s="107">
        <f>SUM(F2291:F2292)</f>
        <v>1269429</v>
      </c>
      <c r="G2293" s="25"/>
      <c r="H2293" s="11"/>
      <c r="I2293" s="21"/>
      <c r="J2293" s="21"/>
      <c r="K2293" s="21"/>
      <c r="L2293" s="21"/>
      <c r="M2293" s="21"/>
      <c r="N2293" s="21"/>
    </row>
    <row r="2294" spans="1:14" ht="15.75" customHeight="1" x14ac:dyDescent="0.25">
      <c r="A2294" s="21"/>
      <c r="B2294" s="21"/>
      <c r="C2294" s="11"/>
      <c r="D2294" s="11"/>
      <c r="E2294" s="21"/>
      <c r="F2294" s="21"/>
      <c r="G2294" s="25"/>
      <c r="H2294" s="11"/>
      <c r="I2294" s="21"/>
      <c r="J2294" s="21"/>
      <c r="K2294" s="21"/>
      <c r="L2294" s="21"/>
      <c r="M2294" s="21"/>
      <c r="N2294" s="21"/>
    </row>
    <row r="2295" spans="1:14" ht="15.75" customHeight="1" x14ac:dyDescent="0.25">
      <c r="A2295" s="31" t="s">
        <v>14</v>
      </c>
      <c r="B2295" s="31" t="s">
        <v>234</v>
      </c>
      <c r="C2295" s="31" t="s">
        <v>16</v>
      </c>
      <c r="D2295" s="31" t="s">
        <v>17</v>
      </c>
      <c r="E2295" s="31" t="s">
        <v>235</v>
      </c>
      <c r="F2295" s="31" t="s">
        <v>236</v>
      </c>
      <c r="G2295" s="25"/>
      <c r="H2295" s="11"/>
      <c r="I2295" s="21"/>
      <c r="J2295" s="21"/>
      <c r="K2295" s="21"/>
      <c r="L2295" s="21"/>
      <c r="M2295" s="21"/>
      <c r="N2295" s="21"/>
    </row>
    <row r="2296" spans="1:14" ht="15.75" customHeight="1" x14ac:dyDescent="0.25">
      <c r="A2296" s="7">
        <v>1</v>
      </c>
      <c r="B2296" s="124" t="s">
        <v>1062</v>
      </c>
      <c r="C2296" s="129">
        <v>4</v>
      </c>
      <c r="D2296" s="7" t="s">
        <v>19</v>
      </c>
      <c r="E2296" s="130">
        <v>360000</v>
      </c>
      <c r="F2296" s="130">
        <f>E2296*C2296</f>
        <v>1440000</v>
      </c>
      <c r="G2296" s="25"/>
      <c r="H2296" s="11"/>
      <c r="I2296" s="21"/>
      <c r="J2296" s="21"/>
      <c r="K2296" s="21"/>
      <c r="L2296" s="21"/>
      <c r="M2296" s="21"/>
      <c r="N2296" s="21"/>
    </row>
    <row r="2297" spans="1:14" ht="15.75" customHeight="1" x14ac:dyDescent="0.25">
      <c r="A2297" s="7">
        <v>2</v>
      </c>
      <c r="B2297" s="120" t="s">
        <v>1063</v>
      </c>
      <c r="C2297" s="129">
        <v>4</v>
      </c>
      <c r="D2297" s="7" t="s">
        <v>19</v>
      </c>
      <c r="E2297" s="130">
        <v>310000</v>
      </c>
      <c r="F2297" s="130">
        <f>E2297*C2297</f>
        <v>1240000</v>
      </c>
      <c r="G2297" s="25"/>
      <c r="H2297" s="11"/>
      <c r="I2297" s="21"/>
      <c r="J2297" s="21"/>
      <c r="K2297" s="21"/>
      <c r="L2297" s="21"/>
      <c r="M2297" s="21"/>
      <c r="N2297" s="21"/>
    </row>
    <row r="2298" spans="1:14" ht="15.75" customHeight="1" x14ac:dyDescent="0.25">
      <c r="A2298" s="7">
        <v>3</v>
      </c>
      <c r="B2298" s="131" t="s">
        <v>1064</v>
      </c>
      <c r="C2298" s="129">
        <v>6</v>
      </c>
      <c r="D2298" s="7" t="s">
        <v>19</v>
      </c>
      <c r="E2298" s="130">
        <v>271500</v>
      </c>
      <c r="F2298" s="130">
        <f>E2298*C2298</f>
        <v>1629000</v>
      </c>
      <c r="G2298" s="25"/>
      <c r="H2298" s="11"/>
      <c r="I2298" s="21"/>
      <c r="J2298" s="21"/>
      <c r="K2298" s="21"/>
      <c r="L2298" s="21"/>
      <c r="M2298" s="21"/>
      <c r="N2298" s="21"/>
    </row>
    <row r="2299" spans="1:14" ht="15.75" customHeight="1" x14ac:dyDescent="0.25">
      <c r="A2299" s="7"/>
      <c r="B2299" s="343" t="s">
        <v>342</v>
      </c>
      <c r="C2299" s="344"/>
      <c r="D2299" s="344"/>
      <c r="E2299" s="334"/>
      <c r="F2299" s="104">
        <f>SUM(F2296:F2298)</f>
        <v>4309000</v>
      </c>
      <c r="G2299" s="25"/>
      <c r="H2299" s="11"/>
      <c r="I2299" s="21"/>
      <c r="J2299" s="21"/>
      <c r="K2299" s="21"/>
      <c r="L2299" s="21"/>
      <c r="M2299" s="21"/>
      <c r="N2299" s="21"/>
    </row>
    <row r="2300" spans="1:14" ht="15.75" customHeight="1" x14ac:dyDescent="0.25">
      <c r="A2300" s="7"/>
      <c r="B2300" s="343" t="s">
        <v>343</v>
      </c>
      <c r="C2300" s="344"/>
      <c r="D2300" s="344"/>
      <c r="E2300" s="334"/>
      <c r="F2300" s="104">
        <v>473990</v>
      </c>
      <c r="G2300" s="25"/>
      <c r="H2300" s="11"/>
      <c r="I2300" s="21"/>
      <c r="J2300" s="21"/>
      <c r="K2300" s="21"/>
      <c r="L2300" s="21"/>
      <c r="M2300" s="21"/>
      <c r="N2300" s="21"/>
    </row>
    <row r="2301" spans="1:14" ht="15.75" customHeight="1" x14ac:dyDescent="0.25">
      <c r="A2301" s="7"/>
      <c r="B2301" s="345" t="s">
        <v>344</v>
      </c>
      <c r="C2301" s="344"/>
      <c r="D2301" s="344"/>
      <c r="E2301" s="334"/>
      <c r="F2301" s="107">
        <f>SUM(F2299:F2300)</f>
        <v>4782990</v>
      </c>
      <c r="G2301" s="25"/>
      <c r="H2301" s="11"/>
      <c r="I2301" s="21"/>
      <c r="J2301" s="21"/>
      <c r="K2301" s="21"/>
      <c r="L2301" s="21"/>
      <c r="M2301" s="21"/>
      <c r="N2301" s="21"/>
    </row>
    <row r="2302" spans="1:14" ht="15.75" customHeight="1" x14ac:dyDescent="0.25">
      <c r="A2302" s="21"/>
      <c r="B2302" s="21"/>
      <c r="C2302" s="11"/>
      <c r="D2302" s="11"/>
      <c r="E2302" s="21"/>
      <c r="F2302" s="21"/>
      <c r="G2302" s="25"/>
      <c r="H2302" s="11"/>
      <c r="I2302" s="21"/>
      <c r="J2302" s="21"/>
      <c r="K2302" s="21"/>
      <c r="L2302" s="21"/>
      <c r="M2302" s="21"/>
      <c r="N2302" s="21"/>
    </row>
    <row r="2303" spans="1:14" ht="15.75" customHeight="1" x14ac:dyDescent="0.25">
      <c r="A2303" s="31" t="s">
        <v>14</v>
      </c>
      <c r="B2303" s="31" t="s">
        <v>234</v>
      </c>
      <c r="C2303" s="31" t="s">
        <v>16</v>
      </c>
      <c r="D2303" s="31" t="s">
        <v>17</v>
      </c>
      <c r="E2303" s="31" t="s">
        <v>235</v>
      </c>
      <c r="F2303" s="31" t="s">
        <v>236</v>
      </c>
      <c r="G2303" s="25"/>
      <c r="H2303" s="11"/>
      <c r="I2303" s="21"/>
      <c r="J2303" s="21"/>
      <c r="K2303" s="21"/>
      <c r="L2303" s="21"/>
      <c r="M2303" s="21"/>
      <c r="N2303" s="21"/>
    </row>
    <row r="2304" spans="1:14" ht="15.75" customHeight="1" x14ac:dyDescent="0.25">
      <c r="A2304" s="7">
        <v>1</v>
      </c>
      <c r="B2304" s="120" t="s">
        <v>1065</v>
      </c>
      <c r="C2304" s="129">
        <v>4</v>
      </c>
      <c r="D2304" s="7" t="s">
        <v>19</v>
      </c>
      <c r="E2304" s="130">
        <v>350000</v>
      </c>
      <c r="F2304" s="130">
        <f>E2304*C2304</f>
        <v>1400000</v>
      </c>
      <c r="G2304" s="25"/>
      <c r="H2304" s="11"/>
      <c r="I2304" s="21"/>
      <c r="J2304" s="21"/>
      <c r="K2304" s="21"/>
      <c r="L2304" s="21"/>
      <c r="M2304" s="21"/>
      <c r="N2304" s="21"/>
    </row>
    <row r="2305" spans="1:14" ht="15.75" customHeight="1" x14ac:dyDescent="0.25">
      <c r="A2305" s="7"/>
      <c r="B2305" s="343" t="s">
        <v>342</v>
      </c>
      <c r="C2305" s="344"/>
      <c r="D2305" s="344"/>
      <c r="E2305" s="334"/>
      <c r="F2305" s="104">
        <f>SUM(F2303:F2304)</f>
        <v>1400000</v>
      </c>
      <c r="G2305" s="25"/>
      <c r="H2305" s="11"/>
      <c r="I2305" s="21"/>
      <c r="J2305" s="21"/>
      <c r="K2305" s="21"/>
      <c r="L2305" s="21"/>
      <c r="M2305" s="21"/>
      <c r="N2305" s="21"/>
    </row>
    <row r="2306" spans="1:14" ht="15.75" customHeight="1" x14ac:dyDescent="0.25">
      <c r="A2306" s="7"/>
      <c r="B2306" s="343" t="s">
        <v>986</v>
      </c>
      <c r="C2306" s="344"/>
      <c r="D2306" s="344"/>
      <c r="E2306" s="334"/>
      <c r="F2306" s="104">
        <v>42000</v>
      </c>
      <c r="G2306" s="25"/>
      <c r="H2306" s="11"/>
      <c r="I2306" s="21"/>
      <c r="J2306" s="21"/>
      <c r="K2306" s="21"/>
      <c r="L2306" s="21"/>
      <c r="M2306" s="21"/>
      <c r="N2306" s="21"/>
    </row>
    <row r="2307" spans="1:14" ht="15.75" customHeight="1" x14ac:dyDescent="0.25">
      <c r="A2307" s="7"/>
      <c r="B2307" s="343" t="s">
        <v>342</v>
      </c>
      <c r="C2307" s="344"/>
      <c r="D2307" s="344"/>
      <c r="E2307" s="334"/>
      <c r="F2307" s="104">
        <f>F2305-F2306</f>
        <v>1358000</v>
      </c>
      <c r="G2307" s="25"/>
      <c r="H2307" s="11"/>
      <c r="I2307" s="21"/>
      <c r="J2307" s="21"/>
      <c r="K2307" s="21"/>
      <c r="L2307" s="21"/>
      <c r="M2307" s="21"/>
      <c r="N2307" s="21"/>
    </row>
    <row r="2308" spans="1:14" ht="15.75" customHeight="1" x14ac:dyDescent="0.25">
      <c r="A2308" s="7"/>
      <c r="B2308" s="343" t="s">
        <v>343</v>
      </c>
      <c r="C2308" s="344"/>
      <c r="D2308" s="344"/>
      <c r="E2308" s="334"/>
      <c r="F2308" s="104">
        <v>149380</v>
      </c>
      <c r="G2308" s="25"/>
      <c r="H2308" s="11"/>
      <c r="I2308" s="21"/>
      <c r="J2308" s="21"/>
      <c r="K2308" s="21"/>
      <c r="L2308" s="21"/>
      <c r="M2308" s="21"/>
      <c r="N2308" s="21"/>
    </row>
    <row r="2309" spans="1:14" ht="15.75" customHeight="1" x14ac:dyDescent="0.25">
      <c r="A2309" s="7"/>
      <c r="B2309" s="345" t="s">
        <v>344</v>
      </c>
      <c r="C2309" s="344"/>
      <c r="D2309" s="344"/>
      <c r="E2309" s="334"/>
      <c r="F2309" s="107">
        <f>SUM(F2307:F2308)</f>
        <v>1507380</v>
      </c>
      <c r="G2309" s="25"/>
      <c r="H2309" s="11"/>
      <c r="I2309" s="21"/>
      <c r="J2309" s="21"/>
      <c r="K2309" s="21"/>
      <c r="L2309" s="21"/>
      <c r="M2309" s="21"/>
      <c r="N2309" s="21"/>
    </row>
    <row r="2310" spans="1:14" ht="15.75" customHeight="1" x14ac:dyDescent="0.25">
      <c r="A2310" s="21"/>
      <c r="B2310" s="21"/>
      <c r="C2310" s="11"/>
      <c r="D2310" s="11"/>
      <c r="E2310" s="21"/>
      <c r="F2310" s="21"/>
      <c r="G2310" s="25"/>
      <c r="H2310" s="11"/>
      <c r="I2310" s="21"/>
      <c r="J2310" s="21"/>
      <c r="K2310" s="21"/>
      <c r="L2310" s="21"/>
      <c r="M2310" s="21"/>
      <c r="N2310" s="21"/>
    </row>
    <row r="2311" spans="1:14" ht="15.75" customHeight="1" x14ac:dyDescent="0.25">
      <c r="A2311" s="31" t="s">
        <v>351</v>
      </c>
      <c r="B2311" s="31" t="s">
        <v>234</v>
      </c>
      <c r="C2311" s="31" t="s">
        <v>16</v>
      </c>
      <c r="D2311" s="31" t="s">
        <v>17</v>
      </c>
      <c r="E2311" s="31" t="s">
        <v>235</v>
      </c>
      <c r="F2311" s="31" t="s">
        <v>236</v>
      </c>
      <c r="G2311" s="25"/>
      <c r="H2311" s="11"/>
      <c r="I2311" s="21"/>
      <c r="J2311" s="21"/>
      <c r="K2311" s="21"/>
      <c r="L2311" s="21"/>
      <c r="M2311" s="21"/>
      <c r="N2311" s="21"/>
    </row>
    <row r="2312" spans="1:14" ht="15.75" customHeight="1" x14ac:dyDescent="0.25">
      <c r="A2312" s="7">
        <v>1</v>
      </c>
      <c r="B2312" s="41" t="s">
        <v>1066</v>
      </c>
      <c r="C2312" s="7">
        <v>4</v>
      </c>
      <c r="D2312" s="7" t="s">
        <v>243</v>
      </c>
      <c r="E2312" s="104">
        <v>16830000</v>
      </c>
      <c r="F2312" s="104">
        <f>E2312*C2312</f>
        <v>67320000</v>
      </c>
      <c r="G2312" s="25"/>
      <c r="H2312" s="11"/>
      <c r="I2312" s="21"/>
      <c r="J2312" s="21"/>
      <c r="K2312" s="21"/>
      <c r="L2312" s="21"/>
      <c r="M2312" s="21"/>
      <c r="N2312" s="21"/>
    </row>
    <row r="2313" spans="1:14" ht="15.75" customHeight="1" x14ac:dyDescent="0.25">
      <c r="A2313" s="7">
        <v>2</v>
      </c>
      <c r="B2313" s="41" t="s">
        <v>1067</v>
      </c>
      <c r="C2313" s="7">
        <v>4</v>
      </c>
      <c r="D2313" s="7" t="s">
        <v>243</v>
      </c>
      <c r="E2313" s="104">
        <v>4060000</v>
      </c>
      <c r="F2313" s="104">
        <f>E2313*C2313</f>
        <v>16240000</v>
      </c>
      <c r="G2313" s="25"/>
      <c r="H2313" s="11"/>
      <c r="I2313" s="21"/>
      <c r="J2313" s="21"/>
      <c r="K2313" s="21"/>
      <c r="L2313" s="21"/>
      <c r="M2313" s="21"/>
      <c r="N2313" s="21"/>
    </row>
    <row r="2314" spans="1:14" ht="15.75" customHeight="1" x14ac:dyDescent="0.25">
      <c r="A2314" s="7"/>
      <c r="B2314" s="343" t="s">
        <v>342</v>
      </c>
      <c r="C2314" s="344"/>
      <c r="D2314" s="344"/>
      <c r="E2314" s="334"/>
      <c r="F2314" s="104">
        <f>SUM(F2312:F2313)</f>
        <v>83560000</v>
      </c>
      <c r="G2314" s="25"/>
      <c r="H2314" s="11"/>
      <c r="I2314" s="21"/>
      <c r="J2314" s="21"/>
      <c r="K2314" s="21"/>
      <c r="L2314" s="21"/>
      <c r="M2314" s="21"/>
      <c r="N2314" s="21"/>
    </row>
    <row r="2315" spans="1:14" ht="15.75" customHeight="1" x14ac:dyDescent="0.25">
      <c r="A2315" s="7"/>
      <c r="B2315" s="343" t="s">
        <v>1068</v>
      </c>
      <c r="C2315" s="344"/>
      <c r="D2315" s="344"/>
      <c r="E2315" s="334"/>
      <c r="F2315" s="104">
        <v>4178000</v>
      </c>
      <c r="G2315" s="25"/>
      <c r="H2315" s="11"/>
      <c r="I2315" s="21"/>
      <c r="J2315" s="21"/>
      <c r="K2315" s="21"/>
      <c r="L2315" s="21"/>
      <c r="M2315" s="21"/>
      <c r="N2315" s="21"/>
    </row>
    <row r="2316" spans="1:14" ht="15.75" customHeight="1" x14ac:dyDescent="0.25">
      <c r="A2316" s="7"/>
      <c r="B2316" s="343" t="s">
        <v>342</v>
      </c>
      <c r="C2316" s="344"/>
      <c r="D2316" s="344"/>
      <c r="E2316" s="334"/>
      <c r="F2316" s="104">
        <f>F2314-F2315</f>
        <v>79382000</v>
      </c>
      <c r="G2316" s="25"/>
      <c r="H2316" s="11"/>
      <c r="I2316" s="21"/>
      <c r="J2316" s="21"/>
      <c r="K2316" s="21"/>
      <c r="L2316" s="21"/>
      <c r="M2316" s="21"/>
      <c r="N2316" s="21"/>
    </row>
    <row r="2317" spans="1:14" ht="15.75" customHeight="1" x14ac:dyDescent="0.25">
      <c r="A2317" s="7"/>
      <c r="B2317" s="343" t="s">
        <v>1069</v>
      </c>
      <c r="C2317" s="344"/>
      <c r="D2317" s="344"/>
      <c r="E2317" s="334"/>
      <c r="F2317" s="104">
        <v>55567400</v>
      </c>
      <c r="G2317" s="25"/>
      <c r="H2317" s="11"/>
      <c r="I2317" s="21"/>
      <c r="J2317" s="21"/>
      <c r="K2317" s="21"/>
      <c r="L2317" s="21"/>
      <c r="M2317" s="21"/>
      <c r="N2317" s="21"/>
    </row>
    <row r="2318" spans="1:14" ht="15.75" customHeight="1" x14ac:dyDescent="0.25">
      <c r="A2318" s="7"/>
      <c r="B2318" s="343" t="s">
        <v>343</v>
      </c>
      <c r="C2318" s="344"/>
      <c r="D2318" s="344"/>
      <c r="E2318" s="334"/>
      <c r="F2318" s="104">
        <v>6112414</v>
      </c>
      <c r="G2318" s="25"/>
      <c r="H2318" s="11"/>
      <c r="I2318" s="21"/>
      <c r="J2318" s="21"/>
      <c r="K2318" s="21"/>
      <c r="L2318" s="21"/>
      <c r="M2318" s="21"/>
      <c r="N2318" s="21"/>
    </row>
    <row r="2319" spans="1:14" ht="15.75" customHeight="1" x14ac:dyDescent="0.25">
      <c r="A2319" s="7"/>
      <c r="B2319" s="345" t="s">
        <v>344</v>
      </c>
      <c r="C2319" s="344"/>
      <c r="D2319" s="344"/>
      <c r="E2319" s="334"/>
      <c r="F2319" s="107">
        <f>SUM(F2317:F2318)</f>
        <v>61679814</v>
      </c>
      <c r="G2319" s="25"/>
      <c r="H2319" s="11"/>
      <c r="I2319" s="21"/>
      <c r="J2319" s="21"/>
      <c r="K2319" s="21"/>
      <c r="L2319" s="21"/>
      <c r="M2319" s="21"/>
      <c r="N2319" s="21"/>
    </row>
    <row r="2320" spans="1:14" ht="15.75" customHeight="1" x14ac:dyDescent="0.25">
      <c r="A2320" s="21"/>
      <c r="B2320" s="21"/>
      <c r="C2320" s="11"/>
      <c r="D2320" s="11"/>
      <c r="E2320" s="21"/>
      <c r="F2320" s="21"/>
      <c r="G2320" s="25"/>
      <c r="H2320" s="11"/>
      <c r="I2320" s="21"/>
      <c r="J2320" s="21"/>
      <c r="K2320" s="21"/>
      <c r="L2320" s="21"/>
      <c r="M2320" s="21"/>
      <c r="N2320" s="21"/>
    </row>
    <row r="2321" spans="1:14" ht="15.75" customHeight="1" x14ac:dyDescent="0.25">
      <c r="A2321" s="31" t="s">
        <v>14</v>
      </c>
      <c r="B2321" s="31" t="s">
        <v>234</v>
      </c>
      <c r="C2321" s="31" t="s">
        <v>16</v>
      </c>
      <c r="D2321" s="31" t="s">
        <v>17</v>
      </c>
      <c r="E2321" s="31" t="s">
        <v>235</v>
      </c>
      <c r="F2321" s="31" t="s">
        <v>236</v>
      </c>
      <c r="G2321" s="25"/>
      <c r="H2321" s="11"/>
      <c r="I2321" s="21"/>
      <c r="J2321" s="21"/>
      <c r="K2321" s="21"/>
      <c r="L2321" s="21"/>
      <c r="M2321" s="21"/>
      <c r="N2321" s="21"/>
    </row>
    <row r="2322" spans="1:14" ht="15.75" customHeight="1" x14ac:dyDescent="0.25">
      <c r="A2322" s="7">
        <v>1</v>
      </c>
      <c r="B2322" s="120" t="s">
        <v>1070</v>
      </c>
      <c r="C2322" s="129">
        <v>5</v>
      </c>
      <c r="D2322" s="7" t="s">
        <v>19</v>
      </c>
      <c r="E2322" s="130">
        <v>114000</v>
      </c>
      <c r="F2322" s="130">
        <f>E2322*C2322</f>
        <v>570000</v>
      </c>
      <c r="G2322" s="25"/>
      <c r="H2322" s="11"/>
      <c r="I2322" s="21"/>
      <c r="J2322" s="21"/>
      <c r="K2322" s="21"/>
      <c r="L2322" s="21"/>
      <c r="M2322" s="21"/>
      <c r="N2322" s="21"/>
    </row>
    <row r="2323" spans="1:14" ht="15.75" customHeight="1" x14ac:dyDescent="0.25">
      <c r="A2323" s="7"/>
      <c r="B2323" s="343" t="s">
        <v>342</v>
      </c>
      <c r="C2323" s="344"/>
      <c r="D2323" s="344"/>
      <c r="E2323" s="334"/>
      <c r="F2323" s="104">
        <f>SUM(F2322)</f>
        <v>570000</v>
      </c>
      <c r="G2323" s="25"/>
      <c r="H2323" s="11"/>
      <c r="I2323" s="21"/>
      <c r="J2323" s="21"/>
      <c r="K2323" s="21"/>
      <c r="L2323" s="21"/>
      <c r="M2323" s="21"/>
      <c r="N2323" s="21"/>
    </row>
    <row r="2324" spans="1:14" ht="15.75" customHeight="1" x14ac:dyDescent="0.25">
      <c r="A2324" s="7"/>
      <c r="B2324" s="343" t="s">
        <v>343</v>
      </c>
      <c r="C2324" s="344"/>
      <c r="D2324" s="344"/>
      <c r="E2324" s="334"/>
      <c r="F2324" s="104">
        <v>62700</v>
      </c>
      <c r="G2324" s="25"/>
      <c r="H2324" s="11"/>
      <c r="I2324" s="21"/>
      <c r="J2324" s="21"/>
      <c r="K2324" s="21"/>
      <c r="L2324" s="21"/>
      <c r="M2324" s="21"/>
      <c r="N2324" s="21"/>
    </row>
    <row r="2325" spans="1:14" ht="15.75" customHeight="1" x14ac:dyDescent="0.25">
      <c r="A2325" s="7"/>
      <c r="B2325" s="345" t="s">
        <v>344</v>
      </c>
      <c r="C2325" s="344"/>
      <c r="D2325" s="344"/>
      <c r="E2325" s="334"/>
      <c r="F2325" s="107">
        <f>SUM(F2323:F2324)</f>
        <v>632700</v>
      </c>
      <c r="G2325" s="25"/>
      <c r="H2325" s="11"/>
      <c r="I2325" s="21"/>
      <c r="J2325" s="21"/>
      <c r="K2325" s="21"/>
      <c r="L2325" s="21"/>
      <c r="M2325" s="21"/>
      <c r="N2325" s="21"/>
    </row>
    <row r="2326" spans="1:14" ht="15.75" customHeight="1" x14ac:dyDescent="0.25">
      <c r="A2326" s="21"/>
      <c r="B2326" s="21"/>
      <c r="C2326" s="11"/>
      <c r="D2326" s="11"/>
      <c r="E2326" s="21"/>
      <c r="F2326" s="21"/>
      <c r="G2326" s="25"/>
      <c r="H2326" s="11"/>
      <c r="I2326" s="21"/>
      <c r="J2326" s="21"/>
      <c r="K2326" s="21"/>
      <c r="L2326" s="21"/>
      <c r="M2326" s="21"/>
      <c r="N2326" s="21"/>
    </row>
    <row r="2327" spans="1:14" ht="15.75" customHeight="1" x14ac:dyDescent="0.25">
      <c r="A2327" s="31" t="s">
        <v>351</v>
      </c>
      <c r="B2327" s="31" t="s">
        <v>234</v>
      </c>
      <c r="C2327" s="31" t="s">
        <v>16</v>
      </c>
      <c r="D2327" s="31" t="s">
        <v>17</v>
      </c>
      <c r="E2327" s="31" t="s">
        <v>235</v>
      </c>
      <c r="F2327" s="31" t="s">
        <v>236</v>
      </c>
      <c r="G2327" s="25"/>
      <c r="H2327" s="11"/>
      <c r="I2327" s="21"/>
      <c r="J2327" s="21"/>
      <c r="K2327" s="21"/>
      <c r="L2327" s="21"/>
      <c r="M2327" s="21"/>
      <c r="N2327" s="21"/>
    </row>
    <row r="2328" spans="1:14" ht="15.75" customHeight="1" x14ac:dyDescent="0.25">
      <c r="A2328" s="7">
        <v>1</v>
      </c>
      <c r="B2328" s="41" t="s">
        <v>1071</v>
      </c>
      <c r="C2328" s="7">
        <v>50</v>
      </c>
      <c r="D2328" s="7" t="s">
        <v>353</v>
      </c>
      <c r="E2328" s="104">
        <v>30000</v>
      </c>
      <c r="F2328" s="104">
        <f>E2328*C2328</f>
        <v>1500000</v>
      </c>
      <c r="G2328" s="25"/>
      <c r="H2328" s="11"/>
      <c r="I2328" s="21"/>
      <c r="J2328" s="21"/>
      <c r="K2328" s="21"/>
      <c r="L2328" s="21"/>
      <c r="M2328" s="21"/>
      <c r="N2328" s="21"/>
    </row>
    <row r="2329" spans="1:14" ht="15.75" customHeight="1" x14ac:dyDescent="0.25">
      <c r="A2329" s="7">
        <v>2</v>
      </c>
      <c r="B2329" s="41" t="s">
        <v>1072</v>
      </c>
      <c r="C2329" s="7">
        <v>2</v>
      </c>
      <c r="D2329" s="7" t="s">
        <v>353</v>
      </c>
      <c r="E2329" s="104">
        <v>75000</v>
      </c>
      <c r="F2329" s="104">
        <f>E2329*C2329</f>
        <v>150000</v>
      </c>
      <c r="G2329" s="25"/>
      <c r="H2329" s="11"/>
      <c r="I2329" s="21"/>
      <c r="J2329" s="21"/>
      <c r="K2329" s="21"/>
      <c r="L2329" s="21"/>
      <c r="M2329" s="21"/>
      <c r="N2329" s="21"/>
    </row>
    <row r="2330" spans="1:14" ht="15.75" customHeight="1" x14ac:dyDescent="0.25">
      <c r="A2330" s="7"/>
      <c r="B2330" s="343" t="s">
        <v>342</v>
      </c>
      <c r="C2330" s="344"/>
      <c r="D2330" s="344"/>
      <c r="E2330" s="334"/>
      <c r="F2330" s="104">
        <f>SUM(F2328:F2329)</f>
        <v>1650000</v>
      </c>
      <c r="G2330" s="25"/>
      <c r="H2330" s="11"/>
      <c r="I2330" s="21"/>
      <c r="J2330" s="21"/>
      <c r="K2330" s="21"/>
      <c r="L2330" s="21"/>
      <c r="M2330" s="21"/>
      <c r="N2330" s="21"/>
    </row>
    <row r="2331" spans="1:14" ht="15.75" customHeight="1" x14ac:dyDescent="0.25">
      <c r="A2331" s="7"/>
      <c r="B2331" s="343" t="s">
        <v>343</v>
      </c>
      <c r="C2331" s="344"/>
      <c r="D2331" s="344"/>
      <c r="E2331" s="334"/>
      <c r="F2331" s="104">
        <v>181500</v>
      </c>
      <c r="G2331" s="25"/>
      <c r="H2331" s="11"/>
      <c r="I2331" s="21"/>
      <c r="J2331" s="21"/>
      <c r="K2331" s="21"/>
      <c r="L2331" s="21"/>
      <c r="M2331" s="21"/>
      <c r="N2331" s="21"/>
    </row>
    <row r="2332" spans="1:14" ht="15.75" customHeight="1" x14ac:dyDescent="0.25">
      <c r="A2332" s="7"/>
      <c r="B2332" s="345" t="s">
        <v>344</v>
      </c>
      <c r="C2332" s="344"/>
      <c r="D2332" s="344"/>
      <c r="E2332" s="334"/>
      <c r="F2332" s="107">
        <f>SUM(F2330:F2331)</f>
        <v>1831500</v>
      </c>
      <c r="G2332" s="25"/>
      <c r="H2332" s="11"/>
      <c r="I2332" s="21"/>
      <c r="J2332" s="21"/>
      <c r="K2332" s="21"/>
      <c r="L2332" s="21"/>
      <c r="M2332" s="21"/>
      <c r="N2332" s="21"/>
    </row>
    <row r="2333" spans="1:14" ht="15.75" customHeight="1" x14ac:dyDescent="0.25">
      <c r="A2333" s="21"/>
      <c r="B2333" s="21"/>
      <c r="C2333" s="11"/>
      <c r="D2333" s="11"/>
      <c r="E2333" s="21"/>
      <c r="F2333" s="21"/>
      <c r="G2333" s="25"/>
      <c r="H2333" s="11"/>
      <c r="I2333" s="21"/>
      <c r="J2333" s="21"/>
      <c r="K2333" s="21"/>
      <c r="L2333" s="21"/>
      <c r="M2333" s="21"/>
      <c r="N2333" s="21"/>
    </row>
    <row r="2334" spans="1:14" ht="15.75" customHeight="1" x14ac:dyDescent="0.25">
      <c r="A2334" s="31" t="s">
        <v>351</v>
      </c>
      <c r="B2334" s="31" t="s">
        <v>234</v>
      </c>
      <c r="C2334" s="31" t="s">
        <v>16</v>
      </c>
      <c r="D2334" s="31" t="s">
        <v>17</v>
      </c>
      <c r="E2334" s="31" t="s">
        <v>235</v>
      </c>
      <c r="F2334" s="31" t="s">
        <v>236</v>
      </c>
      <c r="G2334" s="25"/>
      <c r="H2334" s="11"/>
      <c r="I2334" s="21"/>
      <c r="J2334" s="21"/>
      <c r="K2334" s="21"/>
      <c r="L2334" s="21"/>
      <c r="M2334" s="21"/>
      <c r="N2334" s="21"/>
    </row>
    <row r="2335" spans="1:14" ht="15.75" customHeight="1" x14ac:dyDescent="0.25">
      <c r="A2335" s="7">
        <v>1</v>
      </c>
      <c r="B2335" s="41" t="s">
        <v>990</v>
      </c>
      <c r="C2335" s="7">
        <v>90</v>
      </c>
      <c r="D2335" s="7" t="s">
        <v>539</v>
      </c>
      <c r="E2335" s="104">
        <v>36500</v>
      </c>
      <c r="F2335" s="104">
        <f>E2335*C2335</f>
        <v>3285000</v>
      </c>
      <c r="G2335" s="25"/>
      <c r="H2335" s="11"/>
      <c r="I2335" s="21"/>
      <c r="J2335" s="21"/>
      <c r="K2335" s="21"/>
      <c r="L2335" s="21"/>
      <c r="M2335" s="21"/>
      <c r="N2335" s="21"/>
    </row>
    <row r="2336" spans="1:14" ht="15.75" customHeight="1" x14ac:dyDescent="0.25">
      <c r="A2336" s="7">
        <v>2</v>
      </c>
      <c r="B2336" s="41" t="s">
        <v>671</v>
      </c>
      <c r="C2336" s="7">
        <v>90</v>
      </c>
      <c r="D2336" s="7" t="s">
        <v>539</v>
      </c>
      <c r="E2336" s="104">
        <v>48325</v>
      </c>
      <c r="F2336" s="104">
        <f>E2336*C2336</f>
        <v>4349250</v>
      </c>
      <c r="G2336" s="25"/>
      <c r="H2336" s="11"/>
      <c r="I2336" s="21"/>
      <c r="J2336" s="21"/>
      <c r="K2336" s="21"/>
      <c r="L2336" s="21"/>
      <c r="M2336" s="21"/>
      <c r="N2336" s="21"/>
    </row>
    <row r="2337" spans="1:14" ht="15.75" customHeight="1" x14ac:dyDescent="0.25">
      <c r="A2337" s="7"/>
      <c r="B2337" s="343" t="s">
        <v>342</v>
      </c>
      <c r="C2337" s="344"/>
      <c r="D2337" s="344"/>
      <c r="E2337" s="334"/>
      <c r="F2337" s="104">
        <f>SUM(F2335:F2336)</f>
        <v>7634250</v>
      </c>
      <c r="G2337" s="25"/>
      <c r="H2337" s="11"/>
      <c r="I2337" s="21"/>
      <c r="J2337" s="21"/>
      <c r="K2337" s="21"/>
      <c r="L2337" s="21"/>
      <c r="M2337" s="21"/>
      <c r="N2337" s="21"/>
    </row>
    <row r="2338" spans="1:14" ht="15.75" customHeight="1" x14ac:dyDescent="0.25">
      <c r="A2338" s="7"/>
      <c r="B2338" s="343" t="s">
        <v>343</v>
      </c>
      <c r="C2338" s="344"/>
      <c r="D2338" s="344"/>
      <c r="E2338" s="334"/>
      <c r="F2338" s="108">
        <v>839767.5</v>
      </c>
      <c r="G2338" s="25"/>
      <c r="H2338" s="11"/>
      <c r="I2338" s="21"/>
      <c r="J2338" s="21"/>
      <c r="K2338" s="21"/>
      <c r="L2338" s="21"/>
      <c r="M2338" s="21"/>
      <c r="N2338" s="21"/>
    </row>
    <row r="2339" spans="1:14" ht="15.75" customHeight="1" x14ac:dyDescent="0.25">
      <c r="A2339" s="7"/>
      <c r="B2339" s="345" t="s">
        <v>344</v>
      </c>
      <c r="C2339" s="344"/>
      <c r="D2339" s="344"/>
      <c r="E2339" s="334"/>
      <c r="F2339" s="109">
        <f>SUM(F2337:F2338)</f>
        <v>8474017.5</v>
      </c>
      <c r="G2339" s="25"/>
      <c r="H2339" s="11"/>
      <c r="I2339" s="21"/>
      <c r="J2339" s="21"/>
      <c r="K2339" s="21"/>
      <c r="L2339" s="21"/>
      <c r="M2339" s="21"/>
      <c r="N2339" s="21"/>
    </row>
    <row r="2340" spans="1:14" ht="15.75" customHeight="1" x14ac:dyDescent="0.25">
      <c r="A2340" s="21"/>
      <c r="B2340" s="21"/>
      <c r="C2340" s="11"/>
      <c r="D2340" s="11"/>
      <c r="E2340" s="21"/>
      <c r="F2340" s="21"/>
      <c r="G2340" s="25"/>
      <c r="H2340" s="11"/>
      <c r="I2340" s="21"/>
      <c r="J2340" s="21"/>
      <c r="K2340" s="21"/>
      <c r="L2340" s="21"/>
      <c r="M2340" s="21"/>
      <c r="N2340" s="21"/>
    </row>
    <row r="2341" spans="1:14" ht="15.75" customHeight="1" x14ac:dyDescent="0.25">
      <c r="A2341" s="31" t="s">
        <v>14</v>
      </c>
      <c r="B2341" s="31" t="s">
        <v>234</v>
      </c>
      <c r="C2341" s="31" t="s">
        <v>16</v>
      </c>
      <c r="D2341" s="31" t="s">
        <v>17</v>
      </c>
      <c r="E2341" s="31" t="s">
        <v>235</v>
      </c>
      <c r="F2341" s="31" t="s">
        <v>236</v>
      </c>
      <c r="G2341" s="25"/>
      <c r="H2341" s="11"/>
      <c r="I2341" s="21"/>
      <c r="J2341" s="21"/>
      <c r="K2341" s="21"/>
      <c r="L2341" s="21"/>
      <c r="M2341" s="21"/>
      <c r="N2341" s="21"/>
    </row>
    <row r="2342" spans="1:14" ht="15.75" customHeight="1" x14ac:dyDescent="0.25">
      <c r="A2342" s="7">
        <v>1</v>
      </c>
      <c r="B2342" s="120" t="s">
        <v>1073</v>
      </c>
      <c r="C2342" s="129">
        <v>1</v>
      </c>
      <c r="D2342" s="7" t="s">
        <v>251</v>
      </c>
      <c r="E2342" s="130">
        <v>6687500</v>
      </c>
      <c r="F2342" s="130">
        <f>E2342*C2342</f>
        <v>6687500</v>
      </c>
      <c r="G2342" s="25"/>
      <c r="H2342" s="11"/>
      <c r="I2342" s="21"/>
      <c r="J2342" s="21"/>
      <c r="K2342" s="21"/>
      <c r="L2342" s="21"/>
      <c r="M2342" s="21"/>
      <c r="N2342" s="21"/>
    </row>
    <row r="2343" spans="1:14" ht="15.75" customHeight="1" x14ac:dyDescent="0.25">
      <c r="A2343" s="7"/>
      <c r="B2343" s="343" t="s">
        <v>342</v>
      </c>
      <c r="C2343" s="344"/>
      <c r="D2343" s="344"/>
      <c r="E2343" s="334"/>
      <c r="F2343" s="104">
        <f>SUM(F2342)</f>
        <v>6687500</v>
      </c>
      <c r="G2343" s="25"/>
      <c r="H2343" s="11"/>
      <c r="I2343" s="21"/>
      <c r="J2343" s="21"/>
      <c r="K2343" s="21"/>
      <c r="L2343" s="21"/>
      <c r="M2343" s="21"/>
      <c r="N2343" s="21"/>
    </row>
    <row r="2344" spans="1:14" ht="15.75" customHeight="1" x14ac:dyDescent="0.25">
      <c r="A2344" s="7"/>
      <c r="B2344" s="343" t="s">
        <v>343</v>
      </c>
      <c r="C2344" s="344"/>
      <c r="D2344" s="344"/>
      <c r="E2344" s="334"/>
      <c r="F2344" s="104">
        <v>735625</v>
      </c>
      <c r="G2344" s="25"/>
      <c r="H2344" s="11"/>
      <c r="I2344" s="21"/>
      <c r="J2344" s="21"/>
      <c r="K2344" s="21"/>
      <c r="L2344" s="21"/>
      <c r="M2344" s="21"/>
      <c r="N2344" s="21"/>
    </row>
    <row r="2345" spans="1:14" ht="15.75" customHeight="1" x14ac:dyDescent="0.25">
      <c r="A2345" s="7"/>
      <c r="B2345" s="345" t="s">
        <v>344</v>
      </c>
      <c r="C2345" s="344"/>
      <c r="D2345" s="344"/>
      <c r="E2345" s="334"/>
      <c r="F2345" s="107">
        <f>SUM(F2343:F2344)</f>
        <v>7423125</v>
      </c>
      <c r="G2345" s="25"/>
      <c r="H2345" s="11"/>
      <c r="I2345" s="21"/>
      <c r="J2345" s="21"/>
      <c r="K2345" s="21"/>
      <c r="L2345" s="21"/>
      <c r="M2345" s="21"/>
      <c r="N2345" s="21"/>
    </row>
    <row r="2346" spans="1:14" ht="15.75" customHeight="1" x14ac:dyDescent="0.25">
      <c r="A2346" s="21"/>
      <c r="B2346" s="21"/>
      <c r="C2346" s="11"/>
      <c r="D2346" s="11"/>
      <c r="E2346" s="21"/>
      <c r="F2346" s="21"/>
      <c r="G2346" s="25"/>
      <c r="H2346" s="11"/>
      <c r="I2346" s="21"/>
      <c r="J2346" s="21"/>
      <c r="K2346" s="21"/>
      <c r="L2346" s="21"/>
      <c r="M2346" s="21"/>
      <c r="N2346" s="21"/>
    </row>
    <row r="2347" spans="1:14" ht="15.75" customHeight="1" x14ac:dyDescent="0.25">
      <c r="A2347" s="31" t="s">
        <v>14</v>
      </c>
      <c r="B2347" s="31" t="s">
        <v>234</v>
      </c>
      <c r="C2347" s="31" t="s">
        <v>16</v>
      </c>
      <c r="D2347" s="31" t="s">
        <v>17</v>
      </c>
      <c r="E2347" s="31" t="s">
        <v>235</v>
      </c>
      <c r="F2347" s="31" t="s">
        <v>236</v>
      </c>
      <c r="G2347" s="25"/>
      <c r="H2347" s="11"/>
      <c r="I2347" s="21"/>
      <c r="J2347" s="21"/>
      <c r="K2347" s="21"/>
      <c r="L2347" s="21"/>
      <c r="M2347" s="21"/>
      <c r="N2347" s="21"/>
    </row>
    <row r="2348" spans="1:14" ht="15.75" customHeight="1" x14ac:dyDescent="0.25">
      <c r="A2348" s="7">
        <v>1</v>
      </c>
      <c r="B2348" s="120" t="s">
        <v>1074</v>
      </c>
      <c r="C2348" s="129">
        <v>1</v>
      </c>
      <c r="D2348" s="7" t="s">
        <v>243</v>
      </c>
      <c r="E2348" s="130">
        <v>5000325</v>
      </c>
      <c r="F2348" s="130">
        <f>E2348*C2348</f>
        <v>5000325</v>
      </c>
      <c r="G2348" s="25"/>
      <c r="H2348" s="11"/>
      <c r="I2348" s="21"/>
      <c r="J2348" s="21"/>
      <c r="K2348" s="21"/>
      <c r="L2348" s="21"/>
      <c r="M2348" s="21"/>
      <c r="N2348" s="21"/>
    </row>
    <row r="2349" spans="1:14" ht="15.75" customHeight="1" x14ac:dyDescent="0.25">
      <c r="A2349" s="7"/>
      <c r="B2349" s="343" t="s">
        <v>342</v>
      </c>
      <c r="C2349" s="344"/>
      <c r="D2349" s="344"/>
      <c r="E2349" s="334"/>
      <c r="F2349" s="104">
        <f>SUM(F2348)</f>
        <v>5000325</v>
      </c>
      <c r="G2349" s="25"/>
      <c r="H2349" s="11"/>
      <c r="I2349" s="21"/>
      <c r="J2349" s="21"/>
      <c r="K2349" s="21"/>
      <c r="L2349" s="21"/>
      <c r="M2349" s="21"/>
      <c r="N2349" s="21"/>
    </row>
    <row r="2350" spans="1:14" ht="15.75" customHeight="1" x14ac:dyDescent="0.25">
      <c r="A2350" s="7"/>
      <c r="B2350" s="343" t="s">
        <v>343</v>
      </c>
      <c r="C2350" s="344"/>
      <c r="D2350" s="344"/>
      <c r="E2350" s="334"/>
      <c r="F2350" s="104">
        <v>550035.75</v>
      </c>
      <c r="G2350" s="25"/>
      <c r="H2350" s="11"/>
      <c r="I2350" s="21"/>
      <c r="J2350" s="21"/>
      <c r="K2350" s="21"/>
      <c r="L2350" s="21"/>
      <c r="M2350" s="21"/>
      <c r="N2350" s="21"/>
    </row>
    <row r="2351" spans="1:14" ht="15.75" customHeight="1" x14ac:dyDescent="0.25">
      <c r="A2351" s="7"/>
      <c r="B2351" s="345" t="s">
        <v>344</v>
      </c>
      <c r="C2351" s="344"/>
      <c r="D2351" s="344"/>
      <c r="E2351" s="334"/>
      <c r="F2351" s="107">
        <f>SUM(F2349:F2350)</f>
        <v>5550360.75</v>
      </c>
      <c r="G2351" s="25"/>
      <c r="H2351" s="11"/>
      <c r="I2351" s="21"/>
      <c r="J2351" s="21"/>
      <c r="K2351" s="21"/>
      <c r="L2351" s="21"/>
      <c r="M2351" s="21"/>
      <c r="N2351" s="21"/>
    </row>
    <row r="2352" spans="1:14" ht="15.75" customHeight="1" x14ac:dyDescent="0.25">
      <c r="A2352" s="21"/>
      <c r="B2352" s="21"/>
      <c r="C2352" s="11"/>
      <c r="D2352" s="11"/>
      <c r="E2352" s="21"/>
      <c r="F2352" s="21"/>
      <c r="G2352" s="25"/>
      <c r="H2352" s="11"/>
      <c r="I2352" s="21"/>
      <c r="J2352" s="21"/>
      <c r="K2352" s="21"/>
      <c r="L2352" s="21"/>
      <c r="M2352" s="21"/>
      <c r="N2352" s="21"/>
    </row>
    <row r="2353" spans="1:14" ht="15.75" customHeight="1" x14ac:dyDescent="0.25">
      <c r="A2353" s="31" t="s">
        <v>14</v>
      </c>
      <c r="B2353" s="31" t="s">
        <v>234</v>
      </c>
      <c r="C2353" s="31" t="s">
        <v>16</v>
      </c>
      <c r="D2353" s="31" t="s">
        <v>17</v>
      </c>
      <c r="E2353" s="31" t="s">
        <v>235</v>
      </c>
      <c r="F2353" s="31" t="s">
        <v>236</v>
      </c>
      <c r="G2353" s="25"/>
      <c r="H2353" s="11"/>
      <c r="I2353" s="21"/>
      <c r="J2353" s="21"/>
      <c r="K2353" s="21"/>
      <c r="L2353" s="21"/>
      <c r="M2353" s="21"/>
      <c r="N2353" s="21"/>
    </row>
    <row r="2354" spans="1:14" ht="15.75" customHeight="1" x14ac:dyDescent="0.25">
      <c r="A2354" s="7">
        <v>1</v>
      </c>
      <c r="B2354" s="120" t="s">
        <v>1075</v>
      </c>
      <c r="C2354" s="129">
        <v>2</v>
      </c>
      <c r="D2354" s="7" t="s">
        <v>285</v>
      </c>
      <c r="E2354" s="130">
        <v>58200</v>
      </c>
      <c r="F2354" s="130">
        <f>E2354*C2354</f>
        <v>116400</v>
      </c>
      <c r="G2354" s="25"/>
      <c r="H2354" s="11"/>
      <c r="I2354" s="21"/>
      <c r="J2354" s="21"/>
      <c r="K2354" s="21"/>
      <c r="L2354" s="21"/>
      <c r="M2354" s="21"/>
      <c r="N2354" s="21"/>
    </row>
    <row r="2355" spans="1:14" ht="15.75" customHeight="1" x14ac:dyDescent="0.25">
      <c r="A2355" s="7"/>
      <c r="B2355" s="343" t="s">
        <v>342</v>
      </c>
      <c r="C2355" s="344"/>
      <c r="D2355" s="344"/>
      <c r="E2355" s="334"/>
      <c r="F2355" s="104">
        <f>SUM(F2354)</f>
        <v>116400</v>
      </c>
      <c r="G2355" s="25"/>
      <c r="H2355" s="11"/>
      <c r="I2355" s="21"/>
      <c r="J2355" s="21"/>
      <c r="K2355" s="21"/>
      <c r="L2355" s="21"/>
      <c r="M2355" s="21"/>
      <c r="N2355" s="21"/>
    </row>
    <row r="2356" spans="1:14" ht="15.75" customHeight="1" x14ac:dyDescent="0.25">
      <c r="A2356" s="7"/>
      <c r="B2356" s="343" t="s">
        <v>343</v>
      </c>
      <c r="C2356" s="344"/>
      <c r="D2356" s="344"/>
      <c r="E2356" s="334"/>
      <c r="F2356" s="104">
        <v>12804</v>
      </c>
      <c r="G2356" s="25"/>
      <c r="H2356" s="11"/>
      <c r="I2356" s="21"/>
      <c r="J2356" s="21"/>
      <c r="K2356" s="21"/>
      <c r="L2356" s="21"/>
      <c r="M2356" s="21"/>
      <c r="N2356" s="21"/>
    </row>
    <row r="2357" spans="1:14" ht="15.75" customHeight="1" x14ac:dyDescent="0.25">
      <c r="A2357" s="7"/>
      <c r="B2357" s="345" t="s">
        <v>344</v>
      </c>
      <c r="C2357" s="344"/>
      <c r="D2357" s="344"/>
      <c r="E2357" s="334"/>
      <c r="F2357" s="107">
        <f>SUM(F2355:F2356)</f>
        <v>129204</v>
      </c>
      <c r="G2357" s="25"/>
      <c r="H2357" s="11"/>
      <c r="I2357" s="21"/>
      <c r="J2357" s="21"/>
      <c r="K2357" s="21"/>
      <c r="L2357" s="21"/>
      <c r="M2357" s="21"/>
      <c r="N2357" s="21"/>
    </row>
    <row r="2358" spans="1:14" ht="15.75" customHeight="1" x14ac:dyDescent="0.25">
      <c r="A2358" s="21"/>
      <c r="B2358" s="21"/>
      <c r="C2358" s="11"/>
      <c r="D2358" s="11"/>
      <c r="E2358" s="21"/>
      <c r="F2358" s="21"/>
      <c r="G2358" s="25"/>
      <c r="H2358" s="11"/>
      <c r="I2358" s="21"/>
      <c r="J2358" s="21"/>
      <c r="K2358" s="21"/>
      <c r="L2358" s="21"/>
      <c r="M2358" s="21"/>
      <c r="N2358" s="21"/>
    </row>
    <row r="2359" spans="1:14" ht="15.75" customHeight="1" x14ac:dyDescent="0.25">
      <c r="A2359" s="31" t="s">
        <v>14</v>
      </c>
      <c r="B2359" s="31" t="s">
        <v>234</v>
      </c>
      <c r="C2359" s="31" t="s">
        <v>16</v>
      </c>
      <c r="D2359" s="31" t="s">
        <v>17</v>
      </c>
      <c r="E2359" s="31" t="s">
        <v>235</v>
      </c>
      <c r="F2359" s="31" t="s">
        <v>236</v>
      </c>
      <c r="G2359" s="25"/>
      <c r="H2359" s="11"/>
      <c r="I2359" s="21"/>
      <c r="J2359" s="21"/>
      <c r="K2359" s="21"/>
      <c r="L2359" s="21"/>
      <c r="M2359" s="21"/>
      <c r="N2359" s="21"/>
    </row>
    <row r="2360" spans="1:14" ht="15.75" customHeight="1" x14ac:dyDescent="0.25">
      <c r="A2360" s="7">
        <v>1</v>
      </c>
      <c r="B2360" s="120" t="s">
        <v>1076</v>
      </c>
      <c r="C2360" s="129">
        <v>5</v>
      </c>
      <c r="D2360" s="7" t="s">
        <v>19</v>
      </c>
      <c r="E2360" s="130">
        <v>13850</v>
      </c>
      <c r="F2360" s="130">
        <f>E2360*C2360</f>
        <v>69250</v>
      </c>
      <c r="G2360" s="25"/>
      <c r="H2360" s="11"/>
      <c r="I2360" s="21"/>
      <c r="J2360" s="21"/>
      <c r="K2360" s="21"/>
      <c r="L2360" s="21"/>
      <c r="M2360" s="21"/>
      <c r="N2360" s="21"/>
    </row>
    <row r="2361" spans="1:14" ht="15.75" customHeight="1" x14ac:dyDescent="0.25">
      <c r="A2361" s="7"/>
      <c r="B2361" s="343" t="s">
        <v>342</v>
      </c>
      <c r="C2361" s="344"/>
      <c r="D2361" s="344"/>
      <c r="E2361" s="334"/>
      <c r="F2361" s="104">
        <f>SUM(F2360)</f>
        <v>69250</v>
      </c>
      <c r="G2361" s="25"/>
      <c r="H2361" s="11"/>
      <c r="I2361" s="21"/>
      <c r="J2361" s="21"/>
      <c r="K2361" s="21"/>
      <c r="L2361" s="21"/>
      <c r="M2361" s="21"/>
      <c r="N2361" s="21"/>
    </row>
    <row r="2362" spans="1:14" ht="15.75" customHeight="1" x14ac:dyDescent="0.25">
      <c r="A2362" s="7"/>
      <c r="B2362" s="343" t="s">
        <v>343</v>
      </c>
      <c r="C2362" s="344"/>
      <c r="D2362" s="344"/>
      <c r="E2362" s="334"/>
      <c r="F2362" s="108">
        <v>7617.5</v>
      </c>
      <c r="G2362" s="25"/>
      <c r="H2362" s="11"/>
      <c r="I2362" s="21"/>
      <c r="J2362" s="21"/>
      <c r="K2362" s="21"/>
      <c r="L2362" s="21"/>
      <c r="M2362" s="21"/>
      <c r="N2362" s="21"/>
    </row>
    <row r="2363" spans="1:14" ht="15.75" customHeight="1" x14ac:dyDescent="0.25">
      <c r="A2363" s="7"/>
      <c r="B2363" s="345" t="s">
        <v>344</v>
      </c>
      <c r="C2363" s="344"/>
      <c r="D2363" s="344"/>
      <c r="E2363" s="334"/>
      <c r="F2363" s="109">
        <f>SUM(F2361:F2362)</f>
        <v>76867.5</v>
      </c>
      <c r="G2363" s="25"/>
      <c r="H2363" s="11"/>
      <c r="I2363" s="21"/>
      <c r="J2363" s="21"/>
      <c r="K2363" s="21"/>
      <c r="L2363" s="21"/>
      <c r="M2363" s="21"/>
      <c r="N2363" s="21"/>
    </row>
    <row r="2364" spans="1:14" ht="15.75" customHeight="1" x14ac:dyDescent="0.25">
      <c r="A2364" s="21"/>
      <c r="B2364" s="21"/>
      <c r="C2364" s="11"/>
      <c r="D2364" s="11"/>
      <c r="E2364" s="21"/>
      <c r="F2364" s="21"/>
      <c r="G2364" s="25"/>
      <c r="H2364" s="11"/>
      <c r="I2364" s="21"/>
      <c r="J2364" s="21"/>
      <c r="K2364" s="21"/>
      <c r="L2364" s="21"/>
      <c r="M2364" s="21"/>
      <c r="N2364" s="21"/>
    </row>
    <row r="2365" spans="1:14" ht="15.75" customHeight="1" x14ac:dyDescent="0.25">
      <c r="A2365" s="31" t="s">
        <v>351</v>
      </c>
      <c r="B2365" s="31" t="s">
        <v>234</v>
      </c>
      <c r="C2365" s="31" t="s">
        <v>16</v>
      </c>
      <c r="D2365" s="31" t="s">
        <v>17</v>
      </c>
      <c r="E2365" s="31" t="s">
        <v>235</v>
      </c>
      <c r="F2365" s="31" t="s">
        <v>236</v>
      </c>
      <c r="G2365" s="25"/>
      <c r="H2365" s="11"/>
      <c r="I2365" s="21"/>
      <c r="J2365" s="21"/>
      <c r="K2365" s="21"/>
      <c r="L2365" s="21"/>
      <c r="M2365" s="21"/>
      <c r="N2365" s="21"/>
    </row>
    <row r="2366" spans="1:14" ht="15.75" customHeight="1" x14ac:dyDescent="0.25">
      <c r="A2366" s="7">
        <v>1</v>
      </c>
      <c r="B2366" s="41" t="s">
        <v>1077</v>
      </c>
      <c r="C2366" s="7">
        <v>1</v>
      </c>
      <c r="D2366" s="7" t="s">
        <v>353</v>
      </c>
      <c r="E2366" s="104">
        <v>9028000</v>
      </c>
      <c r="F2366" s="104">
        <f>E2366*C2366</f>
        <v>9028000</v>
      </c>
      <c r="G2366" s="25"/>
      <c r="H2366" s="11"/>
      <c r="I2366" s="21"/>
      <c r="J2366" s="21"/>
      <c r="K2366" s="21"/>
      <c r="L2366" s="21"/>
      <c r="M2366" s="21"/>
      <c r="N2366" s="21"/>
    </row>
    <row r="2367" spans="1:14" ht="15.75" customHeight="1" x14ac:dyDescent="0.25">
      <c r="A2367" s="7">
        <v>2</v>
      </c>
      <c r="B2367" s="41" t="s">
        <v>1078</v>
      </c>
      <c r="C2367" s="7">
        <v>1</v>
      </c>
      <c r="D2367" s="7" t="s">
        <v>353</v>
      </c>
      <c r="E2367" s="104">
        <v>8540000</v>
      </c>
      <c r="F2367" s="104">
        <f>E2367*C2367</f>
        <v>8540000</v>
      </c>
      <c r="G2367" s="25"/>
      <c r="H2367" s="11"/>
      <c r="I2367" s="21"/>
      <c r="J2367" s="21"/>
      <c r="K2367" s="21"/>
      <c r="L2367" s="21"/>
      <c r="M2367" s="21"/>
      <c r="N2367" s="21"/>
    </row>
    <row r="2368" spans="1:14" ht="15.75" customHeight="1" x14ac:dyDescent="0.25">
      <c r="A2368" s="7"/>
      <c r="B2368" s="343" t="s">
        <v>342</v>
      </c>
      <c r="C2368" s="344"/>
      <c r="D2368" s="344"/>
      <c r="E2368" s="334"/>
      <c r="F2368" s="104">
        <f>SUM(F2366:F2367)</f>
        <v>17568000</v>
      </c>
      <c r="G2368" s="25"/>
      <c r="H2368" s="11"/>
      <c r="I2368" s="21"/>
      <c r="J2368" s="21"/>
      <c r="K2368" s="21"/>
      <c r="L2368" s="21"/>
      <c r="M2368" s="21"/>
      <c r="N2368" s="21"/>
    </row>
    <row r="2369" spans="1:14" ht="15.75" customHeight="1" x14ac:dyDescent="0.25">
      <c r="A2369" s="7"/>
      <c r="B2369" s="343" t="s">
        <v>343</v>
      </c>
      <c r="C2369" s="344"/>
      <c r="D2369" s="344"/>
      <c r="E2369" s="334"/>
      <c r="F2369" s="104">
        <v>1932480</v>
      </c>
      <c r="G2369" s="25"/>
      <c r="H2369" s="11"/>
      <c r="I2369" s="21"/>
      <c r="J2369" s="21"/>
      <c r="K2369" s="21"/>
      <c r="L2369" s="21"/>
      <c r="M2369" s="21"/>
      <c r="N2369" s="21"/>
    </row>
    <row r="2370" spans="1:14" ht="15.75" customHeight="1" x14ac:dyDescent="0.25">
      <c r="A2370" s="7"/>
      <c r="B2370" s="345" t="s">
        <v>344</v>
      </c>
      <c r="C2370" s="344"/>
      <c r="D2370" s="344"/>
      <c r="E2370" s="334"/>
      <c r="F2370" s="107">
        <f>SUM(F2368:F2369)</f>
        <v>19500480</v>
      </c>
      <c r="G2370" s="25"/>
      <c r="H2370" s="11"/>
      <c r="I2370" s="21"/>
      <c r="J2370" s="21"/>
      <c r="K2370" s="21"/>
      <c r="L2370" s="21"/>
      <c r="M2370" s="21"/>
      <c r="N2370" s="21"/>
    </row>
    <row r="2371" spans="1:14" ht="15.75" customHeight="1" x14ac:dyDescent="0.25">
      <c r="A2371" s="21"/>
      <c r="B2371" s="21"/>
      <c r="C2371" s="11"/>
      <c r="D2371" s="11"/>
      <c r="E2371" s="21"/>
      <c r="F2371" s="21"/>
      <c r="G2371" s="25"/>
      <c r="H2371" s="11"/>
      <c r="I2371" s="21"/>
      <c r="J2371" s="21"/>
      <c r="K2371" s="21"/>
      <c r="L2371" s="21"/>
      <c r="M2371" s="21"/>
      <c r="N2371" s="21"/>
    </row>
    <row r="2372" spans="1:14" ht="15.75" customHeight="1" x14ac:dyDescent="0.25">
      <c r="A2372" s="31" t="s">
        <v>14</v>
      </c>
      <c r="B2372" s="31" t="s">
        <v>234</v>
      </c>
      <c r="C2372" s="31" t="s">
        <v>16</v>
      </c>
      <c r="D2372" s="31" t="s">
        <v>17</v>
      </c>
      <c r="E2372" s="31" t="s">
        <v>235</v>
      </c>
      <c r="F2372" s="31" t="s">
        <v>236</v>
      </c>
      <c r="G2372" s="25"/>
      <c r="H2372" s="11"/>
      <c r="I2372" s="21"/>
      <c r="J2372" s="21"/>
      <c r="K2372" s="21"/>
      <c r="L2372" s="21"/>
      <c r="M2372" s="21"/>
      <c r="N2372" s="21"/>
    </row>
    <row r="2373" spans="1:14" ht="15.75" customHeight="1" x14ac:dyDescent="0.25">
      <c r="A2373" s="7">
        <v>1</v>
      </c>
      <c r="B2373" s="132" t="s">
        <v>1079</v>
      </c>
      <c r="C2373" s="129">
        <v>30</v>
      </c>
      <c r="D2373" s="7" t="s">
        <v>347</v>
      </c>
      <c r="E2373" s="130">
        <v>27500</v>
      </c>
      <c r="F2373" s="130">
        <f>E2373*C2373</f>
        <v>825000</v>
      </c>
      <c r="G2373" s="25"/>
      <c r="H2373" s="11"/>
      <c r="I2373" s="21"/>
      <c r="J2373" s="21"/>
      <c r="K2373" s="21"/>
      <c r="L2373" s="21"/>
      <c r="M2373" s="21"/>
      <c r="N2373" s="21"/>
    </row>
    <row r="2374" spans="1:14" ht="15.75" customHeight="1" x14ac:dyDescent="0.25">
      <c r="A2374" s="7"/>
      <c r="B2374" s="343" t="s">
        <v>342</v>
      </c>
      <c r="C2374" s="344"/>
      <c r="D2374" s="344"/>
      <c r="E2374" s="334"/>
      <c r="F2374" s="104">
        <f>SUM(F2373)</f>
        <v>825000</v>
      </c>
      <c r="G2374" s="25"/>
      <c r="H2374" s="11"/>
      <c r="I2374" s="21"/>
      <c r="J2374" s="21"/>
      <c r="K2374" s="21"/>
      <c r="L2374" s="21"/>
      <c r="M2374" s="21"/>
      <c r="N2374" s="21"/>
    </row>
    <row r="2375" spans="1:14" ht="15.75" customHeight="1" x14ac:dyDescent="0.25">
      <c r="A2375" s="7"/>
      <c r="B2375" s="343" t="s">
        <v>343</v>
      </c>
      <c r="C2375" s="344"/>
      <c r="D2375" s="344"/>
      <c r="E2375" s="334"/>
      <c r="F2375" s="104">
        <v>90750</v>
      </c>
      <c r="G2375" s="25"/>
      <c r="H2375" s="11"/>
      <c r="I2375" s="21"/>
      <c r="J2375" s="21"/>
      <c r="K2375" s="21"/>
      <c r="L2375" s="21"/>
      <c r="M2375" s="21"/>
      <c r="N2375" s="21"/>
    </row>
    <row r="2376" spans="1:14" ht="15.75" customHeight="1" x14ac:dyDescent="0.25">
      <c r="A2376" s="7"/>
      <c r="B2376" s="345" t="s">
        <v>344</v>
      </c>
      <c r="C2376" s="344"/>
      <c r="D2376" s="344"/>
      <c r="E2376" s="334"/>
      <c r="F2376" s="107">
        <f>SUM(F2374:F2375)</f>
        <v>915750</v>
      </c>
      <c r="G2376" s="25"/>
      <c r="H2376" s="11"/>
      <c r="I2376" s="21"/>
      <c r="J2376" s="21"/>
      <c r="K2376" s="21"/>
      <c r="L2376" s="21"/>
      <c r="M2376" s="21"/>
      <c r="N2376" s="21"/>
    </row>
    <row r="2377" spans="1:14" ht="15.75" customHeight="1" x14ac:dyDescent="0.25">
      <c r="A2377" s="21"/>
      <c r="B2377" s="21"/>
      <c r="C2377" s="11"/>
      <c r="D2377" s="11"/>
      <c r="E2377" s="21"/>
      <c r="F2377" s="21"/>
      <c r="G2377" s="25"/>
      <c r="H2377" s="11"/>
      <c r="I2377" s="21"/>
      <c r="J2377" s="21"/>
      <c r="K2377" s="21"/>
      <c r="L2377" s="21"/>
      <c r="M2377" s="21"/>
      <c r="N2377" s="21"/>
    </row>
    <row r="2378" spans="1:14" ht="15.75" customHeight="1" x14ac:dyDescent="0.25">
      <c r="A2378" s="31" t="s">
        <v>351</v>
      </c>
      <c r="B2378" s="31" t="s">
        <v>234</v>
      </c>
      <c r="C2378" s="31" t="s">
        <v>16</v>
      </c>
      <c r="D2378" s="31" t="s">
        <v>17</v>
      </c>
      <c r="E2378" s="31" t="s">
        <v>235</v>
      </c>
      <c r="F2378" s="31" t="s">
        <v>236</v>
      </c>
      <c r="G2378" s="25"/>
      <c r="H2378" s="11"/>
      <c r="I2378" s="21"/>
      <c r="J2378" s="21"/>
      <c r="K2378" s="21"/>
      <c r="L2378" s="21"/>
      <c r="M2378" s="21"/>
      <c r="N2378" s="21"/>
    </row>
    <row r="2379" spans="1:14" ht="15.75" customHeight="1" x14ac:dyDescent="0.25">
      <c r="A2379" s="7">
        <v>1</v>
      </c>
      <c r="B2379" s="41" t="s">
        <v>1080</v>
      </c>
      <c r="C2379" s="7">
        <v>1</v>
      </c>
      <c r="D2379" s="7" t="s">
        <v>251</v>
      </c>
      <c r="E2379" s="104">
        <v>1579160</v>
      </c>
      <c r="F2379" s="104">
        <f>E2379*C2379</f>
        <v>1579160</v>
      </c>
      <c r="G2379" s="25"/>
      <c r="H2379" s="11"/>
      <c r="I2379" s="21"/>
      <c r="J2379" s="21"/>
      <c r="K2379" s="21"/>
      <c r="L2379" s="21"/>
      <c r="M2379" s="21"/>
      <c r="N2379" s="21"/>
    </row>
    <row r="2380" spans="1:14" ht="15.75" customHeight="1" x14ac:dyDescent="0.25">
      <c r="A2380" s="7">
        <v>2</v>
      </c>
      <c r="B2380" s="41" t="s">
        <v>1080</v>
      </c>
      <c r="C2380" s="7">
        <v>1</v>
      </c>
      <c r="D2380" s="7" t="s">
        <v>251</v>
      </c>
      <c r="E2380" s="104">
        <v>1579160</v>
      </c>
      <c r="F2380" s="104">
        <f>E2380*C2380</f>
        <v>1579160</v>
      </c>
      <c r="G2380" s="25"/>
      <c r="H2380" s="11"/>
      <c r="I2380" s="21"/>
      <c r="J2380" s="21"/>
      <c r="K2380" s="21"/>
      <c r="L2380" s="21"/>
      <c r="M2380" s="21"/>
      <c r="N2380" s="21"/>
    </row>
    <row r="2381" spans="1:14" ht="15.75" customHeight="1" x14ac:dyDescent="0.25">
      <c r="A2381" s="7"/>
      <c r="B2381" s="343" t="s">
        <v>342</v>
      </c>
      <c r="C2381" s="344"/>
      <c r="D2381" s="344"/>
      <c r="E2381" s="334"/>
      <c r="F2381" s="104">
        <f>SUM(F2379:F2380)</f>
        <v>3158320</v>
      </c>
      <c r="G2381" s="25"/>
      <c r="H2381" s="11"/>
      <c r="I2381" s="21"/>
      <c r="J2381" s="21"/>
      <c r="K2381" s="21"/>
      <c r="L2381" s="21"/>
      <c r="M2381" s="21"/>
      <c r="N2381" s="21"/>
    </row>
    <row r="2382" spans="1:14" ht="15.75" customHeight="1" x14ac:dyDescent="0.25">
      <c r="A2382" s="7"/>
      <c r="B2382" s="343" t="s">
        <v>343</v>
      </c>
      <c r="C2382" s="344"/>
      <c r="D2382" s="344"/>
      <c r="E2382" s="334"/>
      <c r="F2382" s="108">
        <v>347415.2</v>
      </c>
      <c r="G2382" s="25"/>
      <c r="H2382" s="11"/>
      <c r="I2382" s="21"/>
      <c r="J2382" s="21"/>
      <c r="K2382" s="21"/>
      <c r="L2382" s="21"/>
      <c r="M2382" s="21"/>
      <c r="N2382" s="21"/>
    </row>
    <row r="2383" spans="1:14" ht="15.75" customHeight="1" x14ac:dyDescent="0.25">
      <c r="A2383" s="7"/>
      <c r="B2383" s="345" t="s">
        <v>344</v>
      </c>
      <c r="C2383" s="344"/>
      <c r="D2383" s="344"/>
      <c r="E2383" s="334"/>
      <c r="F2383" s="109">
        <f>SUM(F2381:F2382)</f>
        <v>3505735.2</v>
      </c>
      <c r="G2383" s="25"/>
      <c r="H2383" s="11"/>
      <c r="I2383" s="21"/>
      <c r="J2383" s="21"/>
      <c r="K2383" s="21"/>
      <c r="L2383" s="21"/>
      <c r="M2383" s="21"/>
      <c r="N2383" s="21"/>
    </row>
    <row r="2384" spans="1:14" ht="15.75" customHeight="1" x14ac:dyDescent="0.25">
      <c r="A2384" s="21"/>
      <c r="B2384" s="21"/>
      <c r="C2384" s="11"/>
      <c r="D2384" s="11"/>
      <c r="E2384" s="21"/>
      <c r="F2384" s="21"/>
      <c r="G2384" s="25"/>
      <c r="H2384" s="11"/>
      <c r="I2384" s="21"/>
      <c r="J2384" s="21"/>
      <c r="K2384" s="21"/>
      <c r="L2384" s="21"/>
      <c r="M2384" s="21"/>
      <c r="N2384" s="21"/>
    </row>
    <row r="2385" spans="1:14" ht="15.75" customHeight="1" x14ac:dyDescent="0.25">
      <c r="A2385" s="31" t="s">
        <v>14</v>
      </c>
      <c r="B2385" s="31" t="s">
        <v>234</v>
      </c>
      <c r="C2385" s="31" t="s">
        <v>16</v>
      </c>
      <c r="D2385" s="31" t="s">
        <v>17</v>
      </c>
      <c r="E2385" s="31" t="s">
        <v>235</v>
      </c>
      <c r="F2385" s="31" t="s">
        <v>236</v>
      </c>
      <c r="G2385" s="25"/>
      <c r="H2385" s="11"/>
      <c r="I2385" s="21"/>
      <c r="J2385" s="21"/>
      <c r="K2385" s="21"/>
      <c r="L2385" s="21"/>
      <c r="M2385" s="21"/>
      <c r="N2385" s="21"/>
    </row>
    <row r="2386" spans="1:14" ht="15.75" customHeight="1" x14ac:dyDescent="0.25">
      <c r="A2386" s="7">
        <v>1</v>
      </c>
      <c r="B2386" s="153" t="s">
        <v>1081</v>
      </c>
      <c r="C2386" s="129">
        <v>8</v>
      </c>
      <c r="D2386" s="7" t="s">
        <v>363</v>
      </c>
      <c r="E2386" s="130">
        <v>120500</v>
      </c>
      <c r="F2386" s="130">
        <f>E2386*C2386</f>
        <v>964000</v>
      </c>
      <c r="G2386" s="25"/>
      <c r="H2386" s="11"/>
      <c r="I2386" s="21"/>
      <c r="J2386" s="21"/>
      <c r="K2386" s="21"/>
      <c r="L2386" s="21"/>
      <c r="M2386" s="21"/>
      <c r="N2386" s="21"/>
    </row>
    <row r="2387" spans="1:14" ht="15.75" customHeight="1" x14ac:dyDescent="0.25">
      <c r="A2387" s="7">
        <v>2</v>
      </c>
      <c r="B2387" s="154" t="s">
        <v>1082</v>
      </c>
      <c r="C2387" s="129">
        <v>5</v>
      </c>
      <c r="D2387" s="7" t="s">
        <v>406</v>
      </c>
      <c r="E2387" s="130">
        <v>468000</v>
      </c>
      <c r="F2387" s="130">
        <f>E2387*C2387</f>
        <v>2340000</v>
      </c>
      <c r="G2387" s="25"/>
      <c r="H2387" s="11"/>
      <c r="I2387" s="21"/>
      <c r="J2387" s="21"/>
      <c r="K2387" s="21"/>
      <c r="L2387" s="21"/>
      <c r="M2387" s="21"/>
      <c r="N2387" s="21"/>
    </row>
    <row r="2388" spans="1:14" ht="15.75" customHeight="1" x14ac:dyDescent="0.25">
      <c r="A2388" s="7">
        <v>3</v>
      </c>
      <c r="B2388" s="154" t="s">
        <v>1083</v>
      </c>
      <c r="C2388" s="129">
        <v>4</v>
      </c>
      <c r="D2388" s="7" t="s">
        <v>406</v>
      </c>
      <c r="E2388" s="130">
        <v>585000</v>
      </c>
      <c r="F2388" s="130">
        <f>E2388*C2388</f>
        <v>2340000</v>
      </c>
      <c r="G2388" s="25"/>
      <c r="H2388" s="11"/>
      <c r="I2388" s="21"/>
      <c r="J2388" s="21"/>
      <c r="K2388" s="21"/>
      <c r="L2388" s="21"/>
      <c r="M2388" s="21"/>
      <c r="N2388" s="21"/>
    </row>
    <row r="2389" spans="1:14" ht="15.75" customHeight="1" x14ac:dyDescent="0.25">
      <c r="A2389" s="7">
        <v>4</v>
      </c>
      <c r="B2389" s="154" t="s">
        <v>1084</v>
      </c>
      <c r="C2389" s="129">
        <v>20</v>
      </c>
      <c r="D2389" s="7" t="s">
        <v>363</v>
      </c>
      <c r="E2389" s="130">
        <v>91500</v>
      </c>
      <c r="F2389" s="130">
        <f>E2389*C2389</f>
        <v>1830000</v>
      </c>
      <c r="G2389" s="25"/>
      <c r="H2389" s="11"/>
      <c r="I2389" s="21"/>
      <c r="J2389" s="21"/>
      <c r="K2389" s="21"/>
      <c r="L2389" s="21"/>
      <c r="M2389" s="21"/>
      <c r="N2389" s="21"/>
    </row>
    <row r="2390" spans="1:14" ht="15.75" customHeight="1" x14ac:dyDescent="0.25">
      <c r="A2390" s="7">
        <v>5</v>
      </c>
      <c r="B2390" s="154" t="s">
        <v>1085</v>
      </c>
      <c r="C2390" s="129">
        <v>20</v>
      </c>
      <c r="D2390" s="7" t="s">
        <v>363</v>
      </c>
      <c r="E2390" s="130">
        <v>117500</v>
      </c>
      <c r="F2390" s="130">
        <f>E2390*C2390</f>
        <v>2350000</v>
      </c>
      <c r="G2390" s="25"/>
      <c r="H2390" s="11"/>
      <c r="I2390" s="21"/>
      <c r="J2390" s="21"/>
      <c r="K2390" s="21"/>
      <c r="L2390" s="21"/>
      <c r="M2390" s="21"/>
      <c r="N2390" s="21"/>
    </row>
    <row r="2391" spans="1:14" ht="15.75" customHeight="1" x14ac:dyDescent="0.25">
      <c r="A2391" s="7"/>
      <c r="B2391" s="343" t="s">
        <v>342</v>
      </c>
      <c r="C2391" s="344"/>
      <c r="D2391" s="344"/>
      <c r="E2391" s="334"/>
      <c r="F2391" s="104">
        <f>SUM(F2386:F2390)</f>
        <v>9824000</v>
      </c>
      <c r="G2391" s="25"/>
      <c r="H2391" s="11"/>
      <c r="I2391" s="21"/>
      <c r="J2391" s="21"/>
      <c r="K2391" s="21"/>
      <c r="L2391" s="21"/>
      <c r="M2391" s="21"/>
      <c r="N2391" s="21"/>
    </row>
    <row r="2392" spans="1:14" ht="15.75" customHeight="1" x14ac:dyDescent="0.25">
      <c r="A2392" s="7"/>
      <c r="B2392" s="343" t="s">
        <v>343</v>
      </c>
      <c r="C2392" s="344"/>
      <c r="D2392" s="344"/>
      <c r="E2392" s="334"/>
      <c r="F2392" s="104">
        <v>1080640</v>
      </c>
      <c r="G2392" s="25"/>
      <c r="H2392" s="11"/>
      <c r="I2392" s="21"/>
      <c r="J2392" s="21"/>
      <c r="K2392" s="21"/>
      <c r="L2392" s="21"/>
      <c r="M2392" s="21"/>
      <c r="N2392" s="21"/>
    </row>
    <row r="2393" spans="1:14" ht="15.75" customHeight="1" x14ac:dyDescent="0.25">
      <c r="A2393" s="7"/>
      <c r="B2393" s="345" t="s">
        <v>344</v>
      </c>
      <c r="C2393" s="344"/>
      <c r="D2393" s="344"/>
      <c r="E2393" s="334"/>
      <c r="F2393" s="107">
        <f>SUM(F2391:F2392)</f>
        <v>10904640</v>
      </c>
      <c r="G2393" s="25"/>
      <c r="H2393" s="11"/>
      <c r="I2393" s="21"/>
      <c r="J2393" s="21"/>
      <c r="K2393" s="21"/>
      <c r="L2393" s="21"/>
      <c r="M2393" s="21"/>
      <c r="N2393" s="21"/>
    </row>
    <row r="2394" spans="1:14" ht="15.75" customHeight="1" x14ac:dyDescent="0.25">
      <c r="A2394" s="21"/>
      <c r="B2394" s="21"/>
      <c r="C2394" s="11"/>
      <c r="D2394" s="11"/>
      <c r="E2394" s="21"/>
      <c r="F2394" s="21"/>
      <c r="G2394" s="25"/>
      <c r="H2394" s="11"/>
      <c r="I2394" s="21"/>
      <c r="J2394" s="21"/>
      <c r="K2394" s="21"/>
      <c r="L2394" s="21"/>
      <c r="M2394" s="21"/>
      <c r="N2394" s="21"/>
    </row>
    <row r="2395" spans="1:14" ht="15.75" customHeight="1" x14ac:dyDescent="0.25">
      <c r="A2395" s="31" t="s">
        <v>14</v>
      </c>
      <c r="B2395" s="31" t="s">
        <v>234</v>
      </c>
      <c r="C2395" s="31" t="s">
        <v>16</v>
      </c>
      <c r="D2395" s="31" t="s">
        <v>17</v>
      </c>
      <c r="E2395" s="31" t="s">
        <v>235</v>
      </c>
      <c r="F2395" s="31" t="s">
        <v>236</v>
      </c>
      <c r="G2395" s="25"/>
      <c r="H2395" s="11"/>
      <c r="I2395" s="21"/>
      <c r="J2395" s="21"/>
      <c r="K2395" s="21"/>
      <c r="L2395" s="21"/>
      <c r="M2395" s="21"/>
      <c r="N2395" s="21"/>
    </row>
    <row r="2396" spans="1:14" ht="15.75" customHeight="1" x14ac:dyDescent="0.25">
      <c r="A2396" s="7">
        <v>1</v>
      </c>
      <c r="B2396" s="124" t="s">
        <v>1086</v>
      </c>
      <c r="C2396" s="129">
        <v>10</v>
      </c>
      <c r="D2396" s="7" t="s">
        <v>19</v>
      </c>
      <c r="E2396" s="130">
        <v>125875</v>
      </c>
      <c r="F2396" s="130">
        <f>E2396*C2396</f>
        <v>1258750</v>
      </c>
      <c r="G2396" s="25"/>
      <c r="H2396" s="11"/>
      <c r="I2396" s="21"/>
      <c r="J2396" s="21"/>
      <c r="K2396" s="21"/>
      <c r="L2396" s="21"/>
      <c r="M2396" s="21"/>
      <c r="N2396" s="21"/>
    </row>
    <row r="2397" spans="1:14" ht="15.75" customHeight="1" x14ac:dyDescent="0.25">
      <c r="A2397" s="7">
        <v>2</v>
      </c>
      <c r="B2397" s="120" t="s">
        <v>1087</v>
      </c>
      <c r="C2397" s="129">
        <v>10</v>
      </c>
      <c r="D2397" s="7" t="s">
        <v>19</v>
      </c>
      <c r="E2397" s="130">
        <v>127775</v>
      </c>
      <c r="F2397" s="130">
        <f>E2397*C2397</f>
        <v>1277750</v>
      </c>
      <c r="G2397" s="25"/>
      <c r="H2397" s="11"/>
      <c r="I2397" s="21"/>
      <c r="J2397" s="21"/>
      <c r="K2397" s="21"/>
      <c r="L2397" s="21"/>
      <c r="M2397" s="21"/>
      <c r="N2397" s="21"/>
    </row>
    <row r="2398" spans="1:14" ht="15.75" customHeight="1" x14ac:dyDescent="0.25">
      <c r="A2398" s="7">
        <v>3</v>
      </c>
      <c r="B2398" s="131" t="s">
        <v>1088</v>
      </c>
      <c r="C2398" s="129">
        <v>10</v>
      </c>
      <c r="D2398" s="7" t="s">
        <v>19</v>
      </c>
      <c r="E2398" s="130">
        <v>34675</v>
      </c>
      <c r="F2398" s="130">
        <f>E2398*C2398</f>
        <v>346750</v>
      </c>
      <c r="G2398" s="25"/>
      <c r="H2398" s="11"/>
      <c r="I2398" s="21"/>
      <c r="J2398" s="21"/>
      <c r="K2398" s="21"/>
      <c r="L2398" s="21"/>
      <c r="M2398" s="21"/>
      <c r="N2398" s="21"/>
    </row>
    <row r="2399" spans="1:14" ht="15.75" customHeight="1" x14ac:dyDescent="0.25">
      <c r="A2399" s="7"/>
      <c r="B2399" s="343" t="s">
        <v>342</v>
      </c>
      <c r="C2399" s="344"/>
      <c r="D2399" s="344"/>
      <c r="E2399" s="334"/>
      <c r="F2399" s="104">
        <f>SUM(F2396:F2398)</f>
        <v>2883250</v>
      </c>
      <c r="G2399" s="25"/>
      <c r="H2399" s="11"/>
      <c r="I2399" s="21"/>
      <c r="J2399" s="21"/>
      <c r="K2399" s="21"/>
      <c r="L2399" s="21"/>
      <c r="M2399" s="21"/>
      <c r="N2399" s="21"/>
    </row>
    <row r="2400" spans="1:14" ht="15.75" customHeight="1" x14ac:dyDescent="0.25">
      <c r="A2400" s="7"/>
      <c r="B2400" s="343" t="s">
        <v>343</v>
      </c>
      <c r="C2400" s="344"/>
      <c r="D2400" s="344"/>
      <c r="E2400" s="334"/>
      <c r="F2400" s="108">
        <v>317157.5</v>
      </c>
      <c r="G2400" s="25"/>
      <c r="H2400" s="11"/>
      <c r="I2400" s="21"/>
      <c r="J2400" s="21"/>
      <c r="K2400" s="21"/>
      <c r="L2400" s="21"/>
      <c r="M2400" s="21"/>
      <c r="N2400" s="21"/>
    </row>
    <row r="2401" spans="1:14" ht="15.75" customHeight="1" x14ac:dyDescent="0.25">
      <c r="A2401" s="7"/>
      <c r="B2401" s="345" t="s">
        <v>344</v>
      </c>
      <c r="C2401" s="344"/>
      <c r="D2401" s="344"/>
      <c r="E2401" s="334"/>
      <c r="F2401" s="109">
        <f>SUM(F2399:F2400)</f>
        <v>3200407.5</v>
      </c>
      <c r="G2401" s="25"/>
      <c r="H2401" s="11"/>
      <c r="I2401" s="21"/>
      <c r="J2401" s="21"/>
      <c r="K2401" s="21"/>
      <c r="L2401" s="21"/>
      <c r="M2401" s="21"/>
      <c r="N2401" s="21"/>
    </row>
    <row r="2402" spans="1:14" ht="15.75" customHeight="1" x14ac:dyDescent="0.25">
      <c r="A2402" s="21"/>
      <c r="B2402" s="21"/>
      <c r="C2402" s="11"/>
      <c r="D2402" s="11"/>
      <c r="E2402" s="21"/>
      <c r="F2402" s="21"/>
      <c r="G2402" s="25"/>
      <c r="H2402" s="11"/>
      <c r="I2402" s="21"/>
      <c r="J2402" s="21"/>
      <c r="K2402" s="21"/>
      <c r="L2402" s="21"/>
      <c r="M2402" s="21"/>
      <c r="N2402" s="21"/>
    </row>
    <row r="2403" spans="1:14" ht="15.75" customHeight="1" x14ac:dyDescent="0.25">
      <c r="A2403" s="31" t="s">
        <v>14</v>
      </c>
      <c r="B2403" s="31" t="s">
        <v>234</v>
      </c>
      <c r="C2403" s="31" t="s">
        <v>16</v>
      </c>
      <c r="D2403" s="31" t="s">
        <v>17</v>
      </c>
      <c r="E2403" s="31" t="s">
        <v>235</v>
      </c>
      <c r="F2403" s="31" t="s">
        <v>236</v>
      </c>
      <c r="G2403" s="25"/>
      <c r="H2403" s="11"/>
      <c r="I2403" s="21"/>
      <c r="J2403" s="21"/>
      <c r="K2403" s="21"/>
      <c r="L2403" s="21"/>
      <c r="M2403" s="21"/>
      <c r="N2403" s="21"/>
    </row>
    <row r="2404" spans="1:14" ht="15.75" customHeight="1" x14ac:dyDescent="0.25">
      <c r="A2404" s="7">
        <v>1</v>
      </c>
      <c r="B2404" s="152" t="s">
        <v>1089</v>
      </c>
      <c r="C2404" s="129">
        <v>30</v>
      </c>
      <c r="D2404" s="7" t="s">
        <v>19</v>
      </c>
      <c r="E2404" s="130">
        <v>39285</v>
      </c>
      <c r="F2404" s="130">
        <f>E2404*C2404</f>
        <v>1178550</v>
      </c>
      <c r="G2404" s="25"/>
      <c r="H2404" s="11"/>
      <c r="I2404" s="21"/>
      <c r="J2404" s="21"/>
      <c r="K2404" s="21"/>
      <c r="L2404" s="21"/>
      <c r="M2404" s="21"/>
      <c r="N2404" s="21"/>
    </row>
    <row r="2405" spans="1:14" ht="15.75" customHeight="1" x14ac:dyDescent="0.25">
      <c r="A2405" s="7"/>
      <c r="B2405" s="343" t="s">
        <v>342</v>
      </c>
      <c r="C2405" s="344"/>
      <c r="D2405" s="344"/>
      <c r="E2405" s="334"/>
      <c r="F2405" s="104">
        <f>SUM(F2404)</f>
        <v>1178550</v>
      </c>
      <c r="G2405" s="25"/>
      <c r="H2405" s="11"/>
      <c r="I2405" s="21"/>
      <c r="J2405" s="21"/>
      <c r="K2405" s="21"/>
      <c r="L2405" s="21"/>
      <c r="M2405" s="21"/>
      <c r="N2405" s="21"/>
    </row>
    <row r="2406" spans="1:14" ht="15.75" customHeight="1" x14ac:dyDescent="0.25">
      <c r="A2406" s="7"/>
      <c r="B2406" s="343" t="s">
        <v>343</v>
      </c>
      <c r="C2406" s="344"/>
      <c r="D2406" s="344"/>
      <c r="E2406" s="334"/>
      <c r="F2406" s="108">
        <v>129640.5</v>
      </c>
      <c r="G2406" s="25"/>
      <c r="H2406" s="11"/>
      <c r="I2406" s="21"/>
      <c r="J2406" s="21"/>
      <c r="K2406" s="21"/>
      <c r="L2406" s="21"/>
      <c r="M2406" s="21"/>
      <c r="N2406" s="21"/>
    </row>
    <row r="2407" spans="1:14" ht="15.75" customHeight="1" x14ac:dyDescent="0.25">
      <c r="A2407" s="7"/>
      <c r="B2407" s="345" t="s">
        <v>344</v>
      </c>
      <c r="C2407" s="344"/>
      <c r="D2407" s="344"/>
      <c r="E2407" s="334"/>
      <c r="F2407" s="109">
        <f>SUM(F2405:F2406)</f>
        <v>1308190.5</v>
      </c>
      <c r="G2407" s="25"/>
      <c r="H2407" s="11"/>
      <c r="I2407" s="21"/>
      <c r="J2407" s="21"/>
      <c r="K2407" s="21"/>
      <c r="L2407" s="21"/>
      <c r="M2407" s="21"/>
      <c r="N2407" s="21"/>
    </row>
    <row r="2408" spans="1:14" ht="15.75" customHeight="1" x14ac:dyDescent="0.25">
      <c r="A2408" s="21"/>
      <c r="B2408" s="21"/>
      <c r="C2408" s="11"/>
      <c r="D2408" s="11"/>
      <c r="E2408" s="21"/>
      <c r="F2408" s="21"/>
      <c r="G2408" s="25"/>
      <c r="H2408" s="11"/>
      <c r="I2408" s="21"/>
      <c r="J2408" s="21"/>
      <c r="K2408" s="21"/>
      <c r="L2408" s="21"/>
      <c r="M2408" s="21"/>
      <c r="N2408" s="21"/>
    </row>
    <row r="2409" spans="1:14" ht="15.75" customHeight="1" x14ac:dyDescent="0.25">
      <c r="A2409" s="31" t="s">
        <v>351</v>
      </c>
      <c r="B2409" s="31" t="s">
        <v>234</v>
      </c>
      <c r="C2409" s="31" t="s">
        <v>16</v>
      </c>
      <c r="D2409" s="31" t="s">
        <v>17</v>
      </c>
      <c r="E2409" s="31" t="s">
        <v>235</v>
      </c>
      <c r="F2409" s="31" t="s">
        <v>236</v>
      </c>
      <c r="G2409" s="25"/>
      <c r="H2409" s="11"/>
      <c r="I2409" s="21"/>
      <c r="J2409" s="21"/>
      <c r="K2409" s="21"/>
      <c r="L2409" s="21"/>
      <c r="M2409" s="21"/>
      <c r="N2409" s="21"/>
    </row>
    <row r="2410" spans="1:14" ht="15.75" customHeight="1" x14ac:dyDescent="0.25">
      <c r="A2410" s="7">
        <v>1</v>
      </c>
      <c r="B2410" s="41" t="s">
        <v>1090</v>
      </c>
      <c r="C2410" s="7">
        <v>100</v>
      </c>
      <c r="D2410" s="7" t="s">
        <v>353</v>
      </c>
      <c r="E2410" s="104">
        <v>220966</v>
      </c>
      <c r="F2410" s="104">
        <f>E2410*C2410</f>
        <v>22096600</v>
      </c>
      <c r="G2410" s="25"/>
      <c r="H2410" s="11"/>
      <c r="I2410" s="21"/>
      <c r="J2410" s="21"/>
      <c r="K2410" s="21"/>
      <c r="L2410" s="21"/>
      <c r="M2410" s="21"/>
      <c r="N2410" s="21"/>
    </row>
    <row r="2411" spans="1:14" ht="15.75" customHeight="1" x14ac:dyDescent="0.25">
      <c r="A2411" s="7">
        <v>2</v>
      </c>
      <c r="B2411" s="41" t="s">
        <v>1091</v>
      </c>
      <c r="C2411" s="7">
        <v>40</v>
      </c>
      <c r="D2411" s="7" t="s">
        <v>353</v>
      </c>
      <c r="E2411" s="104">
        <v>184300</v>
      </c>
      <c r="F2411" s="104">
        <f>E2411*C2411</f>
        <v>7372000</v>
      </c>
      <c r="G2411" s="25"/>
      <c r="H2411" s="11"/>
      <c r="I2411" s="21"/>
      <c r="J2411" s="21"/>
      <c r="K2411" s="21"/>
      <c r="L2411" s="21"/>
      <c r="M2411" s="21"/>
      <c r="N2411" s="21"/>
    </row>
    <row r="2412" spans="1:14" ht="15.75" customHeight="1" x14ac:dyDescent="0.25">
      <c r="A2412" s="7"/>
      <c r="B2412" s="343" t="s">
        <v>342</v>
      </c>
      <c r="C2412" s="344"/>
      <c r="D2412" s="344"/>
      <c r="E2412" s="334"/>
      <c r="F2412" s="104">
        <f>SUM(F2410:F2411)</f>
        <v>29468600</v>
      </c>
      <c r="G2412" s="25"/>
      <c r="H2412" s="11"/>
      <c r="I2412" s="21"/>
      <c r="J2412" s="21"/>
      <c r="K2412" s="21"/>
      <c r="L2412" s="21"/>
      <c r="M2412" s="21"/>
      <c r="N2412" s="21"/>
    </row>
    <row r="2413" spans="1:14" ht="15.75" customHeight="1" x14ac:dyDescent="0.25">
      <c r="A2413" s="7"/>
      <c r="B2413" s="343" t="s">
        <v>343</v>
      </c>
      <c r="C2413" s="344"/>
      <c r="D2413" s="344"/>
      <c r="E2413" s="334"/>
      <c r="F2413" s="104">
        <v>3241546</v>
      </c>
      <c r="G2413" s="25"/>
      <c r="H2413" s="11"/>
      <c r="I2413" s="21"/>
      <c r="J2413" s="21"/>
      <c r="K2413" s="21"/>
      <c r="L2413" s="21"/>
      <c r="M2413" s="21"/>
      <c r="N2413" s="21"/>
    </row>
    <row r="2414" spans="1:14" ht="15.75" customHeight="1" x14ac:dyDescent="0.25">
      <c r="A2414" s="7"/>
      <c r="B2414" s="345" t="s">
        <v>344</v>
      </c>
      <c r="C2414" s="344"/>
      <c r="D2414" s="344"/>
      <c r="E2414" s="334"/>
      <c r="F2414" s="107">
        <f>SUM(F2412:F2413)</f>
        <v>32710146</v>
      </c>
      <c r="G2414" s="25"/>
      <c r="H2414" s="11"/>
      <c r="I2414" s="21"/>
      <c r="J2414" s="21"/>
      <c r="K2414" s="21"/>
      <c r="L2414" s="21"/>
      <c r="M2414" s="21"/>
      <c r="N2414" s="21"/>
    </row>
    <row r="2415" spans="1:14" ht="15.75" customHeight="1" x14ac:dyDescent="0.25">
      <c r="A2415" s="21"/>
      <c r="B2415" s="21"/>
      <c r="C2415" s="11"/>
      <c r="D2415" s="11"/>
      <c r="E2415" s="21"/>
      <c r="F2415" s="21"/>
      <c r="G2415" s="25"/>
      <c r="H2415" s="11"/>
      <c r="I2415" s="21"/>
      <c r="J2415" s="21"/>
      <c r="K2415" s="21"/>
      <c r="L2415" s="21"/>
      <c r="M2415" s="21"/>
      <c r="N2415" s="21"/>
    </row>
    <row r="2416" spans="1:14" ht="15.75" customHeight="1" x14ac:dyDescent="0.25">
      <c r="A2416" s="31" t="s">
        <v>14</v>
      </c>
      <c r="B2416" s="31" t="s">
        <v>234</v>
      </c>
      <c r="C2416" s="31" t="s">
        <v>16</v>
      </c>
      <c r="D2416" s="31" t="s">
        <v>17</v>
      </c>
      <c r="E2416" s="31" t="s">
        <v>235</v>
      </c>
      <c r="F2416" s="31" t="s">
        <v>236</v>
      </c>
      <c r="G2416" s="25"/>
      <c r="H2416" s="11"/>
      <c r="I2416" s="21"/>
      <c r="J2416" s="21"/>
      <c r="K2416" s="21"/>
      <c r="L2416" s="21"/>
      <c r="M2416" s="21"/>
      <c r="N2416" s="21"/>
    </row>
    <row r="2417" spans="1:14" ht="15.75" customHeight="1" x14ac:dyDescent="0.25">
      <c r="A2417" s="7">
        <v>1</v>
      </c>
      <c r="B2417" s="152" t="s">
        <v>1092</v>
      </c>
      <c r="C2417" s="129">
        <v>100</v>
      </c>
      <c r="D2417" s="7" t="s">
        <v>19</v>
      </c>
      <c r="E2417" s="130">
        <v>9215</v>
      </c>
      <c r="F2417" s="130">
        <f>E2417*C2417</f>
        <v>921500</v>
      </c>
      <c r="G2417" s="25"/>
      <c r="H2417" s="11"/>
      <c r="I2417" s="21"/>
      <c r="J2417" s="21"/>
      <c r="K2417" s="21"/>
      <c r="L2417" s="21"/>
      <c r="M2417" s="21"/>
      <c r="N2417" s="21"/>
    </row>
    <row r="2418" spans="1:14" ht="15.75" customHeight="1" x14ac:dyDescent="0.25">
      <c r="A2418" s="7"/>
      <c r="B2418" s="343" t="s">
        <v>342</v>
      </c>
      <c r="C2418" s="344"/>
      <c r="D2418" s="344"/>
      <c r="E2418" s="334"/>
      <c r="F2418" s="104">
        <f>SUM(F2417)</f>
        <v>921500</v>
      </c>
      <c r="G2418" s="25"/>
      <c r="H2418" s="11"/>
      <c r="I2418" s="21"/>
      <c r="J2418" s="21"/>
      <c r="K2418" s="21"/>
      <c r="L2418" s="21"/>
      <c r="M2418" s="21"/>
      <c r="N2418" s="21"/>
    </row>
    <row r="2419" spans="1:14" ht="15.75" customHeight="1" x14ac:dyDescent="0.25">
      <c r="A2419" s="7"/>
      <c r="B2419" s="343" t="s">
        <v>343</v>
      </c>
      <c r="C2419" s="344"/>
      <c r="D2419" s="344"/>
      <c r="E2419" s="334"/>
      <c r="F2419" s="104">
        <v>101365</v>
      </c>
      <c r="G2419" s="25"/>
      <c r="H2419" s="11"/>
      <c r="I2419" s="21"/>
      <c r="J2419" s="21"/>
      <c r="K2419" s="21"/>
      <c r="L2419" s="21"/>
      <c r="M2419" s="21"/>
      <c r="N2419" s="21"/>
    </row>
    <row r="2420" spans="1:14" ht="15.75" customHeight="1" x14ac:dyDescent="0.25">
      <c r="A2420" s="7"/>
      <c r="B2420" s="345" t="s">
        <v>344</v>
      </c>
      <c r="C2420" s="344"/>
      <c r="D2420" s="344"/>
      <c r="E2420" s="334"/>
      <c r="F2420" s="107">
        <f>SUM(F2418:F2419)</f>
        <v>1022865</v>
      </c>
      <c r="G2420" s="25"/>
      <c r="H2420" s="11"/>
      <c r="I2420" s="21"/>
      <c r="J2420" s="21"/>
      <c r="K2420" s="21"/>
      <c r="L2420" s="21"/>
      <c r="M2420" s="21"/>
      <c r="N2420" s="21"/>
    </row>
    <row r="2421" spans="1:14" ht="15.75" customHeight="1" x14ac:dyDescent="0.25">
      <c r="A2421" s="21"/>
      <c r="B2421" s="21"/>
      <c r="C2421" s="11"/>
      <c r="D2421" s="11"/>
      <c r="E2421" s="21"/>
      <c r="F2421" s="21"/>
      <c r="G2421" s="25"/>
      <c r="H2421" s="11"/>
      <c r="I2421" s="21"/>
      <c r="J2421" s="21"/>
      <c r="K2421" s="21"/>
      <c r="L2421" s="21"/>
      <c r="M2421" s="21"/>
      <c r="N2421" s="21"/>
    </row>
    <row r="2422" spans="1:14" ht="15.75" customHeight="1" x14ac:dyDescent="0.25">
      <c r="A2422" s="31" t="s">
        <v>14</v>
      </c>
      <c r="B2422" s="31" t="s">
        <v>234</v>
      </c>
      <c r="C2422" s="31" t="s">
        <v>16</v>
      </c>
      <c r="D2422" s="31" t="s">
        <v>17</v>
      </c>
      <c r="E2422" s="31" t="s">
        <v>235</v>
      </c>
      <c r="F2422" s="31" t="s">
        <v>236</v>
      </c>
      <c r="G2422" s="25"/>
      <c r="H2422" s="11"/>
      <c r="I2422" s="21"/>
      <c r="J2422" s="21"/>
      <c r="K2422" s="21"/>
      <c r="L2422" s="21"/>
      <c r="M2422" s="21"/>
      <c r="N2422" s="21"/>
    </row>
    <row r="2423" spans="1:14" ht="15.75" customHeight="1" x14ac:dyDescent="0.25">
      <c r="A2423" s="7">
        <v>1</v>
      </c>
      <c r="B2423" s="124" t="s">
        <v>1093</v>
      </c>
      <c r="C2423" s="129">
        <v>10</v>
      </c>
      <c r="D2423" s="7" t="s">
        <v>353</v>
      </c>
      <c r="E2423" s="130">
        <v>15500</v>
      </c>
      <c r="F2423" s="130">
        <f>E2423*C2423</f>
        <v>155000</v>
      </c>
      <c r="G2423" s="25"/>
      <c r="H2423" s="11"/>
      <c r="I2423" s="21"/>
      <c r="J2423" s="21"/>
      <c r="K2423" s="21"/>
      <c r="L2423" s="21"/>
      <c r="M2423" s="21"/>
      <c r="N2423" s="21"/>
    </row>
    <row r="2424" spans="1:14" ht="15.75" customHeight="1" x14ac:dyDescent="0.25">
      <c r="A2424" s="7">
        <v>2</v>
      </c>
      <c r="B2424" s="120" t="s">
        <v>892</v>
      </c>
      <c r="C2424" s="129">
        <v>5</v>
      </c>
      <c r="D2424" s="7" t="s">
        <v>353</v>
      </c>
      <c r="E2424" s="130">
        <v>135800</v>
      </c>
      <c r="F2424" s="130">
        <f>E2424*C2424</f>
        <v>679000</v>
      </c>
      <c r="G2424" s="25"/>
      <c r="H2424" s="11"/>
      <c r="I2424" s="21"/>
      <c r="J2424" s="21"/>
      <c r="K2424" s="21"/>
      <c r="L2424" s="21"/>
      <c r="M2424" s="21"/>
      <c r="N2424" s="21"/>
    </row>
    <row r="2425" spans="1:14" ht="15.75" customHeight="1" x14ac:dyDescent="0.25">
      <c r="A2425" s="7">
        <v>3</v>
      </c>
      <c r="B2425" s="131" t="s">
        <v>895</v>
      </c>
      <c r="C2425" s="129">
        <v>5</v>
      </c>
      <c r="D2425" s="7" t="s">
        <v>353</v>
      </c>
      <c r="E2425" s="130">
        <v>126800</v>
      </c>
      <c r="F2425" s="130">
        <f>E2425*C2425</f>
        <v>634000</v>
      </c>
      <c r="G2425" s="25"/>
      <c r="H2425" s="11"/>
      <c r="I2425" s="21"/>
      <c r="J2425" s="21"/>
      <c r="K2425" s="21"/>
      <c r="L2425" s="21"/>
      <c r="M2425" s="21"/>
      <c r="N2425" s="21"/>
    </row>
    <row r="2426" spans="1:14" ht="15.75" customHeight="1" x14ac:dyDescent="0.25">
      <c r="A2426" s="7"/>
      <c r="B2426" s="343" t="s">
        <v>342</v>
      </c>
      <c r="C2426" s="344"/>
      <c r="D2426" s="344"/>
      <c r="E2426" s="334"/>
      <c r="F2426" s="104">
        <f>SUM(F2423:F2425)</f>
        <v>1468000</v>
      </c>
      <c r="G2426" s="25"/>
      <c r="H2426" s="11"/>
      <c r="I2426" s="21"/>
      <c r="J2426" s="21"/>
      <c r="K2426" s="21"/>
      <c r="L2426" s="21"/>
      <c r="M2426" s="21"/>
      <c r="N2426" s="21"/>
    </row>
    <row r="2427" spans="1:14" ht="15.75" customHeight="1" x14ac:dyDescent="0.25">
      <c r="A2427" s="7"/>
      <c r="B2427" s="343" t="s">
        <v>343</v>
      </c>
      <c r="C2427" s="344"/>
      <c r="D2427" s="344"/>
      <c r="E2427" s="334"/>
      <c r="F2427" s="104">
        <v>161480</v>
      </c>
      <c r="G2427" s="25"/>
      <c r="H2427" s="11"/>
      <c r="I2427" s="21"/>
      <c r="J2427" s="21"/>
      <c r="K2427" s="21"/>
      <c r="L2427" s="21"/>
      <c r="M2427" s="21"/>
      <c r="N2427" s="21"/>
    </row>
    <row r="2428" spans="1:14" ht="15.75" customHeight="1" x14ac:dyDescent="0.25">
      <c r="A2428" s="7"/>
      <c r="B2428" s="345" t="s">
        <v>344</v>
      </c>
      <c r="C2428" s="344"/>
      <c r="D2428" s="344"/>
      <c r="E2428" s="334"/>
      <c r="F2428" s="107">
        <f>SUM(F2426:F2427)</f>
        <v>1629480</v>
      </c>
      <c r="G2428" s="25"/>
      <c r="H2428" s="11"/>
      <c r="I2428" s="21"/>
      <c r="J2428" s="21"/>
      <c r="K2428" s="21"/>
      <c r="L2428" s="21"/>
      <c r="M2428" s="21"/>
      <c r="N2428" s="21"/>
    </row>
    <row r="2429" spans="1:14" ht="15.75" customHeight="1" x14ac:dyDescent="0.25">
      <c r="A2429" s="21"/>
      <c r="B2429" s="21"/>
      <c r="C2429" s="11"/>
      <c r="D2429" s="11"/>
      <c r="E2429" s="21"/>
      <c r="F2429" s="21"/>
      <c r="G2429" s="25"/>
      <c r="H2429" s="11"/>
      <c r="I2429" s="21"/>
      <c r="J2429" s="21"/>
      <c r="K2429" s="21"/>
      <c r="L2429" s="21"/>
      <c r="M2429" s="21"/>
      <c r="N2429" s="21"/>
    </row>
    <row r="2430" spans="1:14" ht="15.75" customHeight="1" x14ac:dyDescent="0.25">
      <c r="A2430" s="31" t="s">
        <v>14</v>
      </c>
      <c r="B2430" s="31" t="s">
        <v>15</v>
      </c>
      <c r="C2430" s="31" t="s">
        <v>16</v>
      </c>
      <c r="D2430" s="31" t="s">
        <v>17</v>
      </c>
      <c r="E2430" s="31" t="s">
        <v>235</v>
      </c>
      <c r="F2430" s="31" t="s">
        <v>236</v>
      </c>
      <c r="G2430" s="25"/>
      <c r="H2430" s="11"/>
      <c r="I2430" s="21"/>
      <c r="J2430" s="21"/>
      <c r="K2430" s="21"/>
      <c r="L2430" s="21"/>
      <c r="M2430" s="21"/>
      <c r="N2430" s="21"/>
    </row>
    <row r="2431" spans="1:14" ht="15.75" customHeight="1" x14ac:dyDescent="0.25">
      <c r="A2431" s="7">
        <v>1</v>
      </c>
      <c r="B2431" s="132" t="s">
        <v>1094</v>
      </c>
      <c r="C2431" s="133">
        <v>4</v>
      </c>
      <c r="D2431" s="7" t="s">
        <v>353</v>
      </c>
      <c r="E2431" s="104">
        <v>26190</v>
      </c>
      <c r="F2431" s="104">
        <f t="shared" ref="F2431:F2436" si="19">E2431*C2431</f>
        <v>104760</v>
      </c>
      <c r="G2431" s="25"/>
      <c r="H2431" s="11"/>
      <c r="I2431" s="21"/>
      <c r="J2431" s="21"/>
      <c r="K2431" s="21"/>
      <c r="L2431" s="21"/>
      <c r="M2431" s="21"/>
      <c r="N2431" s="21"/>
    </row>
    <row r="2432" spans="1:14" ht="15.75" customHeight="1" x14ac:dyDescent="0.25">
      <c r="A2432" s="7">
        <v>2</v>
      </c>
      <c r="B2432" s="152" t="s">
        <v>1095</v>
      </c>
      <c r="C2432" s="133">
        <v>4</v>
      </c>
      <c r="D2432" s="7" t="s">
        <v>353</v>
      </c>
      <c r="E2432" s="104">
        <v>274995</v>
      </c>
      <c r="F2432" s="104">
        <f t="shared" si="19"/>
        <v>1099980</v>
      </c>
      <c r="G2432" s="25"/>
      <c r="H2432" s="11"/>
      <c r="I2432" s="21"/>
      <c r="J2432" s="21"/>
      <c r="K2432" s="21"/>
      <c r="L2432" s="21"/>
      <c r="M2432" s="21"/>
      <c r="N2432" s="21"/>
    </row>
    <row r="2433" spans="1:14" ht="15.75" customHeight="1" x14ac:dyDescent="0.25">
      <c r="A2433" s="7">
        <v>3</v>
      </c>
      <c r="B2433" s="132" t="s">
        <v>1096</v>
      </c>
      <c r="C2433" s="133">
        <v>4</v>
      </c>
      <c r="D2433" s="7" t="s">
        <v>353</v>
      </c>
      <c r="E2433" s="104">
        <v>26675</v>
      </c>
      <c r="F2433" s="104">
        <f t="shared" si="19"/>
        <v>106700</v>
      </c>
      <c r="G2433" s="25"/>
      <c r="H2433" s="11"/>
      <c r="I2433" s="21"/>
      <c r="J2433" s="21"/>
      <c r="K2433" s="21"/>
      <c r="L2433" s="21"/>
      <c r="M2433" s="21"/>
      <c r="N2433" s="21"/>
    </row>
    <row r="2434" spans="1:14" ht="15.75" customHeight="1" x14ac:dyDescent="0.25">
      <c r="A2434" s="7">
        <v>4</v>
      </c>
      <c r="B2434" s="132" t="s">
        <v>1097</v>
      </c>
      <c r="C2434" s="133">
        <v>4</v>
      </c>
      <c r="D2434" s="7" t="s">
        <v>353</v>
      </c>
      <c r="E2434" s="104">
        <v>26190</v>
      </c>
      <c r="F2434" s="104">
        <f t="shared" si="19"/>
        <v>104760</v>
      </c>
      <c r="G2434" s="25"/>
      <c r="H2434" s="11"/>
      <c r="I2434" s="21"/>
      <c r="J2434" s="21"/>
      <c r="K2434" s="21"/>
      <c r="L2434" s="21"/>
      <c r="M2434" s="21"/>
      <c r="N2434" s="21"/>
    </row>
    <row r="2435" spans="1:14" ht="15.75" customHeight="1" x14ac:dyDescent="0.25">
      <c r="A2435" s="7">
        <v>5</v>
      </c>
      <c r="B2435" s="152" t="s">
        <v>1098</v>
      </c>
      <c r="C2435" s="134">
        <v>4</v>
      </c>
      <c r="D2435" s="7" t="s">
        <v>353</v>
      </c>
      <c r="E2435" s="104">
        <v>26675</v>
      </c>
      <c r="F2435" s="104">
        <f t="shared" si="19"/>
        <v>106700</v>
      </c>
      <c r="G2435" s="25"/>
      <c r="H2435" s="11"/>
      <c r="I2435" s="21"/>
      <c r="J2435" s="21"/>
      <c r="K2435" s="21"/>
      <c r="L2435" s="21"/>
      <c r="M2435" s="21"/>
      <c r="N2435" s="21"/>
    </row>
    <row r="2436" spans="1:14" ht="15.75" customHeight="1" x14ac:dyDescent="0.25">
      <c r="A2436" s="7">
        <v>6</v>
      </c>
      <c r="B2436" s="132" t="s">
        <v>1099</v>
      </c>
      <c r="C2436" s="133">
        <v>4</v>
      </c>
      <c r="D2436" s="7" t="s">
        <v>19</v>
      </c>
      <c r="E2436" s="104">
        <v>26190</v>
      </c>
      <c r="F2436" s="104">
        <f t="shared" si="19"/>
        <v>104760</v>
      </c>
      <c r="G2436" s="25"/>
      <c r="H2436" s="11"/>
      <c r="I2436" s="21"/>
      <c r="J2436" s="21"/>
      <c r="K2436" s="21"/>
      <c r="L2436" s="21"/>
      <c r="M2436" s="21"/>
      <c r="N2436" s="21"/>
    </row>
    <row r="2437" spans="1:14" ht="15.75" customHeight="1" x14ac:dyDescent="0.25">
      <c r="A2437" s="7"/>
      <c r="B2437" s="346" t="s">
        <v>342</v>
      </c>
      <c r="C2437" s="347"/>
      <c r="D2437" s="347"/>
      <c r="E2437" s="348"/>
      <c r="F2437" s="104">
        <f>SUM(F2431:F2436)</f>
        <v>1627660</v>
      </c>
      <c r="G2437" s="25"/>
      <c r="H2437" s="11"/>
      <c r="I2437" s="21"/>
      <c r="J2437" s="21"/>
      <c r="K2437" s="21"/>
      <c r="L2437" s="21"/>
      <c r="M2437" s="21"/>
      <c r="N2437" s="21"/>
    </row>
    <row r="2438" spans="1:14" ht="15.75" customHeight="1" x14ac:dyDescent="0.25">
      <c r="A2438" s="7"/>
      <c r="B2438" s="343" t="s">
        <v>343</v>
      </c>
      <c r="C2438" s="344"/>
      <c r="D2438" s="344"/>
      <c r="E2438" s="334"/>
      <c r="F2438" s="104">
        <v>179042.6</v>
      </c>
      <c r="G2438" s="25"/>
      <c r="H2438" s="11"/>
      <c r="I2438" s="21"/>
      <c r="J2438" s="21"/>
      <c r="K2438" s="21"/>
      <c r="L2438" s="21"/>
      <c r="M2438" s="21"/>
      <c r="N2438" s="21"/>
    </row>
    <row r="2439" spans="1:14" ht="15.75" customHeight="1" x14ac:dyDescent="0.25">
      <c r="A2439" s="7"/>
      <c r="B2439" s="345" t="s">
        <v>344</v>
      </c>
      <c r="C2439" s="344"/>
      <c r="D2439" s="344"/>
      <c r="E2439" s="334"/>
      <c r="F2439" s="107">
        <f>SUM(F2437:F2438)</f>
        <v>1806702.6</v>
      </c>
      <c r="G2439" s="25"/>
      <c r="H2439" s="11"/>
      <c r="I2439" s="21"/>
      <c r="J2439" s="21"/>
      <c r="K2439" s="21"/>
      <c r="L2439" s="21"/>
      <c r="M2439" s="21"/>
      <c r="N2439" s="21"/>
    </row>
    <row r="2440" spans="1:14" ht="15.75" customHeight="1" x14ac:dyDescent="0.25">
      <c r="A2440" s="21"/>
      <c r="B2440" s="21"/>
      <c r="C2440" s="11"/>
      <c r="D2440" s="11"/>
      <c r="E2440" s="21"/>
      <c r="F2440" s="21"/>
      <c r="G2440" s="25"/>
      <c r="H2440" s="11"/>
      <c r="I2440" s="21"/>
      <c r="J2440" s="21"/>
      <c r="K2440" s="21"/>
      <c r="L2440" s="21"/>
      <c r="M2440" s="21"/>
      <c r="N2440" s="21"/>
    </row>
    <row r="2441" spans="1:14" ht="15.75" customHeight="1" x14ac:dyDescent="0.25">
      <c r="A2441" s="31" t="s">
        <v>14</v>
      </c>
      <c r="B2441" s="31" t="s">
        <v>234</v>
      </c>
      <c r="C2441" s="31" t="s">
        <v>16</v>
      </c>
      <c r="D2441" s="31" t="s">
        <v>17</v>
      </c>
      <c r="E2441" s="31" t="s">
        <v>235</v>
      </c>
      <c r="F2441" s="31" t="s">
        <v>236</v>
      </c>
      <c r="G2441" s="25"/>
      <c r="H2441" s="11"/>
      <c r="I2441" s="21"/>
      <c r="J2441" s="21"/>
      <c r="K2441" s="21"/>
      <c r="L2441" s="21"/>
      <c r="M2441" s="21"/>
      <c r="N2441" s="21"/>
    </row>
    <row r="2442" spans="1:14" ht="15.75" customHeight="1" x14ac:dyDescent="0.25">
      <c r="A2442" s="7">
        <v>1</v>
      </c>
      <c r="B2442" s="132" t="s">
        <v>1079</v>
      </c>
      <c r="C2442" s="129">
        <v>25</v>
      </c>
      <c r="D2442" s="7" t="s">
        <v>347</v>
      </c>
      <c r="E2442" s="130">
        <v>32500</v>
      </c>
      <c r="F2442" s="130">
        <f>E2442*C2442</f>
        <v>812500</v>
      </c>
      <c r="G2442" s="25"/>
      <c r="H2442" s="11"/>
      <c r="I2442" s="21"/>
      <c r="J2442" s="21"/>
      <c r="K2442" s="21"/>
      <c r="L2442" s="21"/>
      <c r="M2442" s="21"/>
      <c r="N2442" s="21"/>
    </row>
    <row r="2443" spans="1:14" ht="15.75" customHeight="1" x14ac:dyDescent="0.25">
      <c r="A2443" s="7"/>
      <c r="B2443" s="343" t="s">
        <v>342</v>
      </c>
      <c r="C2443" s="344"/>
      <c r="D2443" s="344"/>
      <c r="E2443" s="334"/>
      <c r="F2443" s="104">
        <f>SUM(F2442)</f>
        <v>812500</v>
      </c>
      <c r="G2443" s="25"/>
      <c r="H2443" s="11"/>
      <c r="I2443" s="21"/>
      <c r="J2443" s="21"/>
      <c r="K2443" s="21"/>
      <c r="L2443" s="21"/>
      <c r="M2443" s="21"/>
      <c r="N2443" s="21"/>
    </row>
    <row r="2444" spans="1:14" ht="15.75" customHeight="1" x14ac:dyDescent="0.25">
      <c r="A2444" s="7"/>
      <c r="B2444" s="343" t="s">
        <v>343</v>
      </c>
      <c r="C2444" s="344"/>
      <c r="D2444" s="344"/>
      <c r="E2444" s="334"/>
      <c r="F2444" s="104">
        <v>89375</v>
      </c>
      <c r="G2444" s="25"/>
      <c r="H2444" s="11"/>
      <c r="I2444" s="21"/>
      <c r="J2444" s="21"/>
      <c r="K2444" s="21"/>
      <c r="L2444" s="21"/>
      <c r="M2444" s="21"/>
      <c r="N2444" s="21"/>
    </row>
    <row r="2445" spans="1:14" ht="15.75" customHeight="1" x14ac:dyDescent="0.25">
      <c r="A2445" s="7"/>
      <c r="B2445" s="345" t="s">
        <v>344</v>
      </c>
      <c r="C2445" s="344"/>
      <c r="D2445" s="344"/>
      <c r="E2445" s="334"/>
      <c r="F2445" s="107">
        <f>SUM(F2443:F2444)</f>
        <v>901875</v>
      </c>
      <c r="G2445" s="25"/>
      <c r="H2445" s="11"/>
      <c r="I2445" s="21"/>
      <c r="J2445" s="21"/>
      <c r="K2445" s="21"/>
      <c r="L2445" s="21"/>
      <c r="M2445" s="21"/>
      <c r="N2445" s="21"/>
    </row>
    <row r="2446" spans="1:14" ht="15.75" customHeight="1" x14ac:dyDescent="0.25">
      <c r="A2446" s="21"/>
      <c r="B2446" s="21"/>
      <c r="C2446" s="11"/>
      <c r="D2446" s="11"/>
      <c r="E2446" s="21"/>
      <c r="F2446" s="21"/>
      <c r="G2446" s="25"/>
      <c r="H2446" s="11"/>
      <c r="I2446" s="21"/>
      <c r="J2446" s="21"/>
      <c r="K2446" s="21"/>
      <c r="L2446" s="21"/>
      <c r="M2446" s="21"/>
      <c r="N2446" s="21"/>
    </row>
    <row r="2447" spans="1:14" ht="15.75" customHeight="1" x14ac:dyDescent="0.25">
      <c r="A2447" s="31" t="s">
        <v>14</v>
      </c>
      <c r="B2447" s="31" t="s">
        <v>234</v>
      </c>
      <c r="C2447" s="31" t="s">
        <v>16</v>
      </c>
      <c r="D2447" s="31" t="s">
        <v>17</v>
      </c>
      <c r="E2447" s="31" t="s">
        <v>235</v>
      </c>
      <c r="F2447" s="31" t="s">
        <v>236</v>
      </c>
      <c r="G2447" s="25"/>
      <c r="H2447" s="11"/>
      <c r="I2447" s="21"/>
      <c r="J2447" s="21"/>
      <c r="K2447" s="21"/>
      <c r="L2447" s="21"/>
      <c r="M2447" s="21"/>
      <c r="N2447" s="21"/>
    </row>
    <row r="2448" spans="1:14" ht="15.75" customHeight="1" x14ac:dyDescent="0.25">
      <c r="A2448" s="7">
        <v>1</v>
      </c>
      <c r="B2448" s="132" t="s">
        <v>1100</v>
      </c>
      <c r="C2448" s="129">
        <v>4</v>
      </c>
      <c r="D2448" s="7" t="s">
        <v>19</v>
      </c>
      <c r="E2448" s="130">
        <v>43750</v>
      </c>
      <c r="F2448" s="130">
        <f>E2448*C2448</f>
        <v>175000</v>
      </c>
      <c r="G2448" s="25"/>
      <c r="H2448" s="11"/>
      <c r="I2448" s="21"/>
      <c r="J2448" s="21"/>
      <c r="K2448" s="21"/>
      <c r="L2448" s="21"/>
      <c r="M2448" s="21"/>
      <c r="N2448" s="21"/>
    </row>
    <row r="2449" spans="1:14" ht="15.75" customHeight="1" x14ac:dyDescent="0.25">
      <c r="A2449" s="7"/>
      <c r="B2449" s="343" t="s">
        <v>342</v>
      </c>
      <c r="C2449" s="344"/>
      <c r="D2449" s="344"/>
      <c r="E2449" s="334"/>
      <c r="F2449" s="104">
        <f>SUM(F2448)</f>
        <v>175000</v>
      </c>
      <c r="G2449" s="25"/>
      <c r="H2449" s="11"/>
      <c r="I2449" s="21"/>
      <c r="J2449" s="21"/>
      <c r="K2449" s="21"/>
      <c r="L2449" s="21"/>
      <c r="M2449" s="21"/>
      <c r="N2449" s="21"/>
    </row>
    <row r="2450" spans="1:14" ht="15.75" customHeight="1" x14ac:dyDescent="0.25">
      <c r="A2450" s="7"/>
      <c r="B2450" s="343" t="s">
        <v>343</v>
      </c>
      <c r="C2450" s="344"/>
      <c r="D2450" s="344"/>
      <c r="E2450" s="334"/>
      <c r="F2450" s="104">
        <v>19250</v>
      </c>
      <c r="G2450" s="25"/>
      <c r="H2450" s="11"/>
      <c r="I2450" s="21"/>
      <c r="J2450" s="21"/>
      <c r="K2450" s="21"/>
      <c r="L2450" s="21"/>
      <c r="M2450" s="21"/>
      <c r="N2450" s="21"/>
    </row>
    <row r="2451" spans="1:14" ht="15.75" customHeight="1" x14ac:dyDescent="0.25">
      <c r="A2451" s="7"/>
      <c r="B2451" s="345" t="s">
        <v>344</v>
      </c>
      <c r="C2451" s="344"/>
      <c r="D2451" s="344"/>
      <c r="E2451" s="334"/>
      <c r="F2451" s="107">
        <f>SUM(F2449:F2450)</f>
        <v>194250</v>
      </c>
      <c r="G2451" s="25"/>
      <c r="H2451" s="11"/>
      <c r="I2451" s="21"/>
      <c r="J2451" s="21"/>
      <c r="K2451" s="21"/>
      <c r="L2451" s="21"/>
      <c r="M2451" s="21"/>
      <c r="N2451" s="21"/>
    </row>
    <row r="2452" spans="1:14" ht="15.75" customHeight="1" x14ac:dyDescent="0.25">
      <c r="A2452" s="21"/>
      <c r="B2452" s="21"/>
      <c r="C2452" s="11"/>
      <c r="D2452" s="11"/>
      <c r="E2452" s="21"/>
      <c r="F2452" s="21"/>
      <c r="G2452" s="25"/>
      <c r="H2452" s="11"/>
      <c r="I2452" s="21"/>
      <c r="J2452" s="21"/>
      <c r="K2452" s="21"/>
      <c r="L2452" s="21"/>
      <c r="M2452" s="21"/>
      <c r="N2452" s="21"/>
    </row>
    <row r="2453" spans="1:14" ht="15.75" customHeight="1" x14ac:dyDescent="0.25">
      <c r="A2453" s="31" t="s">
        <v>14</v>
      </c>
      <c r="B2453" s="31" t="s">
        <v>234</v>
      </c>
      <c r="C2453" s="31" t="s">
        <v>16</v>
      </c>
      <c r="D2453" s="31" t="s">
        <v>17</v>
      </c>
      <c r="E2453" s="31" t="s">
        <v>235</v>
      </c>
      <c r="F2453" s="31" t="s">
        <v>236</v>
      </c>
      <c r="G2453" s="25"/>
      <c r="H2453" s="11"/>
      <c r="I2453" s="21"/>
      <c r="J2453" s="21"/>
      <c r="K2453" s="21"/>
      <c r="L2453" s="21"/>
      <c r="M2453" s="21"/>
      <c r="N2453" s="21"/>
    </row>
    <row r="2454" spans="1:14" ht="15.75" customHeight="1" x14ac:dyDescent="0.25">
      <c r="A2454" s="7">
        <v>1</v>
      </c>
      <c r="B2454" s="124" t="s">
        <v>1101</v>
      </c>
      <c r="C2454" s="134">
        <v>15</v>
      </c>
      <c r="D2454" s="7" t="s">
        <v>370</v>
      </c>
      <c r="E2454" s="104">
        <v>30000</v>
      </c>
      <c r="F2454" s="104">
        <f>E2454*C2454</f>
        <v>450000</v>
      </c>
      <c r="G2454" s="25"/>
      <c r="H2454" s="11"/>
      <c r="I2454" s="21"/>
      <c r="J2454" s="21"/>
      <c r="K2454" s="21"/>
      <c r="L2454" s="21"/>
      <c r="M2454" s="21"/>
      <c r="N2454" s="21"/>
    </row>
    <row r="2455" spans="1:14" ht="15.75" customHeight="1" x14ac:dyDescent="0.25">
      <c r="A2455" s="7">
        <v>2</v>
      </c>
      <c r="B2455" s="124" t="s">
        <v>1102</v>
      </c>
      <c r="C2455" s="133">
        <v>10</v>
      </c>
      <c r="D2455" s="7" t="s">
        <v>19</v>
      </c>
      <c r="E2455" s="104">
        <v>17000</v>
      </c>
      <c r="F2455" s="104">
        <f>E2455*C2455</f>
        <v>170000</v>
      </c>
      <c r="G2455" s="25"/>
      <c r="H2455" s="11"/>
      <c r="I2455" s="21"/>
      <c r="J2455" s="21"/>
      <c r="K2455" s="21"/>
      <c r="L2455" s="21"/>
      <c r="M2455" s="21"/>
      <c r="N2455" s="21"/>
    </row>
    <row r="2456" spans="1:14" ht="15.75" customHeight="1" x14ac:dyDescent="0.25">
      <c r="A2456" s="7">
        <v>3</v>
      </c>
      <c r="B2456" s="131" t="s">
        <v>1103</v>
      </c>
      <c r="C2456" s="151">
        <v>1</v>
      </c>
      <c r="D2456" s="133" t="s">
        <v>251</v>
      </c>
      <c r="E2456" s="104">
        <v>450000</v>
      </c>
      <c r="F2456" s="104">
        <f>E2456*C2456</f>
        <v>450000</v>
      </c>
      <c r="G2456" s="25"/>
      <c r="H2456" s="11"/>
      <c r="I2456" s="21"/>
      <c r="J2456" s="21"/>
      <c r="K2456" s="21"/>
      <c r="L2456" s="21"/>
      <c r="M2456" s="21"/>
      <c r="N2456" s="21"/>
    </row>
    <row r="2457" spans="1:14" ht="15.75" customHeight="1" x14ac:dyDescent="0.25">
      <c r="A2457" s="7"/>
      <c r="B2457" s="343" t="s">
        <v>342</v>
      </c>
      <c r="C2457" s="344"/>
      <c r="D2457" s="344"/>
      <c r="E2457" s="334"/>
      <c r="F2457" s="104">
        <f>SUM(F2454:F2456)</f>
        <v>1070000</v>
      </c>
      <c r="G2457" s="25"/>
      <c r="H2457" s="11"/>
      <c r="I2457" s="21"/>
      <c r="J2457" s="21"/>
      <c r="K2457" s="21"/>
      <c r="L2457" s="21"/>
      <c r="M2457" s="21"/>
      <c r="N2457" s="21"/>
    </row>
    <row r="2458" spans="1:14" ht="15.75" customHeight="1" x14ac:dyDescent="0.25">
      <c r="A2458" s="7"/>
      <c r="B2458" s="343" t="s">
        <v>343</v>
      </c>
      <c r="C2458" s="344"/>
      <c r="D2458" s="344"/>
      <c r="E2458" s="334"/>
      <c r="F2458" s="104">
        <v>49500</v>
      </c>
      <c r="G2458" s="25"/>
      <c r="H2458" s="11"/>
      <c r="I2458" s="21"/>
      <c r="J2458" s="21"/>
      <c r="K2458" s="21"/>
      <c r="L2458" s="21"/>
      <c r="M2458" s="21"/>
      <c r="N2458" s="21"/>
    </row>
    <row r="2459" spans="1:14" ht="15.75" customHeight="1" x14ac:dyDescent="0.25">
      <c r="A2459" s="7"/>
      <c r="B2459" s="345" t="s">
        <v>344</v>
      </c>
      <c r="C2459" s="344"/>
      <c r="D2459" s="344"/>
      <c r="E2459" s="334"/>
      <c r="F2459" s="107">
        <f>SUM(F2457:F2458)</f>
        <v>1119500</v>
      </c>
      <c r="G2459" s="25"/>
      <c r="H2459" s="11"/>
      <c r="I2459" s="21"/>
      <c r="J2459" s="21"/>
      <c r="K2459" s="21"/>
      <c r="L2459" s="21"/>
      <c r="M2459" s="21"/>
      <c r="N2459" s="21"/>
    </row>
    <row r="2460" spans="1:14" ht="15.75" customHeight="1" x14ac:dyDescent="0.25">
      <c r="A2460" s="21"/>
      <c r="B2460" s="21"/>
      <c r="C2460" s="11"/>
      <c r="D2460" s="11"/>
      <c r="E2460" s="21"/>
      <c r="F2460" s="21"/>
      <c r="G2460" s="25"/>
      <c r="H2460" s="11"/>
      <c r="I2460" s="21"/>
      <c r="J2460" s="21"/>
      <c r="K2460" s="21"/>
      <c r="L2460" s="21"/>
      <c r="M2460" s="21"/>
      <c r="N2460" s="21"/>
    </row>
    <row r="2461" spans="1:14" ht="15.75" customHeight="1" x14ac:dyDescent="0.25">
      <c r="A2461" s="31" t="s">
        <v>14</v>
      </c>
      <c r="B2461" s="31" t="s">
        <v>234</v>
      </c>
      <c r="C2461" s="31" t="s">
        <v>16</v>
      </c>
      <c r="D2461" s="31" t="s">
        <v>17</v>
      </c>
      <c r="E2461" s="31" t="s">
        <v>235</v>
      </c>
      <c r="F2461" s="31" t="s">
        <v>236</v>
      </c>
      <c r="G2461" s="25"/>
      <c r="H2461" s="11"/>
      <c r="I2461" s="21"/>
      <c r="J2461" s="21"/>
      <c r="K2461" s="21"/>
      <c r="L2461" s="21"/>
      <c r="M2461" s="21"/>
      <c r="N2461" s="21"/>
    </row>
    <row r="2462" spans="1:14" ht="15.75" customHeight="1" x14ac:dyDescent="0.25">
      <c r="A2462" s="7">
        <v>1</v>
      </c>
      <c r="B2462" s="124" t="s">
        <v>702</v>
      </c>
      <c r="C2462" s="134">
        <v>10</v>
      </c>
      <c r="D2462" s="7" t="s">
        <v>19</v>
      </c>
      <c r="E2462" s="104">
        <v>230000</v>
      </c>
      <c r="F2462" s="104">
        <f>E2462*C2462</f>
        <v>2300000</v>
      </c>
      <c r="G2462" s="25"/>
      <c r="H2462" s="11"/>
      <c r="I2462" s="21"/>
      <c r="J2462" s="21"/>
      <c r="K2462" s="21"/>
      <c r="L2462" s="21"/>
      <c r="M2462" s="21"/>
      <c r="N2462" s="21"/>
    </row>
    <row r="2463" spans="1:14" ht="15.75" customHeight="1" x14ac:dyDescent="0.25">
      <c r="A2463" s="7">
        <v>2</v>
      </c>
      <c r="B2463" s="124" t="s">
        <v>1041</v>
      </c>
      <c r="C2463" s="133">
        <v>140</v>
      </c>
      <c r="D2463" s="7" t="s">
        <v>539</v>
      </c>
      <c r="E2463" s="104">
        <v>47000</v>
      </c>
      <c r="F2463" s="104">
        <f>E2463*C2463</f>
        <v>6580000</v>
      </c>
      <c r="G2463" s="25"/>
      <c r="H2463" s="11"/>
      <c r="I2463" s="21"/>
      <c r="J2463" s="21"/>
      <c r="K2463" s="21"/>
      <c r="L2463" s="21"/>
      <c r="M2463" s="21"/>
      <c r="N2463" s="21"/>
    </row>
    <row r="2464" spans="1:14" ht="15.75" customHeight="1" x14ac:dyDescent="0.25">
      <c r="A2464" s="7">
        <v>3</v>
      </c>
      <c r="B2464" s="131" t="s">
        <v>1104</v>
      </c>
      <c r="C2464" s="151">
        <v>60</v>
      </c>
      <c r="D2464" s="133" t="s">
        <v>539</v>
      </c>
      <c r="E2464" s="104">
        <v>35000</v>
      </c>
      <c r="F2464" s="104">
        <f>E2464*C2464</f>
        <v>2100000</v>
      </c>
      <c r="G2464" s="25"/>
      <c r="H2464" s="11"/>
      <c r="I2464" s="21"/>
      <c r="J2464" s="21"/>
      <c r="K2464" s="21"/>
      <c r="L2464" s="21"/>
      <c r="M2464" s="21"/>
      <c r="N2464" s="21"/>
    </row>
    <row r="2465" spans="1:14" ht="15.75" customHeight="1" x14ac:dyDescent="0.25">
      <c r="A2465" s="7"/>
      <c r="B2465" s="343" t="s">
        <v>342</v>
      </c>
      <c r="C2465" s="344"/>
      <c r="D2465" s="344"/>
      <c r="E2465" s="334"/>
      <c r="F2465" s="104">
        <f>SUM(F2462:F2464)</f>
        <v>10980000</v>
      </c>
      <c r="G2465" s="25"/>
      <c r="H2465" s="11"/>
      <c r="I2465" s="21"/>
      <c r="J2465" s="21"/>
      <c r="K2465" s="21"/>
      <c r="L2465" s="21"/>
      <c r="M2465" s="21"/>
      <c r="N2465" s="21"/>
    </row>
    <row r="2466" spans="1:14" ht="15.75" customHeight="1" x14ac:dyDescent="0.25">
      <c r="A2466" s="7"/>
      <c r="B2466" s="343" t="s">
        <v>343</v>
      </c>
      <c r="C2466" s="344"/>
      <c r="D2466" s="344"/>
      <c r="E2466" s="334"/>
      <c r="F2466" s="104">
        <v>1207800</v>
      </c>
      <c r="G2466" s="25"/>
      <c r="H2466" s="11"/>
      <c r="I2466" s="21"/>
      <c r="J2466" s="21"/>
      <c r="K2466" s="21"/>
      <c r="L2466" s="21"/>
      <c r="M2466" s="21"/>
      <c r="N2466" s="21"/>
    </row>
    <row r="2467" spans="1:14" ht="15.75" customHeight="1" x14ac:dyDescent="0.25">
      <c r="A2467" s="7"/>
      <c r="B2467" s="345" t="s">
        <v>344</v>
      </c>
      <c r="C2467" s="344"/>
      <c r="D2467" s="344"/>
      <c r="E2467" s="334"/>
      <c r="F2467" s="107">
        <f>SUM(F2465:F2466)</f>
        <v>12187800</v>
      </c>
      <c r="G2467" s="25"/>
      <c r="H2467" s="11"/>
      <c r="I2467" s="21"/>
      <c r="J2467" s="21"/>
      <c r="K2467" s="21"/>
      <c r="L2467" s="21"/>
      <c r="M2467" s="21"/>
      <c r="N2467" s="21"/>
    </row>
    <row r="2468" spans="1:14" ht="15.75" customHeight="1" x14ac:dyDescent="0.25">
      <c r="A2468" s="21"/>
      <c r="B2468" s="21"/>
      <c r="C2468" s="11"/>
      <c r="D2468" s="11"/>
      <c r="E2468" s="21"/>
      <c r="F2468" s="21"/>
      <c r="G2468" s="25"/>
      <c r="H2468" s="11"/>
      <c r="I2468" s="21"/>
      <c r="J2468" s="21"/>
      <c r="K2468" s="21"/>
      <c r="L2468" s="21"/>
      <c r="M2468" s="21"/>
      <c r="N2468" s="21"/>
    </row>
    <row r="2469" spans="1:14" ht="15.75" customHeight="1" x14ac:dyDescent="0.25">
      <c r="A2469" s="31" t="s">
        <v>14</v>
      </c>
      <c r="B2469" s="31" t="s">
        <v>234</v>
      </c>
      <c r="C2469" s="31" t="s">
        <v>16</v>
      </c>
      <c r="D2469" s="31" t="s">
        <v>17</v>
      </c>
      <c r="E2469" s="31" t="s">
        <v>235</v>
      </c>
      <c r="F2469" s="31" t="s">
        <v>236</v>
      </c>
      <c r="G2469" s="25"/>
      <c r="H2469" s="11"/>
      <c r="I2469" s="21"/>
      <c r="J2469" s="21"/>
      <c r="K2469" s="21"/>
      <c r="L2469" s="21"/>
      <c r="M2469" s="21"/>
      <c r="N2469" s="21"/>
    </row>
    <row r="2470" spans="1:14" ht="15.75" customHeight="1" x14ac:dyDescent="0.25">
      <c r="A2470" s="7">
        <v>1</v>
      </c>
      <c r="B2470" s="132" t="s">
        <v>759</v>
      </c>
      <c r="C2470" s="129">
        <v>3</v>
      </c>
      <c r="D2470" s="7" t="s">
        <v>247</v>
      </c>
      <c r="E2470" s="130">
        <v>3795000</v>
      </c>
      <c r="F2470" s="130">
        <f>E2470*C2470</f>
        <v>11385000</v>
      </c>
      <c r="G2470" s="25"/>
      <c r="H2470" s="11"/>
      <c r="I2470" s="21"/>
      <c r="J2470" s="21"/>
      <c r="K2470" s="21"/>
      <c r="L2470" s="21"/>
      <c r="M2470" s="21"/>
      <c r="N2470" s="21"/>
    </row>
    <row r="2471" spans="1:14" ht="15.75" customHeight="1" x14ac:dyDescent="0.25">
      <c r="A2471" s="7"/>
      <c r="B2471" s="343" t="s">
        <v>342</v>
      </c>
      <c r="C2471" s="344"/>
      <c r="D2471" s="344"/>
      <c r="E2471" s="334"/>
      <c r="F2471" s="104">
        <f>SUM(F2470)</f>
        <v>11385000</v>
      </c>
      <c r="G2471" s="25"/>
      <c r="H2471" s="11"/>
      <c r="I2471" s="21"/>
      <c r="J2471" s="21"/>
      <c r="K2471" s="21"/>
      <c r="L2471" s="21"/>
      <c r="M2471" s="21"/>
      <c r="N2471" s="21"/>
    </row>
    <row r="2472" spans="1:14" ht="15.75" customHeight="1" x14ac:dyDescent="0.25">
      <c r="A2472" s="7"/>
      <c r="B2472" s="343" t="s">
        <v>343</v>
      </c>
      <c r="C2472" s="344"/>
      <c r="D2472" s="344"/>
      <c r="E2472" s="334"/>
      <c r="F2472" s="104">
        <v>1252350</v>
      </c>
      <c r="G2472" s="25"/>
      <c r="H2472" s="11"/>
      <c r="I2472" s="21"/>
      <c r="J2472" s="21"/>
      <c r="K2472" s="21"/>
      <c r="L2472" s="21"/>
      <c r="M2472" s="21"/>
      <c r="N2472" s="21"/>
    </row>
    <row r="2473" spans="1:14" ht="15.75" customHeight="1" x14ac:dyDescent="0.25">
      <c r="A2473" s="7"/>
      <c r="B2473" s="345" t="s">
        <v>344</v>
      </c>
      <c r="C2473" s="344"/>
      <c r="D2473" s="344"/>
      <c r="E2473" s="334"/>
      <c r="F2473" s="107">
        <f>SUM(F2471:F2472)</f>
        <v>12637350</v>
      </c>
      <c r="G2473" s="25"/>
      <c r="H2473" s="11"/>
      <c r="I2473" s="21"/>
      <c r="J2473" s="21"/>
      <c r="K2473" s="21"/>
      <c r="L2473" s="21"/>
      <c r="M2473" s="21"/>
      <c r="N2473" s="21"/>
    </row>
    <row r="2474" spans="1:14" ht="15.75" customHeight="1" x14ac:dyDescent="0.25">
      <c r="A2474" s="21"/>
      <c r="B2474" s="21"/>
      <c r="C2474" s="11"/>
      <c r="D2474" s="11"/>
      <c r="E2474" s="21"/>
      <c r="F2474" s="21"/>
      <c r="G2474" s="25"/>
      <c r="H2474" s="11"/>
      <c r="I2474" s="21"/>
      <c r="J2474" s="21"/>
      <c r="K2474" s="21"/>
      <c r="L2474" s="21"/>
      <c r="M2474" s="21"/>
      <c r="N2474" s="21"/>
    </row>
    <row r="2475" spans="1:14" ht="15.75" customHeight="1" x14ac:dyDescent="0.25">
      <c r="A2475" s="31" t="s">
        <v>14</v>
      </c>
      <c r="B2475" s="31" t="s">
        <v>234</v>
      </c>
      <c r="C2475" s="31" t="s">
        <v>16</v>
      </c>
      <c r="D2475" s="31" t="s">
        <v>17</v>
      </c>
      <c r="E2475" s="31" t="s">
        <v>235</v>
      </c>
      <c r="F2475" s="31" t="s">
        <v>236</v>
      </c>
      <c r="G2475" s="25"/>
      <c r="H2475" s="11"/>
      <c r="I2475" s="21"/>
      <c r="J2475" s="21"/>
      <c r="K2475" s="21"/>
      <c r="L2475" s="21"/>
      <c r="M2475" s="21"/>
      <c r="N2475" s="21"/>
    </row>
    <row r="2476" spans="1:14" ht="15.75" customHeight="1" x14ac:dyDescent="0.25">
      <c r="A2476" s="10">
        <v>1</v>
      </c>
      <c r="B2476" s="124" t="s">
        <v>1105</v>
      </c>
      <c r="C2476" s="7">
        <v>30</v>
      </c>
      <c r="D2476" s="7" t="s">
        <v>539</v>
      </c>
      <c r="E2476" s="104">
        <v>242420</v>
      </c>
      <c r="F2476" s="104">
        <f t="shared" ref="F2476:F2490" si="20">E2476*C2476</f>
        <v>7272600</v>
      </c>
      <c r="G2476" s="25"/>
      <c r="H2476" s="11"/>
      <c r="I2476" s="21"/>
      <c r="J2476" s="21"/>
      <c r="K2476" s="21"/>
      <c r="L2476" s="21"/>
      <c r="M2476" s="21"/>
      <c r="N2476" s="21"/>
    </row>
    <row r="2477" spans="1:14" ht="15.75" customHeight="1" x14ac:dyDescent="0.25">
      <c r="A2477" s="7">
        <v>2</v>
      </c>
      <c r="B2477" s="124" t="s">
        <v>1106</v>
      </c>
      <c r="C2477" s="7">
        <v>30</v>
      </c>
      <c r="D2477" s="7" t="s">
        <v>539</v>
      </c>
      <c r="E2477" s="104">
        <v>256680</v>
      </c>
      <c r="F2477" s="104">
        <f t="shared" si="20"/>
        <v>7700400</v>
      </c>
      <c r="G2477" s="25"/>
      <c r="H2477" s="11"/>
      <c r="I2477" s="21"/>
      <c r="J2477" s="21"/>
      <c r="K2477" s="21"/>
      <c r="L2477" s="21"/>
      <c r="M2477" s="21"/>
      <c r="N2477" s="21"/>
    </row>
    <row r="2478" spans="1:14" ht="15.75" customHeight="1" x14ac:dyDescent="0.25">
      <c r="A2478" s="7">
        <v>3</v>
      </c>
      <c r="B2478" s="124" t="s">
        <v>1107</v>
      </c>
      <c r="C2478" s="7">
        <v>30</v>
      </c>
      <c r="D2478" s="7" t="s">
        <v>539</v>
      </c>
      <c r="E2478" s="104">
        <v>233220</v>
      </c>
      <c r="F2478" s="104">
        <f t="shared" si="20"/>
        <v>6996600</v>
      </c>
      <c r="G2478" s="25"/>
      <c r="H2478" s="11"/>
      <c r="I2478" s="21"/>
      <c r="J2478" s="21"/>
      <c r="K2478" s="21"/>
      <c r="L2478" s="21"/>
      <c r="M2478" s="21"/>
      <c r="N2478" s="21"/>
    </row>
    <row r="2479" spans="1:14" ht="15.75" customHeight="1" x14ac:dyDescent="0.25">
      <c r="A2479" s="7">
        <v>4</v>
      </c>
      <c r="B2479" s="124" t="s">
        <v>1108</v>
      </c>
      <c r="C2479" s="7">
        <v>20</v>
      </c>
      <c r="D2479" s="7" t="s">
        <v>19</v>
      </c>
      <c r="E2479" s="104">
        <v>33500</v>
      </c>
      <c r="F2479" s="104">
        <f t="shared" si="20"/>
        <v>670000</v>
      </c>
      <c r="G2479" s="25"/>
      <c r="H2479" s="11"/>
      <c r="I2479" s="21"/>
      <c r="J2479" s="21"/>
      <c r="K2479" s="21"/>
      <c r="L2479" s="21"/>
      <c r="M2479" s="21"/>
      <c r="N2479" s="21"/>
    </row>
    <row r="2480" spans="1:14" ht="15.75" customHeight="1" x14ac:dyDescent="0.25">
      <c r="A2480" s="7">
        <v>5</v>
      </c>
      <c r="B2480" s="124" t="s">
        <v>1109</v>
      </c>
      <c r="C2480" s="7">
        <v>4</v>
      </c>
      <c r="D2480" s="7" t="s">
        <v>19</v>
      </c>
      <c r="E2480" s="104">
        <v>123500</v>
      </c>
      <c r="F2480" s="104">
        <f t="shared" si="20"/>
        <v>494000</v>
      </c>
      <c r="G2480" s="25"/>
      <c r="H2480" s="11"/>
      <c r="I2480" s="21"/>
      <c r="J2480" s="21"/>
      <c r="K2480" s="21"/>
      <c r="L2480" s="21"/>
      <c r="M2480" s="21"/>
      <c r="N2480" s="21"/>
    </row>
    <row r="2481" spans="1:14" ht="15.75" customHeight="1" x14ac:dyDescent="0.25">
      <c r="A2481" s="7">
        <v>6</v>
      </c>
      <c r="B2481" s="124" t="s">
        <v>1110</v>
      </c>
      <c r="C2481" s="7">
        <v>3</v>
      </c>
      <c r="D2481" s="7" t="s">
        <v>19</v>
      </c>
      <c r="E2481" s="104">
        <v>4713620</v>
      </c>
      <c r="F2481" s="104">
        <f t="shared" si="20"/>
        <v>14140860</v>
      </c>
      <c r="G2481" s="25"/>
      <c r="H2481" s="11"/>
      <c r="I2481" s="21"/>
      <c r="J2481" s="21"/>
      <c r="K2481" s="21"/>
      <c r="L2481" s="21"/>
      <c r="M2481" s="21"/>
      <c r="N2481" s="21"/>
    </row>
    <row r="2482" spans="1:14" ht="15.75" customHeight="1" x14ac:dyDescent="0.25">
      <c r="A2482" s="7">
        <v>7</v>
      </c>
      <c r="B2482" s="124" t="s">
        <v>1111</v>
      </c>
      <c r="C2482" s="7">
        <v>2</v>
      </c>
      <c r="D2482" s="7" t="s">
        <v>19</v>
      </c>
      <c r="E2482" s="104">
        <v>2000000</v>
      </c>
      <c r="F2482" s="104">
        <f t="shared" si="20"/>
        <v>4000000</v>
      </c>
      <c r="G2482" s="25"/>
      <c r="H2482" s="11"/>
      <c r="I2482" s="21"/>
      <c r="J2482" s="21"/>
      <c r="K2482" s="21"/>
      <c r="L2482" s="21"/>
      <c r="M2482" s="21"/>
      <c r="N2482" s="21"/>
    </row>
    <row r="2483" spans="1:14" ht="15.75" customHeight="1" x14ac:dyDescent="0.25">
      <c r="A2483" s="7">
        <v>8</v>
      </c>
      <c r="B2483" s="124" t="s">
        <v>1112</v>
      </c>
      <c r="C2483" s="7">
        <v>1</v>
      </c>
      <c r="D2483" s="7" t="s">
        <v>251</v>
      </c>
      <c r="E2483" s="104">
        <v>95000</v>
      </c>
      <c r="F2483" s="104">
        <f t="shared" si="20"/>
        <v>95000</v>
      </c>
      <c r="G2483" s="25"/>
      <c r="H2483" s="11"/>
      <c r="I2483" s="21"/>
      <c r="J2483" s="21"/>
      <c r="K2483" s="21"/>
      <c r="L2483" s="21"/>
      <c r="M2483" s="21"/>
      <c r="N2483" s="21"/>
    </row>
    <row r="2484" spans="1:14" ht="15.75" customHeight="1" x14ac:dyDescent="0.25">
      <c r="A2484" s="7">
        <v>9</v>
      </c>
      <c r="B2484" s="124" t="s">
        <v>1113</v>
      </c>
      <c r="C2484" s="7">
        <v>4</v>
      </c>
      <c r="D2484" s="7" t="s">
        <v>19</v>
      </c>
      <c r="E2484" s="104">
        <v>400000</v>
      </c>
      <c r="F2484" s="104">
        <f t="shared" si="20"/>
        <v>1600000</v>
      </c>
      <c r="G2484" s="25"/>
      <c r="H2484" s="11"/>
      <c r="I2484" s="21"/>
      <c r="J2484" s="21"/>
      <c r="K2484" s="21"/>
      <c r="L2484" s="21"/>
      <c r="M2484" s="21"/>
      <c r="N2484" s="21"/>
    </row>
    <row r="2485" spans="1:14" ht="15.75" customHeight="1" x14ac:dyDescent="0.25">
      <c r="A2485" s="7">
        <v>10</v>
      </c>
      <c r="B2485" s="124" t="s">
        <v>1114</v>
      </c>
      <c r="C2485" s="7">
        <v>4</v>
      </c>
      <c r="D2485" s="7" t="s">
        <v>19</v>
      </c>
      <c r="E2485" s="104">
        <v>730000</v>
      </c>
      <c r="F2485" s="104">
        <f t="shared" si="20"/>
        <v>2920000</v>
      </c>
      <c r="G2485" s="25"/>
      <c r="H2485" s="11"/>
      <c r="I2485" s="21"/>
      <c r="J2485" s="21"/>
      <c r="K2485" s="21"/>
      <c r="L2485" s="21"/>
      <c r="M2485" s="21"/>
      <c r="N2485" s="21"/>
    </row>
    <row r="2486" spans="1:14" ht="15.75" customHeight="1" x14ac:dyDescent="0.25">
      <c r="A2486" s="7">
        <v>11</v>
      </c>
      <c r="B2486" s="124" t="s">
        <v>1115</v>
      </c>
      <c r="C2486" s="7">
        <v>2</v>
      </c>
      <c r="D2486" s="7" t="s">
        <v>19</v>
      </c>
      <c r="E2486" s="104">
        <v>1400000</v>
      </c>
      <c r="F2486" s="104">
        <f t="shared" si="20"/>
        <v>2800000</v>
      </c>
      <c r="G2486" s="25"/>
      <c r="H2486" s="11"/>
      <c r="I2486" s="21"/>
      <c r="J2486" s="21"/>
      <c r="K2486" s="21"/>
      <c r="L2486" s="21"/>
      <c r="M2486" s="21"/>
      <c r="N2486" s="21"/>
    </row>
    <row r="2487" spans="1:14" ht="15.75" customHeight="1" x14ac:dyDescent="0.25">
      <c r="A2487" s="7">
        <v>12</v>
      </c>
      <c r="B2487" s="124" t="s">
        <v>1116</v>
      </c>
      <c r="C2487" s="7">
        <v>10</v>
      </c>
      <c r="D2487" s="7" t="s">
        <v>19</v>
      </c>
      <c r="E2487" s="104">
        <v>93575</v>
      </c>
      <c r="F2487" s="104">
        <f t="shared" si="20"/>
        <v>935750</v>
      </c>
      <c r="G2487" s="25"/>
      <c r="H2487" s="11"/>
      <c r="I2487" s="21"/>
      <c r="J2487" s="21"/>
      <c r="K2487" s="21"/>
      <c r="L2487" s="21"/>
      <c r="M2487" s="21"/>
      <c r="N2487" s="21"/>
    </row>
    <row r="2488" spans="1:14" ht="15.75" customHeight="1" x14ac:dyDescent="0.25">
      <c r="A2488" s="7">
        <v>13</v>
      </c>
      <c r="B2488" s="124" t="s">
        <v>1117</v>
      </c>
      <c r="C2488" s="7">
        <v>1</v>
      </c>
      <c r="D2488" s="7" t="s">
        <v>19</v>
      </c>
      <c r="E2488" s="104">
        <v>205000</v>
      </c>
      <c r="F2488" s="104">
        <f t="shared" si="20"/>
        <v>205000</v>
      </c>
      <c r="G2488" s="25"/>
      <c r="H2488" s="11"/>
      <c r="I2488" s="21"/>
      <c r="J2488" s="21"/>
      <c r="K2488" s="21"/>
      <c r="L2488" s="21"/>
      <c r="M2488" s="21"/>
      <c r="N2488" s="21"/>
    </row>
    <row r="2489" spans="1:14" ht="15.75" customHeight="1" x14ac:dyDescent="0.25">
      <c r="A2489" s="7">
        <v>14</v>
      </c>
      <c r="B2489" s="124" t="s">
        <v>1118</v>
      </c>
      <c r="C2489" s="7">
        <v>20</v>
      </c>
      <c r="D2489" s="7" t="s">
        <v>19</v>
      </c>
      <c r="E2489" s="104">
        <v>108500</v>
      </c>
      <c r="F2489" s="104">
        <f t="shared" si="20"/>
        <v>2170000</v>
      </c>
      <c r="G2489" s="25"/>
      <c r="H2489" s="11"/>
      <c r="I2489" s="21"/>
      <c r="J2489" s="21"/>
      <c r="K2489" s="21"/>
      <c r="L2489" s="21"/>
      <c r="M2489" s="21"/>
      <c r="N2489" s="21"/>
    </row>
    <row r="2490" spans="1:14" ht="15.75" customHeight="1" x14ac:dyDescent="0.25">
      <c r="A2490" s="7">
        <v>15</v>
      </c>
      <c r="B2490" s="124" t="s">
        <v>1119</v>
      </c>
      <c r="C2490" s="7">
        <v>10</v>
      </c>
      <c r="D2490" s="7" t="s">
        <v>19</v>
      </c>
      <c r="E2490" s="104">
        <v>120500</v>
      </c>
      <c r="F2490" s="104">
        <f t="shared" si="20"/>
        <v>1205000</v>
      </c>
      <c r="G2490" s="25"/>
      <c r="H2490" s="11"/>
      <c r="I2490" s="21"/>
      <c r="J2490" s="21"/>
      <c r="K2490" s="21"/>
      <c r="L2490" s="21"/>
      <c r="M2490" s="21"/>
      <c r="N2490" s="21"/>
    </row>
    <row r="2491" spans="1:14" ht="15.75" customHeight="1" x14ac:dyDescent="0.25">
      <c r="A2491" s="7"/>
      <c r="B2491" s="343" t="s">
        <v>342</v>
      </c>
      <c r="C2491" s="344"/>
      <c r="D2491" s="344"/>
      <c r="E2491" s="334"/>
      <c r="F2491" s="104">
        <f>SUM(F2476:F2490)</f>
        <v>53205210</v>
      </c>
      <c r="G2491" s="25"/>
      <c r="H2491" s="11"/>
      <c r="I2491" s="21"/>
      <c r="J2491" s="21"/>
      <c r="K2491" s="21"/>
      <c r="L2491" s="21"/>
      <c r="M2491" s="21"/>
      <c r="N2491" s="21"/>
    </row>
    <row r="2492" spans="1:14" ht="15.75" customHeight="1" x14ac:dyDescent="0.25">
      <c r="A2492" s="7"/>
      <c r="B2492" s="343" t="s">
        <v>343</v>
      </c>
      <c r="C2492" s="344"/>
      <c r="D2492" s="344"/>
      <c r="E2492" s="334"/>
      <c r="F2492" s="108">
        <v>5852573.0999999996</v>
      </c>
      <c r="G2492" s="25"/>
      <c r="H2492" s="11"/>
      <c r="I2492" s="21"/>
      <c r="J2492" s="21"/>
      <c r="K2492" s="21"/>
      <c r="L2492" s="21"/>
      <c r="M2492" s="21"/>
      <c r="N2492" s="21"/>
    </row>
    <row r="2493" spans="1:14" ht="15.75" customHeight="1" x14ac:dyDescent="0.25">
      <c r="A2493" s="7"/>
      <c r="B2493" s="345" t="s">
        <v>344</v>
      </c>
      <c r="C2493" s="344"/>
      <c r="D2493" s="344"/>
      <c r="E2493" s="334"/>
      <c r="F2493" s="109">
        <f>SUM(F2491:F2492)</f>
        <v>59057783.100000001</v>
      </c>
      <c r="G2493" s="25"/>
      <c r="H2493" s="11"/>
      <c r="I2493" s="21"/>
      <c r="J2493" s="21"/>
      <c r="K2493" s="21"/>
      <c r="L2493" s="21"/>
      <c r="M2493" s="21"/>
      <c r="N2493" s="21"/>
    </row>
    <row r="2494" spans="1:14" ht="15.75" customHeight="1" x14ac:dyDescent="0.25">
      <c r="A2494" s="21"/>
      <c r="B2494" s="21"/>
      <c r="C2494" s="11"/>
      <c r="D2494" s="11"/>
      <c r="E2494" s="21"/>
      <c r="F2494" s="21"/>
      <c r="G2494" s="25"/>
      <c r="H2494" s="11"/>
      <c r="I2494" s="21"/>
      <c r="J2494" s="21"/>
      <c r="K2494" s="21"/>
      <c r="L2494" s="21"/>
      <c r="M2494" s="21"/>
      <c r="N2494" s="21"/>
    </row>
    <row r="2495" spans="1:14" ht="15.75" customHeight="1" x14ac:dyDescent="0.25">
      <c r="A2495" s="31" t="s">
        <v>14</v>
      </c>
      <c r="B2495" s="31" t="s">
        <v>234</v>
      </c>
      <c r="C2495" s="31" t="s">
        <v>16</v>
      </c>
      <c r="D2495" s="31" t="s">
        <v>17</v>
      </c>
      <c r="E2495" s="31" t="s">
        <v>235</v>
      </c>
      <c r="F2495" s="31" t="s">
        <v>236</v>
      </c>
      <c r="G2495" s="25"/>
      <c r="H2495" s="11"/>
      <c r="I2495" s="21"/>
      <c r="J2495" s="21"/>
      <c r="K2495" s="21"/>
      <c r="L2495" s="21"/>
      <c r="M2495" s="21"/>
      <c r="N2495" s="21"/>
    </row>
    <row r="2496" spans="1:14" ht="15.75" customHeight="1" x14ac:dyDescent="0.25">
      <c r="A2496" s="7">
        <v>1</v>
      </c>
      <c r="B2496" s="124" t="s">
        <v>1120</v>
      </c>
      <c r="C2496" s="134">
        <v>1</v>
      </c>
      <c r="D2496" s="7" t="s">
        <v>19</v>
      </c>
      <c r="E2496" s="104">
        <v>75500</v>
      </c>
      <c r="F2496" s="104">
        <f>E2496*C2496</f>
        <v>75500</v>
      </c>
      <c r="G2496" s="25"/>
      <c r="H2496" s="11"/>
      <c r="I2496" s="21"/>
      <c r="J2496" s="21"/>
      <c r="K2496" s="21"/>
      <c r="L2496" s="21"/>
      <c r="M2496" s="21"/>
      <c r="N2496" s="21"/>
    </row>
    <row r="2497" spans="1:14" ht="15.75" customHeight="1" x14ac:dyDescent="0.25">
      <c r="A2497" s="7">
        <v>2</v>
      </c>
      <c r="B2497" s="124" t="s">
        <v>1121</v>
      </c>
      <c r="C2497" s="133">
        <v>1</v>
      </c>
      <c r="D2497" s="7" t="s">
        <v>19</v>
      </c>
      <c r="E2497" s="104">
        <v>2092500</v>
      </c>
      <c r="F2497" s="104">
        <f>E2497*C2497</f>
        <v>2092500</v>
      </c>
      <c r="G2497" s="25"/>
      <c r="H2497" s="11"/>
      <c r="I2497" s="21"/>
      <c r="J2497" s="21"/>
      <c r="K2497" s="21"/>
      <c r="L2497" s="21"/>
      <c r="M2497" s="21"/>
      <c r="N2497" s="21"/>
    </row>
    <row r="2498" spans="1:14" ht="15.75" customHeight="1" x14ac:dyDescent="0.25">
      <c r="A2498" s="7">
        <v>3</v>
      </c>
      <c r="B2498" s="131" t="s">
        <v>1122</v>
      </c>
      <c r="C2498" s="151">
        <v>1</v>
      </c>
      <c r="D2498" s="133" t="s">
        <v>19</v>
      </c>
      <c r="E2498" s="104">
        <v>247000</v>
      </c>
      <c r="F2498" s="104">
        <f>E2498*C2498</f>
        <v>247000</v>
      </c>
      <c r="G2498" s="25"/>
      <c r="H2498" s="11"/>
      <c r="I2498" s="21"/>
      <c r="J2498" s="21"/>
      <c r="K2498" s="21"/>
      <c r="L2498" s="21"/>
      <c r="M2498" s="21"/>
      <c r="N2498" s="21"/>
    </row>
    <row r="2499" spans="1:14" ht="15.75" customHeight="1" x14ac:dyDescent="0.25">
      <c r="A2499" s="7"/>
      <c r="B2499" s="343" t="s">
        <v>342</v>
      </c>
      <c r="C2499" s="344"/>
      <c r="D2499" s="344"/>
      <c r="E2499" s="334"/>
      <c r="F2499" s="104">
        <f>SUM(F2496:F2498)</f>
        <v>2415000</v>
      </c>
      <c r="G2499" s="25"/>
      <c r="H2499" s="11"/>
      <c r="I2499" s="21"/>
      <c r="J2499" s="21"/>
      <c r="K2499" s="21"/>
      <c r="L2499" s="21"/>
      <c r="M2499" s="21"/>
      <c r="N2499" s="21"/>
    </row>
    <row r="2500" spans="1:14" ht="15.75" customHeight="1" x14ac:dyDescent="0.25">
      <c r="A2500" s="7"/>
      <c r="B2500" s="343" t="s">
        <v>343</v>
      </c>
      <c r="C2500" s="344"/>
      <c r="D2500" s="344"/>
      <c r="E2500" s="334"/>
      <c r="F2500" s="104">
        <v>265650</v>
      </c>
      <c r="G2500" s="25"/>
      <c r="H2500" s="11"/>
      <c r="I2500" s="21"/>
      <c r="J2500" s="21"/>
      <c r="K2500" s="21"/>
      <c r="L2500" s="21"/>
      <c r="M2500" s="21"/>
      <c r="N2500" s="21"/>
    </row>
    <row r="2501" spans="1:14" ht="15.75" customHeight="1" x14ac:dyDescent="0.25">
      <c r="A2501" s="7"/>
      <c r="B2501" s="345" t="s">
        <v>344</v>
      </c>
      <c r="C2501" s="344"/>
      <c r="D2501" s="344"/>
      <c r="E2501" s="334"/>
      <c r="F2501" s="107">
        <f>SUM(F2499:F2500)</f>
        <v>2680650</v>
      </c>
      <c r="G2501" s="25"/>
      <c r="H2501" s="11"/>
      <c r="I2501" s="21"/>
      <c r="J2501" s="21"/>
      <c r="K2501" s="21"/>
      <c r="L2501" s="21"/>
      <c r="M2501" s="21"/>
      <c r="N2501" s="21"/>
    </row>
    <row r="2502" spans="1:14" ht="15.75" customHeight="1" x14ac:dyDescent="0.25">
      <c r="A2502" s="21"/>
      <c r="B2502" s="21"/>
      <c r="C2502" s="11"/>
      <c r="D2502" s="11"/>
      <c r="E2502" s="21"/>
      <c r="F2502" s="21"/>
      <c r="G2502" s="25"/>
      <c r="H2502" s="11"/>
      <c r="I2502" s="21"/>
      <c r="J2502" s="21"/>
      <c r="K2502" s="21"/>
      <c r="L2502" s="21"/>
      <c r="M2502" s="21"/>
      <c r="N2502" s="21"/>
    </row>
    <row r="2503" spans="1:14" ht="15.75" customHeight="1" x14ac:dyDescent="0.25">
      <c r="A2503" s="31" t="s">
        <v>14</v>
      </c>
      <c r="B2503" s="31" t="s">
        <v>234</v>
      </c>
      <c r="C2503" s="31" t="s">
        <v>16</v>
      </c>
      <c r="D2503" s="31" t="s">
        <v>17</v>
      </c>
      <c r="E2503" s="31" t="s">
        <v>235</v>
      </c>
      <c r="F2503" s="31" t="s">
        <v>236</v>
      </c>
      <c r="G2503" s="25"/>
      <c r="H2503" s="11"/>
      <c r="I2503" s="21"/>
      <c r="J2503" s="21"/>
      <c r="K2503" s="21"/>
      <c r="L2503" s="21"/>
      <c r="M2503" s="21"/>
      <c r="N2503" s="21"/>
    </row>
    <row r="2504" spans="1:14" ht="15.75" customHeight="1" x14ac:dyDescent="0.25">
      <c r="A2504" s="7">
        <v>1</v>
      </c>
      <c r="B2504" s="120" t="s">
        <v>1123</v>
      </c>
      <c r="C2504" s="129">
        <v>5</v>
      </c>
      <c r="D2504" s="7" t="s">
        <v>19</v>
      </c>
      <c r="E2504" s="130">
        <v>13850</v>
      </c>
      <c r="F2504" s="130">
        <f>E2504*C2504</f>
        <v>69250</v>
      </c>
      <c r="G2504" s="25"/>
      <c r="H2504" s="11"/>
      <c r="I2504" s="21"/>
      <c r="J2504" s="21"/>
      <c r="K2504" s="21"/>
      <c r="L2504" s="21"/>
      <c r="M2504" s="21"/>
      <c r="N2504" s="21"/>
    </row>
    <row r="2505" spans="1:14" ht="15.75" customHeight="1" x14ac:dyDescent="0.25">
      <c r="A2505" s="7"/>
      <c r="B2505" s="343" t="s">
        <v>342</v>
      </c>
      <c r="C2505" s="344"/>
      <c r="D2505" s="344"/>
      <c r="E2505" s="334"/>
      <c r="F2505" s="104">
        <f>SUM(F2504)</f>
        <v>69250</v>
      </c>
      <c r="G2505" s="25"/>
      <c r="H2505" s="11"/>
      <c r="I2505" s="21"/>
      <c r="J2505" s="21"/>
      <c r="K2505" s="21"/>
      <c r="L2505" s="21"/>
      <c r="M2505" s="21"/>
      <c r="N2505" s="21"/>
    </row>
    <row r="2506" spans="1:14" ht="15.75" customHeight="1" x14ac:dyDescent="0.25">
      <c r="A2506" s="7"/>
      <c r="B2506" s="343" t="s">
        <v>343</v>
      </c>
      <c r="C2506" s="344"/>
      <c r="D2506" s="344"/>
      <c r="E2506" s="334"/>
      <c r="F2506" s="108">
        <v>7617.5</v>
      </c>
      <c r="G2506" s="25"/>
      <c r="H2506" s="11"/>
      <c r="I2506" s="21"/>
      <c r="J2506" s="21"/>
      <c r="K2506" s="21"/>
      <c r="L2506" s="21"/>
      <c r="M2506" s="21"/>
      <c r="N2506" s="21"/>
    </row>
    <row r="2507" spans="1:14" ht="15.75" customHeight="1" x14ac:dyDescent="0.25">
      <c r="A2507" s="7"/>
      <c r="B2507" s="345" t="s">
        <v>344</v>
      </c>
      <c r="C2507" s="344"/>
      <c r="D2507" s="344"/>
      <c r="E2507" s="334"/>
      <c r="F2507" s="109">
        <f>SUM(F2505:F2506)</f>
        <v>76867.5</v>
      </c>
      <c r="G2507" s="25"/>
      <c r="H2507" s="11"/>
      <c r="I2507" s="21"/>
      <c r="J2507" s="21"/>
      <c r="K2507" s="21"/>
      <c r="L2507" s="21"/>
      <c r="M2507" s="21"/>
      <c r="N2507" s="21"/>
    </row>
    <row r="2508" spans="1:14" ht="15.75" customHeight="1" x14ac:dyDescent="0.25">
      <c r="A2508" s="21"/>
      <c r="B2508" s="21"/>
      <c r="C2508" s="11"/>
      <c r="D2508" s="11"/>
      <c r="E2508" s="21"/>
      <c r="F2508" s="21"/>
      <c r="G2508" s="25"/>
      <c r="H2508" s="11"/>
      <c r="I2508" s="21"/>
      <c r="J2508" s="21"/>
      <c r="K2508" s="21"/>
      <c r="L2508" s="21"/>
      <c r="M2508" s="21"/>
      <c r="N2508" s="21"/>
    </row>
    <row r="2509" spans="1:14" ht="15.75" customHeight="1" x14ac:dyDescent="0.25">
      <c r="A2509" s="31" t="s">
        <v>14</v>
      </c>
      <c r="B2509" s="31" t="s">
        <v>234</v>
      </c>
      <c r="C2509" s="31" t="s">
        <v>16</v>
      </c>
      <c r="D2509" s="31" t="s">
        <v>17</v>
      </c>
      <c r="E2509" s="31" t="s">
        <v>235</v>
      </c>
      <c r="F2509" s="31" t="s">
        <v>236</v>
      </c>
      <c r="G2509" s="25"/>
      <c r="H2509" s="11"/>
      <c r="I2509" s="21"/>
      <c r="J2509" s="21"/>
      <c r="K2509" s="21"/>
      <c r="L2509" s="21"/>
      <c r="M2509" s="21"/>
      <c r="N2509" s="21"/>
    </row>
    <row r="2510" spans="1:14" ht="15.75" customHeight="1" x14ac:dyDescent="0.25">
      <c r="A2510" s="7">
        <v>1</v>
      </c>
      <c r="B2510" s="120" t="s">
        <v>1124</v>
      </c>
      <c r="C2510" s="129">
        <v>6</v>
      </c>
      <c r="D2510" s="7" t="s">
        <v>363</v>
      </c>
      <c r="E2510" s="130">
        <v>122026</v>
      </c>
      <c r="F2510" s="130">
        <f>E2510*C2510</f>
        <v>732156</v>
      </c>
      <c r="G2510" s="25"/>
      <c r="H2510" s="11"/>
      <c r="I2510" s="21"/>
      <c r="J2510" s="21"/>
      <c r="K2510" s="21"/>
      <c r="L2510" s="21"/>
      <c r="M2510" s="21"/>
      <c r="N2510" s="21"/>
    </row>
    <row r="2511" spans="1:14" ht="15.75" customHeight="1" x14ac:dyDescent="0.25">
      <c r="A2511" s="7"/>
      <c r="B2511" s="343" t="s">
        <v>342</v>
      </c>
      <c r="C2511" s="344"/>
      <c r="D2511" s="344"/>
      <c r="E2511" s="334"/>
      <c r="F2511" s="104">
        <f>SUM(F2510)</f>
        <v>732156</v>
      </c>
      <c r="G2511" s="25"/>
      <c r="H2511" s="11"/>
      <c r="I2511" s="21"/>
      <c r="J2511" s="21"/>
      <c r="K2511" s="21"/>
      <c r="L2511" s="21"/>
      <c r="M2511" s="21"/>
      <c r="N2511" s="21"/>
    </row>
    <row r="2512" spans="1:14" ht="15.75" customHeight="1" x14ac:dyDescent="0.25">
      <c r="A2512" s="7"/>
      <c r="B2512" s="343" t="s">
        <v>343</v>
      </c>
      <c r="C2512" s="344"/>
      <c r="D2512" s="344"/>
      <c r="E2512" s="334"/>
      <c r="F2512" s="108">
        <v>80537.16</v>
      </c>
      <c r="G2512" s="25"/>
      <c r="H2512" s="11"/>
      <c r="I2512" s="21"/>
      <c r="J2512" s="21"/>
      <c r="K2512" s="21"/>
      <c r="L2512" s="21"/>
      <c r="M2512" s="21"/>
      <c r="N2512" s="21"/>
    </row>
    <row r="2513" spans="1:14" ht="15.75" customHeight="1" x14ac:dyDescent="0.25">
      <c r="A2513" s="7"/>
      <c r="B2513" s="345" t="s">
        <v>344</v>
      </c>
      <c r="C2513" s="344"/>
      <c r="D2513" s="344"/>
      <c r="E2513" s="334"/>
      <c r="F2513" s="109">
        <f>SUM(F2511:F2512)</f>
        <v>812693.16</v>
      </c>
      <c r="G2513" s="25"/>
      <c r="H2513" s="11"/>
      <c r="I2513" s="21"/>
      <c r="J2513" s="21"/>
      <c r="K2513" s="21"/>
      <c r="L2513" s="21"/>
      <c r="M2513" s="21"/>
      <c r="N2513" s="21"/>
    </row>
    <row r="2514" spans="1:14" ht="15.75" customHeight="1" x14ac:dyDescent="0.25">
      <c r="A2514" s="21"/>
      <c r="B2514" s="21"/>
      <c r="C2514" s="11"/>
      <c r="D2514" s="11"/>
      <c r="E2514" s="21"/>
      <c r="F2514" s="21"/>
      <c r="G2514" s="25"/>
      <c r="H2514" s="11"/>
      <c r="I2514" s="21"/>
      <c r="J2514" s="21"/>
      <c r="K2514" s="21"/>
      <c r="L2514" s="21"/>
      <c r="M2514" s="21"/>
      <c r="N2514" s="21"/>
    </row>
    <row r="2515" spans="1:14" ht="15.75" customHeight="1" x14ac:dyDescent="0.25">
      <c r="A2515" s="31" t="s">
        <v>14</v>
      </c>
      <c r="B2515" s="31" t="s">
        <v>234</v>
      </c>
      <c r="C2515" s="31" t="s">
        <v>16</v>
      </c>
      <c r="D2515" s="31" t="s">
        <v>17</v>
      </c>
      <c r="E2515" s="31" t="s">
        <v>235</v>
      </c>
      <c r="F2515" s="31" t="s">
        <v>236</v>
      </c>
      <c r="G2515" s="25"/>
      <c r="H2515" s="11"/>
      <c r="I2515" s="21"/>
      <c r="J2515" s="21"/>
      <c r="K2515" s="21"/>
      <c r="L2515" s="21"/>
      <c r="M2515" s="21"/>
      <c r="N2515" s="21"/>
    </row>
    <row r="2516" spans="1:14" ht="15.75" customHeight="1" x14ac:dyDescent="0.25">
      <c r="A2516" s="7">
        <v>1</v>
      </c>
      <c r="B2516" s="120" t="s">
        <v>1125</v>
      </c>
      <c r="C2516" s="129">
        <v>1</v>
      </c>
      <c r="D2516" s="7" t="s">
        <v>243</v>
      </c>
      <c r="E2516" s="130">
        <v>35500000</v>
      </c>
      <c r="F2516" s="130">
        <f>E2516*C2516</f>
        <v>35500000</v>
      </c>
      <c r="G2516" s="25"/>
      <c r="H2516" s="11"/>
      <c r="I2516" s="21"/>
      <c r="J2516" s="21"/>
      <c r="K2516" s="21"/>
      <c r="L2516" s="21"/>
      <c r="M2516" s="21"/>
      <c r="N2516" s="21"/>
    </row>
    <row r="2517" spans="1:14" ht="15.75" customHeight="1" x14ac:dyDescent="0.25">
      <c r="A2517" s="7"/>
      <c r="B2517" s="343" t="s">
        <v>342</v>
      </c>
      <c r="C2517" s="344"/>
      <c r="D2517" s="344"/>
      <c r="E2517" s="334"/>
      <c r="F2517" s="104">
        <f>SUM(F2516)</f>
        <v>35500000</v>
      </c>
      <c r="G2517" s="25"/>
      <c r="H2517" s="11"/>
      <c r="I2517" s="21"/>
      <c r="J2517" s="21"/>
      <c r="K2517" s="21"/>
      <c r="L2517" s="21"/>
      <c r="M2517" s="21"/>
      <c r="N2517" s="21"/>
    </row>
    <row r="2518" spans="1:14" ht="15.75" customHeight="1" x14ac:dyDescent="0.25">
      <c r="A2518" s="7"/>
      <c r="B2518" s="343" t="s">
        <v>343</v>
      </c>
      <c r="C2518" s="344"/>
      <c r="D2518" s="344"/>
      <c r="E2518" s="334"/>
      <c r="F2518" s="104">
        <v>3905000</v>
      </c>
      <c r="G2518" s="25"/>
      <c r="H2518" s="11"/>
      <c r="I2518" s="21"/>
      <c r="J2518" s="21"/>
      <c r="K2518" s="21"/>
      <c r="L2518" s="21"/>
      <c r="M2518" s="21"/>
      <c r="N2518" s="21"/>
    </row>
    <row r="2519" spans="1:14" ht="15.75" customHeight="1" x14ac:dyDescent="0.25">
      <c r="A2519" s="7"/>
      <c r="B2519" s="345" t="s">
        <v>344</v>
      </c>
      <c r="C2519" s="344"/>
      <c r="D2519" s="344"/>
      <c r="E2519" s="334"/>
      <c r="F2519" s="107">
        <f>SUM(F2517:F2518)</f>
        <v>39405000</v>
      </c>
      <c r="G2519" s="25"/>
      <c r="H2519" s="11"/>
      <c r="I2519" s="21"/>
      <c r="J2519" s="21"/>
      <c r="K2519" s="21"/>
      <c r="L2519" s="21"/>
      <c r="M2519" s="21"/>
      <c r="N2519" s="21"/>
    </row>
    <row r="2520" spans="1:14" ht="15.75" customHeight="1" x14ac:dyDescent="0.25">
      <c r="A2520" s="21"/>
      <c r="B2520" s="21"/>
      <c r="C2520" s="11"/>
      <c r="D2520" s="11"/>
      <c r="E2520" s="21"/>
      <c r="F2520" s="21"/>
      <c r="G2520" s="25"/>
      <c r="H2520" s="11"/>
      <c r="I2520" s="21"/>
      <c r="J2520" s="21"/>
      <c r="K2520" s="21"/>
      <c r="L2520" s="21"/>
      <c r="M2520" s="21"/>
      <c r="N2520" s="21"/>
    </row>
    <row r="2521" spans="1:14" ht="15.75" customHeight="1" x14ac:dyDescent="0.25">
      <c r="A2521" s="31" t="s">
        <v>14</v>
      </c>
      <c r="B2521" s="31" t="s">
        <v>234</v>
      </c>
      <c r="C2521" s="31" t="s">
        <v>16</v>
      </c>
      <c r="D2521" s="31" t="s">
        <v>17</v>
      </c>
      <c r="E2521" s="31" t="s">
        <v>235</v>
      </c>
      <c r="F2521" s="31" t="s">
        <v>236</v>
      </c>
      <c r="G2521" s="25"/>
      <c r="H2521" s="11"/>
      <c r="I2521" s="21"/>
      <c r="J2521" s="21"/>
      <c r="K2521" s="21"/>
      <c r="L2521" s="21"/>
      <c r="M2521" s="21"/>
      <c r="N2521" s="21"/>
    </row>
    <row r="2522" spans="1:14" ht="15.75" customHeight="1" x14ac:dyDescent="0.25">
      <c r="A2522" s="7">
        <v>1</v>
      </c>
      <c r="B2522" s="120" t="s">
        <v>1126</v>
      </c>
      <c r="C2522" s="129">
        <v>5</v>
      </c>
      <c r="D2522" s="7" t="s">
        <v>19</v>
      </c>
      <c r="E2522" s="130">
        <v>9000</v>
      </c>
      <c r="F2522" s="130">
        <f>E2522*C2522</f>
        <v>45000</v>
      </c>
      <c r="G2522" s="25"/>
      <c r="H2522" s="11"/>
      <c r="I2522" s="21"/>
      <c r="J2522" s="21"/>
      <c r="K2522" s="21"/>
      <c r="L2522" s="21"/>
      <c r="M2522" s="21"/>
      <c r="N2522" s="21"/>
    </row>
    <row r="2523" spans="1:14" ht="15.75" customHeight="1" x14ac:dyDescent="0.25">
      <c r="A2523" s="7"/>
      <c r="B2523" s="343" t="s">
        <v>342</v>
      </c>
      <c r="C2523" s="344"/>
      <c r="D2523" s="344"/>
      <c r="E2523" s="334"/>
      <c r="F2523" s="104">
        <f>SUM(F2522)</f>
        <v>45000</v>
      </c>
      <c r="G2523" s="25"/>
      <c r="H2523" s="11"/>
      <c r="I2523" s="21"/>
      <c r="J2523" s="21"/>
      <c r="K2523" s="21"/>
      <c r="L2523" s="21"/>
      <c r="M2523" s="21"/>
      <c r="N2523" s="21"/>
    </row>
    <row r="2524" spans="1:14" ht="15.75" customHeight="1" x14ac:dyDescent="0.25">
      <c r="A2524" s="7"/>
      <c r="B2524" s="343" t="s">
        <v>343</v>
      </c>
      <c r="C2524" s="344"/>
      <c r="D2524" s="344"/>
      <c r="E2524" s="334"/>
      <c r="F2524" s="104">
        <v>4950</v>
      </c>
      <c r="G2524" s="25"/>
      <c r="H2524" s="11"/>
      <c r="I2524" s="21"/>
      <c r="J2524" s="21"/>
      <c r="K2524" s="21"/>
      <c r="L2524" s="21"/>
      <c r="M2524" s="21"/>
      <c r="N2524" s="21"/>
    </row>
    <row r="2525" spans="1:14" ht="15.75" customHeight="1" x14ac:dyDescent="0.25">
      <c r="A2525" s="7"/>
      <c r="B2525" s="345" t="s">
        <v>344</v>
      </c>
      <c r="C2525" s="344"/>
      <c r="D2525" s="344"/>
      <c r="E2525" s="334"/>
      <c r="F2525" s="107">
        <f>SUM(F2523:F2524)</f>
        <v>49950</v>
      </c>
      <c r="G2525" s="25"/>
      <c r="H2525" s="11"/>
      <c r="I2525" s="21"/>
      <c r="J2525" s="21"/>
      <c r="K2525" s="21"/>
      <c r="L2525" s="21"/>
      <c r="M2525" s="21"/>
      <c r="N2525" s="21"/>
    </row>
    <row r="2526" spans="1:14" ht="15.75" customHeight="1" x14ac:dyDescent="0.25">
      <c r="A2526" s="21"/>
      <c r="B2526" s="21"/>
      <c r="C2526" s="11"/>
      <c r="D2526" s="11"/>
      <c r="E2526" s="21"/>
      <c r="F2526" s="21"/>
      <c r="G2526" s="25"/>
      <c r="H2526" s="11"/>
      <c r="I2526" s="21"/>
      <c r="J2526" s="21"/>
      <c r="K2526" s="21"/>
      <c r="L2526" s="21"/>
      <c r="M2526" s="21"/>
      <c r="N2526" s="21"/>
    </row>
    <row r="2527" spans="1:14" ht="15.75" customHeight="1" x14ac:dyDescent="0.25">
      <c r="A2527" s="31" t="s">
        <v>14</v>
      </c>
      <c r="B2527" s="31" t="s">
        <v>234</v>
      </c>
      <c r="C2527" s="31" t="s">
        <v>16</v>
      </c>
      <c r="D2527" s="31" t="s">
        <v>17</v>
      </c>
      <c r="E2527" s="31" t="s">
        <v>235</v>
      </c>
      <c r="F2527" s="31" t="s">
        <v>236</v>
      </c>
      <c r="G2527" s="25"/>
      <c r="H2527" s="11"/>
      <c r="I2527" s="21"/>
      <c r="J2527" s="21"/>
      <c r="K2527" s="21"/>
      <c r="L2527" s="21"/>
      <c r="M2527" s="21"/>
      <c r="N2527" s="21"/>
    </row>
    <row r="2528" spans="1:14" ht="15.75" customHeight="1" x14ac:dyDescent="0.25">
      <c r="A2528" s="7">
        <v>1</v>
      </c>
      <c r="B2528" s="120" t="s">
        <v>1127</v>
      </c>
      <c r="C2528" s="129">
        <v>4</v>
      </c>
      <c r="D2528" s="7" t="s">
        <v>989</v>
      </c>
      <c r="E2528" s="130">
        <v>101850</v>
      </c>
      <c r="F2528" s="130">
        <f>E2528*C2528</f>
        <v>407400</v>
      </c>
      <c r="G2528" s="25"/>
      <c r="H2528" s="11"/>
      <c r="I2528" s="21"/>
      <c r="J2528" s="21"/>
      <c r="K2528" s="21"/>
      <c r="L2528" s="21"/>
      <c r="M2528" s="21"/>
      <c r="N2528" s="21"/>
    </row>
    <row r="2529" spans="1:14" ht="15.75" customHeight="1" x14ac:dyDescent="0.25">
      <c r="A2529" s="7"/>
      <c r="B2529" s="343" t="s">
        <v>342</v>
      </c>
      <c r="C2529" s="344"/>
      <c r="D2529" s="344"/>
      <c r="E2529" s="334"/>
      <c r="F2529" s="104">
        <f>SUM(F2528)</f>
        <v>407400</v>
      </c>
      <c r="G2529" s="25"/>
      <c r="H2529" s="11"/>
      <c r="I2529" s="21"/>
      <c r="J2529" s="21"/>
      <c r="K2529" s="21"/>
      <c r="L2529" s="21"/>
      <c r="M2529" s="21"/>
      <c r="N2529" s="21"/>
    </row>
    <row r="2530" spans="1:14" ht="15.75" customHeight="1" x14ac:dyDescent="0.25">
      <c r="A2530" s="7"/>
      <c r="B2530" s="343" t="s">
        <v>343</v>
      </c>
      <c r="C2530" s="344"/>
      <c r="D2530" s="344"/>
      <c r="E2530" s="334"/>
      <c r="F2530" s="104">
        <v>44814</v>
      </c>
      <c r="G2530" s="25"/>
      <c r="H2530" s="11"/>
      <c r="I2530" s="21"/>
      <c r="J2530" s="21"/>
      <c r="K2530" s="21"/>
      <c r="L2530" s="21"/>
      <c r="M2530" s="21"/>
      <c r="N2530" s="21"/>
    </row>
    <row r="2531" spans="1:14" ht="15.75" customHeight="1" x14ac:dyDescent="0.25">
      <c r="A2531" s="7"/>
      <c r="B2531" s="345" t="s">
        <v>344</v>
      </c>
      <c r="C2531" s="344"/>
      <c r="D2531" s="344"/>
      <c r="E2531" s="334"/>
      <c r="F2531" s="107">
        <f>SUM(F2529:F2530)</f>
        <v>452214</v>
      </c>
      <c r="G2531" s="25"/>
      <c r="H2531" s="11"/>
      <c r="I2531" s="21"/>
      <c r="J2531" s="21"/>
      <c r="K2531" s="21"/>
      <c r="L2531" s="21"/>
      <c r="M2531" s="21"/>
      <c r="N2531" s="21"/>
    </row>
    <row r="2532" spans="1:14" ht="15.75" customHeight="1" x14ac:dyDescent="0.25">
      <c r="A2532" s="21"/>
      <c r="B2532" s="21"/>
      <c r="C2532" s="11"/>
      <c r="D2532" s="11"/>
      <c r="E2532" s="21"/>
      <c r="F2532" s="21"/>
      <c r="G2532" s="25"/>
      <c r="H2532" s="11"/>
      <c r="I2532" s="21"/>
      <c r="J2532" s="21"/>
      <c r="K2532" s="21"/>
      <c r="L2532" s="21"/>
      <c r="M2532" s="21"/>
      <c r="N2532" s="21"/>
    </row>
    <row r="2533" spans="1:14" ht="15.75" customHeight="1" x14ac:dyDescent="0.25">
      <c r="A2533" s="31" t="s">
        <v>14</v>
      </c>
      <c r="B2533" s="31" t="s">
        <v>234</v>
      </c>
      <c r="C2533" s="31" t="s">
        <v>16</v>
      </c>
      <c r="D2533" s="31" t="s">
        <v>17</v>
      </c>
      <c r="E2533" s="31" t="s">
        <v>235</v>
      </c>
      <c r="F2533" s="31" t="s">
        <v>236</v>
      </c>
      <c r="G2533" s="25"/>
      <c r="H2533" s="11"/>
      <c r="I2533" s="21"/>
      <c r="J2533" s="21"/>
      <c r="K2533" s="21"/>
      <c r="L2533" s="21"/>
      <c r="M2533" s="21"/>
      <c r="N2533" s="21"/>
    </row>
    <row r="2534" spans="1:14" ht="15.75" customHeight="1" x14ac:dyDescent="0.25">
      <c r="A2534" s="7">
        <v>1</v>
      </c>
      <c r="B2534" s="153" t="s">
        <v>1128</v>
      </c>
      <c r="C2534" s="129">
        <v>3</v>
      </c>
      <c r="D2534" s="7" t="s">
        <v>347</v>
      </c>
      <c r="E2534" s="130">
        <v>410000</v>
      </c>
      <c r="F2534" s="130">
        <f>E2534*C2534</f>
        <v>1230000</v>
      </c>
      <c r="G2534" s="25"/>
      <c r="H2534" s="11"/>
      <c r="I2534" s="21"/>
      <c r="J2534" s="21"/>
      <c r="K2534" s="21"/>
      <c r="L2534" s="21"/>
      <c r="M2534" s="21"/>
      <c r="N2534" s="21"/>
    </row>
    <row r="2535" spans="1:14" ht="15.75" customHeight="1" x14ac:dyDescent="0.25">
      <c r="A2535" s="7">
        <v>2</v>
      </c>
      <c r="B2535" s="154" t="s">
        <v>1129</v>
      </c>
      <c r="C2535" s="129">
        <v>10</v>
      </c>
      <c r="D2535" s="7" t="s">
        <v>19</v>
      </c>
      <c r="E2535" s="130">
        <v>62550</v>
      </c>
      <c r="F2535" s="130">
        <f>E2535*C2535</f>
        <v>625500</v>
      </c>
      <c r="G2535" s="25"/>
      <c r="H2535" s="11"/>
      <c r="I2535" s="21"/>
      <c r="J2535" s="21"/>
      <c r="K2535" s="21"/>
      <c r="L2535" s="21"/>
      <c r="M2535" s="21"/>
      <c r="N2535" s="21"/>
    </row>
    <row r="2536" spans="1:14" ht="15.75" customHeight="1" x14ac:dyDescent="0.25">
      <c r="A2536" s="7">
        <v>3</v>
      </c>
      <c r="B2536" s="153" t="s">
        <v>1130</v>
      </c>
      <c r="C2536" s="129">
        <v>10</v>
      </c>
      <c r="D2536" s="7" t="s">
        <v>19</v>
      </c>
      <c r="E2536" s="130">
        <v>58500</v>
      </c>
      <c r="F2536" s="130">
        <f>E2536*C2536</f>
        <v>585000</v>
      </c>
      <c r="G2536" s="25"/>
      <c r="H2536" s="11"/>
      <c r="I2536" s="21"/>
      <c r="J2536" s="21"/>
      <c r="K2536" s="21"/>
      <c r="L2536" s="21"/>
      <c r="M2536" s="21"/>
      <c r="N2536" s="21"/>
    </row>
    <row r="2537" spans="1:14" ht="15.75" customHeight="1" x14ac:dyDescent="0.25">
      <c r="A2537" s="7">
        <v>4</v>
      </c>
      <c r="B2537" s="154" t="s">
        <v>1131</v>
      </c>
      <c r="C2537" s="129">
        <v>10</v>
      </c>
      <c r="D2537" s="7" t="s">
        <v>19</v>
      </c>
      <c r="E2537" s="130">
        <v>52920</v>
      </c>
      <c r="F2537" s="130">
        <f>E2537*C2537</f>
        <v>529200</v>
      </c>
      <c r="G2537" s="25"/>
      <c r="H2537" s="11"/>
      <c r="I2537" s="21"/>
      <c r="J2537" s="21"/>
      <c r="K2537" s="21"/>
      <c r="L2537" s="21"/>
      <c r="M2537" s="21"/>
      <c r="N2537" s="21"/>
    </row>
    <row r="2538" spans="1:14" ht="15.75" customHeight="1" x14ac:dyDescent="0.25">
      <c r="A2538" s="7"/>
      <c r="B2538" s="343" t="s">
        <v>342</v>
      </c>
      <c r="C2538" s="344"/>
      <c r="D2538" s="344"/>
      <c r="E2538" s="334"/>
      <c r="F2538" s="104">
        <f>SUM(F2534:F2537)</f>
        <v>2969700</v>
      </c>
      <c r="G2538" s="25"/>
      <c r="H2538" s="11"/>
      <c r="I2538" s="21"/>
      <c r="J2538" s="21"/>
      <c r="K2538" s="21"/>
      <c r="L2538" s="21"/>
      <c r="M2538" s="21"/>
      <c r="N2538" s="21"/>
    </row>
    <row r="2539" spans="1:14" ht="15.75" customHeight="1" x14ac:dyDescent="0.25">
      <c r="A2539" s="7"/>
      <c r="B2539" s="343" t="s">
        <v>343</v>
      </c>
      <c r="C2539" s="344"/>
      <c r="D2539" s="344"/>
      <c r="E2539" s="334"/>
      <c r="F2539" s="104">
        <v>326667</v>
      </c>
      <c r="G2539" s="25"/>
      <c r="H2539" s="11"/>
      <c r="I2539" s="21"/>
      <c r="J2539" s="21"/>
      <c r="K2539" s="21"/>
      <c r="L2539" s="21"/>
      <c r="M2539" s="21"/>
      <c r="N2539" s="21"/>
    </row>
    <row r="2540" spans="1:14" ht="15.75" customHeight="1" x14ac:dyDescent="0.25">
      <c r="A2540" s="7"/>
      <c r="B2540" s="345" t="s">
        <v>344</v>
      </c>
      <c r="C2540" s="344"/>
      <c r="D2540" s="344"/>
      <c r="E2540" s="334"/>
      <c r="F2540" s="107">
        <f>SUM(F2538:F2539)</f>
        <v>3296367</v>
      </c>
      <c r="G2540" s="25"/>
      <c r="H2540" s="11"/>
      <c r="I2540" s="21"/>
      <c r="J2540" s="21"/>
      <c r="K2540" s="21"/>
      <c r="L2540" s="21"/>
      <c r="M2540" s="21"/>
      <c r="N2540" s="21"/>
    </row>
    <row r="2541" spans="1:14" ht="15.75" customHeight="1" x14ac:dyDescent="0.25">
      <c r="A2541" s="21"/>
      <c r="B2541" s="21"/>
      <c r="C2541" s="11"/>
      <c r="D2541" s="11"/>
      <c r="E2541" s="21"/>
      <c r="F2541" s="21"/>
      <c r="G2541" s="25"/>
      <c r="H2541" s="11"/>
      <c r="I2541" s="21"/>
      <c r="J2541" s="21"/>
      <c r="K2541" s="21"/>
      <c r="L2541" s="21"/>
      <c r="M2541" s="21"/>
      <c r="N2541" s="21"/>
    </row>
    <row r="2542" spans="1:14" ht="15.75" customHeight="1" x14ac:dyDescent="0.25">
      <c r="A2542" s="31" t="s">
        <v>14</v>
      </c>
      <c r="B2542" s="31" t="s">
        <v>234</v>
      </c>
      <c r="C2542" s="31" t="s">
        <v>16</v>
      </c>
      <c r="D2542" s="31" t="s">
        <v>17</v>
      </c>
      <c r="E2542" s="31" t="s">
        <v>235</v>
      </c>
      <c r="F2542" s="31" t="s">
        <v>236</v>
      </c>
      <c r="G2542" s="25"/>
      <c r="H2542" s="11"/>
      <c r="I2542" s="21"/>
      <c r="J2542" s="21"/>
      <c r="K2542" s="21"/>
      <c r="L2542" s="21"/>
      <c r="M2542" s="21"/>
      <c r="N2542" s="21"/>
    </row>
    <row r="2543" spans="1:14" ht="15.75" customHeight="1" x14ac:dyDescent="0.25">
      <c r="A2543" s="7">
        <v>1</v>
      </c>
      <c r="B2543" s="153" t="s">
        <v>1132</v>
      </c>
      <c r="C2543" s="129">
        <v>3</v>
      </c>
      <c r="D2543" s="7" t="s">
        <v>19</v>
      </c>
      <c r="E2543" s="130">
        <v>77000</v>
      </c>
      <c r="F2543" s="130">
        <f>E2543*C2543</f>
        <v>231000</v>
      </c>
      <c r="G2543" s="25"/>
      <c r="H2543" s="11"/>
      <c r="I2543" s="21"/>
      <c r="J2543" s="21"/>
      <c r="K2543" s="21"/>
      <c r="L2543" s="21"/>
      <c r="M2543" s="21"/>
      <c r="N2543" s="21"/>
    </row>
    <row r="2544" spans="1:14" ht="15.75" customHeight="1" x14ac:dyDescent="0.25">
      <c r="A2544" s="7">
        <v>2</v>
      </c>
      <c r="B2544" s="154" t="s">
        <v>1133</v>
      </c>
      <c r="C2544" s="129">
        <v>10</v>
      </c>
      <c r="D2544" s="7" t="s">
        <v>19</v>
      </c>
      <c r="E2544" s="130">
        <v>74000</v>
      </c>
      <c r="F2544" s="130">
        <f>E2544*C2544</f>
        <v>740000</v>
      </c>
      <c r="G2544" s="25"/>
      <c r="H2544" s="11"/>
      <c r="I2544" s="21"/>
      <c r="J2544" s="21"/>
      <c r="K2544" s="21"/>
      <c r="L2544" s="21"/>
      <c r="M2544" s="21"/>
      <c r="N2544" s="21"/>
    </row>
    <row r="2545" spans="1:14" ht="15.75" customHeight="1" x14ac:dyDescent="0.25">
      <c r="A2545" s="7">
        <v>3</v>
      </c>
      <c r="B2545" s="154" t="s">
        <v>1134</v>
      </c>
      <c r="C2545" s="129">
        <v>60</v>
      </c>
      <c r="D2545" s="7" t="s">
        <v>1135</v>
      </c>
      <c r="E2545" s="130">
        <v>85000</v>
      </c>
      <c r="F2545" s="130">
        <f>E2545*C2545</f>
        <v>5100000</v>
      </c>
      <c r="G2545" s="25"/>
      <c r="H2545" s="11"/>
      <c r="I2545" s="21"/>
      <c r="J2545" s="21"/>
      <c r="K2545" s="21"/>
      <c r="L2545" s="21"/>
      <c r="M2545" s="21"/>
      <c r="N2545" s="21"/>
    </row>
    <row r="2546" spans="1:14" ht="15.75" customHeight="1" x14ac:dyDescent="0.25">
      <c r="A2546" s="7">
        <v>4</v>
      </c>
      <c r="B2546" s="154" t="s">
        <v>1136</v>
      </c>
      <c r="C2546" s="129">
        <v>50</v>
      </c>
      <c r="D2546" s="7" t="s">
        <v>1137</v>
      </c>
      <c r="E2546" s="130">
        <v>4000</v>
      </c>
      <c r="F2546" s="130">
        <f>E2546*C2546</f>
        <v>200000</v>
      </c>
      <c r="G2546" s="25"/>
      <c r="H2546" s="11"/>
      <c r="I2546" s="21"/>
      <c r="J2546" s="21"/>
      <c r="K2546" s="21"/>
      <c r="L2546" s="21"/>
      <c r="M2546" s="21"/>
      <c r="N2546" s="21"/>
    </row>
    <row r="2547" spans="1:14" ht="15.75" customHeight="1" x14ac:dyDescent="0.25">
      <c r="A2547" s="7">
        <v>5</v>
      </c>
      <c r="B2547" s="154" t="s">
        <v>1138</v>
      </c>
      <c r="C2547" s="129">
        <v>10</v>
      </c>
      <c r="D2547" s="7" t="s">
        <v>19</v>
      </c>
      <c r="E2547" s="130">
        <v>10500</v>
      </c>
      <c r="F2547" s="130">
        <f>E2547*C2547</f>
        <v>105000</v>
      </c>
      <c r="G2547" s="25"/>
      <c r="H2547" s="11"/>
      <c r="I2547" s="21"/>
      <c r="J2547" s="21"/>
      <c r="K2547" s="21"/>
      <c r="L2547" s="21"/>
      <c r="M2547" s="21"/>
      <c r="N2547" s="21"/>
    </row>
    <row r="2548" spans="1:14" ht="15.75" customHeight="1" x14ac:dyDescent="0.25">
      <c r="A2548" s="7"/>
      <c r="B2548" s="343" t="s">
        <v>342</v>
      </c>
      <c r="C2548" s="344"/>
      <c r="D2548" s="344"/>
      <c r="E2548" s="334"/>
      <c r="F2548" s="104">
        <f>SUM(F2543:F2547)</f>
        <v>6376000</v>
      </c>
      <c r="G2548" s="25"/>
      <c r="H2548" s="11"/>
      <c r="I2548" s="21"/>
      <c r="J2548" s="21"/>
      <c r="K2548" s="21"/>
      <c r="L2548" s="21"/>
      <c r="M2548" s="21"/>
      <c r="N2548" s="21"/>
    </row>
    <row r="2549" spans="1:14" ht="15.75" customHeight="1" x14ac:dyDescent="0.25">
      <c r="A2549" s="7"/>
      <c r="B2549" s="343" t="s">
        <v>343</v>
      </c>
      <c r="C2549" s="344"/>
      <c r="D2549" s="344"/>
      <c r="E2549" s="334"/>
      <c r="F2549" s="104">
        <v>701360</v>
      </c>
      <c r="G2549" s="25"/>
      <c r="H2549" s="11"/>
      <c r="I2549" s="21"/>
      <c r="J2549" s="21"/>
      <c r="K2549" s="21"/>
      <c r="L2549" s="21"/>
      <c r="M2549" s="21"/>
      <c r="N2549" s="21"/>
    </row>
    <row r="2550" spans="1:14" ht="15.75" customHeight="1" x14ac:dyDescent="0.25">
      <c r="A2550" s="7"/>
      <c r="B2550" s="345" t="s">
        <v>344</v>
      </c>
      <c r="C2550" s="344"/>
      <c r="D2550" s="344"/>
      <c r="E2550" s="334"/>
      <c r="F2550" s="107">
        <f>SUM(F2548:F2549)</f>
        <v>7077360</v>
      </c>
      <c r="G2550" s="25"/>
      <c r="H2550" s="11"/>
      <c r="I2550" s="21"/>
      <c r="J2550" s="21"/>
      <c r="K2550" s="21"/>
      <c r="L2550" s="21"/>
      <c r="M2550" s="21"/>
      <c r="N2550" s="21"/>
    </row>
    <row r="2551" spans="1:14" ht="15.75" customHeight="1" x14ac:dyDescent="0.25">
      <c r="A2551" s="21"/>
      <c r="B2551" s="21"/>
      <c r="C2551" s="11"/>
      <c r="D2551" s="11"/>
      <c r="E2551" s="21"/>
      <c r="F2551" s="21"/>
      <c r="G2551" s="25"/>
      <c r="H2551" s="11"/>
      <c r="I2551" s="21"/>
      <c r="J2551" s="21"/>
      <c r="K2551" s="21"/>
      <c r="L2551" s="21"/>
      <c r="M2551" s="21"/>
      <c r="N2551" s="21"/>
    </row>
    <row r="2552" spans="1:14" ht="15.75" customHeight="1" x14ac:dyDescent="0.25">
      <c r="A2552" s="31" t="s">
        <v>351</v>
      </c>
      <c r="B2552" s="31" t="s">
        <v>234</v>
      </c>
      <c r="C2552" s="31" t="s">
        <v>16</v>
      </c>
      <c r="D2552" s="31" t="s">
        <v>17</v>
      </c>
      <c r="E2552" s="31" t="s">
        <v>235</v>
      </c>
      <c r="F2552" s="31" t="s">
        <v>236</v>
      </c>
      <c r="G2552" s="25"/>
      <c r="H2552" s="11"/>
      <c r="I2552" s="21"/>
      <c r="J2552" s="21"/>
      <c r="K2552" s="21"/>
      <c r="L2552" s="21"/>
      <c r="M2552" s="21"/>
      <c r="N2552" s="21"/>
    </row>
    <row r="2553" spans="1:14" ht="15.75" customHeight="1" x14ac:dyDescent="0.25">
      <c r="A2553" s="7">
        <v>1</v>
      </c>
      <c r="B2553" s="41" t="s">
        <v>990</v>
      </c>
      <c r="C2553" s="7">
        <v>90</v>
      </c>
      <c r="D2553" s="7" t="s">
        <v>539</v>
      </c>
      <c r="E2553" s="104">
        <v>36500</v>
      </c>
      <c r="F2553" s="104">
        <f>E2553*C2553</f>
        <v>3285000</v>
      </c>
      <c r="G2553" s="25"/>
      <c r="H2553" s="11"/>
      <c r="I2553" s="21"/>
      <c r="J2553" s="21"/>
      <c r="K2553" s="21"/>
      <c r="L2553" s="21"/>
      <c r="M2553" s="21"/>
      <c r="N2553" s="21"/>
    </row>
    <row r="2554" spans="1:14" ht="15.75" customHeight="1" x14ac:dyDescent="0.25">
      <c r="A2554" s="7">
        <v>2</v>
      </c>
      <c r="B2554" s="41" t="s">
        <v>671</v>
      </c>
      <c r="C2554" s="7">
        <v>90</v>
      </c>
      <c r="D2554" s="7" t="s">
        <v>539</v>
      </c>
      <c r="E2554" s="104">
        <v>48325</v>
      </c>
      <c r="F2554" s="104">
        <f>E2554*C2554</f>
        <v>4349250</v>
      </c>
      <c r="G2554" s="25"/>
      <c r="H2554" s="11"/>
      <c r="I2554" s="21"/>
      <c r="J2554" s="21"/>
      <c r="K2554" s="21"/>
      <c r="L2554" s="21"/>
      <c r="M2554" s="21"/>
      <c r="N2554" s="21"/>
    </row>
    <row r="2555" spans="1:14" ht="15.75" customHeight="1" x14ac:dyDescent="0.25">
      <c r="A2555" s="7"/>
      <c r="B2555" s="343" t="s">
        <v>342</v>
      </c>
      <c r="C2555" s="344"/>
      <c r="D2555" s="344"/>
      <c r="E2555" s="334"/>
      <c r="F2555" s="104">
        <f>SUM(F2553:F2554)</f>
        <v>7634250</v>
      </c>
      <c r="G2555" s="25"/>
      <c r="H2555" s="11"/>
      <c r="I2555" s="21"/>
      <c r="J2555" s="21"/>
      <c r="K2555" s="21"/>
      <c r="L2555" s="21"/>
      <c r="M2555" s="21"/>
      <c r="N2555" s="21"/>
    </row>
    <row r="2556" spans="1:14" ht="15.75" customHeight="1" x14ac:dyDescent="0.25">
      <c r="A2556" s="7"/>
      <c r="B2556" s="343" t="s">
        <v>343</v>
      </c>
      <c r="C2556" s="344"/>
      <c r="D2556" s="344"/>
      <c r="E2556" s="334"/>
      <c r="F2556" s="108">
        <v>839767.5</v>
      </c>
      <c r="G2556" s="25"/>
      <c r="H2556" s="11"/>
      <c r="I2556" s="21"/>
      <c r="J2556" s="21"/>
      <c r="K2556" s="21"/>
      <c r="L2556" s="21"/>
      <c r="M2556" s="21"/>
      <c r="N2556" s="21"/>
    </row>
    <row r="2557" spans="1:14" ht="15.75" customHeight="1" x14ac:dyDescent="0.25">
      <c r="A2557" s="7"/>
      <c r="B2557" s="345" t="s">
        <v>344</v>
      </c>
      <c r="C2557" s="344"/>
      <c r="D2557" s="344"/>
      <c r="E2557" s="334"/>
      <c r="F2557" s="109">
        <f>SUM(F2555:F2556)</f>
        <v>8474017.5</v>
      </c>
      <c r="G2557" s="25"/>
      <c r="H2557" s="11"/>
      <c r="I2557" s="21"/>
      <c r="J2557" s="21"/>
      <c r="K2557" s="21"/>
      <c r="L2557" s="21"/>
      <c r="M2557" s="21"/>
      <c r="N2557" s="21"/>
    </row>
    <row r="2558" spans="1:14" ht="15.75" customHeight="1" x14ac:dyDescent="0.25">
      <c r="A2558" s="21"/>
      <c r="B2558" s="21"/>
      <c r="C2558" s="11"/>
      <c r="D2558" s="11"/>
      <c r="E2558" s="21"/>
      <c r="F2558" s="21"/>
      <c r="G2558" s="25"/>
      <c r="H2558" s="11"/>
      <c r="I2558" s="21"/>
      <c r="J2558" s="21"/>
      <c r="K2558" s="21"/>
      <c r="L2558" s="21"/>
      <c r="M2558" s="21"/>
      <c r="N2558" s="21"/>
    </row>
    <row r="2559" spans="1:14" ht="15.75" customHeight="1" x14ac:dyDescent="0.25">
      <c r="A2559" s="31" t="s">
        <v>14</v>
      </c>
      <c r="B2559" s="31" t="s">
        <v>234</v>
      </c>
      <c r="C2559" s="31" t="s">
        <v>16</v>
      </c>
      <c r="D2559" s="31" t="s">
        <v>17</v>
      </c>
      <c r="E2559" s="31" t="s">
        <v>235</v>
      </c>
      <c r="F2559" s="31" t="s">
        <v>236</v>
      </c>
      <c r="G2559" s="25"/>
      <c r="H2559" s="11"/>
      <c r="I2559" s="21"/>
      <c r="J2559" s="21"/>
      <c r="K2559" s="21"/>
      <c r="L2559" s="21"/>
      <c r="M2559" s="21"/>
      <c r="N2559" s="21"/>
    </row>
    <row r="2560" spans="1:14" ht="15.75" customHeight="1" x14ac:dyDescent="0.25">
      <c r="A2560" s="7">
        <v>1</v>
      </c>
      <c r="B2560" s="120" t="s">
        <v>1139</v>
      </c>
      <c r="C2560" s="129">
        <v>5</v>
      </c>
      <c r="D2560" s="7" t="s">
        <v>363</v>
      </c>
      <c r="E2560" s="130">
        <v>126800</v>
      </c>
      <c r="F2560" s="130">
        <f>E2560*C2560</f>
        <v>634000</v>
      </c>
      <c r="G2560" s="25"/>
      <c r="H2560" s="11"/>
      <c r="I2560" s="21"/>
      <c r="J2560" s="21"/>
      <c r="K2560" s="21"/>
      <c r="L2560" s="21"/>
      <c r="M2560" s="21"/>
      <c r="N2560" s="21"/>
    </row>
    <row r="2561" spans="1:14" ht="15.75" customHeight="1" x14ac:dyDescent="0.25">
      <c r="A2561" s="7"/>
      <c r="B2561" s="343" t="s">
        <v>342</v>
      </c>
      <c r="C2561" s="344"/>
      <c r="D2561" s="344"/>
      <c r="E2561" s="334"/>
      <c r="F2561" s="104">
        <f>SUM(F2560)</f>
        <v>634000</v>
      </c>
      <c r="G2561" s="25"/>
      <c r="H2561" s="11"/>
      <c r="I2561" s="21"/>
      <c r="J2561" s="21"/>
      <c r="K2561" s="21"/>
      <c r="L2561" s="21"/>
      <c r="M2561" s="21"/>
      <c r="N2561" s="21"/>
    </row>
    <row r="2562" spans="1:14" ht="15.75" customHeight="1" x14ac:dyDescent="0.25">
      <c r="A2562" s="7"/>
      <c r="B2562" s="343" t="s">
        <v>343</v>
      </c>
      <c r="C2562" s="344"/>
      <c r="D2562" s="344"/>
      <c r="E2562" s="334"/>
      <c r="F2562" s="104">
        <v>69740</v>
      </c>
      <c r="G2562" s="25"/>
      <c r="H2562" s="11"/>
      <c r="I2562" s="21"/>
      <c r="J2562" s="21"/>
      <c r="K2562" s="21"/>
      <c r="L2562" s="21"/>
      <c r="M2562" s="21"/>
      <c r="N2562" s="21"/>
    </row>
    <row r="2563" spans="1:14" ht="15.75" customHeight="1" x14ac:dyDescent="0.25">
      <c r="A2563" s="7"/>
      <c r="B2563" s="345" t="s">
        <v>344</v>
      </c>
      <c r="C2563" s="344"/>
      <c r="D2563" s="344"/>
      <c r="E2563" s="334"/>
      <c r="F2563" s="107">
        <f>SUM(F2561:F2562)</f>
        <v>703740</v>
      </c>
      <c r="G2563" s="25"/>
      <c r="H2563" s="11"/>
      <c r="I2563" s="21"/>
      <c r="J2563" s="21"/>
      <c r="K2563" s="21"/>
      <c r="L2563" s="21"/>
      <c r="M2563" s="21"/>
      <c r="N2563" s="21"/>
    </row>
    <row r="2564" spans="1:14" ht="15.75" customHeight="1" x14ac:dyDescent="0.25">
      <c r="A2564" s="21"/>
      <c r="B2564" s="21"/>
      <c r="C2564" s="11"/>
      <c r="D2564" s="11"/>
      <c r="E2564" s="21"/>
      <c r="F2564" s="21"/>
      <c r="G2564" s="25"/>
      <c r="H2564" s="11"/>
      <c r="I2564" s="21"/>
      <c r="J2564" s="21"/>
      <c r="K2564" s="21"/>
      <c r="L2564" s="21"/>
      <c r="M2564" s="21"/>
      <c r="N2564" s="21"/>
    </row>
    <row r="2565" spans="1:14" ht="15.75" customHeight="1" x14ac:dyDescent="0.25">
      <c r="A2565" s="31" t="s">
        <v>14</v>
      </c>
      <c r="B2565" s="31" t="s">
        <v>234</v>
      </c>
      <c r="C2565" s="31" t="s">
        <v>16</v>
      </c>
      <c r="D2565" s="31" t="s">
        <v>17</v>
      </c>
      <c r="E2565" s="31" t="s">
        <v>235</v>
      </c>
      <c r="F2565" s="31" t="s">
        <v>236</v>
      </c>
      <c r="G2565" s="25"/>
      <c r="H2565" s="11"/>
      <c r="I2565" s="21"/>
      <c r="J2565" s="21"/>
      <c r="K2565" s="21"/>
      <c r="L2565" s="21"/>
      <c r="M2565" s="21"/>
      <c r="N2565" s="21"/>
    </row>
    <row r="2566" spans="1:14" ht="15.75" customHeight="1" x14ac:dyDescent="0.25">
      <c r="A2566" s="7">
        <v>1</v>
      </c>
      <c r="B2566" s="132" t="s">
        <v>1100</v>
      </c>
      <c r="C2566" s="129">
        <v>4</v>
      </c>
      <c r="D2566" s="7" t="s">
        <v>19</v>
      </c>
      <c r="E2566" s="130">
        <v>45000</v>
      </c>
      <c r="F2566" s="130">
        <f>E2566*C2566</f>
        <v>180000</v>
      </c>
      <c r="G2566" s="25"/>
      <c r="H2566" s="11"/>
      <c r="I2566" s="21"/>
      <c r="J2566" s="21"/>
      <c r="K2566" s="21"/>
      <c r="L2566" s="21"/>
      <c r="M2566" s="21"/>
      <c r="N2566" s="21"/>
    </row>
    <row r="2567" spans="1:14" ht="15.75" customHeight="1" x14ac:dyDescent="0.25">
      <c r="A2567" s="7"/>
      <c r="B2567" s="343" t="s">
        <v>342</v>
      </c>
      <c r="C2567" s="344"/>
      <c r="D2567" s="344"/>
      <c r="E2567" s="334"/>
      <c r="F2567" s="104">
        <f>SUM(F2566)</f>
        <v>180000</v>
      </c>
      <c r="G2567" s="25"/>
      <c r="H2567" s="11"/>
      <c r="I2567" s="21"/>
      <c r="J2567" s="21"/>
      <c r="K2567" s="21"/>
      <c r="L2567" s="21"/>
      <c r="M2567" s="21"/>
      <c r="N2567" s="21"/>
    </row>
    <row r="2568" spans="1:14" ht="15.75" customHeight="1" x14ac:dyDescent="0.25">
      <c r="A2568" s="7"/>
      <c r="B2568" s="343" t="s">
        <v>343</v>
      </c>
      <c r="C2568" s="344"/>
      <c r="D2568" s="344"/>
      <c r="E2568" s="334"/>
      <c r="F2568" s="104">
        <v>19800</v>
      </c>
      <c r="G2568" s="25"/>
      <c r="H2568" s="11"/>
      <c r="I2568" s="21"/>
      <c r="J2568" s="21"/>
      <c r="K2568" s="21"/>
      <c r="L2568" s="21"/>
      <c r="M2568" s="21"/>
      <c r="N2568" s="21"/>
    </row>
    <row r="2569" spans="1:14" ht="15.75" customHeight="1" x14ac:dyDescent="0.25">
      <c r="A2569" s="7"/>
      <c r="B2569" s="345" t="s">
        <v>344</v>
      </c>
      <c r="C2569" s="344"/>
      <c r="D2569" s="344"/>
      <c r="E2569" s="334"/>
      <c r="F2569" s="107">
        <f>SUM(F2567:F2568)</f>
        <v>199800</v>
      </c>
      <c r="G2569" s="25"/>
      <c r="H2569" s="11"/>
      <c r="I2569" s="21"/>
      <c r="J2569" s="21"/>
      <c r="K2569" s="21"/>
      <c r="L2569" s="21"/>
      <c r="M2569" s="21"/>
      <c r="N2569" s="21"/>
    </row>
    <row r="2570" spans="1:14" ht="15.75" customHeight="1" x14ac:dyDescent="0.25">
      <c r="A2570" s="21"/>
      <c r="B2570" s="21"/>
      <c r="C2570" s="11"/>
      <c r="D2570" s="11"/>
      <c r="E2570" s="21"/>
      <c r="F2570" s="21"/>
      <c r="G2570" s="25"/>
      <c r="H2570" s="11"/>
      <c r="I2570" s="21"/>
      <c r="J2570" s="21"/>
      <c r="K2570" s="21"/>
      <c r="L2570" s="21"/>
      <c r="M2570" s="21"/>
      <c r="N2570" s="21"/>
    </row>
    <row r="2571" spans="1:14" ht="15.75" customHeight="1" x14ac:dyDescent="0.25">
      <c r="A2571" s="31" t="s">
        <v>351</v>
      </c>
      <c r="B2571" s="31" t="s">
        <v>234</v>
      </c>
      <c r="C2571" s="31" t="s">
        <v>16</v>
      </c>
      <c r="D2571" s="31" t="s">
        <v>17</v>
      </c>
      <c r="E2571" s="31" t="s">
        <v>235</v>
      </c>
      <c r="F2571" s="31" t="s">
        <v>236</v>
      </c>
      <c r="G2571" s="25"/>
      <c r="H2571" s="11"/>
      <c r="I2571" s="21"/>
      <c r="J2571" s="21"/>
      <c r="K2571" s="21"/>
      <c r="L2571" s="21"/>
      <c r="M2571" s="21"/>
      <c r="N2571" s="21"/>
    </row>
    <row r="2572" spans="1:14" ht="15.75" customHeight="1" x14ac:dyDescent="0.25">
      <c r="A2572" s="7">
        <v>1</v>
      </c>
      <c r="B2572" s="41" t="s">
        <v>1140</v>
      </c>
      <c r="C2572" s="7">
        <v>3</v>
      </c>
      <c r="D2572" s="7" t="s">
        <v>363</v>
      </c>
      <c r="E2572" s="104">
        <v>224500</v>
      </c>
      <c r="F2572" s="104">
        <f>E2572*C2572</f>
        <v>673500</v>
      </c>
      <c r="G2572" s="25"/>
      <c r="H2572" s="11"/>
      <c r="I2572" s="21"/>
      <c r="J2572" s="21"/>
      <c r="K2572" s="21"/>
      <c r="L2572" s="21"/>
      <c r="M2572" s="21"/>
      <c r="N2572" s="21"/>
    </row>
    <row r="2573" spans="1:14" ht="15.75" customHeight="1" x14ac:dyDescent="0.25">
      <c r="A2573" s="7">
        <v>2</v>
      </c>
      <c r="B2573" s="41" t="s">
        <v>1141</v>
      </c>
      <c r="C2573" s="7">
        <v>20</v>
      </c>
      <c r="D2573" s="7" t="s">
        <v>363</v>
      </c>
      <c r="E2573" s="104">
        <v>69500</v>
      </c>
      <c r="F2573" s="104">
        <f>E2573*C2573</f>
        <v>1390000</v>
      </c>
      <c r="G2573" s="25"/>
      <c r="H2573" s="11"/>
      <c r="I2573" s="21"/>
      <c r="J2573" s="21"/>
      <c r="K2573" s="21"/>
      <c r="L2573" s="21"/>
      <c r="M2573" s="21"/>
      <c r="N2573" s="21"/>
    </row>
    <row r="2574" spans="1:14" ht="15.75" customHeight="1" x14ac:dyDescent="0.25">
      <c r="A2574" s="7"/>
      <c r="B2574" s="343" t="s">
        <v>342</v>
      </c>
      <c r="C2574" s="344"/>
      <c r="D2574" s="344"/>
      <c r="E2574" s="334"/>
      <c r="F2574" s="104">
        <f>SUM(F2572:F2573)</f>
        <v>2063500</v>
      </c>
      <c r="G2574" s="25"/>
      <c r="H2574" s="11"/>
      <c r="I2574" s="21"/>
      <c r="J2574" s="21"/>
      <c r="K2574" s="21"/>
      <c r="L2574" s="21"/>
      <c r="M2574" s="21"/>
      <c r="N2574" s="21"/>
    </row>
    <row r="2575" spans="1:14" ht="15.75" customHeight="1" x14ac:dyDescent="0.25">
      <c r="A2575" s="7"/>
      <c r="B2575" s="343" t="s">
        <v>343</v>
      </c>
      <c r="C2575" s="344"/>
      <c r="D2575" s="344"/>
      <c r="E2575" s="334"/>
      <c r="F2575" s="104">
        <v>226985</v>
      </c>
      <c r="G2575" s="25"/>
      <c r="H2575" s="11"/>
      <c r="I2575" s="21"/>
      <c r="J2575" s="21"/>
      <c r="K2575" s="21"/>
      <c r="L2575" s="21"/>
      <c r="M2575" s="21"/>
      <c r="N2575" s="21"/>
    </row>
    <row r="2576" spans="1:14" ht="15.75" customHeight="1" x14ac:dyDescent="0.25">
      <c r="A2576" s="7"/>
      <c r="B2576" s="345" t="s">
        <v>344</v>
      </c>
      <c r="C2576" s="344"/>
      <c r="D2576" s="344"/>
      <c r="E2576" s="334"/>
      <c r="F2576" s="107">
        <f>SUM(F2574:F2575)</f>
        <v>2290485</v>
      </c>
      <c r="G2576" s="25"/>
      <c r="H2576" s="11"/>
      <c r="I2576" s="21"/>
      <c r="J2576" s="21"/>
      <c r="K2576" s="21"/>
      <c r="L2576" s="21"/>
      <c r="M2576" s="21"/>
      <c r="N2576" s="21"/>
    </row>
    <row r="2577" spans="1:14" ht="15.75" customHeight="1" x14ac:dyDescent="0.25">
      <c r="A2577" s="21"/>
      <c r="B2577" s="21"/>
      <c r="C2577" s="11"/>
      <c r="D2577" s="11"/>
      <c r="E2577" s="21"/>
      <c r="F2577" s="21"/>
      <c r="G2577" s="25"/>
      <c r="H2577" s="11"/>
      <c r="I2577" s="21"/>
      <c r="J2577" s="21"/>
      <c r="K2577" s="21"/>
      <c r="L2577" s="21"/>
      <c r="M2577" s="21"/>
      <c r="N2577" s="21"/>
    </row>
    <row r="2578" spans="1:14" ht="15.75" customHeight="1" x14ac:dyDescent="0.25">
      <c r="A2578" s="31" t="s">
        <v>14</v>
      </c>
      <c r="B2578" s="31" t="s">
        <v>234</v>
      </c>
      <c r="C2578" s="31" t="s">
        <v>16</v>
      </c>
      <c r="D2578" s="31" t="s">
        <v>17</v>
      </c>
      <c r="E2578" s="31" t="s">
        <v>235</v>
      </c>
      <c r="F2578" s="31" t="s">
        <v>236</v>
      </c>
      <c r="G2578" s="25"/>
      <c r="H2578" s="11"/>
      <c r="I2578" s="21"/>
      <c r="J2578" s="21"/>
      <c r="K2578" s="21"/>
      <c r="L2578" s="21"/>
      <c r="M2578" s="21"/>
      <c r="N2578" s="21"/>
    </row>
    <row r="2579" spans="1:14" ht="15.75" customHeight="1" x14ac:dyDescent="0.25">
      <c r="A2579" s="10">
        <v>1</v>
      </c>
      <c r="B2579" s="38" t="s">
        <v>1142</v>
      </c>
      <c r="C2579" s="7">
        <v>6</v>
      </c>
      <c r="D2579" s="7" t="s">
        <v>19</v>
      </c>
      <c r="E2579" s="104">
        <v>64800</v>
      </c>
      <c r="F2579" s="104">
        <f t="shared" ref="F2579:F2585" si="21">E2579*C2579</f>
        <v>388800</v>
      </c>
      <c r="G2579" s="25"/>
      <c r="H2579" s="11"/>
      <c r="I2579" s="21"/>
      <c r="J2579" s="21"/>
      <c r="K2579" s="21"/>
      <c r="L2579" s="21"/>
      <c r="M2579" s="21"/>
      <c r="N2579" s="21"/>
    </row>
    <row r="2580" spans="1:14" ht="15.75" customHeight="1" x14ac:dyDescent="0.25">
      <c r="A2580" s="7">
        <v>2</v>
      </c>
      <c r="B2580" s="124" t="s">
        <v>1143</v>
      </c>
      <c r="C2580" s="7">
        <v>100</v>
      </c>
      <c r="D2580" s="7" t="s">
        <v>19</v>
      </c>
      <c r="E2580" s="104">
        <v>13500</v>
      </c>
      <c r="F2580" s="104">
        <f t="shared" si="21"/>
        <v>1350000</v>
      </c>
      <c r="G2580" s="25"/>
      <c r="H2580" s="11"/>
      <c r="I2580" s="21"/>
      <c r="J2580" s="21"/>
      <c r="K2580" s="21"/>
      <c r="L2580" s="21"/>
      <c r="M2580" s="21"/>
      <c r="N2580" s="21"/>
    </row>
    <row r="2581" spans="1:14" ht="15.75" customHeight="1" x14ac:dyDescent="0.25">
      <c r="A2581" s="7">
        <v>3</v>
      </c>
      <c r="B2581" s="131" t="s">
        <v>1144</v>
      </c>
      <c r="C2581" s="7">
        <v>50</v>
      </c>
      <c r="D2581" s="7" t="s">
        <v>19</v>
      </c>
      <c r="E2581" s="104">
        <v>14500</v>
      </c>
      <c r="F2581" s="104">
        <f t="shared" si="21"/>
        <v>725000</v>
      </c>
      <c r="G2581" s="25"/>
      <c r="H2581" s="11"/>
      <c r="I2581" s="21"/>
      <c r="J2581" s="21"/>
      <c r="K2581" s="21"/>
      <c r="L2581" s="21"/>
      <c r="M2581" s="21"/>
      <c r="N2581" s="21"/>
    </row>
    <row r="2582" spans="1:14" ht="15.75" customHeight="1" x14ac:dyDescent="0.25">
      <c r="A2582" s="7">
        <v>4</v>
      </c>
      <c r="B2582" s="35" t="s">
        <v>1145</v>
      </c>
      <c r="C2582" s="7">
        <v>34</v>
      </c>
      <c r="D2582" s="7" t="s">
        <v>19</v>
      </c>
      <c r="E2582" s="104">
        <v>36500</v>
      </c>
      <c r="F2582" s="104">
        <f t="shared" si="21"/>
        <v>1241000</v>
      </c>
      <c r="G2582" s="25"/>
      <c r="H2582" s="11"/>
      <c r="I2582" s="21"/>
      <c r="J2582" s="21"/>
      <c r="K2582" s="21"/>
      <c r="L2582" s="21"/>
      <c r="M2582" s="21"/>
      <c r="N2582" s="21"/>
    </row>
    <row r="2583" spans="1:14" ht="15.75" customHeight="1" x14ac:dyDescent="0.25">
      <c r="A2583" s="7">
        <v>5</v>
      </c>
      <c r="B2583" s="41" t="s">
        <v>1146</v>
      </c>
      <c r="C2583" s="7">
        <v>20</v>
      </c>
      <c r="D2583" s="7" t="s">
        <v>19</v>
      </c>
      <c r="E2583" s="104">
        <v>53500</v>
      </c>
      <c r="F2583" s="104">
        <f t="shared" si="21"/>
        <v>1070000</v>
      </c>
      <c r="G2583" s="25"/>
      <c r="H2583" s="11"/>
      <c r="I2583" s="21"/>
      <c r="J2583" s="21"/>
      <c r="K2583" s="21"/>
      <c r="L2583" s="21"/>
      <c r="M2583" s="21"/>
      <c r="N2583" s="21"/>
    </row>
    <row r="2584" spans="1:14" ht="15.75" customHeight="1" x14ac:dyDescent="0.25">
      <c r="A2584" s="7">
        <v>6</v>
      </c>
      <c r="B2584" s="35" t="s">
        <v>1147</v>
      </c>
      <c r="C2584" s="7">
        <v>1</v>
      </c>
      <c r="D2584" s="7" t="s">
        <v>353</v>
      </c>
      <c r="E2584" s="104">
        <v>218800</v>
      </c>
      <c r="F2584" s="104">
        <f t="shared" si="21"/>
        <v>218800</v>
      </c>
      <c r="G2584" s="25"/>
      <c r="H2584" s="11"/>
      <c r="I2584" s="21"/>
      <c r="J2584" s="21"/>
      <c r="K2584" s="21"/>
      <c r="L2584" s="21"/>
      <c r="M2584" s="21"/>
      <c r="N2584" s="21"/>
    </row>
    <row r="2585" spans="1:14" ht="15.75" customHeight="1" x14ac:dyDescent="0.25">
      <c r="A2585" s="7">
        <v>7</v>
      </c>
      <c r="B2585" s="35" t="s">
        <v>1148</v>
      </c>
      <c r="C2585" s="7">
        <v>320</v>
      </c>
      <c r="D2585" s="7" t="s">
        <v>19</v>
      </c>
      <c r="E2585" s="104">
        <v>38500</v>
      </c>
      <c r="F2585" s="104">
        <f t="shared" si="21"/>
        <v>12320000</v>
      </c>
      <c r="G2585" s="25"/>
      <c r="H2585" s="11"/>
      <c r="I2585" s="21"/>
      <c r="J2585" s="21"/>
      <c r="K2585" s="21"/>
      <c r="L2585" s="21"/>
      <c r="M2585" s="21"/>
      <c r="N2585" s="21"/>
    </row>
    <row r="2586" spans="1:14" ht="15.75" customHeight="1" x14ac:dyDescent="0.25">
      <c r="A2586" s="7"/>
      <c r="B2586" s="343" t="s">
        <v>342</v>
      </c>
      <c r="C2586" s="344"/>
      <c r="D2586" s="344"/>
      <c r="E2586" s="334"/>
      <c r="F2586" s="104">
        <f>SUM(F2579:F2585)</f>
        <v>17313600</v>
      </c>
      <c r="G2586" s="25"/>
      <c r="H2586" s="11"/>
      <c r="I2586" s="21"/>
      <c r="J2586" s="21"/>
      <c r="K2586" s="21"/>
      <c r="L2586" s="21"/>
      <c r="M2586" s="21"/>
      <c r="N2586" s="21"/>
    </row>
    <row r="2587" spans="1:14" ht="15.75" customHeight="1" x14ac:dyDescent="0.25">
      <c r="A2587" s="7"/>
      <c r="B2587" s="343" t="s">
        <v>1068</v>
      </c>
      <c r="C2587" s="344"/>
      <c r="D2587" s="344"/>
      <c r="E2587" s="334"/>
      <c r="F2587" s="104">
        <v>865680</v>
      </c>
      <c r="G2587" s="25"/>
      <c r="H2587" s="11"/>
      <c r="I2587" s="21"/>
      <c r="J2587" s="21"/>
      <c r="K2587" s="21"/>
      <c r="L2587" s="21"/>
      <c r="M2587" s="21"/>
      <c r="N2587" s="21"/>
    </row>
    <row r="2588" spans="1:14" ht="15.75" customHeight="1" x14ac:dyDescent="0.25">
      <c r="A2588" s="7"/>
      <c r="B2588" s="345" t="s">
        <v>342</v>
      </c>
      <c r="C2588" s="344"/>
      <c r="D2588" s="344"/>
      <c r="E2588" s="334"/>
      <c r="F2588" s="107">
        <f>F2586-F2587</f>
        <v>16447920</v>
      </c>
      <c r="G2588" s="25"/>
      <c r="H2588" s="11"/>
      <c r="I2588" s="21"/>
      <c r="J2588" s="21"/>
      <c r="K2588" s="21"/>
      <c r="L2588" s="21"/>
      <c r="M2588" s="21"/>
      <c r="N2588" s="21"/>
    </row>
    <row r="2589" spans="1:14" ht="15.75" customHeight="1" x14ac:dyDescent="0.25">
      <c r="A2589" s="7"/>
      <c r="B2589" s="345" t="s">
        <v>429</v>
      </c>
      <c r="C2589" s="344"/>
      <c r="D2589" s="344"/>
      <c r="E2589" s="334"/>
      <c r="F2589" s="107">
        <v>6579168</v>
      </c>
      <c r="G2589" s="25"/>
      <c r="H2589" s="11"/>
      <c r="I2589" s="21"/>
      <c r="J2589" s="21"/>
      <c r="K2589" s="21"/>
      <c r="L2589" s="21"/>
      <c r="M2589" s="21"/>
      <c r="N2589" s="21"/>
    </row>
    <row r="2590" spans="1:14" ht="15.75" customHeight="1" x14ac:dyDescent="0.25">
      <c r="A2590" s="7"/>
      <c r="B2590" s="343" t="s">
        <v>343</v>
      </c>
      <c r="C2590" s="344"/>
      <c r="D2590" s="344"/>
      <c r="E2590" s="334"/>
      <c r="F2590" s="104">
        <v>723708.48</v>
      </c>
      <c r="G2590" s="25"/>
      <c r="H2590" s="11"/>
      <c r="I2590" s="21"/>
      <c r="J2590" s="21"/>
      <c r="K2590" s="21"/>
      <c r="L2590" s="21"/>
      <c r="M2590" s="21"/>
      <c r="N2590" s="21"/>
    </row>
    <row r="2591" spans="1:14" ht="15.75" customHeight="1" x14ac:dyDescent="0.25">
      <c r="A2591" s="7"/>
      <c r="B2591" s="345" t="s">
        <v>344</v>
      </c>
      <c r="C2591" s="344"/>
      <c r="D2591" s="344"/>
      <c r="E2591" s="334"/>
      <c r="F2591" s="107">
        <f>SUM(F2589:F2590)</f>
        <v>7302876.4800000004</v>
      </c>
      <c r="G2591" s="25"/>
      <c r="H2591" s="11"/>
      <c r="I2591" s="21"/>
      <c r="J2591" s="21"/>
      <c r="K2591" s="21"/>
      <c r="L2591" s="21"/>
      <c r="M2591" s="21"/>
      <c r="N2591" s="21"/>
    </row>
    <row r="2592" spans="1:14" ht="15.75" customHeight="1" x14ac:dyDescent="0.25">
      <c r="A2592" s="21"/>
      <c r="B2592" s="21"/>
      <c r="C2592" s="11"/>
      <c r="D2592" s="11"/>
      <c r="E2592" s="21"/>
      <c r="F2592" s="21"/>
      <c r="G2592" s="25"/>
      <c r="H2592" s="11"/>
      <c r="I2592" s="21"/>
      <c r="J2592" s="21"/>
      <c r="K2592" s="21"/>
      <c r="L2592" s="21"/>
      <c r="M2592" s="21"/>
      <c r="N2592" s="21"/>
    </row>
    <row r="2593" spans="1:14" ht="15.75" customHeight="1" x14ac:dyDescent="0.25">
      <c r="A2593" s="31" t="s">
        <v>14</v>
      </c>
      <c r="B2593" s="31" t="s">
        <v>234</v>
      </c>
      <c r="C2593" s="31" t="s">
        <v>16</v>
      </c>
      <c r="D2593" s="31" t="s">
        <v>17</v>
      </c>
      <c r="E2593" s="31" t="s">
        <v>235</v>
      </c>
      <c r="F2593" s="31" t="s">
        <v>236</v>
      </c>
      <c r="G2593" s="25"/>
      <c r="H2593" s="11"/>
      <c r="I2593" s="21"/>
      <c r="J2593" s="21"/>
      <c r="K2593" s="21"/>
      <c r="L2593" s="21"/>
      <c r="M2593" s="21"/>
      <c r="N2593" s="21"/>
    </row>
    <row r="2594" spans="1:14" ht="15.75" customHeight="1" x14ac:dyDescent="0.25">
      <c r="A2594" s="7">
        <v>1</v>
      </c>
      <c r="B2594" s="132" t="s">
        <v>1149</v>
      </c>
      <c r="C2594" s="129">
        <v>1</v>
      </c>
      <c r="D2594" s="7" t="s">
        <v>243</v>
      </c>
      <c r="E2594" s="130">
        <v>280000</v>
      </c>
      <c r="F2594" s="130">
        <f>E2594*C2594</f>
        <v>280000</v>
      </c>
      <c r="G2594" s="25"/>
      <c r="H2594" s="11"/>
      <c r="I2594" s="21"/>
      <c r="J2594" s="21"/>
      <c r="K2594" s="21"/>
      <c r="L2594" s="21"/>
      <c r="M2594" s="21"/>
      <c r="N2594" s="21"/>
    </row>
    <row r="2595" spans="1:14" ht="15.75" customHeight="1" x14ac:dyDescent="0.25">
      <c r="A2595" s="7"/>
      <c r="B2595" s="343" t="s">
        <v>342</v>
      </c>
      <c r="C2595" s="344"/>
      <c r="D2595" s="344"/>
      <c r="E2595" s="334"/>
      <c r="F2595" s="104">
        <f>SUM(F2594)</f>
        <v>280000</v>
      </c>
      <c r="G2595" s="25"/>
      <c r="H2595" s="11"/>
      <c r="I2595" s="21"/>
      <c r="J2595" s="21"/>
      <c r="K2595" s="21"/>
      <c r="L2595" s="21"/>
      <c r="M2595" s="21"/>
      <c r="N2595" s="21"/>
    </row>
    <row r="2596" spans="1:14" ht="15.75" customHeight="1" x14ac:dyDescent="0.25">
      <c r="A2596" s="7"/>
      <c r="B2596" s="343" t="s">
        <v>343</v>
      </c>
      <c r="C2596" s="344"/>
      <c r="D2596" s="344"/>
      <c r="E2596" s="334"/>
      <c r="F2596" s="104">
        <v>30800</v>
      </c>
      <c r="G2596" s="25"/>
      <c r="H2596" s="11"/>
      <c r="I2596" s="21"/>
      <c r="J2596" s="21"/>
      <c r="K2596" s="21"/>
      <c r="L2596" s="21"/>
      <c r="M2596" s="21"/>
      <c r="N2596" s="21"/>
    </row>
    <row r="2597" spans="1:14" ht="15.75" customHeight="1" x14ac:dyDescent="0.25">
      <c r="A2597" s="7"/>
      <c r="B2597" s="345" t="s">
        <v>344</v>
      </c>
      <c r="C2597" s="344"/>
      <c r="D2597" s="344"/>
      <c r="E2597" s="334"/>
      <c r="F2597" s="107">
        <f>SUM(F2595:F2596)</f>
        <v>310800</v>
      </c>
      <c r="G2597" s="25"/>
      <c r="H2597" s="11"/>
      <c r="I2597" s="21"/>
      <c r="J2597" s="21"/>
      <c r="K2597" s="21"/>
      <c r="L2597" s="21"/>
      <c r="M2597" s="21"/>
      <c r="N2597" s="21"/>
    </row>
    <row r="2598" spans="1:14" ht="15.75" customHeight="1" x14ac:dyDescent="0.25">
      <c r="A2598" s="21"/>
      <c r="B2598" s="21"/>
      <c r="C2598" s="11"/>
      <c r="D2598" s="11"/>
      <c r="E2598" s="21"/>
      <c r="F2598" s="21"/>
      <c r="G2598" s="25"/>
      <c r="H2598" s="11"/>
      <c r="I2598" s="21"/>
      <c r="J2598" s="21"/>
      <c r="K2598" s="21"/>
      <c r="L2598" s="21"/>
      <c r="M2598" s="21"/>
      <c r="N2598" s="21"/>
    </row>
    <row r="2599" spans="1:14" ht="15.75" customHeight="1" x14ac:dyDescent="0.25">
      <c r="A2599" s="31" t="s">
        <v>14</v>
      </c>
      <c r="B2599" s="31" t="s">
        <v>234</v>
      </c>
      <c r="C2599" s="31" t="s">
        <v>16</v>
      </c>
      <c r="D2599" s="31" t="s">
        <v>17</v>
      </c>
      <c r="E2599" s="31" t="s">
        <v>235</v>
      </c>
      <c r="F2599" s="31" t="s">
        <v>236</v>
      </c>
      <c r="G2599" s="25"/>
      <c r="H2599" s="11"/>
      <c r="I2599" s="21"/>
      <c r="J2599" s="21"/>
      <c r="K2599" s="21"/>
      <c r="L2599" s="21"/>
      <c r="M2599" s="21"/>
      <c r="N2599" s="21"/>
    </row>
    <row r="2600" spans="1:14" ht="15.75" customHeight="1" x14ac:dyDescent="0.25">
      <c r="A2600" s="10">
        <v>1</v>
      </c>
      <c r="B2600" s="38" t="s">
        <v>1150</v>
      </c>
      <c r="C2600" s="7">
        <v>390</v>
      </c>
      <c r="D2600" s="7" t="s">
        <v>19</v>
      </c>
      <c r="E2600" s="104">
        <v>8100</v>
      </c>
      <c r="F2600" s="104">
        <f t="shared" ref="F2600:F2608" si="22">E2600*C2600</f>
        <v>3159000</v>
      </c>
      <c r="G2600" s="25"/>
      <c r="H2600" s="11"/>
      <c r="I2600" s="21"/>
      <c r="J2600" s="21"/>
      <c r="K2600" s="21"/>
      <c r="L2600" s="21"/>
      <c r="M2600" s="21"/>
      <c r="N2600" s="21"/>
    </row>
    <row r="2601" spans="1:14" ht="15.75" customHeight="1" x14ac:dyDescent="0.25">
      <c r="A2601" s="7">
        <v>2</v>
      </c>
      <c r="B2601" s="124" t="s">
        <v>1151</v>
      </c>
      <c r="C2601" s="7">
        <v>48</v>
      </c>
      <c r="D2601" s="7" t="s">
        <v>19</v>
      </c>
      <c r="E2601" s="104">
        <v>14500</v>
      </c>
      <c r="F2601" s="104">
        <f t="shared" si="22"/>
        <v>696000</v>
      </c>
      <c r="G2601" s="25"/>
      <c r="H2601" s="11"/>
      <c r="I2601" s="21"/>
      <c r="J2601" s="21"/>
      <c r="K2601" s="21"/>
      <c r="L2601" s="21"/>
      <c r="M2601" s="21"/>
      <c r="N2601" s="21"/>
    </row>
    <row r="2602" spans="1:14" ht="15.75" customHeight="1" x14ac:dyDescent="0.25">
      <c r="A2602" s="7">
        <v>3</v>
      </c>
      <c r="B2602" s="131" t="s">
        <v>1152</v>
      </c>
      <c r="C2602" s="7">
        <v>26</v>
      </c>
      <c r="D2602" s="7" t="s">
        <v>19</v>
      </c>
      <c r="E2602" s="104">
        <v>33800</v>
      </c>
      <c r="F2602" s="104">
        <f t="shared" si="22"/>
        <v>878800</v>
      </c>
      <c r="G2602" s="25"/>
      <c r="H2602" s="11"/>
      <c r="I2602" s="21"/>
      <c r="J2602" s="21"/>
      <c r="K2602" s="21"/>
      <c r="L2602" s="21"/>
      <c r="M2602" s="21"/>
      <c r="N2602" s="21"/>
    </row>
    <row r="2603" spans="1:14" ht="15.75" customHeight="1" x14ac:dyDescent="0.25">
      <c r="A2603" s="7">
        <v>4</v>
      </c>
      <c r="B2603" s="35" t="s">
        <v>983</v>
      </c>
      <c r="C2603" s="7">
        <v>90</v>
      </c>
      <c r="D2603" s="7" t="s">
        <v>19</v>
      </c>
      <c r="E2603" s="104">
        <v>14500</v>
      </c>
      <c r="F2603" s="104">
        <f t="shared" si="22"/>
        <v>1305000</v>
      </c>
      <c r="G2603" s="25"/>
      <c r="H2603" s="11"/>
      <c r="I2603" s="21"/>
      <c r="J2603" s="21"/>
      <c r="K2603" s="21"/>
      <c r="L2603" s="21"/>
      <c r="M2603" s="21"/>
      <c r="N2603" s="21"/>
    </row>
    <row r="2604" spans="1:14" ht="15.75" customHeight="1" x14ac:dyDescent="0.25">
      <c r="A2604" s="7">
        <v>5</v>
      </c>
      <c r="B2604" s="41" t="s">
        <v>1153</v>
      </c>
      <c r="C2604" s="7">
        <v>32</v>
      </c>
      <c r="D2604" s="7" t="s">
        <v>19</v>
      </c>
      <c r="E2604" s="104">
        <v>391600</v>
      </c>
      <c r="F2604" s="104">
        <f t="shared" si="22"/>
        <v>12531200</v>
      </c>
      <c r="G2604" s="25"/>
      <c r="H2604" s="11"/>
      <c r="I2604" s="21"/>
      <c r="J2604" s="21"/>
      <c r="K2604" s="21"/>
      <c r="L2604" s="21"/>
      <c r="M2604" s="21"/>
      <c r="N2604" s="21"/>
    </row>
    <row r="2605" spans="1:14" ht="15.75" customHeight="1" x14ac:dyDescent="0.25">
      <c r="A2605" s="7">
        <v>6</v>
      </c>
      <c r="B2605" s="35" t="s">
        <v>1154</v>
      </c>
      <c r="C2605" s="7">
        <v>20</v>
      </c>
      <c r="D2605" s="7" t="s">
        <v>353</v>
      </c>
      <c r="E2605" s="104">
        <v>11800</v>
      </c>
      <c r="F2605" s="104">
        <f t="shared" si="22"/>
        <v>236000</v>
      </c>
      <c r="G2605" s="25"/>
      <c r="H2605" s="11"/>
      <c r="I2605" s="21"/>
      <c r="J2605" s="21"/>
      <c r="K2605" s="21"/>
      <c r="L2605" s="21"/>
      <c r="M2605" s="21"/>
      <c r="N2605" s="21"/>
    </row>
    <row r="2606" spans="1:14" ht="15.75" customHeight="1" x14ac:dyDescent="0.25">
      <c r="A2606" s="7">
        <v>7</v>
      </c>
      <c r="B2606" s="35" t="s">
        <v>1155</v>
      </c>
      <c r="C2606" s="7">
        <v>30</v>
      </c>
      <c r="D2606" s="7" t="s">
        <v>19</v>
      </c>
      <c r="E2606" s="104">
        <v>10500</v>
      </c>
      <c r="F2606" s="104">
        <f t="shared" si="22"/>
        <v>315000</v>
      </c>
      <c r="G2606" s="25"/>
      <c r="H2606" s="11"/>
      <c r="I2606" s="21"/>
      <c r="J2606" s="21"/>
      <c r="K2606" s="21"/>
      <c r="L2606" s="21"/>
      <c r="M2606" s="21"/>
      <c r="N2606" s="21"/>
    </row>
    <row r="2607" spans="1:14" ht="15.75" customHeight="1" x14ac:dyDescent="0.25">
      <c r="A2607" s="7">
        <v>8</v>
      </c>
      <c r="B2607" s="41" t="s">
        <v>1156</v>
      </c>
      <c r="C2607" s="7">
        <v>16</v>
      </c>
      <c r="D2607" s="7" t="s">
        <v>19</v>
      </c>
      <c r="E2607" s="104">
        <v>145000</v>
      </c>
      <c r="F2607" s="104">
        <f t="shared" si="22"/>
        <v>2320000</v>
      </c>
      <c r="G2607" s="25"/>
      <c r="H2607" s="11"/>
      <c r="I2607" s="21"/>
      <c r="J2607" s="21"/>
      <c r="K2607" s="21"/>
      <c r="L2607" s="21"/>
      <c r="M2607" s="21"/>
      <c r="N2607" s="21"/>
    </row>
    <row r="2608" spans="1:14" ht="15.75" customHeight="1" x14ac:dyDescent="0.25">
      <c r="A2608" s="7">
        <v>9</v>
      </c>
      <c r="B2608" s="35" t="s">
        <v>1148</v>
      </c>
      <c r="C2608" s="7">
        <v>320</v>
      </c>
      <c r="D2608" s="7" t="s">
        <v>19</v>
      </c>
      <c r="E2608" s="104">
        <v>38500</v>
      </c>
      <c r="F2608" s="104">
        <f t="shared" si="22"/>
        <v>12320000</v>
      </c>
      <c r="G2608" s="25"/>
      <c r="H2608" s="11"/>
      <c r="I2608" s="21"/>
      <c r="J2608" s="21"/>
      <c r="K2608" s="21"/>
      <c r="L2608" s="21"/>
      <c r="M2608" s="21"/>
      <c r="N2608" s="21"/>
    </row>
    <row r="2609" spans="1:14" ht="15.75" customHeight="1" x14ac:dyDescent="0.25">
      <c r="A2609" s="7"/>
      <c r="B2609" s="343" t="s">
        <v>342</v>
      </c>
      <c r="C2609" s="344"/>
      <c r="D2609" s="344"/>
      <c r="E2609" s="334"/>
      <c r="F2609" s="104">
        <f>SUM(F2600:F2608)</f>
        <v>33761000</v>
      </c>
      <c r="G2609" s="25"/>
      <c r="H2609" s="11"/>
      <c r="I2609" s="21"/>
      <c r="J2609" s="21"/>
      <c r="K2609" s="21"/>
      <c r="L2609" s="21"/>
      <c r="M2609" s="21"/>
      <c r="N2609" s="21"/>
    </row>
    <row r="2610" spans="1:14" ht="15.75" customHeight="1" x14ac:dyDescent="0.25">
      <c r="A2610" s="7"/>
      <c r="B2610" s="343" t="s">
        <v>1068</v>
      </c>
      <c r="C2610" s="344"/>
      <c r="D2610" s="344"/>
      <c r="E2610" s="334"/>
      <c r="F2610" s="104">
        <v>1688050</v>
      </c>
      <c r="G2610" s="25"/>
      <c r="H2610" s="11"/>
      <c r="I2610" s="21"/>
      <c r="J2610" s="21"/>
      <c r="K2610" s="21"/>
      <c r="L2610" s="21"/>
      <c r="M2610" s="21"/>
      <c r="N2610" s="21"/>
    </row>
    <row r="2611" spans="1:14" ht="15.75" customHeight="1" x14ac:dyDescent="0.25">
      <c r="A2611" s="7"/>
      <c r="B2611" s="345" t="s">
        <v>342</v>
      </c>
      <c r="C2611" s="344"/>
      <c r="D2611" s="344"/>
      <c r="E2611" s="334"/>
      <c r="F2611" s="107">
        <f>F2609-F2610</f>
        <v>32072950</v>
      </c>
      <c r="G2611" s="25"/>
      <c r="H2611" s="11"/>
      <c r="I2611" s="21"/>
      <c r="J2611" s="21"/>
      <c r="K2611" s="21"/>
      <c r="L2611" s="21"/>
      <c r="M2611" s="21"/>
      <c r="N2611" s="21"/>
    </row>
    <row r="2612" spans="1:14" ht="15.75" customHeight="1" x14ac:dyDescent="0.25">
      <c r="A2612" s="7"/>
      <c r="B2612" s="345" t="s">
        <v>429</v>
      </c>
      <c r="C2612" s="344"/>
      <c r="D2612" s="344"/>
      <c r="E2612" s="334"/>
      <c r="F2612" s="107">
        <v>12829180</v>
      </c>
      <c r="G2612" s="25"/>
      <c r="H2612" s="11"/>
      <c r="I2612" s="21"/>
      <c r="J2612" s="21"/>
      <c r="K2612" s="21"/>
      <c r="L2612" s="21"/>
      <c r="M2612" s="21"/>
      <c r="N2612" s="21"/>
    </row>
    <row r="2613" spans="1:14" ht="15.75" customHeight="1" x14ac:dyDescent="0.25">
      <c r="A2613" s="7"/>
      <c r="B2613" s="343" t="s">
        <v>343</v>
      </c>
      <c r="C2613" s="344"/>
      <c r="D2613" s="344"/>
      <c r="E2613" s="334"/>
      <c r="F2613" s="104">
        <v>1411209.8</v>
      </c>
      <c r="G2613" s="25"/>
      <c r="H2613" s="11"/>
      <c r="I2613" s="21"/>
      <c r="J2613" s="21"/>
      <c r="K2613" s="21"/>
      <c r="L2613" s="21"/>
      <c r="M2613" s="21"/>
      <c r="N2613" s="21"/>
    </row>
    <row r="2614" spans="1:14" ht="15.75" customHeight="1" x14ac:dyDescent="0.25">
      <c r="A2614" s="7"/>
      <c r="B2614" s="345" t="s">
        <v>344</v>
      </c>
      <c r="C2614" s="344"/>
      <c r="D2614" s="344"/>
      <c r="E2614" s="334"/>
      <c r="F2614" s="107">
        <f>SUM(F2612:F2613)</f>
        <v>14240389.800000001</v>
      </c>
      <c r="G2614" s="25"/>
      <c r="H2614" s="11"/>
      <c r="I2614" s="21"/>
      <c r="J2614" s="21"/>
      <c r="K2614" s="21"/>
      <c r="L2614" s="21"/>
      <c r="M2614" s="21"/>
      <c r="N2614" s="21"/>
    </row>
    <row r="2615" spans="1:14" ht="15.75" customHeight="1" x14ac:dyDescent="0.25">
      <c r="A2615" s="21"/>
      <c r="B2615" s="21"/>
      <c r="C2615" s="11"/>
      <c r="D2615" s="11"/>
      <c r="E2615" s="21"/>
      <c r="F2615" s="21"/>
      <c r="G2615" s="25"/>
      <c r="H2615" s="11"/>
      <c r="I2615" s="21"/>
      <c r="J2615" s="21"/>
      <c r="K2615" s="21"/>
      <c r="L2615" s="21"/>
      <c r="M2615" s="21"/>
      <c r="N2615" s="21"/>
    </row>
    <row r="2616" spans="1:14" ht="15.75" customHeight="1" x14ac:dyDescent="0.25">
      <c r="A2616" s="31" t="s">
        <v>14</v>
      </c>
      <c r="B2616" s="31" t="s">
        <v>234</v>
      </c>
      <c r="C2616" s="31" t="s">
        <v>16</v>
      </c>
      <c r="D2616" s="31" t="s">
        <v>17</v>
      </c>
      <c r="E2616" s="31" t="s">
        <v>235</v>
      </c>
      <c r="F2616" s="31" t="s">
        <v>236</v>
      </c>
      <c r="G2616" s="25"/>
      <c r="H2616" s="11"/>
      <c r="I2616" s="21"/>
      <c r="J2616" s="21"/>
      <c r="K2616" s="21"/>
      <c r="L2616" s="21"/>
      <c r="M2616" s="21"/>
      <c r="N2616" s="21"/>
    </row>
    <row r="2617" spans="1:14" ht="15.75" customHeight="1" x14ac:dyDescent="0.25">
      <c r="A2617" s="10">
        <v>1</v>
      </c>
      <c r="B2617" s="38" t="s">
        <v>1157</v>
      </c>
      <c r="C2617" s="7">
        <v>8</v>
      </c>
      <c r="D2617" s="7" t="s">
        <v>19</v>
      </c>
      <c r="E2617" s="104">
        <v>1136500</v>
      </c>
      <c r="F2617" s="104">
        <f t="shared" ref="F2617:F2628" si="23">E2617*C2617</f>
        <v>9092000</v>
      </c>
      <c r="G2617" s="25"/>
      <c r="H2617" s="11"/>
      <c r="I2617" s="21"/>
      <c r="J2617" s="21"/>
      <c r="K2617" s="21"/>
      <c r="L2617" s="21"/>
      <c r="M2617" s="21"/>
      <c r="N2617" s="21"/>
    </row>
    <row r="2618" spans="1:14" ht="15.75" customHeight="1" x14ac:dyDescent="0.25">
      <c r="A2618" s="7">
        <v>2</v>
      </c>
      <c r="B2618" s="124" t="s">
        <v>1158</v>
      </c>
      <c r="C2618" s="7">
        <v>8</v>
      </c>
      <c r="D2618" s="7" t="s">
        <v>19</v>
      </c>
      <c r="E2618" s="104">
        <v>45500</v>
      </c>
      <c r="F2618" s="104">
        <f t="shared" si="23"/>
        <v>364000</v>
      </c>
      <c r="G2618" s="25"/>
      <c r="H2618" s="11"/>
      <c r="I2618" s="21"/>
      <c r="J2618" s="21"/>
      <c r="K2618" s="21"/>
      <c r="L2618" s="21"/>
      <c r="M2618" s="21"/>
      <c r="N2618" s="21"/>
    </row>
    <row r="2619" spans="1:14" ht="15.75" customHeight="1" x14ac:dyDescent="0.25">
      <c r="A2619" s="7">
        <v>3</v>
      </c>
      <c r="B2619" s="131" t="s">
        <v>1159</v>
      </c>
      <c r="C2619" s="7">
        <v>8</v>
      </c>
      <c r="D2619" s="7" t="s">
        <v>19</v>
      </c>
      <c r="E2619" s="104">
        <v>985000</v>
      </c>
      <c r="F2619" s="104">
        <f t="shared" si="23"/>
        <v>7880000</v>
      </c>
      <c r="G2619" s="25"/>
      <c r="H2619" s="11"/>
      <c r="I2619" s="21"/>
      <c r="J2619" s="21"/>
      <c r="K2619" s="21"/>
      <c r="L2619" s="21"/>
      <c r="M2619" s="21"/>
      <c r="N2619" s="21"/>
    </row>
    <row r="2620" spans="1:14" ht="15.75" customHeight="1" x14ac:dyDescent="0.25">
      <c r="A2620" s="7">
        <v>4</v>
      </c>
      <c r="B2620" s="35" t="s">
        <v>1160</v>
      </c>
      <c r="C2620" s="7">
        <v>48</v>
      </c>
      <c r="D2620" s="7" t="s">
        <v>19</v>
      </c>
      <c r="E2620" s="104">
        <v>785500</v>
      </c>
      <c r="F2620" s="104">
        <f t="shared" si="23"/>
        <v>37704000</v>
      </c>
      <c r="G2620" s="25"/>
      <c r="H2620" s="11"/>
      <c r="I2620" s="21"/>
      <c r="J2620" s="21"/>
      <c r="K2620" s="21"/>
      <c r="L2620" s="21"/>
      <c r="M2620" s="21"/>
      <c r="N2620" s="21"/>
    </row>
    <row r="2621" spans="1:14" ht="15.75" customHeight="1" x14ac:dyDescent="0.25">
      <c r="A2621" s="7">
        <v>5</v>
      </c>
      <c r="B2621" s="41" t="s">
        <v>1161</v>
      </c>
      <c r="C2621" s="7">
        <v>48</v>
      </c>
      <c r="D2621" s="7" t="s">
        <v>19</v>
      </c>
      <c r="E2621" s="104">
        <v>36500</v>
      </c>
      <c r="F2621" s="104">
        <f t="shared" si="23"/>
        <v>1752000</v>
      </c>
      <c r="G2621" s="25"/>
      <c r="H2621" s="11"/>
      <c r="I2621" s="21"/>
      <c r="J2621" s="21"/>
      <c r="K2621" s="21"/>
      <c r="L2621" s="21"/>
      <c r="M2621" s="21"/>
      <c r="N2621" s="21"/>
    </row>
    <row r="2622" spans="1:14" ht="30" customHeight="1" x14ac:dyDescent="0.25">
      <c r="A2622" s="7">
        <v>6</v>
      </c>
      <c r="B2622" s="41" t="s">
        <v>1162</v>
      </c>
      <c r="C2622" s="7">
        <v>8</v>
      </c>
      <c r="D2622" s="7" t="s">
        <v>19</v>
      </c>
      <c r="E2622" s="104">
        <v>3956000</v>
      </c>
      <c r="F2622" s="104">
        <f t="shared" si="23"/>
        <v>31648000</v>
      </c>
      <c r="G2622" s="25"/>
      <c r="H2622" s="11"/>
      <c r="I2622" s="21"/>
      <c r="J2622" s="21"/>
      <c r="K2622" s="21"/>
      <c r="L2622" s="21"/>
      <c r="M2622" s="21"/>
      <c r="N2622" s="21"/>
    </row>
    <row r="2623" spans="1:14" ht="15.75" customHeight="1" x14ac:dyDescent="0.25">
      <c r="A2623" s="7">
        <v>7</v>
      </c>
      <c r="B2623" s="35" t="s">
        <v>1163</v>
      </c>
      <c r="C2623" s="7">
        <v>8</v>
      </c>
      <c r="D2623" s="7" t="s">
        <v>19</v>
      </c>
      <c r="E2623" s="104">
        <v>8891000</v>
      </c>
      <c r="F2623" s="104">
        <f t="shared" si="23"/>
        <v>71128000</v>
      </c>
      <c r="G2623" s="25"/>
      <c r="H2623" s="11"/>
      <c r="I2623" s="21"/>
      <c r="J2623" s="21"/>
      <c r="K2623" s="21"/>
      <c r="L2623" s="21"/>
      <c r="M2623" s="21"/>
      <c r="N2623" s="21"/>
    </row>
    <row r="2624" spans="1:14" ht="15.75" customHeight="1" x14ac:dyDescent="0.25">
      <c r="A2624" s="7">
        <v>8</v>
      </c>
      <c r="B2624" s="41" t="s">
        <v>1164</v>
      </c>
      <c r="C2624" s="7">
        <v>8</v>
      </c>
      <c r="D2624" s="7" t="s">
        <v>251</v>
      </c>
      <c r="E2624" s="104">
        <v>1241300</v>
      </c>
      <c r="F2624" s="104">
        <f t="shared" si="23"/>
        <v>9930400</v>
      </c>
      <c r="G2624" s="25"/>
      <c r="H2624" s="11"/>
      <c r="I2624" s="21"/>
      <c r="J2624" s="21"/>
      <c r="K2624" s="21"/>
      <c r="L2624" s="21"/>
      <c r="M2624" s="21"/>
      <c r="N2624" s="21"/>
    </row>
    <row r="2625" spans="1:14" ht="15.75" customHeight="1" x14ac:dyDescent="0.25">
      <c r="A2625" s="7">
        <v>9</v>
      </c>
      <c r="B2625" s="41" t="s">
        <v>1165</v>
      </c>
      <c r="C2625" s="7">
        <v>384</v>
      </c>
      <c r="D2625" s="7" t="s">
        <v>19</v>
      </c>
      <c r="E2625" s="104">
        <v>32500</v>
      </c>
      <c r="F2625" s="104">
        <f t="shared" si="23"/>
        <v>12480000</v>
      </c>
      <c r="G2625" s="25"/>
      <c r="H2625" s="11"/>
      <c r="I2625" s="21"/>
      <c r="J2625" s="21"/>
      <c r="K2625" s="21"/>
      <c r="L2625" s="21"/>
      <c r="M2625" s="21"/>
      <c r="N2625" s="21"/>
    </row>
    <row r="2626" spans="1:14" ht="15.75" customHeight="1" x14ac:dyDescent="0.25">
      <c r="A2626" s="7">
        <v>10</v>
      </c>
      <c r="B2626" s="35" t="s">
        <v>1166</v>
      </c>
      <c r="C2626" s="7">
        <v>64</v>
      </c>
      <c r="D2626" s="7" t="s">
        <v>19</v>
      </c>
      <c r="E2626" s="104">
        <v>49800</v>
      </c>
      <c r="F2626" s="104">
        <f t="shared" si="23"/>
        <v>3187200</v>
      </c>
      <c r="G2626" s="25"/>
      <c r="H2626" s="11"/>
      <c r="I2626" s="21"/>
      <c r="J2626" s="21"/>
      <c r="K2626" s="21"/>
      <c r="L2626" s="21"/>
      <c r="M2626" s="21"/>
      <c r="N2626" s="21"/>
    </row>
    <row r="2627" spans="1:14" ht="15.75" customHeight="1" x14ac:dyDescent="0.25">
      <c r="A2627" s="7">
        <v>11</v>
      </c>
      <c r="B2627" s="41" t="s">
        <v>1167</v>
      </c>
      <c r="C2627" s="7">
        <v>40</v>
      </c>
      <c r="D2627" s="7" t="s">
        <v>19</v>
      </c>
      <c r="E2627" s="104">
        <v>478000</v>
      </c>
      <c r="F2627" s="104">
        <f t="shared" si="23"/>
        <v>19120000</v>
      </c>
      <c r="G2627" s="25"/>
      <c r="H2627" s="11"/>
      <c r="I2627" s="21"/>
      <c r="J2627" s="21"/>
      <c r="K2627" s="21"/>
      <c r="L2627" s="21"/>
      <c r="M2627" s="21"/>
      <c r="N2627" s="21"/>
    </row>
    <row r="2628" spans="1:14" ht="15.75" customHeight="1" x14ac:dyDescent="0.25">
      <c r="A2628" s="7">
        <v>12</v>
      </c>
      <c r="B2628" s="41" t="s">
        <v>1168</v>
      </c>
      <c r="C2628" s="7">
        <v>1</v>
      </c>
      <c r="D2628" s="7" t="s">
        <v>347</v>
      </c>
      <c r="E2628" s="104">
        <v>4169800</v>
      </c>
      <c r="F2628" s="104">
        <f t="shared" si="23"/>
        <v>4169800</v>
      </c>
      <c r="G2628" s="25"/>
      <c r="H2628" s="11"/>
      <c r="I2628" s="21"/>
      <c r="J2628" s="21"/>
      <c r="K2628" s="21"/>
      <c r="L2628" s="21"/>
      <c r="M2628" s="21"/>
      <c r="N2628" s="21"/>
    </row>
    <row r="2629" spans="1:14" ht="15.75" customHeight="1" x14ac:dyDescent="0.25">
      <c r="A2629" s="7"/>
      <c r="B2629" s="343" t="s">
        <v>342</v>
      </c>
      <c r="C2629" s="344"/>
      <c r="D2629" s="344"/>
      <c r="E2629" s="334"/>
      <c r="F2629" s="104">
        <f>SUM(F2617:F2628)</f>
        <v>208455400</v>
      </c>
      <c r="G2629" s="25"/>
      <c r="H2629" s="11"/>
      <c r="I2629" s="21"/>
      <c r="J2629" s="21"/>
      <c r="K2629" s="21"/>
      <c r="L2629" s="21"/>
      <c r="M2629" s="21"/>
      <c r="N2629" s="21"/>
    </row>
    <row r="2630" spans="1:14" ht="15.75" customHeight="1" x14ac:dyDescent="0.25">
      <c r="A2630" s="7"/>
      <c r="B2630" s="343" t="s">
        <v>1068</v>
      </c>
      <c r="C2630" s="344"/>
      <c r="D2630" s="344"/>
      <c r="E2630" s="334"/>
      <c r="F2630" s="104">
        <v>10422770</v>
      </c>
      <c r="G2630" s="25"/>
      <c r="H2630" s="11"/>
      <c r="I2630" s="21"/>
      <c r="J2630" s="21"/>
      <c r="K2630" s="21"/>
      <c r="L2630" s="21"/>
      <c r="M2630" s="21"/>
      <c r="N2630" s="21"/>
    </row>
    <row r="2631" spans="1:14" ht="15.75" customHeight="1" x14ac:dyDescent="0.25">
      <c r="A2631" s="7"/>
      <c r="B2631" s="345" t="s">
        <v>342</v>
      </c>
      <c r="C2631" s="344"/>
      <c r="D2631" s="344"/>
      <c r="E2631" s="334"/>
      <c r="F2631" s="107">
        <f>F2629-F2630</f>
        <v>198032630</v>
      </c>
      <c r="G2631" s="25"/>
      <c r="H2631" s="11"/>
      <c r="I2631" s="21"/>
      <c r="J2631" s="21"/>
      <c r="K2631" s="21"/>
      <c r="L2631" s="21"/>
      <c r="M2631" s="21"/>
      <c r="N2631" s="21"/>
    </row>
    <row r="2632" spans="1:14" ht="15.75" customHeight="1" x14ac:dyDescent="0.25">
      <c r="A2632" s="7"/>
      <c r="B2632" s="345" t="s">
        <v>429</v>
      </c>
      <c r="C2632" s="344"/>
      <c r="D2632" s="344"/>
      <c r="E2632" s="334"/>
      <c r="F2632" s="107">
        <v>79213052</v>
      </c>
      <c r="G2632" s="25"/>
      <c r="H2632" s="11"/>
      <c r="I2632" s="21"/>
      <c r="J2632" s="21"/>
      <c r="K2632" s="21"/>
      <c r="L2632" s="21"/>
      <c r="M2632" s="21"/>
      <c r="N2632" s="21"/>
    </row>
    <row r="2633" spans="1:14" ht="15.75" customHeight="1" x14ac:dyDescent="0.25">
      <c r="A2633" s="7"/>
      <c r="B2633" s="343" t="s">
        <v>343</v>
      </c>
      <c r="C2633" s="344"/>
      <c r="D2633" s="344"/>
      <c r="E2633" s="334"/>
      <c r="F2633" s="104">
        <v>8713435.7200000007</v>
      </c>
      <c r="G2633" s="25"/>
      <c r="H2633" s="11"/>
      <c r="I2633" s="21"/>
      <c r="J2633" s="21"/>
      <c r="K2633" s="21"/>
      <c r="L2633" s="21"/>
      <c r="M2633" s="21"/>
      <c r="N2633" s="21"/>
    </row>
    <row r="2634" spans="1:14" ht="15.75" customHeight="1" x14ac:dyDescent="0.25">
      <c r="A2634" s="7"/>
      <c r="B2634" s="345" t="s">
        <v>344</v>
      </c>
      <c r="C2634" s="344"/>
      <c r="D2634" s="344"/>
      <c r="E2634" s="334"/>
      <c r="F2634" s="107">
        <f>SUM(F2632:F2633)</f>
        <v>87926487.719999999</v>
      </c>
      <c r="G2634" s="25"/>
      <c r="H2634" s="11"/>
      <c r="I2634" s="21"/>
      <c r="J2634" s="21"/>
      <c r="K2634" s="21"/>
      <c r="L2634" s="21"/>
      <c r="M2634" s="21"/>
      <c r="N2634" s="21"/>
    </row>
    <row r="2635" spans="1:14" ht="15.75" customHeight="1" x14ac:dyDescent="0.25">
      <c r="A2635" s="21"/>
      <c r="B2635" s="21"/>
      <c r="C2635" s="11"/>
      <c r="D2635" s="11"/>
      <c r="E2635" s="21"/>
      <c r="F2635" s="21"/>
      <c r="G2635" s="25"/>
      <c r="H2635" s="11"/>
      <c r="I2635" s="21"/>
      <c r="J2635" s="21"/>
      <c r="K2635" s="21"/>
      <c r="L2635" s="21"/>
      <c r="M2635" s="21"/>
      <c r="N2635" s="21"/>
    </row>
    <row r="2636" spans="1:14" ht="15.75" customHeight="1" x14ac:dyDescent="0.25">
      <c r="A2636" s="31" t="s">
        <v>14</v>
      </c>
      <c r="B2636" s="31" t="s">
        <v>234</v>
      </c>
      <c r="C2636" s="31" t="s">
        <v>16</v>
      </c>
      <c r="D2636" s="31" t="s">
        <v>17</v>
      </c>
      <c r="E2636" s="31" t="s">
        <v>235</v>
      </c>
      <c r="F2636" s="31" t="s">
        <v>236</v>
      </c>
      <c r="G2636" s="25"/>
      <c r="H2636" s="11"/>
      <c r="I2636" s="21"/>
      <c r="J2636" s="21"/>
      <c r="K2636" s="21"/>
      <c r="L2636" s="21"/>
      <c r="M2636" s="21"/>
      <c r="N2636" s="21"/>
    </row>
    <row r="2637" spans="1:14" ht="15.75" customHeight="1" x14ac:dyDescent="0.25">
      <c r="A2637" s="10">
        <v>1</v>
      </c>
      <c r="B2637" s="38" t="s">
        <v>1169</v>
      </c>
      <c r="C2637" s="7">
        <v>8</v>
      </c>
      <c r="D2637" s="7" t="s">
        <v>19</v>
      </c>
      <c r="E2637" s="104">
        <v>1079675</v>
      </c>
      <c r="F2637" s="104">
        <f t="shared" ref="F2637:F2652" si="24">E2637*C2637</f>
        <v>8637400</v>
      </c>
      <c r="G2637" s="25"/>
      <c r="H2637" s="11"/>
      <c r="I2637" s="21"/>
      <c r="J2637" s="21"/>
      <c r="K2637" s="21"/>
      <c r="L2637" s="21"/>
      <c r="M2637" s="21"/>
      <c r="N2637" s="21"/>
    </row>
    <row r="2638" spans="1:14" ht="15.75" customHeight="1" x14ac:dyDescent="0.25">
      <c r="A2638" s="7">
        <v>2</v>
      </c>
      <c r="B2638" s="124" t="s">
        <v>1158</v>
      </c>
      <c r="C2638" s="7">
        <v>8</v>
      </c>
      <c r="D2638" s="7" t="s">
        <v>19</v>
      </c>
      <c r="E2638" s="104">
        <v>43225</v>
      </c>
      <c r="F2638" s="104">
        <f t="shared" si="24"/>
        <v>345800</v>
      </c>
      <c r="G2638" s="25"/>
      <c r="H2638" s="11"/>
      <c r="I2638" s="21"/>
      <c r="J2638" s="21"/>
      <c r="K2638" s="21"/>
      <c r="L2638" s="21"/>
      <c r="M2638" s="21"/>
      <c r="N2638" s="21"/>
    </row>
    <row r="2639" spans="1:14" ht="15.75" customHeight="1" x14ac:dyDescent="0.25">
      <c r="A2639" s="7">
        <v>3</v>
      </c>
      <c r="B2639" s="131" t="s">
        <v>1170</v>
      </c>
      <c r="C2639" s="7">
        <v>4</v>
      </c>
      <c r="D2639" s="7" t="s">
        <v>19</v>
      </c>
      <c r="E2639" s="104">
        <v>5903775</v>
      </c>
      <c r="F2639" s="104">
        <f t="shared" si="24"/>
        <v>23615100</v>
      </c>
      <c r="G2639" s="25"/>
      <c r="H2639" s="11"/>
      <c r="I2639" s="21"/>
      <c r="J2639" s="21"/>
      <c r="K2639" s="21"/>
      <c r="L2639" s="21"/>
      <c r="M2639" s="21"/>
      <c r="N2639" s="21"/>
    </row>
    <row r="2640" spans="1:14" ht="15.75" customHeight="1" x14ac:dyDescent="0.25">
      <c r="A2640" s="7">
        <v>4</v>
      </c>
      <c r="B2640" s="35" t="s">
        <v>1171</v>
      </c>
      <c r="C2640" s="7">
        <v>4</v>
      </c>
      <c r="D2640" s="7" t="s">
        <v>19</v>
      </c>
      <c r="E2640" s="104">
        <v>8446450</v>
      </c>
      <c r="F2640" s="104">
        <f t="shared" si="24"/>
        <v>33785800</v>
      </c>
      <c r="G2640" s="25"/>
      <c r="H2640" s="11"/>
      <c r="I2640" s="21"/>
      <c r="J2640" s="21"/>
      <c r="K2640" s="21"/>
      <c r="L2640" s="21"/>
      <c r="M2640" s="21"/>
      <c r="N2640" s="21"/>
    </row>
    <row r="2641" spans="1:14" ht="15.75" customHeight="1" x14ac:dyDescent="0.25">
      <c r="A2641" s="7">
        <v>5</v>
      </c>
      <c r="B2641" s="41" t="s">
        <v>1172</v>
      </c>
      <c r="C2641" s="7">
        <v>12</v>
      </c>
      <c r="D2641" s="7" t="s">
        <v>19</v>
      </c>
      <c r="E2641" s="104">
        <v>583775</v>
      </c>
      <c r="F2641" s="104">
        <f t="shared" si="24"/>
        <v>7005300</v>
      </c>
      <c r="G2641" s="25"/>
      <c r="H2641" s="11"/>
      <c r="I2641" s="21"/>
      <c r="J2641" s="21"/>
      <c r="K2641" s="21"/>
      <c r="L2641" s="21"/>
      <c r="M2641" s="21"/>
      <c r="N2641" s="21"/>
    </row>
    <row r="2642" spans="1:14" ht="15.75" customHeight="1" x14ac:dyDescent="0.25">
      <c r="A2642" s="7">
        <v>6</v>
      </c>
      <c r="B2642" s="41" t="s">
        <v>1173</v>
      </c>
      <c r="C2642" s="7">
        <v>96</v>
      </c>
      <c r="D2642" s="7" t="s">
        <v>19</v>
      </c>
      <c r="E2642" s="104">
        <v>47310</v>
      </c>
      <c r="F2642" s="104">
        <f t="shared" si="24"/>
        <v>4541760</v>
      </c>
      <c r="G2642" s="25"/>
      <c r="H2642" s="11"/>
      <c r="I2642" s="21"/>
      <c r="J2642" s="21"/>
      <c r="K2642" s="21"/>
      <c r="L2642" s="21"/>
      <c r="M2642" s="21"/>
      <c r="N2642" s="21"/>
    </row>
    <row r="2643" spans="1:14" ht="15.75" customHeight="1" x14ac:dyDescent="0.25">
      <c r="A2643" s="7">
        <v>7</v>
      </c>
      <c r="B2643" s="35" t="s">
        <v>1174</v>
      </c>
      <c r="C2643" s="7">
        <v>128</v>
      </c>
      <c r="D2643" s="7" t="s">
        <v>19</v>
      </c>
      <c r="E2643" s="104">
        <v>30875</v>
      </c>
      <c r="F2643" s="104">
        <f t="shared" si="24"/>
        <v>3952000</v>
      </c>
      <c r="G2643" s="25"/>
      <c r="H2643" s="11"/>
      <c r="I2643" s="21"/>
      <c r="J2643" s="21"/>
      <c r="K2643" s="21"/>
      <c r="L2643" s="21"/>
      <c r="M2643" s="21"/>
      <c r="N2643" s="21"/>
    </row>
    <row r="2644" spans="1:14" ht="15.75" customHeight="1" x14ac:dyDescent="0.25">
      <c r="A2644" s="7">
        <v>8</v>
      </c>
      <c r="B2644" s="41" t="s">
        <v>1175</v>
      </c>
      <c r="C2644" s="7">
        <v>20</v>
      </c>
      <c r="D2644" s="7" t="s">
        <v>251</v>
      </c>
      <c r="E2644" s="104">
        <v>454100</v>
      </c>
      <c r="F2644" s="104">
        <f t="shared" si="24"/>
        <v>9082000</v>
      </c>
      <c r="G2644" s="25"/>
      <c r="H2644" s="11"/>
      <c r="I2644" s="21"/>
      <c r="J2644" s="21"/>
      <c r="K2644" s="21"/>
      <c r="L2644" s="21"/>
      <c r="M2644" s="21"/>
      <c r="N2644" s="21"/>
    </row>
    <row r="2645" spans="1:14" ht="15.75" customHeight="1" x14ac:dyDescent="0.25">
      <c r="A2645" s="7">
        <v>9</v>
      </c>
      <c r="B2645" s="41" t="s">
        <v>1176</v>
      </c>
      <c r="C2645" s="7">
        <v>32</v>
      </c>
      <c r="D2645" s="7" t="s">
        <v>19</v>
      </c>
      <c r="E2645" s="104">
        <v>50825</v>
      </c>
      <c r="F2645" s="104">
        <f t="shared" si="24"/>
        <v>1626400</v>
      </c>
      <c r="G2645" s="25"/>
      <c r="H2645" s="11"/>
      <c r="I2645" s="21"/>
      <c r="J2645" s="21"/>
      <c r="K2645" s="21"/>
      <c r="L2645" s="21"/>
      <c r="M2645" s="21"/>
      <c r="N2645" s="21"/>
    </row>
    <row r="2646" spans="1:14" ht="15.75" customHeight="1" x14ac:dyDescent="0.25">
      <c r="A2646" s="7">
        <v>10</v>
      </c>
      <c r="B2646" s="35" t="s">
        <v>1177</v>
      </c>
      <c r="C2646" s="7">
        <v>10</v>
      </c>
      <c r="D2646" s="7" t="s">
        <v>973</v>
      </c>
      <c r="E2646" s="104">
        <v>551760</v>
      </c>
      <c r="F2646" s="104">
        <f t="shared" si="24"/>
        <v>5517600</v>
      </c>
      <c r="G2646" s="25"/>
      <c r="H2646" s="11"/>
      <c r="I2646" s="21"/>
      <c r="J2646" s="21"/>
      <c r="K2646" s="21"/>
      <c r="L2646" s="21"/>
      <c r="M2646" s="21"/>
      <c r="N2646" s="21"/>
    </row>
    <row r="2647" spans="1:14" ht="15.75" customHeight="1" x14ac:dyDescent="0.25">
      <c r="A2647" s="7">
        <v>11</v>
      </c>
      <c r="B2647" s="41" t="s">
        <v>1178</v>
      </c>
      <c r="C2647" s="7">
        <v>8</v>
      </c>
      <c r="D2647" s="7" t="s">
        <v>19</v>
      </c>
      <c r="E2647" s="104">
        <v>642960</v>
      </c>
      <c r="F2647" s="104">
        <f t="shared" si="24"/>
        <v>5143680</v>
      </c>
      <c r="G2647" s="25"/>
      <c r="H2647" s="11"/>
      <c r="I2647" s="21"/>
      <c r="J2647" s="21"/>
      <c r="K2647" s="21"/>
      <c r="L2647" s="21"/>
      <c r="M2647" s="21"/>
      <c r="N2647" s="21"/>
    </row>
    <row r="2648" spans="1:14" ht="15.75" customHeight="1" x14ac:dyDescent="0.25">
      <c r="A2648" s="7">
        <v>12</v>
      </c>
      <c r="B2648" s="41" t="s">
        <v>1179</v>
      </c>
      <c r="C2648" s="7">
        <v>8</v>
      </c>
      <c r="D2648" s="7" t="s">
        <v>19</v>
      </c>
      <c r="E2648" s="104">
        <v>28025</v>
      </c>
      <c r="F2648" s="104">
        <f t="shared" si="24"/>
        <v>224200</v>
      </c>
      <c r="G2648" s="25"/>
      <c r="H2648" s="11"/>
      <c r="I2648" s="21"/>
      <c r="J2648" s="21"/>
      <c r="K2648" s="21"/>
      <c r="L2648" s="21"/>
      <c r="M2648" s="21"/>
      <c r="N2648" s="21"/>
    </row>
    <row r="2649" spans="1:14" ht="15.75" customHeight="1" x14ac:dyDescent="0.25">
      <c r="A2649" s="7">
        <v>13</v>
      </c>
      <c r="B2649" s="41" t="s">
        <v>1180</v>
      </c>
      <c r="C2649" s="7">
        <v>4</v>
      </c>
      <c r="D2649" s="7" t="s">
        <v>19</v>
      </c>
      <c r="E2649" s="104">
        <v>8445500</v>
      </c>
      <c r="F2649" s="104">
        <f t="shared" si="24"/>
        <v>33782000</v>
      </c>
      <c r="G2649" s="25"/>
      <c r="H2649" s="11"/>
      <c r="I2649" s="21"/>
      <c r="J2649" s="21"/>
      <c r="K2649" s="21"/>
      <c r="L2649" s="21"/>
      <c r="M2649" s="21"/>
      <c r="N2649" s="21"/>
    </row>
    <row r="2650" spans="1:14" ht="15.75" customHeight="1" x14ac:dyDescent="0.25">
      <c r="A2650" s="7">
        <v>14</v>
      </c>
      <c r="B2650" s="35" t="s">
        <v>1181</v>
      </c>
      <c r="C2650" s="7">
        <v>8</v>
      </c>
      <c r="D2650" s="7" t="s">
        <v>19</v>
      </c>
      <c r="E2650" s="104">
        <v>746225</v>
      </c>
      <c r="F2650" s="104">
        <f t="shared" si="24"/>
        <v>5969800</v>
      </c>
      <c r="G2650" s="25"/>
      <c r="H2650" s="11"/>
      <c r="I2650" s="21"/>
      <c r="J2650" s="21"/>
      <c r="K2650" s="21"/>
      <c r="L2650" s="21"/>
      <c r="M2650" s="21"/>
      <c r="N2650" s="21"/>
    </row>
    <row r="2651" spans="1:14" ht="15.75" customHeight="1" x14ac:dyDescent="0.25">
      <c r="A2651" s="7">
        <v>15</v>
      </c>
      <c r="B2651" s="41" t="s">
        <v>1178</v>
      </c>
      <c r="C2651" s="7">
        <v>8</v>
      </c>
      <c r="D2651" s="7" t="s">
        <v>19</v>
      </c>
      <c r="E2651" s="104">
        <v>28025</v>
      </c>
      <c r="F2651" s="104">
        <f t="shared" si="24"/>
        <v>224200</v>
      </c>
      <c r="G2651" s="25"/>
      <c r="H2651" s="11"/>
      <c r="I2651" s="21"/>
      <c r="J2651" s="21"/>
      <c r="K2651" s="21"/>
      <c r="L2651" s="21"/>
      <c r="M2651" s="21"/>
      <c r="N2651" s="21"/>
    </row>
    <row r="2652" spans="1:14" ht="15.75" customHeight="1" x14ac:dyDescent="0.25">
      <c r="A2652" s="7">
        <v>16</v>
      </c>
      <c r="B2652" s="41" t="s">
        <v>1182</v>
      </c>
      <c r="C2652" s="7">
        <v>4</v>
      </c>
      <c r="D2652" s="7" t="s">
        <v>251</v>
      </c>
      <c r="E2652" s="104">
        <v>1179235</v>
      </c>
      <c r="F2652" s="104">
        <f t="shared" si="24"/>
        <v>4716940</v>
      </c>
      <c r="G2652" s="25"/>
      <c r="H2652" s="11"/>
      <c r="I2652" s="21"/>
      <c r="J2652" s="21"/>
      <c r="K2652" s="21"/>
      <c r="L2652" s="21"/>
      <c r="M2652" s="21"/>
      <c r="N2652" s="21"/>
    </row>
    <row r="2653" spans="1:14" ht="15.75" customHeight="1" x14ac:dyDescent="0.25">
      <c r="A2653" s="7"/>
      <c r="B2653" s="343" t="s">
        <v>342</v>
      </c>
      <c r="C2653" s="344"/>
      <c r="D2653" s="344"/>
      <c r="E2653" s="334"/>
      <c r="F2653" s="104">
        <f>SUM(F2637:F2652)</f>
        <v>148169980</v>
      </c>
      <c r="G2653" s="25"/>
      <c r="H2653" s="11"/>
      <c r="I2653" s="21"/>
      <c r="J2653" s="21"/>
      <c r="K2653" s="21"/>
      <c r="L2653" s="21"/>
      <c r="M2653" s="21"/>
      <c r="N2653" s="21"/>
    </row>
    <row r="2654" spans="1:14" ht="15.75" customHeight="1" x14ac:dyDescent="0.25">
      <c r="A2654" s="7"/>
      <c r="B2654" s="345" t="s">
        <v>429</v>
      </c>
      <c r="C2654" s="344"/>
      <c r="D2654" s="344"/>
      <c r="E2654" s="334"/>
      <c r="F2654" s="107">
        <v>59267992</v>
      </c>
      <c r="G2654" s="25"/>
      <c r="H2654" s="11"/>
      <c r="I2654" s="21"/>
      <c r="J2654" s="21"/>
      <c r="K2654" s="21"/>
      <c r="L2654" s="21"/>
      <c r="M2654" s="21"/>
      <c r="N2654" s="21"/>
    </row>
    <row r="2655" spans="1:14" ht="15.75" customHeight="1" x14ac:dyDescent="0.25">
      <c r="A2655" s="7"/>
      <c r="B2655" s="343" t="s">
        <v>343</v>
      </c>
      <c r="C2655" s="344"/>
      <c r="D2655" s="344"/>
      <c r="E2655" s="334"/>
      <c r="F2655" s="104">
        <v>6519479.1200000001</v>
      </c>
      <c r="G2655" s="25"/>
      <c r="H2655" s="11"/>
      <c r="I2655" s="21"/>
      <c r="J2655" s="21"/>
      <c r="K2655" s="21"/>
      <c r="L2655" s="21"/>
      <c r="M2655" s="21"/>
      <c r="N2655" s="21"/>
    </row>
    <row r="2656" spans="1:14" ht="15.75" customHeight="1" x14ac:dyDescent="0.25">
      <c r="A2656" s="7"/>
      <c r="B2656" s="345" t="s">
        <v>344</v>
      </c>
      <c r="C2656" s="344"/>
      <c r="D2656" s="344"/>
      <c r="E2656" s="334"/>
      <c r="F2656" s="107">
        <f>SUM(F2654:F2655)</f>
        <v>65787471.119999997</v>
      </c>
      <c r="G2656" s="25"/>
      <c r="H2656" s="11"/>
      <c r="I2656" s="21"/>
      <c r="J2656" s="21"/>
      <c r="K2656" s="21"/>
      <c r="L2656" s="21"/>
      <c r="M2656" s="21"/>
      <c r="N2656" s="21"/>
    </row>
    <row r="2657" spans="1:14" ht="15.75" customHeight="1" x14ac:dyDescent="0.25">
      <c r="A2657" s="21"/>
      <c r="B2657" s="21"/>
      <c r="C2657" s="11"/>
      <c r="D2657" s="11"/>
      <c r="E2657" s="21"/>
      <c r="F2657" s="21"/>
      <c r="G2657" s="25"/>
      <c r="H2657" s="11"/>
      <c r="I2657" s="21"/>
      <c r="J2657" s="21"/>
      <c r="K2657" s="21"/>
      <c r="L2657" s="21"/>
      <c r="M2657" s="21"/>
      <c r="N2657" s="21"/>
    </row>
    <row r="2658" spans="1:14" ht="15.75" customHeight="1" x14ac:dyDescent="0.25">
      <c r="A2658" s="31" t="s">
        <v>14</v>
      </c>
      <c r="B2658" s="31" t="s">
        <v>234</v>
      </c>
      <c r="C2658" s="31" t="s">
        <v>16</v>
      </c>
      <c r="D2658" s="31" t="s">
        <v>17</v>
      </c>
      <c r="E2658" s="31" t="s">
        <v>235</v>
      </c>
      <c r="F2658" s="31" t="s">
        <v>236</v>
      </c>
      <c r="G2658" s="25"/>
      <c r="H2658" s="11"/>
      <c r="I2658" s="21"/>
      <c r="J2658" s="21"/>
      <c r="K2658" s="21"/>
      <c r="L2658" s="21"/>
      <c r="M2658" s="21"/>
      <c r="N2658" s="21"/>
    </row>
    <row r="2659" spans="1:14" ht="15.75" customHeight="1" x14ac:dyDescent="0.25">
      <c r="A2659" s="10">
        <v>1</v>
      </c>
      <c r="B2659" s="38" t="s">
        <v>1183</v>
      </c>
      <c r="C2659" s="7">
        <v>4</v>
      </c>
      <c r="D2659" s="7" t="s">
        <v>19</v>
      </c>
      <c r="E2659" s="104">
        <v>1559000</v>
      </c>
      <c r="F2659" s="104">
        <f t="shared" ref="F2659:F2665" si="25">E2659*C2659</f>
        <v>6236000</v>
      </c>
      <c r="G2659" s="25"/>
      <c r="H2659" s="11"/>
      <c r="I2659" s="21"/>
      <c r="J2659" s="21"/>
      <c r="K2659" s="21"/>
      <c r="L2659" s="21"/>
      <c r="M2659" s="21"/>
      <c r="N2659" s="21"/>
    </row>
    <row r="2660" spans="1:14" ht="15.75" customHeight="1" x14ac:dyDescent="0.25">
      <c r="A2660" s="7">
        <v>2</v>
      </c>
      <c r="B2660" s="124" t="s">
        <v>1184</v>
      </c>
      <c r="C2660" s="7">
        <v>24</v>
      </c>
      <c r="D2660" s="7" t="s">
        <v>19</v>
      </c>
      <c r="E2660" s="104">
        <v>785500</v>
      </c>
      <c r="F2660" s="104">
        <f t="shared" si="25"/>
        <v>18852000</v>
      </c>
      <c r="G2660" s="25"/>
      <c r="H2660" s="11"/>
      <c r="I2660" s="21"/>
      <c r="J2660" s="21"/>
      <c r="K2660" s="21"/>
      <c r="L2660" s="21"/>
      <c r="M2660" s="21"/>
      <c r="N2660" s="21"/>
    </row>
    <row r="2661" spans="1:14" ht="15.75" customHeight="1" x14ac:dyDescent="0.25">
      <c r="A2661" s="7">
        <v>3</v>
      </c>
      <c r="B2661" s="131" t="s">
        <v>1185</v>
      </c>
      <c r="C2661" s="7">
        <v>4</v>
      </c>
      <c r="D2661" s="7" t="s">
        <v>19</v>
      </c>
      <c r="E2661" s="104">
        <v>1665000</v>
      </c>
      <c r="F2661" s="104">
        <f t="shared" si="25"/>
        <v>6660000</v>
      </c>
      <c r="G2661" s="25"/>
      <c r="H2661" s="11"/>
      <c r="I2661" s="21"/>
      <c r="J2661" s="21"/>
      <c r="K2661" s="21"/>
      <c r="L2661" s="21"/>
      <c r="M2661" s="21"/>
      <c r="N2661" s="21"/>
    </row>
    <row r="2662" spans="1:14" ht="15.75" customHeight="1" x14ac:dyDescent="0.25">
      <c r="A2662" s="7">
        <v>4</v>
      </c>
      <c r="B2662" s="35" t="s">
        <v>1186</v>
      </c>
      <c r="C2662" s="7">
        <v>4</v>
      </c>
      <c r="D2662" s="7" t="s">
        <v>19</v>
      </c>
      <c r="E2662" s="104">
        <v>8890000</v>
      </c>
      <c r="F2662" s="104">
        <f t="shared" si="25"/>
        <v>35560000</v>
      </c>
      <c r="G2662" s="25"/>
      <c r="H2662" s="11"/>
      <c r="I2662" s="21"/>
      <c r="J2662" s="21"/>
      <c r="K2662" s="21"/>
      <c r="L2662" s="21"/>
      <c r="M2662" s="21"/>
      <c r="N2662" s="21"/>
    </row>
    <row r="2663" spans="1:14" ht="15.75" customHeight="1" x14ac:dyDescent="0.25">
      <c r="A2663" s="7">
        <v>5</v>
      </c>
      <c r="B2663" s="41" t="s">
        <v>1187</v>
      </c>
      <c r="C2663" s="7">
        <v>4</v>
      </c>
      <c r="D2663" s="7" t="s">
        <v>19</v>
      </c>
      <c r="E2663" s="104">
        <v>1241300</v>
      </c>
      <c r="F2663" s="104">
        <f t="shared" si="25"/>
        <v>4965200</v>
      </c>
      <c r="G2663" s="25"/>
      <c r="H2663" s="11"/>
      <c r="I2663" s="21"/>
      <c r="J2663" s="21"/>
      <c r="K2663" s="21"/>
      <c r="L2663" s="21"/>
      <c r="M2663" s="21"/>
      <c r="N2663" s="21"/>
    </row>
    <row r="2664" spans="1:14" ht="15.75" customHeight="1" x14ac:dyDescent="0.25">
      <c r="A2664" s="7">
        <v>6</v>
      </c>
      <c r="B2664" s="35" t="s">
        <v>1188</v>
      </c>
      <c r="C2664" s="7">
        <v>4</v>
      </c>
      <c r="D2664" s="7" t="s">
        <v>353</v>
      </c>
      <c r="E2664" s="104">
        <v>58000</v>
      </c>
      <c r="F2664" s="104">
        <f t="shared" si="25"/>
        <v>232000</v>
      </c>
      <c r="G2664" s="25"/>
      <c r="H2664" s="11"/>
      <c r="I2664" s="21"/>
      <c r="J2664" s="21"/>
      <c r="K2664" s="21"/>
      <c r="L2664" s="21"/>
      <c r="M2664" s="21"/>
      <c r="N2664" s="21"/>
    </row>
    <row r="2665" spans="1:14" ht="15.75" customHeight="1" x14ac:dyDescent="0.25">
      <c r="A2665" s="7">
        <v>7</v>
      </c>
      <c r="B2665" s="35" t="s">
        <v>1189</v>
      </c>
      <c r="C2665" s="7">
        <v>24</v>
      </c>
      <c r="D2665" s="7" t="s">
        <v>19</v>
      </c>
      <c r="E2665" s="104">
        <v>36500</v>
      </c>
      <c r="F2665" s="104">
        <f t="shared" si="25"/>
        <v>876000</v>
      </c>
      <c r="G2665" s="25"/>
      <c r="H2665" s="11"/>
      <c r="I2665" s="21"/>
      <c r="J2665" s="21"/>
      <c r="K2665" s="21"/>
      <c r="L2665" s="21"/>
      <c r="M2665" s="21"/>
      <c r="N2665" s="21"/>
    </row>
    <row r="2666" spans="1:14" ht="15.75" customHeight="1" x14ac:dyDescent="0.25">
      <c r="A2666" s="7"/>
      <c r="B2666" s="343" t="s">
        <v>342</v>
      </c>
      <c r="C2666" s="344"/>
      <c r="D2666" s="344"/>
      <c r="E2666" s="334"/>
      <c r="F2666" s="104">
        <f>SUM(F2659:F2665)</f>
        <v>73381200</v>
      </c>
      <c r="G2666" s="25"/>
      <c r="H2666" s="11"/>
      <c r="I2666" s="21"/>
      <c r="J2666" s="21"/>
      <c r="K2666" s="21"/>
      <c r="L2666" s="21"/>
      <c r="M2666" s="21"/>
      <c r="N2666" s="21"/>
    </row>
    <row r="2667" spans="1:14" ht="15.75" customHeight="1" x14ac:dyDescent="0.25">
      <c r="A2667" s="7"/>
      <c r="B2667" s="343" t="s">
        <v>1068</v>
      </c>
      <c r="C2667" s="344"/>
      <c r="D2667" s="344"/>
      <c r="E2667" s="334"/>
      <c r="F2667" s="104">
        <v>3669060</v>
      </c>
      <c r="G2667" s="25"/>
      <c r="H2667" s="11"/>
      <c r="I2667" s="21"/>
      <c r="J2667" s="21"/>
      <c r="K2667" s="21"/>
      <c r="L2667" s="21"/>
      <c r="M2667" s="21"/>
      <c r="N2667" s="21"/>
    </row>
    <row r="2668" spans="1:14" ht="15.75" customHeight="1" x14ac:dyDescent="0.25">
      <c r="A2668" s="7"/>
      <c r="B2668" s="345" t="s">
        <v>342</v>
      </c>
      <c r="C2668" s="344"/>
      <c r="D2668" s="344"/>
      <c r="E2668" s="334"/>
      <c r="F2668" s="107">
        <f>F2666-F2667</f>
        <v>69712140</v>
      </c>
      <c r="G2668" s="25"/>
      <c r="H2668" s="11"/>
      <c r="I2668" s="21"/>
      <c r="J2668" s="21"/>
      <c r="K2668" s="21"/>
      <c r="L2668" s="21"/>
      <c r="M2668" s="21"/>
      <c r="N2668" s="21"/>
    </row>
    <row r="2669" spans="1:14" ht="15.75" customHeight="1" x14ac:dyDescent="0.25">
      <c r="A2669" s="7"/>
      <c r="B2669" s="345" t="s">
        <v>429</v>
      </c>
      <c r="C2669" s="344"/>
      <c r="D2669" s="344"/>
      <c r="E2669" s="334"/>
      <c r="F2669" s="107">
        <v>27884856</v>
      </c>
      <c r="G2669" s="25"/>
      <c r="H2669" s="11"/>
      <c r="I2669" s="21"/>
      <c r="J2669" s="21"/>
      <c r="K2669" s="21"/>
      <c r="L2669" s="21"/>
      <c r="M2669" s="21"/>
      <c r="N2669" s="21"/>
    </row>
    <row r="2670" spans="1:14" ht="15.75" customHeight="1" x14ac:dyDescent="0.25">
      <c r="A2670" s="7"/>
      <c r="B2670" s="343" t="s">
        <v>343</v>
      </c>
      <c r="C2670" s="344"/>
      <c r="D2670" s="344"/>
      <c r="E2670" s="334"/>
      <c r="F2670" s="104">
        <v>3067334.16</v>
      </c>
      <c r="G2670" s="25"/>
      <c r="H2670" s="11"/>
      <c r="I2670" s="21"/>
      <c r="J2670" s="21"/>
      <c r="K2670" s="21"/>
      <c r="L2670" s="21"/>
      <c r="M2670" s="21"/>
      <c r="N2670" s="21"/>
    </row>
    <row r="2671" spans="1:14" ht="15.75" customHeight="1" x14ac:dyDescent="0.25">
      <c r="A2671" s="7"/>
      <c r="B2671" s="345" t="s">
        <v>344</v>
      </c>
      <c r="C2671" s="344"/>
      <c r="D2671" s="344"/>
      <c r="E2671" s="334"/>
      <c r="F2671" s="107">
        <f>SUM(F2669:F2670)</f>
        <v>30952190.16</v>
      </c>
      <c r="G2671" s="25"/>
      <c r="H2671" s="11"/>
      <c r="I2671" s="21"/>
      <c r="J2671" s="21"/>
      <c r="K2671" s="21"/>
      <c r="L2671" s="21"/>
      <c r="M2671" s="21"/>
      <c r="N2671" s="21"/>
    </row>
    <row r="2672" spans="1:14" ht="15.75" customHeight="1" x14ac:dyDescent="0.25">
      <c r="A2672" s="21"/>
      <c r="B2672" s="21"/>
      <c r="C2672" s="11"/>
      <c r="D2672" s="11"/>
      <c r="E2672" s="21"/>
      <c r="F2672" s="21"/>
      <c r="G2672" s="25"/>
      <c r="H2672" s="11"/>
      <c r="I2672" s="21"/>
      <c r="J2672" s="21"/>
      <c r="K2672" s="21"/>
      <c r="L2672" s="21"/>
      <c r="M2672" s="21"/>
      <c r="N2672" s="21"/>
    </row>
    <row r="2673" spans="1:14" ht="15.75" customHeight="1" x14ac:dyDescent="0.25">
      <c r="A2673" s="31" t="s">
        <v>14</v>
      </c>
      <c r="B2673" s="31" t="s">
        <v>234</v>
      </c>
      <c r="C2673" s="31" t="s">
        <v>16</v>
      </c>
      <c r="D2673" s="31" t="s">
        <v>17</v>
      </c>
      <c r="E2673" s="31" t="s">
        <v>235</v>
      </c>
      <c r="F2673" s="31" t="s">
        <v>236</v>
      </c>
      <c r="G2673" s="25"/>
      <c r="H2673" s="11"/>
      <c r="I2673" s="21"/>
      <c r="J2673" s="21"/>
      <c r="K2673" s="21"/>
      <c r="L2673" s="21"/>
      <c r="M2673" s="21"/>
      <c r="N2673" s="21"/>
    </row>
    <row r="2674" spans="1:14" ht="15.75" customHeight="1" x14ac:dyDescent="0.25">
      <c r="A2674" s="7">
        <v>1</v>
      </c>
      <c r="B2674" s="132" t="s">
        <v>1190</v>
      </c>
      <c r="C2674" s="129">
        <v>100</v>
      </c>
      <c r="D2674" s="7" t="s">
        <v>363</v>
      </c>
      <c r="E2674" s="130">
        <v>38800</v>
      </c>
      <c r="F2674" s="130">
        <f>E2674*C2674</f>
        <v>3880000</v>
      </c>
      <c r="G2674" s="25"/>
      <c r="H2674" s="11"/>
      <c r="I2674" s="21"/>
      <c r="J2674" s="21"/>
      <c r="K2674" s="21"/>
      <c r="L2674" s="21"/>
      <c r="M2674" s="21"/>
      <c r="N2674" s="21"/>
    </row>
    <row r="2675" spans="1:14" ht="15.75" customHeight="1" x14ac:dyDescent="0.25">
      <c r="A2675" s="7"/>
      <c r="B2675" s="343" t="s">
        <v>342</v>
      </c>
      <c r="C2675" s="344"/>
      <c r="D2675" s="344"/>
      <c r="E2675" s="334"/>
      <c r="F2675" s="104">
        <f>SUM(F2674)</f>
        <v>3880000</v>
      </c>
      <c r="G2675" s="25"/>
      <c r="H2675" s="11"/>
      <c r="I2675" s="21"/>
      <c r="J2675" s="21"/>
      <c r="K2675" s="21"/>
      <c r="L2675" s="21"/>
      <c r="M2675" s="21"/>
      <c r="N2675" s="21"/>
    </row>
    <row r="2676" spans="1:14" ht="15.75" customHeight="1" x14ac:dyDescent="0.25">
      <c r="A2676" s="7"/>
      <c r="B2676" s="343" t="s">
        <v>343</v>
      </c>
      <c r="C2676" s="344"/>
      <c r="D2676" s="344"/>
      <c r="E2676" s="334"/>
      <c r="F2676" s="104">
        <v>426800</v>
      </c>
      <c r="G2676" s="25"/>
      <c r="H2676" s="11"/>
      <c r="I2676" s="21"/>
      <c r="J2676" s="21"/>
      <c r="K2676" s="21"/>
      <c r="L2676" s="21"/>
      <c r="M2676" s="21"/>
      <c r="N2676" s="21"/>
    </row>
    <row r="2677" spans="1:14" ht="15.75" customHeight="1" x14ac:dyDescent="0.25">
      <c r="A2677" s="7"/>
      <c r="B2677" s="345" t="s">
        <v>344</v>
      </c>
      <c r="C2677" s="344"/>
      <c r="D2677" s="344"/>
      <c r="E2677" s="334"/>
      <c r="F2677" s="107">
        <f>SUM(F2675:F2676)</f>
        <v>4306800</v>
      </c>
      <c r="G2677" s="25"/>
      <c r="H2677" s="11"/>
      <c r="I2677" s="21"/>
      <c r="J2677" s="21"/>
      <c r="K2677" s="21"/>
      <c r="L2677" s="21"/>
      <c r="M2677" s="21"/>
      <c r="N2677" s="21"/>
    </row>
    <row r="2678" spans="1:14" ht="15.75" customHeight="1" x14ac:dyDescent="0.25">
      <c r="A2678" s="21"/>
      <c r="B2678" s="21"/>
      <c r="C2678" s="11"/>
      <c r="D2678" s="11"/>
      <c r="E2678" s="21"/>
      <c r="F2678" s="21"/>
      <c r="G2678" s="25"/>
      <c r="H2678" s="11"/>
      <c r="I2678" s="21"/>
      <c r="J2678" s="21"/>
      <c r="K2678" s="21"/>
      <c r="L2678" s="21"/>
      <c r="M2678" s="21"/>
      <c r="N2678" s="21"/>
    </row>
    <row r="2679" spans="1:14" ht="15.75" customHeight="1" x14ac:dyDescent="0.25">
      <c r="A2679" s="31" t="s">
        <v>14</v>
      </c>
      <c r="B2679" s="31" t="s">
        <v>234</v>
      </c>
      <c r="C2679" s="31" t="s">
        <v>16</v>
      </c>
      <c r="D2679" s="31" t="s">
        <v>17</v>
      </c>
      <c r="E2679" s="31" t="s">
        <v>235</v>
      </c>
      <c r="F2679" s="31" t="s">
        <v>236</v>
      </c>
      <c r="G2679" s="25"/>
      <c r="H2679" s="11"/>
      <c r="I2679" s="21"/>
      <c r="J2679" s="21"/>
      <c r="K2679" s="21"/>
      <c r="L2679" s="21"/>
      <c r="M2679" s="21"/>
      <c r="N2679" s="21"/>
    </row>
    <row r="2680" spans="1:14" ht="15.75" customHeight="1" x14ac:dyDescent="0.25">
      <c r="A2680" s="7">
        <v>1</v>
      </c>
      <c r="B2680" s="132" t="s">
        <v>1191</v>
      </c>
      <c r="C2680" s="129">
        <v>1</v>
      </c>
      <c r="D2680" s="7" t="s">
        <v>347</v>
      </c>
      <c r="E2680" s="130">
        <v>6245000</v>
      </c>
      <c r="F2680" s="130">
        <f>E2680*C2680</f>
        <v>6245000</v>
      </c>
      <c r="G2680" s="25"/>
      <c r="H2680" s="11"/>
      <c r="I2680" s="21"/>
      <c r="J2680" s="21"/>
      <c r="K2680" s="21"/>
      <c r="L2680" s="21"/>
      <c r="M2680" s="21"/>
      <c r="N2680" s="21"/>
    </row>
    <row r="2681" spans="1:14" ht="15.75" customHeight="1" x14ac:dyDescent="0.25">
      <c r="A2681" s="7"/>
      <c r="B2681" s="343" t="s">
        <v>342</v>
      </c>
      <c r="C2681" s="344"/>
      <c r="D2681" s="344"/>
      <c r="E2681" s="334"/>
      <c r="F2681" s="104">
        <f>SUM(F2680)</f>
        <v>6245000</v>
      </c>
      <c r="G2681" s="25"/>
      <c r="H2681" s="11"/>
      <c r="I2681" s="21"/>
      <c r="J2681" s="21"/>
      <c r="K2681" s="21"/>
      <c r="L2681" s="21"/>
      <c r="M2681" s="21"/>
      <c r="N2681" s="21"/>
    </row>
    <row r="2682" spans="1:14" ht="15.75" customHeight="1" x14ac:dyDescent="0.25">
      <c r="A2682" s="7"/>
      <c r="B2682" s="343" t="s">
        <v>343</v>
      </c>
      <c r="C2682" s="344"/>
      <c r="D2682" s="344"/>
      <c r="E2682" s="334"/>
      <c r="F2682" s="104">
        <v>686950</v>
      </c>
      <c r="G2682" s="25"/>
      <c r="H2682" s="11"/>
      <c r="I2682" s="21"/>
      <c r="J2682" s="21"/>
      <c r="K2682" s="21"/>
      <c r="L2682" s="21"/>
      <c r="M2682" s="21"/>
      <c r="N2682" s="21"/>
    </row>
    <row r="2683" spans="1:14" ht="15.75" customHeight="1" x14ac:dyDescent="0.25">
      <c r="A2683" s="7"/>
      <c r="B2683" s="345" t="s">
        <v>344</v>
      </c>
      <c r="C2683" s="344"/>
      <c r="D2683" s="344"/>
      <c r="E2683" s="334"/>
      <c r="F2683" s="107">
        <f>SUM(F2681:F2682)</f>
        <v>6931950</v>
      </c>
      <c r="G2683" s="25"/>
      <c r="H2683" s="11"/>
      <c r="I2683" s="21"/>
      <c r="J2683" s="21"/>
      <c r="K2683" s="21"/>
      <c r="L2683" s="21"/>
      <c r="M2683" s="21"/>
      <c r="N2683" s="21"/>
    </row>
    <row r="2684" spans="1:14" ht="15.75" customHeight="1" x14ac:dyDescent="0.25">
      <c r="A2684" s="21"/>
      <c r="B2684" s="21"/>
      <c r="C2684" s="11"/>
      <c r="D2684" s="11"/>
      <c r="E2684" s="21"/>
      <c r="F2684" s="21"/>
      <c r="G2684" s="25"/>
      <c r="H2684" s="11"/>
      <c r="I2684" s="21"/>
      <c r="J2684" s="21"/>
      <c r="K2684" s="21"/>
      <c r="L2684" s="21"/>
      <c r="M2684" s="21"/>
      <c r="N2684" s="21"/>
    </row>
    <row r="2685" spans="1:14" ht="15.75" customHeight="1" x14ac:dyDescent="0.25">
      <c r="A2685" s="31" t="s">
        <v>14</v>
      </c>
      <c r="B2685" s="31" t="s">
        <v>234</v>
      </c>
      <c r="C2685" s="31" t="s">
        <v>16</v>
      </c>
      <c r="D2685" s="31" t="s">
        <v>17</v>
      </c>
      <c r="E2685" s="31" t="s">
        <v>235</v>
      </c>
      <c r="F2685" s="31" t="s">
        <v>236</v>
      </c>
      <c r="G2685" s="25"/>
      <c r="H2685" s="11"/>
      <c r="I2685" s="21"/>
      <c r="J2685" s="21"/>
      <c r="K2685" s="21"/>
      <c r="L2685" s="21"/>
      <c r="M2685" s="21"/>
      <c r="N2685" s="21"/>
    </row>
    <row r="2686" spans="1:14" ht="15.75" customHeight="1" x14ac:dyDescent="0.25">
      <c r="A2686" s="7">
        <v>1</v>
      </c>
      <c r="B2686" s="132" t="s">
        <v>1192</v>
      </c>
      <c r="C2686" s="129">
        <v>1</v>
      </c>
      <c r="D2686" s="7" t="s">
        <v>251</v>
      </c>
      <c r="E2686" s="130">
        <v>48500</v>
      </c>
      <c r="F2686" s="130">
        <f>E2686*C2686</f>
        <v>48500</v>
      </c>
      <c r="G2686" s="25"/>
      <c r="H2686" s="11"/>
      <c r="I2686" s="21"/>
      <c r="J2686" s="21"/>
      <c r="K2686" s="21"/>
      <c r="L2686" s="21"/>
      <c r="M2686" s="21"/>
      <c r="N2686" s="21"/>
    </row>
    <row r="2687" spans="1:14" ht="15.75" customHeight="1" x14ac:dyDescent="0.25">
      <c r="A2687" s="7"/>
      <c r="B2687" s="343" t="s">
        <v>342</v>
      </c>
      <c r="C2687" s="344"/>
      <c r="D2687" s="344"/>
      <c r="E2687" s="334"/>
      <c r="F2687" s="104">
        <f>SUM(F2686)</f>
        <v>48500</v>
      </c>
      <c r="G2687" s="25"/>
      <c r="H2687" s="11"/>
      <c r="I2687" s="21"/>
      <c r="J2687" s="21"/>
      <c r="K2687" s="21"/>
      <c r="L2687" s="21"/>
      <c r="M2687" s="21"/>
      <c r="N2687" s="21"/>
    </row>
    <row r="2688" spans="1:14" ht="15.75" customHeight="1" x14ac:dyDescent="0.25">
      <c r="A2688" s="7"/>
      <c r="B2688" s="343" t="s">
        <v>343</v>
      </c>
      <c r="C2688" s="344"/>
      <c r="D2688" s="344"/>
      <c r="E2688" s="334"/>
      <c r="F2688" s="104">
        <v>5335</v>
      </c>
      <c r="G2688" s="25"/>
      <c r="H2688" s="11"/>
      <c r="I2688" s="21"/>
      <c r="J2688" s="21"/>
      <c r="K2688" s="21"/>
      <c r="L2688" s="21"/>
      <c r="M2688" s="21"/>
      <c r="N2688" s="21"/>
    </row>
    <row r="2689" spans="1:14" ht="15.75" customHeight="1" x14ac:dyDescent="0.25">
      <c r="A2689" s="7"/>
      <c r="B2689" s="345" t="s">
        <v>344</v>
      </c>
      <c r="C2689" s="344"/>
      <c r="D2689" s="344"/>
      <c r="E2689" s="334"/>
      <c r="F2689" s="107">
        <f>SUM(F2687:F2688)</f>
        <v>53835</v>
      </c>
      <c r="G2689" s="25"/>
      <c r="H2689" s="11"/>
      <c r="I2689" s="21"/>
      <c r="J2689" s="21"/>
      <c r="K2689" s="21"/>
      <c r="L2689" s="21"/>
      <c r="M2689" s="21"/>
      <c r="N2689" s="21"/>
    </row>
    <row r="2690" spans="1:14" ht="15.75" customHeight="1" x14ac:dyDescent="0.25">
      <c r="A2690" s="21"/>
      <c r="B2690" s="21"/>
      <c r="C2690" s="11"/>
      <c r="D2690" s="11"/>
      <c r="E2690" s="21"/>
      <c r="F2690" s="21"/>
      <c r="G2690" s="25"/>
      <c r="H2690" s="11"/>
      <c r="I2690" s="21"/>
      <c r="J2690" s="21"/>
      <c r="K2690" s="21"/>
      <c r="L2690" s="21"/>
      <c r="M2690" s="21"/>
      <c r="N2690" s="21"/>
    </row>
    <row r="2691" spans="1:14" ht="15.75" customHeight="1" x14ac:dyDescent="0.25">
      <c r="A2691" s="31" t="s">
        <v>14</v>
      </c>
      <c r="B2691" s="31" t="s">
        <v>234</v>
      </c>
      <c r="C2691" s="31" t="s">
        <v>16</v>
      </c>
      <c r="D2691" s="31" t="s">
        <v>17</v>
      </c>
      <c r="E2691" s="31" t="s">
        <v>235</v>
      </c>
      <c r="F2691" s="31" t="s">
        <v>236</v>
      </c>
      <c r="G2691" s="25"/>
      <c r="H2691" s="11"/>
      <c r="I2691" s="21"/>
      <c r="J2691" s="21"/>
      <c r="K2691" s="21"/>
      <c r="L2691" s="21"/>
      <c r="M2691" s="21"/>
      <c r="N2691" s="21"/>
    </row>
    <row r="2692" spans="1:14" ht="15.75" customHeight="1" x14ac:dyDescent="0.25">
      <c r="A2692" s="7">
        <v>1</v>
      </c>
      <c r="B2692" s="132" t="s">
        <v>1193</v>
      </c>
      <c r="C2692" s="129">
        <v>1</v>
      </c>
      <c r="D2692" s="7" t="s">
        <v>363</v>
      </c>
      <c r="E2692" s="130">
        <v>47500</v>
      </c>
      <c r="F2692" s="130">
        <f>E2692*C2692</f>
        <v>47500</v>
      </c>
      <c r="G2692" s="25"/>
      <c r="H2692" s="11"/>
      <c r="I2692" s="21"/>
      <c r="J2692" s="21"/>
      <c r="K2692" s="21"/>
      <c r="L2692" s="21"/>
      <c r="M2692" s="21"/>
      <c r="N2692" s="21"/>
    </row>
    <row r="2693" spans="1:14" ht="15.75" customHeight="1" x14ac:dyDescent="0.25">
      <c r="A2693" s="7"/>
      <c r="B2693" s="343" t="s">
        <v>342</v>
      </c>
      <c r="C2693" s="344"/>
      <c r="D2693" s="344"/>
      <c r="E2693" s="334"/>
      <c r="F2693" s="104">
        <f>SUM(F2692)</f>
        <v>47500</v>
      </c>
      <c r="G2693" s="25"/>
      <c r="H2693" s="11"/>
      <c r="I2693" s="21"/>
      <c r="J2693" s="21"/>
      <c r="K2693" s="21"/>
      <c r="L2693" s="21"/>
      <c r="M2693" s="21"/>
      <c r="N2693" s="21"/>
    </row>
    <row r="2694" spans="1:14" ht="15.75" customHeight="1" x14ac:dyDescent="0.25">
      <c r="A2694" s="7"/>
      <c r="B2694" s="343" t="s">
        <v>343</v>
      </c>
      <c r="C2694" s="344"/>
      <c r="D2694" s="344"/>
      <c r="E2694" s="334"/>
      <c r="F2694" s="104">
        <v>5225</v>
      </c>
      <c r="G2694" s="25"/>
      <c r="H2694" s="11"/>
      <c r="I2694" s="21"/>
      <c r="J2694" s="21"/>
      <c r="K2694" s="21"/>
      <c r="L2694" s="21"/>
      <c r="M2694" s="21"/>
      <c r="N2694" s="21"/>
    </row>
    <row r="2695" spans="1:14" ht="15.75" customHeight="1" x14ac:dyDescent="0.25">
      <c r="A2695" s="7"/>
      <c r="B2695" s="345" t="s">
        <v>344</v>
      </c>
      <c r="C2695" s="344"/>
      <c r="D2695" s="344"/>
      <c r="E2695" s="334"/>
      <c r="F2695" s="107">
        <f>SUM(F2693:F2694)</f>
        <v>52725</v>
      </c>
      <c r="G2695" s="25"/>
      <c r="H2695" s="11"/>
      <c r="I2695" s="21"/>
      <c r="J2695" s="21"/>
      <c r="K2695" s="21"/>
      <c r="L2695" s="21"/>
      <c r="M2695" s="21"/>
      <c r="N2695" s="21"/>
    </row>
    <row r="2696" spans="1:14" ht="15.75" customHeight="1" x14ac:dyDescent="0.25">
      <c r="A2696" s="21"/>
      <c r="B2696" s="21"/>
      <c r="C2696" s="11"/>
      <c r="D2696" s="11"/>
      <c r="E2696" s="21"/>
      <c r="F2696" s="21"/>
      <c r="G2696" s="25"/>
      <c r="H2696" s="11"/>
      <c r="I2696" s="21"/>
      <c r="J2696" s="21"/>
      <c r="K2696" s="21"/>
      <c r="L2696" s="21"/>
      <c r="M2696" s="21"/>
      <c r="N2696" s="21"/>
    </row>
    <row r="2697" spans="1:14" ht="15.75" customHeight="1" x14ac:dyDescent="0.25">
      <c r="A2697" s="31" t="s">
        <v>351</v>
      </c>
      <c r="B2697" s="31" t="s">
        <v>234</v>
      </c>
      <c r="C2697" s="31" t="s">
        <v>16</v>
      </c>
      <c r="D2697" s="31" t="s">
        <v>17</v>
      </c>
      <c r="E2697" s="31" t="s">
        <v>235</v>
      </c>
      <c r="F2697" s="31" t="s">
        <v>236</v>
      </c>
      <c r="G2697" s="25"/>
      <c r="H2697" s="11"/>
      <c r="I2697" s="21"/>
      <c r="J2697" s="21"/>
      <c r="K2697" s="21"/>
      <c r="L2697" s="21"/>
      <c r="M2697" s="21"/>
      <c r="N2697" s="21"/>
    </row>
    <row r="2698" spans="1:14" ht="15.75" customHeight="1" x14ac:dyDescent="0.25">
      <c r="A2698" s="7">
        <v>1</v>
      </c>
      <c r="B2698" s="41" t="s">
        <v>1194</v>
      </c>
      <c r="C2698" s="7">
        <v>50</v>
      </c>
      <c r="D2698" s="7" t="s">
        <v>363</v>
      </c>
      <c r="E2698" s="104">
        <v>3000</v>
      </c>
      <c r="F2698" s="104">
        <f>E2698*C2698</f>
        <v>150000</v>
      </c>
      <c r="G2698" s="25"/>
      <c r="H2698" s="11"/>
      <c r="I2698" s="21"/>
      <c r="J2698" s="21"/>
      <c r="K2698" s="21"/>
      <c r="L2698" s="21"/>
      <c r="M2698" s="21"/>
      <c r="N2698" s="21"/>
    </row>
    <row r="2699" spans="1:14" ht="15.75" customHeight="1" x14ac:dyDescent="0.25">
      <c r="A2699" s="7">
        <v>2</v>
      </c>
      <c r="B2699" s="41" t="s">
        <v>1195</v>
      </c>
      <c r="C2699" s="7">
        <v>6</v>
      </c>
      <c r="D2699" s="7" t="s">
        <v>363</v>
      </c>
      <c r="E2699" s="104">
        <v>51744</v>
      </c>
      <c r="F2699" s="104">
        <f>E2699*C2699</f>
        <v>310464</v>
      </c>
      <c r="G2699" s="25"/>
      <c r="H2699" s="11"/>
      <c r="I2699" s="21"/>
      <c r="J2699" s="21"/>
      <c r="K2699" s="21"/>
      <c r="L2699" s="21"/>
      <c r="M2699" s="21"/>
      <c r="N2699" s="21"/>
    </row>
    <row r="2700" spans="1:14" ht="15.75" customHeight="1" x14ac:dyDescent="0.25">
      <c r="A2700" s="7"/>
      <c r="B2700" s="343" t="s">
        <v>342</v>
      </c>
      <c r="C2700" s="344"/>
      <c r="D2700" s="344"/>
      <c r="E2700" s="334"/>
      <c r="F2700" s="104">
        <f>SUM(F2698:F2699)</f>
        <v>460464</v>
      </c>
      <c r="G2700" s="25"/>
      <c r="H2700" s="11"/>
      <c r="I2700" s="21"/>
      <c r="J2700" s="21"/>
      <c r="K2700" s="21"/>
      <c r="L2700" s="21"/>
      <c r="M2700" s="21"/>
      <c r="N2700" s="21"/>
    </row>
    <row r="2701" spans="1:14" ht="15.75" customHeight="1" x14ac:dyDescent="0.25">
      <c r="A2701" s="7"/>
      <c r="B2701" s="343" t="s">
        <v>343</v>
      </c>
      <c r="C2701" s="344"/>
      <c r="D2701" s="344"/>
      <c r="E2701" s="334"/>
      <c r="F2701" s="104">
        <v>50651.040000000001</v>
      </c>
      <c r="G2701" s="25"/>
      <c r="H2701" s="11"/>
      <c r="I2701" s="21"/>
      <c r="J2701" s="21"/>
      <c r="K2701" s="21"/>
      <c r="L2701" s="21"/>
      <c r="M2701" s="21"/>
      <c r="N2701" s="21"/>
    </row>
    <row r="2702" spans="1:14" ht="15.75" customHeight="1" x14ac:dyDescent="0.25">
      <c r="A2702" s="7"/>
      <c r="B2702" s="345" t="s">
        <v>344</v>
      </c>
      <c r="C2702" s="344"/>
      <c r="D2702" s="344"/>
      <c r="E2702" s="334"/>
      <c r="F2702" s="107">
        <f>SUM(F2700:F2701)</f>
        <v>511115.04</v>
      </c>
      <c r="G2702" s="25"/>
      <c r="H2702" s="11"/>
      <c r="I2702" s="21"/>
      <c r="J2702" s="21"/>
      <c r="K2702" s="21"/>
      <c r="L2702" s="21"/>
      <c r="M2702" s="21"/>
      <c r="N2702" s="21"/>
    </row>
    <row r="2703" spans="1:14" ht="15.75" customHeight="1" x14ac:dyDescent="0.25">
      <c r="A2703" s="21"/>
      <c r="B2703" s="21"/>
      <c r="C2703" s="11"/>
      <c r="D2703" s="11"/>
      <c r="E2703" s="21"/>
      <c r="F2703" s="21"/>
      <c r="G2703" s="25"/>
      <c r="H2703" s="11"/>
      <c r="I2703" s="21"/>
      <c r="J2703" s="21"/>
      <c r="K2703" s="21"/>
      <c r="L2703" s="21"/>
      <c r="M2703" s="21"/>
      <c r="N2703" s="21"/>
    </row>
    <row r="2704" spans="1:14" ht="15.75" customHeight="1" x14ac:dyDescent="0.25">
      <c r="A2704" s="31" t="s">
        <v>14</v>
      </c>
      <c r="B2704" s="31" t="s">
        <v>234</v>
      </c>
      <c r="C2704" s="31" t="s">
        <v>16</v>
      </c>
      <c r="D2704" s="31" t="s">
        <v>17</v>
      </c>
      <c r="E2704" s="31" t="s">
        <v>235</v>
      </c>
      <c r="F2704" s="31" t="s">
        <v>236</v>
      </c>
      <c r="G2704" s="25"/>
      <c r="H2704" s="11"/>
      <c r="I2704" s="21"/>
      <c r="J2704" s="21"/>
      <c r="K2704" s="21"/>
      <c r="L2704" s="21"/>
      <c r="M2704" s="21"/>
      <c r="N2704" s="21"/>
    </row>
    <row r="2705" spans="1:14" ht="15.75" customHeight="1" x14ac:dyDescent="0.25">
      <c r="A2705" s="7">
        <v>1</v>
      </c>
      <c r="B2705" s="132" t="s">
        <v>1196</v>
      </c>
      <c r="C2705" s="129">
        <v>2</v>
      </c>
      <c r="D2705" s="7" t="s">
        <v>363</v>
      </c>
      <c r="E2705" s="130">
        <v>831250</v>
      </c>
      <c r="F2705" s="130">
        <f>E2705*C2705</f>
        <v>1662500</v>
      </c>
      <c r="G2705" s="25"/>
      <c r="H2705" s="11"/>
      <c r="I2705" s="21"/>
      <c r="J2705" s="21"/>
      <c r="K2705" s="21"/>
      <c r="L2705" s="21"/>
      <c r="M2705" s="21"/>
      <c r="N2705" s="21"/>
    </row>
    <row r="2706" spans="1:14" ht="15.75" customHeight="1" x14ac:dyDescent="0.25">
      <c r="A2706" s="7"/>
      <c r="B2706" s="343" t="s">
        <v>342</v>
      </c>
      <c r="C2706" s="344"/>
      <c r="D2706" s="344"/>
      <c r="E2706" s="334"/>
      <c r="F2706" s="104">
        <f>SUM(F2705)</f>
        <v>1662500</v>
      </c>
      <c r="G2706" s="25"/>
      <c r="H2706" s="11"/>
      <c r="I2706" s="21"/>
      <c r="J2706" s="21"/>
      <c r="K2706" s="21"/>
      <c r="L2706" s="21"/>
      <c r="M2706" s="21"/>
      <c r="N2706" s="21"/>
    </row>
    <row r="2707" spans="1:14" ht="15.75" customHeight="1" x14ac:dyDescent="0.25">
      <c r="A2707" s="7"/>
      <c r="B2707" s="343" t="s">
        <v>343</v>
      </c>
      <c r="C2707" s="344"/>
      <c r="D2707" s="344"/>
      <c r="E2707" s="334"/>
      <c r="F2707" s="104">
        <v>182875</v>
      </c>
      <c r="G2707" s="25"/>
      <c r="H2707" s="11"/>
      <c r="I2707" s="21"/>
      <c r="J2707" s="21"/>
      <c r="K2707" s="21"/>
      <c r="L2707" s="21"/>
      <c r="M2707" s="21"/>
      <c r="N2707" s="21"/>
    </row>
    <row r="2708" spans="1:14" ht="15.75" customHeight="1" x14ac:dyDescent="0.25">
      <c r="A2708" s="7"/>
      <c r="B2708" s="345" t="s">
        <v>344</v>
      </c>
      <c r="C2708" s="344"/>
      <c r="D2708" s="344"/>
      <c r="E2708" s="334"/>
      <c r="F2708" s="107">
        <f>SUM(F2706:F2707)</f>
        <v>1845375</v>
      </c>
      <c r="G2708" s="25"/>
      <c r="H2708" s="11"/>
      <c r="I2708" s="21"/>
      <c r="J2708" s="21"/>
      <c r="K2708" s="21"/>
      <c r="L2708" s="21"/>
      <c r="M2708" s="21"/>
      <c r="N2708" s="21"/>
    </row>
    <row r="2709" spans="1:14" ht="15.75" customHeight="1" x14ac:dyDescent="0.25">
      <c r="A2709" s="21"/>
      <c r="B2709" s="21"/>
      <c r="C2709" s="11"/>
      <c r="D2709" s="11"/>
      <c r="E2709" s="21"/>
      <c r="F2709" s="21"/>
      <c r="G2709" s="25"/>
      <c r="H2709" s="11"/>
      <c r="I2709" s="21"/>
      <c r="J2709" s="21"/>
      <c r="K2709" s="21"/>
      <c r="L2709" s="21"/>
      <c r="M2709" s="21"/>
      <c r="N2709" s="21"/>
    </row>
    <row r="2710" spans="1:14" ht="15.75" customHeight="1" x14ac:dyDescent="0.25">
      <c r="A2710" s="31" t="s">
        <v>14</v>
      </c>
      <c r="B2710" s="31" t="s">
        <v>234</v>
      </c>
      <c r="C2710" s="31" t="s">
        <v>16</v>
      </c>
      <c r="D2710" s="31" t="s">
        <v>17</v>
      </c>
      <c r="E2710" s="31" t="s">
        <v>235</v>
      </c>
      <c r="F2710" s="31" t="s">
        <v>236</v>
      </c>
      <c r="G2710" s="25"/>
      <c r="H2710" s="11"/>
      <c r="I2710" s="21"/>
      <c r="J2710" s="21"/>
      <c r="K2710" s="21"/>
      <c r="L2710" s="21"/>
      <c r="M2710" s="21"/>
      <c r="N2710" s="21"/>
    </row>
    <row r="2711" spans="1:14" ht="15.75" customHeight="1" x14ac:dyDescent="0.25">
      <c r="A2711" s="10">
        <v>1</v>
      </c>
      <c r="B2711" s="38" t="s">
        <v>1013</v>
      </c>
      <c r="C2711" s="7">
        <v>35</v>
      </c>
      <c r="D2711" s="7" t="s">
        <v>363</v>
      </c>
      <c r="E2711" s="104">
        <v>9025</v>
      </c>
      <c r="F2711" s="104">
        <f t="shared" ref="F2711:F2718" si="26">E2711*C2711</f>
        <v>315875</v>
      </c>
      <c r="G2711" s="25"/>
      <c r="H2711" s="11"/>
      <c r="I2711" s="21"/>
      <c r="J2711" s="21"/>
      <c r="K2711" s="21"/>
      <c r="L2711" s="21"/>
      <c r="M2711" s="21"/>
      <c r="N2711" s="21"/>
    </row>
    <row r="2712" spans="1:14" ht="15.75" customHeight="1" x14ac:dyDescent="0.25">
      <c r="A2712" s="7">
        <v>2</v>
      </c>
      <c r="B2712" s="124" t="s">
        <v>1197</v>
      </c>
      <c r="C2712" s="7">
        <v>4</v>
      </c>
      <c r="D2712" s="7" t="s">
        <v>550</v>
      </c>
      <c r="E2712" s="104">
        <v>99750</v>
      </c>
      <c r="F2712" s="104">
        <f t="shared" si="26"/>
        <v>399000</v>
      </c>
      <c r="G2712" s="25"/>
      <c r="H2712" s="11"/>
      <c r="I2712" s="21"/>
      <c r="J2712" s="21"/>
      <c r="K2712" s="21"/>
      <c r="L2712" s="21"/>
      <c r="M2712" s="21"/>
      <c r="N2712" s="21"/>
    </row>
    <row r="2713" spans="1:14" ht="15.75" customHeight="1" x14ac:dyDescent="0.25">
      <c r="A2713" s="7">
        <v>3</v>
      </c>
      <c r="B2713" s="131" t="s">
        <v>1198</v>
      </c>
      <c r="C2713" s="7">
        <v>4</v>
      </c>
      <c r="D2713" s="7" t="s">
        <v>353</v>
      </c>
      <c r="E2713" s="104">
        <v>162925</v>
      </c>
      <c r="F2713" s="104">
        <f t="shared" si="26"/>
        <v>651700</v>
      </c>
      <c r="G2713" s="25"/>
      <c r="H2713" s="11"/>
      <c r="I2713" s="21"/>
      <c r="J2713" s="21"/>
      <c r="K2713" s="21"/>
      <c r="L2713" s="21"/>
      <c r="M2713" s="21"/>
      <c r="N2713" s="21"/>
    </row>
    <row r="2714" spans="1:14" ht="15.75" customHeight="1" x14ac:dyDescent="0.25">
      <c r="A2714" s="7">
        <v>4</v>
      </c>
      <c r="B2714" s="35" t="s">
        <v>1199</v>
      </c>
      <c r="C2714" s="7">
        <v>2</v>
      </c>
      <c r="D2714" s="7" t="s">
        <v>363</v>
      </c>
      <c r="E2714" s="104">
        <v>185250</v>
      </c>
      <c r="F2714" s="104">
        <f t="shared" si="26"/>
        <v>370500</v>
      </c>
      <c r="G2714" s="25"/>
      <c r="H2714" s="11"/>
      <c r="I2714" s="21"/>
      <c r="J2714" s="21"/>
      <c r="K2714" s="21"/>
      <c r="L2714" s="21"/>
      <c r="M2714" s="21"/>
      <c r="N2714" s="21"/>
    </row>
    <row r="2715" spans="1:14" ht="15.75" customHeight="1" x14ac:dyDescent="0.25">
      <c r="A2715" s="7">
        <v>5</v>
      </c>
      <c r="B2715" s="41" t="s">
        <v>1200</v>
      </c>
      <c r="C2715" s="7">
        <v>2</v>
      </c>
      <c r="D2715" s="7" t="s">
        <v>363</v>
      </c>
      <c r="E2715" s="104">
        <v>157700</v>
      </c>
      <c r="F2715" s="104">
        <f t="shared" si="26"/>
        <v>315400</v>
      </c>
      <c r="G2715" s="25"/>
      <c r="H2715" s="11"/>
      <c r="I2715" s="21"/>
      <c r="J2715" s="21"/>
      <c r="K2715" s="21"/>
      <c r="L2715" s="21"/>
      <c r="M2715" s="21"/>
      <c r="N2715" s="21"/>
    </row>
    <row r="2716" spans="1:14" ht="15.75" customHeight="1" x14ac:dyDescent="0.25">
      <c r="A2716" s="7">
        <v>6</v>
      </c>
      <c r="B2716" s="35" t="s">
        <v>1201</v>
      </c>
      <c r="C2716" s="7">
        <v>2</v>
      </c>
      <c r="D2716" s="7" t="s">
        <v>353</v>
      </c>
      <c r="E2716" s="104">
        <v>104310</v>
      </c>
      <c r="F2716" s="104">
        <f t="shared" si="26"/>
        <v>208620</v>
      </c>
      <c r="G2716" s="25"/>
      <c r="H2716" s="11"/>
      <c r="I2716" s="21"/>
      <c r="J2716" s="21"/>
      <c r="K2716" s="21"/>
      <c r="L2716" s="21"/>
      <c r="M2716" s="21"/>
      <c r="N2716" s="21"/>
    </row>
    <row r="2717" spans="1:14" ht="15.75" customHeight="1" x14ac:dyDescent="0.25">
      <c r="A2717" s="7">
        <v>7</v>
      </c>
      <c r="B2717" s="35" t="s">
        <v>730</v>
      </c>
      <c r="C2717" s="7">
        <v>20</v>
      </c>
      <c r="D2717" s="7" t="s">
        <v>370</v>
      </c>
      <c r="E2717" s="104">
        <v>134520</v>
      </c>
      <c r="F2717" s="104">
        <f t="shared" si="26"/>
        <v>2690400</v>
      </c>
      <c r="G2717" s="25"/>
      <c r="H2717" s="11"/>
      <c r="I2717" s="21"/>
      <c r="J2717" s="21"/>
      <c r="K2717" s="21"/>
      <c r="L2717" s="21"/>
      <c r="M2717" s="21"/>
      <c r="N2717" s="21"/>
    </row>
    <row r="2718" spans="1:14" ht="15.75" customHeight="1" x14ac:dyDescent="0.25">
      <c r="A2718" s="7">
        <v>8</v>
      </c>
      <c r="B2718" s="132" t="s">
        <v>731</v>
      </c>
      <c r="C2718" s="129">
        <v>20</v>
      </c>
      <c r="D2718" s="7" t="s">
        <v>370</v>
      </c>
      <c r="E2718" s="130">
        <v>80750</v>
      </c>
      <c r="F2718" s="130">
        <f t="shared" si="26"/>
        <v>1615000</v>
      </c>
      <c r="G2718" s="25"/>
      <c r="H2718" s="11"/>
      <c r="I2718" s="21"/>
      <c r="J2718" s="21"/>
      <c r="K2718" s="21"/>
      <c r="L2718" s="21"/>
      <c r="M2718" s="21"/>
      <c r="N2718" s="21"/>
    </row>
    <row r="2719" spans="1:14" ht="15.75" customHeight="1" x14ac:dyDescent="0.25">
      <c r="A2719" s="7"/>
      <c r="B2719" s="343" t="s">
        <v>342</v>
      </c>
      <c r="C2719" s="344"/>
      <c r="D2719" s="344"/>
      <c r="E2719" s="334"/>
      <c r="F2719" s="104">
        <f>SUM(F2711:F2718)</f>
        <v>6566495</v>
      </c>
      <c r="G2719" s="25"/>
      <c r="H2719" s="11"/>
      <c r="I2719" s="21"/>
      <c r="J2719" s="21"/>
      <c r="K2719" s="21"/>
      <c r="L2719" s="21"/>
      <c r="M2719" s="21"/>
      <c r="N2719" s="21"/>
    </row>
    <row r="2720" spans="1:14" ht="15.75" customHeight="1" x14ac:dyDescent="0.25">
      <c r="A2720" s="7"/>
      <c r="B2720" s="343" t="s">
        <v>343</v>
      </c>
      <c r="C2720" s="344"/>
      <c r="D2720" s="344"/>
      <c r="E2720" s="334"/>
      <c r="F2720" s="104">
        <v>722314.45</v>
      </c>
      <c r="G2720" s="25"/>
      <c r="H2720" s="11"/>
      <c r="I2720" s="21"/>
      <c r="J2720" s="21"/>
      <c r="K2720" s="21"/>
      <c r="L2720" s="21"/>
      <c r="M2720" s="21"/>
      <c r="N2720" s="21"/>
    </row>
    <row r="2721" spans="1:14" ht="15.75" customHeight="1" x14ac:dyDescent="0.25">
      <c r="A2721" s="7"/>
      <c r="B2721" s="345" t="s">
        <v>344</v>
      </c>
      <c r="C2721" s="344"/>
      <c r="D2721" s="344"/>
      <c r="E2721" s="334"/>
      <c r="F2721" s="107">
        <f>SUM(F2719:F2720)</f>
        <v>7288809.4500000002</v>
      </c>
      <c r="G2721" s="25"/>
      <c r="H2721" s="11"/>
      <c r="I2721" s="21"/>
      <c r="J2721" s="21"/>
      <c r="K2721" s="21"/>
      <c r="L2721" s="21"/>
      <c r="M2721" s="21"/>
      <c r="N2721" s="21"/>
    </row>
    <row r="2722" spans="1:14" ht="15.75" customHeight="1" x14ac:dyDescent="0.25">
      <c r="A2722" s="21"/>
      <c r="B2722" s="21"/>
      <c r="C2722" s="11"/>
      <c r="D2722" s="11"/>
      <c r="E2722" s="21"/>
      <c r="F2722" s="21"/>
      <c r="G2722" s="25"/>
      <c r="H2722" s="11"/>
      <c r="I2722" s="21"/>
      <c r="J2722" s="21"/>
      <c r="K2722" s="21"/>
      <c r="L2722" s="21"/>
      <c r="M2722" s="21"/>
      <c r="N2722" s="21"/>
    </row>
    <row r="2723" spans="1:14" ht="15.75" customHeight="1" x14ac:dyDescent="0.25">
      <c r="A2723" s="31" t="s">
        <v>351</v>
      </c>
      <c r="B2723" s="31" t="s">
        <v>234</v>
      </c>
      <c r="C2723" s="31" t="s">
        <v>16</v>
      </c>
      <c r="D2723" s="31" t="s">
        <v>17</v>
      </c>
      <c r="E2723" s="31" t="s">
        <v>235</v>
      </c>
      <c r="F2723" s="31" t="s">
        <v>236</v>
      </c>
      <c r="G2723" s="25"/>
      <c r="H2723" s="11"/>
      <c r="I2723" s="21"/>
      <c r="J2723" s="21"/>
      <c r="K2723" s="21"/>
      <c r="L2723" s="21"/>
      <c r="M2723" s="21"/>
      <c r="N2723" s="21"/>
    </row>
    <row r="2724" spans="1:14" ht="15.75" customHeight="1" x14ac:dyDescent="0.25">
      <c r="A2724" s="7">
        <v>1</v>
      </c>
      <c r="B2724" s="41" t="s">
        <v>934</v>
      </c>
      <c r="C2724" s="7">
        <v>4</v>
      </c>
      <c r="D2724" s="7" t="s">
        <v>363</v>
      </c>
      <c r="E2724" s="104">
        <v>190000</v>
      </c>
      <c r="F2724" s="104">
        <f>E2724*C2724</f>
        <v>760000</v>
      </c>
      <c r="G2724" s="25"/>
      <c r="H2724" s="11"/>
      <c r="I2724" s="21"/>
      <c r="J2724" s="21"/>
      <c r="K2724" s="21"/>
      <c r="L2724" s="21"/>
      <c r="M2724" s="21"/>
      <c r="N2724" s="21"/>
    </row>
    <row r="2725" spans="1:14" ht="15.75" customHeight="1" x14ac:dyDescent="0.25">
      <c r="A2725" s="7">
        <v>2</v>
      </c>
      <c r="B2725" s="41" t="s">
        <v>1202</v>
      </c>
      <c r="C2725" s="7">
        <v>50</v>
      </c>
      <c r="D2725" s="7" t="s">
        <v>363</v>
      </c>
      <c r="E2725" s="104">
        <v>4550</v>
      </c>
      <c r="F2725" s="104">
        <f>E2725*C2725</f>
        <v>227500</v>
      </c>
      <c r="G2725" s="25"/>
      <c r="H2725" s="11"/>
      <c r="I2725" s="21"/>
      <c r="J2725" s="21"/>
      <c r="K2725" s="21"/>
      <c r="L2725" s="21"/>
      <c r="M2725" s="21"/>
      <c r="N2725" s="21"/>
    </row>
    <row r="2726" spans="1:14" ht="15.75" customHeight="1" x14ac:dyDescent="0.25">
      <c r="A2726" s="7"/>
      <c r="B2726" s="343" t="s">
        <v>342</v>
      </c>
      <c r="C2726" s="344"/>
      <c r="D2726" s="344"/>
      <c r="E2726" s="334"/>
      <c r="F2726" s="104">
        <f>SUM(F2724:F2725)</f>
        <v>987500</v>
      </c>
      <c r="G2726" s="25"/>
      <c r="H2726" s="11"/>
      <c r="I2726" s="21"/>
      <c r="J2726" s="21"/>
      <c r="K2726" s="21"/>
      <c r="L2726" s="21"/>
      <c r="M2726" s="21"/>
      <c r="N2726" s="21"/>
    </row>
    <row r="2727" spans="1:14" ht="15.75" customHeight="1" x14ac:dyDescent="0.25">
      <c r="A2727" s="7"/>
      <c r="B2727" s="343" t="s">
        <v>343</v>
      </c>
      <c r="C2727" s="344"/>
      <c r="D2727" s="344"/>
      <c r="E2727" s="334"/>
      <c r="F2727" s="104">
        <v>108625</v>
      </c>
      <c r="G2727" s="25"/>
      <c r="H2727" s="11"/>
      <c r="I2727" s="21"/>
      <c r="J2727" s="21"/>
      <c r="K2727" s="21"/>
      <c r="L2727" s="21"/>
      <c r="M2727" s="21"/>
      <c r="N2727" s="21"/>
    </row>
    <row r="2728" spans="1:14" ht="15.75" customHeight="1" x14ac:dyDescent="0.25">
      <c r="A2728" s="7"/>
      <c r="B2728" s="345" t="s">
        <v>344</v>
      </c>
      <c r="C2728" s="344"/>
      <c r="D2728" s="344"/>
      <c r="E2728" s="334"/>
      <c r="F2728" s="107">
        <f>SUM(F2726:F2727)</f>
        <v>1096125</v>
      </c>
      <c r="G2728" s="25"/>
      <c r="H2728" s="11"/>
      <c r="I2728" s="21"/>
      <c r="J2728" s="21"/>
      <c r="K2728" s="21"/>
      <c r="L2728" s="21"/>
      <c r="M2728" s="21"/>
      <c r="N2728" s="21"/>
    </row>
    <row r="2729" spans="1:14" ht="15.75" customHeight="1" x14ac:dyDescent="0.25">
      <c r="A2729" s="21"/>
      <c r="B2729" s="21"/>
      <c r="C2729" s="11"/>
      <c r="D2729" s="11"/>
      <c r="E2729" s="21"/>
      <c r="F2729" s="21"/>
      <c r="G2729" s="25"/>
      <c r="H2729" s="11"/>
      <c r="I2729" s="21"/>
      <c r="J2729" s="21"/>
      <c r="K2729" s="21"/>
      <c r="L2729" s="21"/>
      <c r="M2729" s="21"/>
      <c r="N2729" s="21"/>
    </row>
    <row r="2730" spans="1:14" ht="15.75" customHeight="1" x14ac:dyDescent="0.25">
      <c r="A2730" s="31" t="s">
        <v>14</v>
      </c>
      <c r="B2730" s="31" t="s">
        <v>234</v>
      </c>
      <c r="C2730" s="31" t="s">
        <v>16</v>
      </c>
      <c r="D2730" s="31" t="s">
        <v>17</v>
      </c>
      <c r="E2730" s="31" t="s">
        <v>235</v>
      </c>
      <c r="F2730" s="31" t="s">
        <v>236</v>
      </c>
      <c r="G2730" s="25"/>
      <c r="H2730" s="11"/>
      <c r="I2730" s="21"/>
      <c r="J2730" s="21"/>
      <c r="K2730" s="21"/>
      <c r="L2730" s="21"/>
      <c r="M2730" s="21"/>
      <c r="N2730" s="21"/>
    </row>
    <row r="2731" spans="1:14" ht="15.75" customHeight="1" x14ac:dyDescent="0.25">
      <c r="A2731" s="7">
        <v>1</v>
      </c>
      <c r="B2731" s="132" t="s">
        <v>1203</v>
      </c>
      <c r="C2731" s="129">
        <v>4</v>
      </c>
      <c r="D2731" s="7" t="s">
        <v>363</v>
      </c>
      <c r="E2731" s="130">
        <v>77500</v>
      </c>
      <c r="F2731" s="130">
        <f>E2731*C2731</f>
        <v>310000</v>
      </c>
      <c r="G2731" s="25"/>
      <c r="H2731" s="11"/>
      <c r="I2731" s="21"/>
      <c r="J2731" s="21"/>
      <c r="K2731" s="21"/>
      <c r="L2731" s="21"/>
      <c r="M2731" s="21"/>
      <c r="N2731" s="21"/>
    </row>
    <row r="2732" spans="1:14" ht="15.75" customHeight="1" x14ac:dyDescent="0.25">
      <c r="A2732" s="7"/>
      <c r="B2732" s="343" t="s">
        <v>342</v>
      </c>
      <c r="C2732" s="344"/>
      <c r="D2732" s="344"/>
      <c r="E2732" s="334"/>
      <c r="F2732" s="104">
        <f>SUM(F2731)</f>
        <v>310000</v>
      </c>
      <c r="G2732" s="25"/>
      <c r="H2732" s="11"/>
      <c r="I2732" s="21"/>
      <c r="J2732" s="21"/>
      <c r="K2732" s="21"/>
      <c r="L2732" s="21"/>
      <c r="M2732" s="21"/>
      <c r="N2732" s="21"/>
    </row>
    <row r="2733" spans="1:14" ht="15.75" customHeight="1" x14ac:dyDescent="0.25">
      <c r="A2733" s="7"/>
      <c r="B2733" s="343" t="s">
        <v>343</v>
      </c>
      <c r="C2733" s="344"/>
      <c r="D2733" s="344"/>
      <c r="E2733" s="334"/>
      <c r="F2733" s="104">
        <v>34100</v>
      </c>
      <c r="G2733" s="25"/>
      <c r="H2733" s="11"/>
      <c r="I2733" s="21"/>
      <c r="J2733" s="21"/>
      <c r="K2733" s="21"/>
      <c r="L2733" s="21"/>
      <c r="M2733" s="21"/>
      <c r="N2733" s="21"/>
    </row>
    <row r="2734" spans="1:14" ht="15.75" customHeight="1" x14ac:dyDescent="0.25">
      <c r="A2734" s="7"/>
      <c r="B2734" s="345" t="s">
        <v>344</v>
      </c>
      <c r="C2734" s="344"/>
      <c r="D2734" s="344"/>
      <c r="E2734" s="334"/>
      <c r="F2734" s="107">
        <f>SUM(F2732:F2733)</f>
        <v>344100</v>
      </c>
      <c r="G2734" s="25"/>
      <c r="H2734" s="11"/>
      <c r="I2734" s="21"/>
      <c r="J2734" s="21"/>
      <c r="K2734" s="21"/>
      <c r="L2734" s="21"/>
      <c r="M2734" s="21"/>
      <c r="N2734" s="21"/>
    </row>
    <row r="2735" spans="1:14" ht="15.75" customHeight="1" x14ac:dyDescent="0.25">
      <c r="A2735" s="21"/>
      <c r="B2735" s="21"/>
      <c r="C2735" s="11"/>
      <c r="D2735" s="11"/>
      <c r="E2735" s="21"/>
      <c r="F2735" s="21"/>
      <c r="G2735" s="25"/>
      <c r="H2735" s="11"/>
      <c r="I2735" s="21"/>
      <c r="J2735" s="21"/>
      <c r="K2735" s="21"/>
      <c r="L2735" s="21"/>
      <c r="M2735" s="21"/>
      <c r="N2735" s="21"/>
    </row>
    <row r="2736" spans="1:14" ht="15.75" customHeight="1" x14ac:dyDescent="0.25">
      <c r="A2736" s="31" t="s">
        <v>14</v>
      </c>
      <c r="B2736" s="31" t="s">
        <v>234</v>
      </c>
      <c r="C2736" s="31" t="s">
        <v>16</v>
      </c>
      <c r="D2736" s="31" t="s">
        <v>17</v>
      </c>
      <c r="E2736" s="31" t="s">
        <v>235</v>
      </c>
      <c r="F2736" s="31" t="s">
        <v>236</v>
      </c>
      <c r="G2736" s="25"/>
      <c r="H2736" s="11"/>
      <c r="I2736" s="21"/>
      <c r="J2736" s="21"/>
      <c r="K2736" s="21"/>
      <c r="L2736" s="21"/>
      <c r="M2736" s="21"/>
      <c r="N2736" s="21"/>
    </row>
    <row r="2737" spans="1:14" ht="15.75" customHeight="1" x14ac:dyDescent="0.25">
      <c r="A2737" s="7">
        <v>1</v>
      </c>
      <c r="B2737" s="152" t="s">
        <v>1204</v>
      </c>
      <c r="C2737" s="129">
        <v>80</v>
      </c>
      <c r="D2737" s="7" t="s">
        <v>406</v>
      </c>
      <c r="E2737" s="130">
        <v>496000</v>
      </c>
      <c r="F2737" s="130">
        <f>E2737*C2737</f>
        <v>39680000</v>
      </c>
      <c r="G2737" s="25"/>
      <c r="H2737" s="11"/>
      <c r="I2737" s="21"/>
      <c r="J2737" s="21"/>
      <c r="K2737" s="21"/>
      <c r="L2737" s="21"/>
      <c r="M2737" s="21"/>
      <c r="N2737" s="21"/>
    </row>
    <row r="2738" spans="1:14" ht="15.75" customHeight="1" x14ac:dyDescent="0.25">
      <c r="A2738" s="7"/>
      <c r="B2738" s="343" t="s">
        <v>342</v>
      </c>
      <c r="C2738" s="344"/>
      <c r="D2738" s="344"/>
      <c r="E2738" s="334"/>
      <c r="F2738" s="104">
        <f>SUM(F2737)</f>
        <v>39680000</v>
      </c>
      <c r="G2738" s="25"/>
      <c r="H2738" s="11"/>
      <c r="I2738" s="21"/>
      <c r="J2738" s="21"/>
      <c r="K2738" s="21"/>
      <c r="L2738" s="21"/>
      <c r="M2738" s="21"/>
      <c r="N2738" s="21"/>
    </row>
    <row r="2739" spans="1:14" ht="15.75" customHeight="1" x14ac:dyDescent="0.25">
      <c r="A2739" s="7"/>
      <c r="B2739" s="343" t="s">
        <v>343</v>
      </c>
      <c r="C2739" s="344"/>
      <c r="D2739" s="344"/>
      <c r="E2739" s="334"/>
      <c r="F2739" s="104">
        <v>4364800</v>
      </c>
      <c r="G2739" s="25"/>
      <c r="H2739" s="11"/>
      <c r="I2739" s="21"/>
      <c r="J2739" s="21"/>
      <c r="K2739" s="21"/>
      <c r="L2739" s="21"/>
      <c r="M2739" s="21"/>
      <c r="N2739" s="21"/>
    </row>
    <row r="2740" spans="1:14" ht="15.75" customHeight="1" x14ac:dyDescent="0.25">
      <c r="A2740" s="7"/>
      <c r="B2740" s="345" t="s">
        <v>344</v>
      </c>
      <c r="C2740" s="344"/>
      <c r="D2740" s="344"/>
      <c r="E2740" s="334"/>
      <c r="F2740" s="107">
        <f>SUM(F2738:F2739)</f>
        <v>44044800</v>
      </c>
      <c r="G2740" s="25"/>
      <c r="H2740" s="11"/>
      <c r="I2740" s="21"/>
      <c r="J2740" s="21"/>
      <c r="K2740" s="21"/>
      <c r="L2740" s="21"/>
      <c r="M2740" s="21"/>
      <c r="N2740" s="21"/>
    </row>
    <row r="2741" spans="1:14" ht="15.75" customHeight="1" x14ac:dyDescent="0.25">
      <c r="A2741" s="21"/>
      <c r="B2741" s="21"/>
      <c r="C2741" s="11"/>
      <c r="D2741" s="11"/>
      <c r="E2741" s="21"/>
      <c r="F2741" s="21"/>
      <c r="G2741" s="25"/>
      <c r="H2741" s="11"/>
      <c r="I2741" s="21"/>
      <c r="J2741" s="21"/>
      <c r="K2741" s="21"/>
      <c r="L2741" s="21"/>
      <c r="M2741" s="21"/>
      <c r="N2741" s="21"/>
    </row>
    <row r="2742" spans="1:14" ht="15.75" customHeight="1" x14ac:dyDescent="0.25">
      <c r="A2742" s="31" t="s">
        <v>14</v>
      </c>
      <c r="B2742" s="31" t="s">
        <v>234</v>
      </c>
      <c r="C2742" s="31" t="s">
        <v>16</v>
      </c>
      <c r="D2742" s="31" t="s">
        <v>17</v>
      </c>
      <c r="E2742" s="31" t="s">
        <v>235</v>
      </c>
      <c r="F2742" s="31" t="s">
        <v>236</v>
      </c>
      <c r="G2742" s="25"/>
      <c r="H2742" s="11"/>
      <c r="I2742" s="21"/>
      <c r="J2742" s="21"/>
      <c r="K2742" s="21"/>
      <c r="L2742" s="21"/>
      <c r="M2742" s="21"/>
      <c r="N2742" s="21"/>
    </row>
    <row r="2743" spans="1:14" ht="15.75" customHeight="1" x14ac:dyDescent="0.25">
      <c r="A2743" s="7">
        <v>1</v>
      </c>
      <c r="B2743" s="152" t="s">
        <v>1205</v>
      </c>
      <c r="C2743" s="129">
        <v>4</v>
      </c>
      <c r="D2743" s="7" t="s">
        <v>19</v>
      </c>
      <c r="E2743" s="130">
        <v>137800</v>
      </c>
      <c r="F2743" s="130">
        <f>E2743*C2743</f>
        <v>551200</v>
      </c>
      <c r="G2743" s="25"/>
      <c r="H2743" s="11"/>
      <c r="I2743" s="21"/>
      <c r="J2743" s="21"/>
      <c r="K2743" s="21"/>
      <c r="L2743" s="21"/>
      <c r="M2743" s="21"/>
      <c r="N2743" s="21"/>
    </row>
    <row r="2744" spans="1:14" ht="15.75" customHeight="1" x14ac:dyDescent="0.25">
      <c r="A2744" s="7"/>
      <c r="B2744" s="343" t="s">
        <v>342</v>
      </c>
      <c r="C2744" s="344"/>
      <c r="D2744" s="344"/>
      <c r="E2744" s="334"/>
      <c r="F2744" s="104">
        <f>SUM(F2743)</f>
        <v>551200</v>
      </c>
      <c r="G2744" s="25"/>
      <c r="H2744" s="11"/>
      <c r="I2744" s="21"/>
      <c r="J2744" s="21"/>
      <c r="K2744" s="21"/>
      <c r="L2744" s="21"/>
      <c r="M2744" s="21"/>
      <c r="N2744" s="21"/>
    </row>
    <row r="2745" spans="1:14" ht="15.75" customHeight="1" x14ac:dyDescent="0.25">
      <c r="A2745" s="7"/>
      <c r="B2745" s="343" t="s">
        <v>343</v>
      </c>
      <c r="C2745" s="344"/>
      <c r="D2745" s="344"/>
      <c r="E2745" s="334"/>
      <c r="F2745" s="104">
        <v>60632</v>
      </c>
      <c r="G2745" s="25"/>
      <c r="H2745" s="11"/>
      <c r="I2745" s="21"/>
      <c r="J2745" s="21"/>
      <c r="K2745" s="21"/>
      <c r="L2745" s="21"/>
      <c r="M2745" s="21"/>
      <c r="N2745" s="21"/>
    </row>
    <row r="2746" spans="1:14" ht="15.75" customHeight="1" x14ac:dyDescent="0.25">
      <c r="A2746" s="7"/>
      <c r="B2746" s="345" t="s">
        <v>344</v>
      </c>
      <c r="C2746" s="344"/>
      <c r="D2746" s="344"/>
      <c r="E2746" s="334"/>
      <c r="F2746" s="107">
        <f>SUM(F2744:F2745)</f>
        <v>611832</v>
      </c>
      <c r="G2746" s="25"/>
      <c r="H2746" s="11"/>
      <c r="I2746" s="21"/>
      <c r="J2746" s="21"/>
      <c r="K2746" s="21"/>
      <c r="L2746" s="21"/>
      <c r="M2746" s="21"/>
      <c r="N2746" s="21"/>
    </row>
    <row r="2747" spans="1:14" ht="15.75" customHeight="1" x14ac:dyDescent="0.25">
      <c r="A2747" s="21"/>
      <c r="B2747" s="21"/>
      <c r="C2747" s="11"/>
      <c r="D2747" s="11"/>
      <c r="E2747" s="21"/>
      <c r="F2747" s="21"/>
      <c r="G2747" s="25"/>
      <c r="H2747" s="11"/>
      <c r="I2747" s="21"/>
      <c r="J2747" s="21"/>
      <c r="K2747" s="21"/>
      <c r="L2747" s="21"/>
      <c r="M2747" s="21"/>
      <c r="N2747" s="21"/>
    </row>
    <row r="2748" spans="1:14" ht="15.75" customHeight="1" x14ac:dyDescent="0.25">
      <c r="A2748" s="31" t="s">
        <v>14</v>
      </c>
      <c r="B2748" s="31" t="s">
        <v>234</v>
      </c>
      <c r="C2748" s="31" t="s">
        <v>16</v>
      </c>
      <c r="D2748" s="31" t="s">
        <v>17</v>
      </c>
      <c r="E2748" s="31" t="s">
        <v>235</v>
      </c>
      <c r="F2748" s="31" t="s">
        <v>236</v>
      </c>
      <c r="G2748" s="25"/>
      <c r="H2748" s="11"/>
      <c r="I2748" s="21"/>
      <c r="J2748" s="21"/>
      <c r="K2748" s="21"/>
      <c r="L2748" s="21"/>
      <c r="M2748" s="21"/>
      <c r="N2748" s="21"/>
    </row>
    <row r="2749" spans="1:14" ht="15.75" customHeight="1" x14ac:dyDescent="0.25">
      <c r="A2749" s="7">
        <v>1</v>
      </c>
      <c r="B2749" s="152" t="s">
        <v>1206</v>
      </c>
      <c r="C2749" s="129">
        <v>6</v>
      </c>
      <c r="D2749" s="7" t="s">
        <v>19</v>
      </c>
      <c r="E2749" s="130">
        <v>1242000</v>
      </c>
      <c r="F2749" s="130">
        <f>E2749*C2749</f>
        <v>7452000</v>
      </c>
      <c r="G2749" s="25"/>
      <c r="H2749" s="11"/>
      <c r="I2749" s="21"/>
      <c r="J2749" s="21"/>
      <c r="K2749" s="21"/>
      <c r="L2749" s="21"/>
      <c r="M2749" s="21"/>
      <c r="N2749" s="21"/>
    </row>
    <row r="2750" spans="1:14" ht="15.75" customHeight="1" x14ac:dyDescent="0.25">
      <c r="A2750" s="7"/>
      <c r="B2750" s="343" t="s">
        <v>342</v>
      </c>
      <c r="C2750" s="344"/>
      <c r="D2750" s="344"/>
      <c r="E2750" s="334"/>
      <c r="F2750" s="104">
        <f>SUM(F2749)</f>
        <v>7452000</v>
      </c>
      <c r="G2750" s="25"/>
      <c r="H2750" s="11"/>
      <c r="I2750" s="21"/>
      <c r="J2750" s="21"/>
      <c r="K2750" s="21"/>
      <c r="L2750" s="21"/>
      <c r="M2750" s="21"/>
      <c r="N2750" s="21"/>
    </row>
    <row r="2751" spans="1:14" ht="15.75" customHeight="1" x14ac:dyDescent="0.25">
      <c r="A2751" s="7"/>
      <c r="B2751" s="343" t="s">
        <v>343</v>
      </c>
      <c r="C2751" s="344"/>
      <c r="D2751" s="344"/>
      <c r="E2751" s="334"/>
      <c r="F2751" s="104">
        <v>819720</v>
      </c>
      <c r="G2751" s="25"/>
      <c r="H2751" s="11"/>
      <c r="I2751" s="21"/>
      <c r="J2751" s="21"/>
      <c r="K2751" s="21"/>
      <c r="L2751" s="21"/>
      <c r="M2751" s="21"/>
      <c r="N2751" s="21"/>
    </row>
    <row r="2752" spans="1:14" ht="15.75" customHeight="1" x14ac:dyDescent="0.25">
      <c r="A2752" s="7"/>
      <c r="B2752" s="345" t="s">
        <v>344</v>
      </c>
      <c r="C2752" s="344"/>
      <c r="D2752" s="344"/>
      <c r="E2752" s="334"/>
      <c r="F2752" s="107">
        <f>SUM(F2750:F2751)</f>
        <v>8271720</v>
      </c>
      <c r="G2752" s="25"/>
      <c r="H2752" s="11"/>
      <c r="I2752" s="21"/>
      <c r="J2752" s="21"/>
      <c r="K2752" s="21"/>
      <c r="L2752" s="21"/>
      <c r="M2752" s="21"/>
      <c r="N2752" s="21"/>
    </row>
    <row r="2753" spans="1:14" ht="15.75" customHeight="1" x14ac:dyDescent="0.25">
      <c r="A2753" s="21"/>
      <c r="B2753" s="21"/>
      <c r="C2753" s="11"/>
      <c r="D2753" s="11"/>
      <c r="E2753" s="21"/>
      <c r="F2753" s="21"/>
      <c r="G2753" s="25"/>
      <c r="H2753" s="11"/>
      <c r="I2753" s="21"/>
      <c r="J2753" s="21"/>
      <c r="K2753" s="21"/>
      <c r="L2753" s="21"/>
      <c r="M2753" s="21"/>
      <c r="N2753" s="21"/>
    </row>
    <row r="2754" spans="1:14" ht="15.75" customHeight="1" x14ac:dyDescent="0.25">
      <c r="A2754" s="31" t="s">
        <v>14</v>
      </c>
      <c r="B2754" s="31" t="s">
        <v>234</v>
      </c>
      <c r="C2754" s="31" t="s">
        <v>16</v>
      </c>
      <c r="D2754" s="31" t="s">
        <v>17</v>
      </c>
      <c r="E2754" s="31" t="s">
        <v>235</v>
      </c>
      <c r="F2754" s="31" t="s">
        <v>236</v>
      </c>
      <c r="G2754" s="25"/>
      <c r="H2754" s="11"/>
      <c r="I2754" s="21"/>
      <c r="J2754" s="21"/>
      <c r="K2754" s="21"/>
      <c r="L2754" s="21"/>
      <c r="M2754" s="21"/>
      <c r="N2754" s="21"/>
    </row>
    <row r="2755" spans="1:14" ht="15.75" customHeight="1" x14ac:dyDescent="0.25">
      <c r="A2755" s="7">
        <v>1</v>
      </c>
      <c r="B2755" s="152" t="s">
        <v>1207</v>
      </c>
      <c r="C2755" s="129">
        <v>8</v>
      </c>
      <c r="D2755" s="7" t="s">
        <v>19</v>
      </c>
      <c r="E2755" s="130">
        <v>40800</v>
      </c>
      <c r="F2755" s="130">
        <f>E2755*C2755</f>
        <v>326400</v>
      </c>
      <c r="G2755" s="25"/>
      <c r="H2755" s="11"/>
      <c r="I2755" s="21"/>
      <c r="J2755" s="21"/>
      <c r="K2755" s="21"/>
      <c r="L2755" s="21"/>
      <c r="M2755" s="21"/>
      <c r="N2755" s="21"/>
    </row>
    <row r="2756" spans="1:14" ht="15.75" customHeight="1" x14ac:dyDescent="0.25">
      <c r="A2756" s="7"/>
      <c r="B2756" s="343" t="s">
        <v>342</v>
      </c>
      <c r="C2756" s="344"/>
      <c r="D2756" s="344"/>
      <c r="E2756" s="334"/>
      <c r="F2756" s="104">
        <f>SUM(F2755)</f>
        <v>326400</v>
      </c>
      <c r="G2756" s="25"/>
      <c r="H2756" s="11"/>
      <c r="I2756" s="21"/>
      <c r="J2756" s="21"/>
      <c r="K2756" s="21"/>
      <c r="L2756" s="21"/>
      <c r="M2756" s="21"/>
      <c r="N2756" s="21"/>
    </row>
    <row r="2757" spans="1:14" ht="15.75" customHeight="1" x14ac:dyDescent="0.25">
      <c r="A2757" s="7"/>
      <c r="B2757" s="343" t="s">
        <v>343</v>
      </c>
      <c r="C2757" s="344"/>
      <c r="D2757" s="344"/>
      <c r="E2757" s="334"/>
      <c r="F2757" s="104">
        <v>35904</v>
      </c>
      <c r="G2757" s="25"/>
      <c r="H2757" s="11"/>
      <c r="I2757" s="21"/>
      <c r="J2757" s="21"/>
      <c r="K2757" s="21"/>
      <c r="L2757" s="21"/>
      <c r="M2757" s="21"/>
      <c r="N2757" s="21"/>
    </row>
    <row r="2758" spans="1:14" ht="15.75" customHeight="1" x14ac:dyDescent="0.25">
      <c r="A2758" s="7"/>
      <c r="B2758" s="345" t="s">
        <v>344</v>
      </c>
      <c r="C2758" s="344"/>
      <c r="D2758" s="344"/>
      <c r="E2758" s="334"/>
      <c r="F2758" s="107">
        <f>SUM(F2756:F2757)</f>
        <v>362304</v>
      </c>
      <c r="G2758" s="25"/>
      <c r="H2758" s="11"/>
      <c r="I2758" s="21"/>
      <c r="J2758" s="21"/>
      <c r="K2758" s="21"/>
      <c r="L2758" s="21"/>
      <c r="M2758" s="21"/>
      <c r="N2758" s="21"/>
    </row>
    <row r="2759" spans="1:14" ht="15.75" customHeight="1" x14ac:dyDescent="0.25">
      <c r="A2759" s="21"/>
      <c r="B2759" s="21"/>
      <c r="C2759" s="11"/>
      <c r="D2759" s="11"/>
      <c r="E2759" s="21"/>
      <c r="F2759" s="21"/>
      <c r="G2759" s="25"/>
      <c r="H2759" s="11"/>
      <c r="I2759" s="21"/>
      <c r="J2759" s="21"/>
      <c r="K2759" s="21"/>
      <c r="L2759" s="21"/>
      <c r="M2759" s="21"/>
      <c r="N2759" s="21"/>
    </row>
    <row r="2760" spans="1:14" ht="15.75" customHeight="1" x14ac:dyDescent="0.25">
      <c r="A2760" s="31" t="s">
        <v>14</v>
      </c>
      <c r="B2760" s="31" t="s">
        <v>234</v>
      </c>
      <c r="C2760" s="31" t="s">
        <v>16</v>
      </c>
      <c r="D2760" s="31" t="s">
        <v>17</v>
      </c>
      <c r="E2760" s="31" t="s">
        <v>235</v>
      </c>
      <c r="F2760" s="31" t="s">
        <v>236</v>
      </c>
      <c r="G2760" s="25"/>
      <c r="H2760" s="11"/>
      <c r="I2760" s="21"/>
      <c r="J2760" s="21"/>
      <c r="K2760" s="21"/>
      <c r="L2760" s="21"/>
      <c r="M2760" s="21"/>
      <c r="N2760" s="21"/>
    </row>
    <row r="2761" spans="1:14" ht="15.75" customHeight="1" x14ac:dyDescent="0.25">
      <c r="A2761" s="7">
        <v>1</v>
      </c>
      <c r="B2761" s="152" t="s">
        <v>1208</v>
      </c>
      <c r="C2761" s="129">
        <v>1</v>
      </c>
      <c r="D2761" s="7" t="s">
        <v>243</v>
      </c>
      <c r="E2761" s="130">
        <v>295000</v>
      </c>
      <c r="F2761" s="130">
        <f>E2761*C2761</f>
        <v>295000</v>
      </c>
      <c r="G2761" s="25"/>
      <c r="H2761" s="11"/>
      <c r="I2761" s="21"/>
      <c r="J2761" s="21"/>
      <c r="K2761" s="21"/>
      <c r="L2761" s="21"/>
      <c r="M2761" s="21"/>
      <c r="N2761" s="21"/>
    </row>
    <row r="2762" spans="1:14" ht="15.75" customHeight="1" x14ac:dyDescent="0.25">
      <c r="A2762" s="7"/>
      <c r="B2762" s="343" t="s">
        <v>342</v>
      </c>
      <c r="C2762" s="344"/>
      <c r="D2762" s="344"/>
      <c r="E2762" s="334"/>
      <c r="F2762" s="104">
        <f>SUM(F2761)</f>
        <v>295000</v>
      </c>
      <c r="G2762" s="25"/>
      <c r="H2762" s="11"/>
      <c r="I2762" s="21"/>
      <c r="J2762" s="21"/>
      <c r="K2762" s="21"/>
      <c r="L2762" s="21"/>
      <c r="M2762" s="21"/>
      <c r="N2762" s="21"/>
    </row>
    <row r="2763" spans="1:14" ht="15.75" customHeight="1" x14ac:dyDescent="0.25">
      <c r="A2763" s="7"/>
      <c r="B2763" s="343" t="s">
        <v>343</v>
      </c>
      <c r="C2763" s="344"/>
      <c r="D2763" s="344"/>
      <c r="E2763" s="334"/>
      <c r="F2763" s="104">
        <v>32450</v>
      </c>
      <c r="G2763" s="25"/>
      <c r="H2763" s="11"/>
      <c r="I2763" s="21"/>
      <c r="J2763" s="21"/>
      <c r="K2763" s="21"/>
      <c r="L2763" s="21"/>
      <c r="M2763" s="21"/>
      <c r="N2763" s="21"/>
    </row>
    <row r="2764" spans="1:14" ht="15.75" customHeight="1" x14ac:dyDescent="0.25">
      <c r="A2764" s="7"/>
      <c r="B2764" s="345" t="s">
        <v>344</v>
      </c>
      <c r="C2764" s="344"/>
      <c r="D2764" s="344"/>
      <c r="E2764" s="334"/>
      <c r="F2764" s="107">
        <f>SUM(F2762:F2763)</f>
        <v>327450</v>
      </c>
      <c r="G2764" s="25"/>
      <c r="H2764" s="11"/>
      <c r="I2764" s="21"/>
      <c r="J2764" s="21"/>
      <c r="K2764" s="21"/>
      <c r="L2764" s="21"/>
      <c r="M2764" s="21"/>
      <c r="N2764" s="21"/>
    </row>
    <row r="2765" spans="1:14" ht="15.75" customHeight="1" x14ac:dyDescent="0.25">
      <c r="A2765" s="21"/>
      <c r="B2765" s="21"/>
      <c r="C2765" s="11"/>
      <c r="D2765" s="11"/>
      <c r="E2765" s="21"/>
      <c r="F2765" s="21"/>
      <c r="G2765" s="25"/>
      <c r="H2765" s="11"/>
      <c r="I2765" s="21"/>
      <c r="J2765" s="21"/>
      <c r="K2765" s="21"/>
      <c r="L2765" s="21"/>
      <c r="M2765" s="21"/>
      <c r="N2765" s="21"/>
    </row>
    <row r="2766" spans="1:14" ht="15.75" customHeight="1" x14ac:dyDescent="0.25">
      <c r="A2766" s="31" t="s">
        <v>14</v>
      </c>
      <c r="B2766" s="31" t="s">
        <v>234</v>
      </c>
      <c r="C2766" s="31" t="s">
        <v>16</v>
      </c>
      <c r="D2766" s="31" t="s">
        <v>17</v>
      </c>
      <c r="E2766" s="31" t="s">
        <v>235</v>
      </c>
      <c r="F2766" s="31" t="s">
        <v>236</v>
      </c>
      <c r="G2766" s="25"/>
      <c r="H2766" s="11"/>
      <c r="I2766" s="21"/>
      <c r="J2766" s="21"/>
      <c r="K2766" s="21"/>
      <c r="L2766" s="21"/>
      <c r="M2766" s="21"/>
      <c r="N2766" s="21"/>
    </row>
    <row r="2767" spans="1:14" ht="15.75" customHeight="1" x14ac:dyDescent="0.25">
      <c r="A2767" s="7">
        <v>1</v>
      </c>
      <c r="B2767" s="152" t="s">
        <v>1209</v>
      </c>
      <c r="C2767" s="129">
        <v>5</v>
      </c>
      <c r="D2767" s="7" t="s">
        <v>1210</v>
      </c>
      <c r="E2767" s="130">
        <v>339000</v>
      </c>
      <c r="F2767" s="130">
        <f>E2767*C2767</f>
        <v>1695000</v>
      </c>
      <c r="G2767" s="25"/>
      <c r="H2767" s="11"/>
      <c r="I2767" s="21"/>
      <c r="J2767" s="21"/>
      <c r="K2767" s="21"/>
      <c r="L2767" s="21"/>
      <c r="M2767" s="21"/>
      <c r="N2767" s="21"/>
    </row>
    <row r="2768" spans="1:14" ht="15.75" customHeight="1" x14ac:dyDescent="0.25">
      <c r="A2768" s="7"/>
      <c r="B2768" s="343" t="s">
        <v>342</v>
      </c>
      <c r="C2768" s="344"/>
      <c r="D2768" s="344"/>
      <c r="E2768" s="334"/>
      <c r="F2768" s="104">
        <f>SUM(F2767)</f>
        <v>1695000</v>
      </c>
      <c r="G2768" s="25"/>
      <c r="H2768" s="11"/>
      <c r="I2768" s="21"/>
      <c r="J2768" s="21"/>
      <c r="K2768" s="21"/>
      <c r="L2768" s="21"/>
      <c r="M2768" s="21"/>
      <c r="N2768" s="21"/>
    </row>
    <row r="2769" spans="1:14" ht="15.75" customHeight="1" x14ac:dyDescent="0.25">
      <c r="A2769" s="7"/>
      <c r="B2769" s="343" t="s">
        <v>343</v>
      </c>
      <c r="C2769" s="344"/>
      <c r="D2769" s="344"/>
      <c r="E2769" s="334"/>
      <c r="F2769" s="104">
        <v>186450</v>
      </c>
      <c r="G2769" s="25"/>
      <c r="H2769" s="11"/>
      <c r="I2769" s="21"/>
      <c r="J2769" s="21"/>
      <c r="K2769" s="21"/>
      <c r="L2769" s="21"/>
      <c r="M2769" s="21"/>
      <c r="N2769" s="21"/>
    </row>
    <row r="2770" spans="1:14" ht="15.75" customHeight="1" x14ac:dyDescent="0.25">
      <c r="A2770" s="7"/>
      <c r="B2770" s="345" t="s">
        <v>344</v>
      </c>
      <c r="C2770" s="344"/>
      <c r="D2770" s="344"/>
      <c r="E2770" s="334"/>
      <c r="F2770" s="107">
        <f>SUM(F2768:F2769)</f>
        <v>1881450</v>
      </c>
      <c r="G2770" s="25"/>
      <c r="H2770" s="11"/>
      <c r="I2770" s="21"/>
      <c r="J2770" s="21"/>
      <c r="K2770" s="21"/>
      <c r="L2770" s="21"/>
      <c r="M2770" s="21"/>
      <c r="N2770" s="21"/>
    </row>
    <row r="2771" spans="1:14" ht="15.75" customHeight="1" x14ac:dyDescent="0.25">
      <c r="A2771" s="21"/>
      <c r="B2771" s="21"/>
      <c r="C2771" s="11"/>
      <c r="D2771" s="11"/>
      <c r="E2771" s="21"/>
      <c r="F2771" s="21"/>
      <c r="G2771" s="25"/>
      <c r="H2771" s="11"/>
      <c r="I2771" s="21"/>
      <c r="J2771" s="21"/>
      <c r="K2771" s="21"/>
      <c r="L2771" s="21"/>
      <c r="M2771" s="21"/>
      <c r="N2771" s="21"/>
    </row>
    <row r="2772" spans="1:14" ht="15.75" customHeight="1" x14ac:dyDescent="0.25">
      <c r="A2772" s="31" t="s">
        <v>14</v>
      </c>
      <c r="B2772" s="31" t="s">
        <v>234</v>
      </c>
      <c r="C2772" s="31" t="s">
        <v>16</v>
      </c>
      <c r="D2772" s="31" t="s">
        <v>17</v>
      </c>
      <c r="E2772" s="31" t="s">
        <v>235</v>
      </c>
      <c r="F2772" s="31" t="s">
        <v>236</v>
      </c>
      <c r="G2772" s="25"/>
      <c r="H2772" s="11"/>
      <c r="I2772" s="21"/>
      <c r="J2772" s="21"/>
      <c r="K2772" s="21"/>
      <c r="L2772" s="21"/>
      <c r="M2772" s="21"/>
      <c r="N2772" s="21"/>
    </row>
    <row r="2773" spans="1:14" ht="15.75" customHeight="1" x14ac:dyDescent="0.25">
      <c r="A2773" s="7">
        <v>1</v>
      </c>
      <c r="B2773" s="152" t="s">
        <v>1211</v>
      </c>
      <c r="C2773" s="129">
        <v>60</v>
      </c>
      <c r="D2773" s="7" t="s">
        <v>539</v>
      </c>
      <c r="E2773" s="130">
        <v>49000</v>
      </c>
      <c r="F2773" s="130">
        <f>E2773*C2773</f>
        <v>2940000</v>
      </c>
      <c r="G2773" s="25"/>
      <c r="H2773" s="11"/>
      <c r="I2773" s="21"/>
      <c r="J2773" s="21"/>
      <c r="K2773" s="21"/>
      <c r="L2773" s="21"/>
      <c r="M2773" s="21"/>
      <c r="N2773" s="21"/>
    </row>
    <row r="2774" spans="1:14" ht="15.75" customHeight="1" x14ac:dyDescent="0.25">
      <c r="A2774" s="7"/>
      <c r="B2774" s="343" t="s">
        <v>342</v>
      </c>
      <c r="C2774" s="344"/>
      <c r="D2774" s="344"/>
      <c r="E2774" s="334"/>
      <c r="F2774" s="104">
        <f>SUM(F2773)</f>
        <v>2940000</v>
      </c>
      <c r="G2774" s="25"/>
      <c r="H2774" s="11"/>
      <c r="I2774" s="21"/>
      <c r="J2774" s="21"/>
      <c r="K2774" s="21"/>
      <c r="L2774" s="21"/>
      <c r="M2774" s="21"/>
      <c r="N2774" s="21"/>
    </row>
    <row r="2775" spans="1:14" ht="15.75" customHeight="1" x14ac:dyDescent="0.25">
      <c r="A2775" s="7"/>
      <c r="B2775" s="343" t="s">
        <v>343</v>
      </c>
      <c r="C2775" s="344"/>
      <c r="D2775" s="344"/>
      <c r="E2775" s="334"/>
      <c r="F2775" s="104">
        <v>323400</v>
      </c>
      <c r="G2775" s="25"/>
      <c r="H2775" s="11"/>
      <c r="I2775" s="21"/>
      <c r="J2775" s="21"/>
      <c r="K2775" s="21"/>
      <c r="L2775" s="21"/>
      <c r="M2775" s="21"/>
      <c r="N2775" s="21"/>
    </row>
    <row r="2776" spans="1:14" ht="15.75" customHeight="1" x14ac:dyDescent="0.25">
      <c r="A2776" s="7"/>
      <c r="B2776" s="345" t="s">
        <v>344</v>
      </c>
      <c r="C2776" s="344"/>
      <c r="D2776" s="344"/>
      <c r="E2776" s="334"/>
      <c r="F2776" s="107">
        <f>SUM(F2774:F2775)</f>
        <v>3263400</v>
      </c>
      <c r="G2776" s="25"/>
      <c r="H2776" s="11"/>
      <c r="I2776" s="21"/>
      <c r="J2776" s="21"/>
      <c r="K2776" s="21"/>
      <c r="L2776" s="21"/>
      <c r="M2776" s="21"/>
      <c r="N2776" s="21"/>
    </row>
    <row r="2777" spans="1:14" ht="15.75" customHeight="1" x14ac:dyDescent="0.25">
      <c r="A2777" s="21"/>
      <c r="B2777" s="21"/>
      <c r="C2777" s="11"/>
      <c r="D2777" s="11"/>
      <c r="E2777" s="21"/>
      <c r="F2777" s="21"/>
      <c r="G2777" s="25"/>
      <c r="H2777" s="11"/>
      <c r="I2777" s="21"/>
      <c r="J2777" s="21"/>
      <c r="K2777" s="21"/>
      <c r="L2777" s="21"/>
      <c r="M2777" s="21"/>
      <c r="N2777" s="21"/>
    </row>
    <row r="2778" spans="1:14" ht="15.75" customHeight="1" x14ac:dyDescent="0.25">
      <c r="A2778" s="31" t="s">
        <v>14</v>
      </c>
      <c r="B2778" s="31" t="s">
        <v>234</v>
      </c>
      <c r="C2778" s="31" t="s">
        <v>16</v>
      </c>
      <c r="D2778" s="31" t="s">
        <v>17</v>
      </c>
      <c r="E2778" s="31" t="s">
        <v>235</v>
      </c>
      <c r="F2778" s="31" t="s">
        <v>236</v>
      </c>
      <c r="G2778" s="25"/>
      <c r="H2778" s="11"/>
      <c r="I2778" s="21"/>
      <c r="J2778" s="21"/>
      <c r="K2778" s="21"/>
      <c r="L2778" s="21"/>
      <c r="M2778" s="21"/>
      <c r="N2778" s="21"/>
    </row>
    <row r="2779" spans="1:14" ht="15.75" customHeight="1" x14ac:dyDescent="0.25">
      <c r="A2779" s="7">
        <v>1</v>
      </c>
      <c r="B2779" s="152" t="s">
        <v>1212</v>
      </c>
      <c r="C2779" s="129">
        <v>4</v>
      </c>
      <c r="D2779" s="7" t="s">
        <v>19</v>
      </c>
      <c r="E2779" s="130">
        <v>1236750</v>
      </c>
      <c r="F2779" s="130">
        <f>E2779*C2779</f>
        <v>4947000</v>
      </c>
      <c r="G2779" s="25"/>
      <c r="H2779" s="11"/>
      <c r="I2779" s="21"/>
      <c r="J2779" s="21"/>
      <c r="K2779" s="21"/>
      <c r="L2779" s="21"/>
      <c r="M2779" s="21"/>
      <c r="N2779" s="21"/>
    </row>
    <row r="2780" spans="1:14" ht="15.75" customHeight="1" x14ac:dyDescent="0.25">
      <c r="A2780" s="7"/>
      <c r="B2780" s="343" t="s">
        <v>342</v>
      </c>
      <c r="C2780" s="344"/>
      <c r="D2780" s="344"/>
      <c r="E2780" s="334"/>
      <c r="F2780" s="104">
        <f>SUM(F2779)</f>
        <v>4947000</v>
      </c>
      <c r="G2780" s="25"/>
      <c r="H2780" s="11"/>
      <c r="I2780" s="21"/>
      <c r="J2780" s="21"/>
      <c r="K2780" s="21"/>
      <c r="L2780" s="21"/>
      <c r="M2780" s="21"/>
      <c r="N2780" s="21"/>
    </row>
    <row r="2781" spans="1:14" ht="15.75" customHeight="1" x14ac:dyDescent="0.25">
      <c r="A2781" s="7"/>
      <c r="B2781" s="343" t="s">
        <v>343</v>
      </c>
      <c r="C2781" s="344"/>
      <c r="D2781" s="344"/>
      <c r="E2781" s="334"/>
      <c r="F2781" s="104">
        <v>544170</v>
      </c>
      <c r="G2781" s="25"/>
      <c r="H2781" s="11"/>
      <c r="I2781" s="21"/>
      <c r="J2781" s="21"/>
      <c r="K2781" s="21"/>
      <c r="L2781" s="21"/>
      <c r="M2781" s="21"/>
      <c r="N2781" s="21"/>
    </row>
    <row r="2782" spans="1:14" ht="15.75" customHeight="1" x14ac:dyDescent="0.25">
      <c r="A2782" s="7"/>
      <c r="B2782" s="345" t="s">
        <v>344</v>
      </c>
      <c r="C2782" s="344"/>
      <c r="D2782" s="344"/>
      <c r="E2782" s="334"/>
      <c r="F2782" s="107">
        <f>SUM(F2780:F2781)</f>
        <v>5491170</v>
      </c>
      <c r="G2782" s="25"/>
      <c r="H2782" s="11"/>
      <c r="I2782" s="21"/>
      <c r="J2782" s="21"/>
      <c r="K2782" s="21"/>
      <c r="L2782" s="21"/>
      <c r="M2782" s="21"/>
      <c r="N2782" s="21"/>
    </row>
    <row r="2783" spans="1:14" ht="15.75" customHeight="1" x14ac:dyDescent="0.25">
      <c r="A2783" s="21"/>
      <c r="B2783" s="21"/>
      <c r="C2783" s="11"/>
      <c r="D2783" s="11"/>
      <c r="E2783" s="21"/>
      <c r="F2783" s="21"/>
      <c r="G2783" s="25"/>
      <c r="H2783" s="11"/>
      <c r="I2783" s="21"/>
      <c r="J2783" s="21"/>
      <c r="K2783" s="21"/>
      <c r="L2783" s="21"/>
      <c r="M2783" s="21"/>
      <c r="N2783" s="21"/>
    </row>
    <row r="2784" spans="1:14" ht="15.75" customHeight="1" x14ac:dyDescent="0.25">
      <c r="A2784" s="31" t="s">
        <v>14</v>
      </c>
      <c r="B2784" s="31" t="s">
        <v>234</v>
      </c>
      <c r="C2784" s="31" t="s">
        <v>16</v>
      </c>
      <c r="D2784" s="31" t="s">
        <v>17</v>
      </c>
      <c r="E2784" s="31" t="s">
        <v>235</v>
      </c>
      <c r="F2784" s="31" t="s">
        <v>236</v>
      </c>
      <c r="G2784" s="25"/>
      <c r="H2784" s="11"/>
      <c r="I2784" s="21"/>
      <c r="J2784" s="21"/>
      <c r="K2784" s="21"/>
      <c r="L2784" s="21"/>
      <c r="M2784" s="21"/>
      <c r="N2784" s="21"/>
    </row>
    <row r="2785" spans="1:14" ht="15.75" customHeight="1" x14ac:dyDescent="0.25">
      <c r="A2785" s="7">
        <v>1</v>
      </c>
      <c r="B2785" s="152" t="s">
        <v>1209</v>
      </c>
      <c r="C2785" s="129">
        <v>5</v>
      </c>
      <c r="D2785" s="7" t="s">
        <v>1210</v>
      </c>
      <c r="E2785" s="130">
        <v>339000</v>
      </c>
      <c r="F2785" s="130">
        <f>E2785*C2785</f>
        <v>1695000</v>
      </c>
      <c r="G2785" s="25"/>
      <c r="H2785" s="11"/>
      <c r="I2785" s="21"/>
      <c r="J2785" s="21"/>
      <c r="K2785" s="21"/>
      <c r="L2785" s="21"/>
      <c r="M2785" s="21"/>
      <c r="N2785" s="21"/>
    </row>
    <row r="2786" spans="1:14" ht="15.75" customHeight="1" x14ac:dyDescent="0.25">
      <c r="A2786" s="7"/>
      <c r="B2786" s="343" t="s">
        <v>342</v>
      </c>
      <c r="C2786" s="344"/>
      <c r="D2786" s="344"/>
      <c r="E2786" s="334"/>
      <c r="F2786" s="104">
        <f>SUM(F2785)</f>
        <v>1695000</v>
      </c>
      <c r="G2786" s="25"/>
      <c r="H2786" s="11"/>
      <c r="I2786" s="21"/>
      <c r="J2786" s="21"/>
      <c r="K2786" s="21"/>
      <c r="L2786" s="21"/>
      <c r="M2786" s="21"/>
      <c r="N2786" s="21"/>
    </row>
    <row r="2787" spans="1:14" ht="15.75" customHeight="1" x14ac:dyDescent="0.25">
      <c r="A2787" s="7"/>
      <c r="B2787" s="343" t="s">
        <v>343</v>
      </c>
      <c r="C2787" s="344"/>
      <c r="D2787" s="344"/>
      <c r="E2787" s="334"/>
      <c r="F2787" s="104">
        <v>186450</v>
      </c>
      <c r="G2787" s="25"/>
      <c r="H2787" s="11"/>
      <c r="I2787" s="21"/>
      <c r="J2787" s="21"/>
      <c r="K2787" s="21"/>
      <c r="L2787" s="21"/>
      <c r="M2787" s="21"/>
      <c r="N2787" s="21"/>
    </row>
    <row r="2788" spans="1:14" ht="15.75" customHeight="1" x14ac:dyDescent="0.25">
      <c r="A2788" s="7"/>
      <c r="B2788" s="345" t="s">
        <v>344</v>
      </c>
      <c r="C2788" s="344"/>
      <c r="D2788" s="344"/>
      <c r="E2788" s="334"/>
      <c r="F2788" s="107">
        <f>SUM(F2786:F2787)</f>
        <v>1881450</v>
      </c>
      <c r="G2788" s="25"/>
      <c r="H2788" s="11"/>
      <c r="I2788" s="21"/>
      <c r="J2788" s="21"/>
      <c r="K2788" s="21"/>
      <c r="L2788" s="21"/>
      <c r="M2788" s="21"/>
      <c r="N2788" s="21"/>
    </row>
    <row r="2789" spans="1:14" ht="15.75" customHeight="1" x14ac:dyDescent="0.25">
      <c r="A2789" s="21"/>
      <c r="B2789" s="21"/>
      <c r="C2789" s="11"/>
      <c r="D2789" s="11"/>
      <c r="E2789" s="21"/>
      <c r="F2789" s="21"/>
      <c r="G2789" s="25"/>
      <c r="H2789" s="11"/>
      <c r="I2789" s="21"/>
      <c r="J2789" s="21"/>
      <c r="K2789" s="21"/>
      <c r="L2789" s="21"/>
      <c r="M2789" s="21"/>
      <c r="N2789" s="21"/>
    </row>
    <row r="2790" spans="1:14" ht="15.75" customHeight="1" x14ac:dyDescent="0.25">
      <c r="A2790" s="31" t="s">
        <v>14</v>
      </c>
      <c r="B2790" s="31" t="s">
        <v>234</v>
      </c>
      <c r="C2790" s="31" t="s">
        <v>16</v>
      </c>
      <c r="D2790" s="31" t="s">
        <v>17</v>
      </c>
      <c r="E2790" s="31" t="s">
        <v>235</v>
      </c>
      <c r="F2790" s="31" t="s">
        <v>236</v>
      </c>
      <c r="G2790" s="25"/>
      <c r="H2790" s="11"/>
      <c r="I2790" s="21"/>
      <c r="J2790" s="21"/>
      <c r="K2790" s="21"/>
      <c r="L2790" s="21"/>
      <c r="M2790" s="21"/>
      <c r="N2790" s="21"/>
    </row>
    <row r="2791" spans="1:14" ht="15.75" customHeight="1" x14ac:dyDescent="0.25">
      <c r="A2791" s="7">
        <v>1</v>
      </c>
      <c r="B2791" s="152" t="s">
        <v>1213</v>
      </c>
      <c r="C2791" s="129">
        <v>2</v>
      </c>
      <c r="D2791" s="7" t="s">
        <v>19</v>
      </c>
      <c r="E2791" s="130">
        <v>3325000</v>
      </c>
      <c r="F2791" s="130">
        <f>E2791*C2791</f>
        <v>6650000</v>
      </c>
      <c r="G2791" s="25"/>
      <c r="H2791" s="11"/>
      <c r="I2791" s="21"/>
      <c r="J2791" s="21"/>
      <c r="K2791" s="21"/>
      <c r="L2791" s="21"/>
      <c r="M2791" s="21"/>
      <c r="N2791" s="21"/>
    </row>
    <row r="2792" spans="1:14" ht="15.75" customHeight="1" x14ac:dyDescent="0.25">
      <c r="A2792" s="7"/>
      <c r="B2792" s="343" t="s">
        <v>342</v>
      </c>
      <c r="C2792" s="344"/>
      <c r="D2792" s="344"/>
      <c r="E2792" s="334"/>
      <c r="F2792" s="104">
        <f>SUM(F2791)</f>
        <v>6650000</v>
      </c>
      <c r="G2792" s="25"/>
      <c r="H2792" s="11"/>
      <c r="I2792" s="21"/>
      <c r="J2792" s="21"/>
      <c r="K2792" s="21"/>
      <c r="L2792" s="21"/>
      <c r="M2792" s="21"/>
      <c r="N2792" s="21"/>
    </row>
    <row r="2793" spans="1:14" ht="15.75" customHeight="1" x14ac:dyDescent="0.25">
      <c r="A2793" s="7"/>
      <c r="B2793" s="343" t="s">
        <v>343</v>
      </c>
      <c r="C2793" s="344"/>
      <c r="D2793" s="344"/>
      <c r="E2793" s="334"/>
      <c r="F2793" s="104">
        <v>731500</v>
      </c>
      <c r="G2793" s="25"/>
      <c r="H2793" s="11"/>
      <c r="I2793" s="21"/>
      <c r="J2793" s="21"/>
      <c r="K2793" s="21"/>
      <c r="L2793" s="21"/>
      <c r="M2793" s="21"/>
      <c r="N2793" s="21"/>
    </row>
    <row r="2794" spans="1:14" ht="15.75" customHeight="1" x14ac:dyDescent="0.25">
      <c r="A2794" s="7"/>
      <c r="B2794" s="345" t="s">
        <v>344</v>
      </c>
      <c r="C2794" s="344"/>
      <c r="D2794" s="344"/>
      <c r="E2794" s="334"/>
      <c r="F2794" s="107">
        <f>SUM(F2792:F2793)</f>
        <v>7381500</v>
      </c>
      <c r="G2794" s="25"/>
      <c r="H2794" s="11"/>
      <c r="I2794" s="21"/>
      <c r="J2794" s="21"/>
      <c r="K2794" s="21"/>
      <c r="L2794" s="21"/>
      <c r="M2794" s="21"/>
      <c r="N2794" s="21"/>
    </row>
    <row r="2795" spans="1:14" ht="15.75" customHeight="1" x14ac:dyDescent="0.25">
      <c r="A2795" s="21"/>
      <c r="B2795" s="21"/>
      <c r="C2795" s="11"/>
      <c r="D2795" s="11"/>
      <c r="E2795" s="21"/>
      <c r="F2795" s="21"/>
      <c r="G2795" s="25"/>
      <c r="H2795" s="11"/>
      <c r="I2795" s="21"/>
      <c r="J2795" s="21"/>
      <c r="K2795" s="21"/>
      <c r="L2795" s="21"/>
      <c r="M2795" s="21"/>
      <c r="N2795" s="21"/>
    </row>
    <row r="2796" spans="1:14" ht="15.75" customHeight="1" x14ac:dyDescent="0.25">
      <c r="A2796" s="31" t="s">
        <v>14</v>
      </c>
      <c r="B2796" s="31" t="s">
        <v>234</v>
      </c>
      <c r="C2796" s="31" t="s">
        <v>16</v>
      </c>
      <c r="D2796" s="31" t="s">
        <v>17</v>
      </c>
      <c r="E2796" s="31" t="s">
        <v>235</v>
      </c>
      <c r="F2796" s="31" t="s">
        <v>236</v>
      </c>
      <c r="G2796" s="25"/>
      <c r="H2796" s="11"/>
      <c r="I2796" s="21"/>
      <c r="J2796" s="21"/>
      <c r="K2796" s="21"/>
      <c r="L2796" s="21"/>
      <c r="M2796" s="21"/>
      <c r="N2796" s="21"/>
    </row>
    <row r="2797" spans="1:14" ht="15.75" customHeight="1" x14ac:dyDescent="0.25">
      <c r="A2797" s="7">
        <v>1</v>
      </c>
      <c r="B2797" s="152" t="s">
        <v>613</v>
      </c>
      <c r="C2797" s="129">
        <v>2</v>
      </c>
      <c r="D2797" s="7" t="s">
        <v>363</v>
      </c>
      <c r="E2797" s="130">
        <v>2050000</v>
      </c>
      <c r="F2797" s="130">
        <f>E2797*C2797</f>
        <v>4100000</v>
      </c>
      <c r="G2797" s="25"/>
      <c r="H2797" s="11"/>
      <c r="I2797" s="21"/>
      <c r="J2797" s="21"/>
      <c r="K2797" s="21"/>
      <c r="L2797" s="21"/>
      <c r="M2797" s="21"/>
      <c r="N2797" s="21"/>
    </row>
    <row r="2798" spans="1:14" ht="15.75" customHeight="1" x14ac:dyDescent="0.25">
      <c r="A2798" s="7"/>
      <c r="B2798" s="343" t="s">
        <v>342</v>
      </c>
      <c r="C2798" s="344"/>
      <c r="D2798" s="344"/>
      <c r="E2798" s="334"/>
      <c r="F2798" s="104">
        <f>SUM(F2797)</f>
        <v>4100000</v>
      </c>
      <c r="G2798" s="25"/>
      <c r="H2798" s="11"/>
      <c r="I2798" s="21"/>
      <c r="J2798" s="21"/>
      <c r="K2798" s="21"/>
      <c r="L2798" s="21"/>
      <c r="M2798" s="21"/>
      <c r="N2798" s="21"/>
    </row>
    <row r="2799" spans="1:14" ht="15.75" customHeight="1" x14ac:dyDescent="0.25">
      <c r="A2799" s="7"/>
      <c r="B2799" s="343" t="s">
        <v>343</v>
      </c>
      <c r="C2799" s="344"/>
      <c r="D2799" s="344"/>
      <c r="E2799" s="334"/>
      <c r="F2799" s="104">
        <v>451000</v>
      </c>
      <c r="G2799" s="25"/>
      <c r="H2799" s="11"/>
      <c r="I2799" s="21"/>
      <c r="J2799" s="21"/>
      <c r="K2799" s="21"/>
      <c r="L2799" s="21"/>
      <c r="M2799" s="21"/>
      <c r="N2799" s="21"/>
    </row>
    <row r="2800" spans="1:14" ht="15.75" customHeight="1" x14ac:dyDescent="0.25">
      <c r="A2800" s="7"/>
      <c r="B2800" s="345" t="s">
        <v>344</v>
      </c>
      <c r="C2800" s="344"/>
      <c r="D2800" s="344"/>
      <c r="E2800" s="334"/>
      <c r="F2800" s="107">
        <f>SUM(F2798:F2799)</f>
        <v>4551000</v>
      </c>
      <c r="G2800" s="25"/>
      <c r="H2800" s="11"/>
      <c r="I2800" s="21"/>
      <c r="J2800" s="21"/>
      <c r="K2800" s="21"/>
      <c r="L2800" s="21"/>
      <c r="M2800" s="21"/>
      <c r="N2800" s="21"/>
    </row>
    <row r="2801" spans="1:14" ht="15.75" customHeight="1" x14ac:dyDescent="0.25">
      <c r="A2801" s="21"/>
      <c r="B2801" s="21"/>
      <c r="C2801" s="11"/>
      <c r="D2801" s="11"/>
      <c r="E2801" s="21"/>
      <c r="F2801" s="21"/>
      <c r="G2801" s="25"/>
      <c r="H2801" s="11"/>
      <c r="I2801" s="21"/>
      <c r="J2801" s="21"/>
      <c r="K2801" s="21"/>
      <c r="L2801" s="21"/>
      <c r="M2801" s="21"/>
      <c r="N2801" s="21"/>
    </row>
    <row r="2802" spans="1:14" ht="15.75" customHeight="1" x14ac:dyDescent="0.25">
      <c r="A2802" s="31" t="s">
        <v>14</v>
      </c>
      <c r="B2802" s="31" t="s">
        <v>234</v>
      </c>
      <c r="C2802" s="31" t="s">
        <v>16</v>
      </c>
      <c r="D2802" s="31" t="s">
        <v>17</v>
      </c>
      <c r="E2802" s="31" t="s">
        <v>235</v>
      </c>
      <c r="F2802" s="31" t="s">
        <v>236</v>
      </c>
      <c r="G2802" s="25"/>
      <c r="H2802" s="11"/>
      <c r="I2802" s="21"/>
      <c r="J2802" s="21"/>
      <c r="K2802" s="21"/>
      <c r="L2802" s="21"/>
      <c r="M2802" s="21"/>
      <c r="N2802" s="21"/>
    </row>
    <row r="2803" spans="1:14" ht="15.75" customHeight="1" x14ac:dyDescent="0.25">
      <c r="A2803" s="7">
        <v>1</v>
      </c>
      <c r="B2803" s="152" t="s">
        <v>1124</v>
      </c>
      <c r="C2803" s="129">
        <v>6</v>
      </c>
      <c r="D2803" s="7" t="s">
        <v>363</v>
      </c>
      <c r="E2803" s="130">
        <v>122026</v>
      </c>
      <c r="F2803" s="130">
        <f>E2803*C2803</f>
        <v>732156</v>
      </c>
      <c r="G2803" s="25"/>
      <c r="H2803" s="11"/>
      <c r="I2803" s="21"/>
      <c r="J2803" s="21"/>
      <c r="K2803" s="21"/>
      <c r="L2803" s="21"/>
      <c r="M2803" s="21"/>
      <c r="N2803" s="21"/>
    </row>
    <row r="2804" spans="1:14" ht="15.75" customHeight="1" x14ac:dyDescent="0.25">
      <c r="A2804" s="7"/>
      <c r="B2804" s="343" t="s">
        <v>342</v>
      </c>
      <c r="C2804" s="344"/>
      <c r="D2804" s="344"/>
      <c r="E2804" s="334"/>
      <c r="F2804" s="104">
        <f>SUM(F2803)</f>
        <v>732156</v>
      </c>
      <c r="G2804" s="25"/>
      <c r="H2804" s="11"/>
      <c r="I2804" s="21"/>
      <c r="J2804" s="21"/>
      <c r="K2804" s="21"/>
      <c r="L2804" s="21"/>
      <c r="M2804" s="21"/>
      <c r="N2804" s="21"/>
    </row>
    <row r="2805" spans="1:14" ht="15.75" customHeight="1" x14ac:dyDescent="0.25">
      <c r="A2805" s="7"/>
      <c r="B2805" s="343" t="s">
        <v>343</v>
      </c>
      <c r="C2805" s="344"/>
      <c r="D2805" s="344"/>
      <c r="E2805" s="334"/>
      <c r="F2805" s="108">
        <v>80537.16</v>
      </c>
      <c r="G2805" s="25"/>
      <c r="H2805" s="11"/>
      <c r="I2805" s="21"/>
      <c r="J2805" s="21"/>
      <c r="K2805" s="21"/>
      <c r="L2805" s="21"/>
      <c r="M2805" s="21"/>
      <c r="N2805" s="21"/>
    </row>
    <row r="2806" spans="1:14" ht="15.75" customHeight="1" x14ac:dyDescent="0.25">
      <c r="A2806" s="7"/>
      <c r="B2806" s="345" t="s">
        <v>344</v>
      </c>
      <c r="C2806" s="344"/>
      <c r="D2806" s="344"/>
      <c r="E2806" s="334"/>
      <c r="F2806" s="109">
        <f>SUM(F2804:F2805)</f>
        <v>812693.16</v>
      </c>
      <c r="G2806" s="25"/>
      <c r="H2806" s="11"/>
      <c r="I2806" s="21"/>
      <c r="J2806" s="21"/>
      <c r="K2806" s="21"/>
      <c r="L2806" s="21"/>
      <c r="M2806" s="21"/>
      <c r="N2806" s="21"/>
    </row>
    <row r="2807" spans="1:14" ht="15.75" customHeight="1" x14ac:dyDescent="0.25">
      <c r="A2807" s="21"/>
      <c r="B2807" s="21"/>
      <c r="C2807" s="11"/>
      <c r="D2807" s="11"/>
      <c r="E2807" s="21"/>
      <c r="F2807" s="21"/>
      <c r="G2807" s="25"/>
      <c r="H2807" s="11"/>
      <c r="I2807" s="21"/>
      <c r="J2807" s="21"/>
      <c r="K2807" s="21"/>
      <c r="L2807" s="21"/>
      <c r="M2807" s="21"/>
      <c r="N2807" s="21"/>
    </row>
    <row r="2808" spans="1:14" ht="15.75" customHeight="1" x14ac:dyDescent="0.25">
      <c r="A2808" s="31" t="s">
        <v>351</v>
      </c>
      <c r="B2808" s="31" t="s">
        <v>234</v>
      </c>
      <c r="C2808" s="31" t="s">
        <v>16</v>
      </c>
      <c r="D2808" s="31" t="s">
        <v>17</v>
      </c>
      <c r="E2808" s="31" t="s">
        <v>235</v>
      </c>
      <c r="F2808" s="31" t="s">
        <v>236</v>
      </c>
      <c r="G2808" s="25"/>
      <c r="H2808" s="11"/>
      <c r="I2808" s="21"/>
      <c r="J2808" s="21"/>
      <c r="K2808" s="21"/>
      <c r="L2808" s="21"/>
      <c r="M2808" s="21"/>
      <c r="N2808" s="21"/>
    </row>
    <row r="2809" spans="1:14" ht="15.75" customHeight="1" x14ac:dyDescent="0.25">
      <c r="A2809" s="7">
        <v>1</v>
      </c>
      <c r="B2809" s="41" t="s">
        <v>1214</v>
      </c>
      <c r="C2809" s="7">
        <v>1</v>
      </c>
      <c r="D2809" s="7" t="s">
        <v>363</v>
      </c>
      <c r="E2809" s="104">
        <v>344375</v>
      </c>
      <c r="F2809" s="104">
        <f>E2809*C2809</f>
        <v>344375</v>
      </c>
      <c r="G2809" s="25"/>
      <c r="H2809" s="11"/>
      <c r="I2809" s="21"/>
      <c r="J2809" s="21"/>
      <c r="K2809" s="21"/>
      <c r="L2809" s="21"/>
      <c r="M2809" s="21"/>
      <c r="N2809" s="21"/>
    </row>
    <row r="2810" spans="1:14" ht="15.75" customHeight="1" x14ac:dyDescent="0.25">
      <c r="A2810" s="7">
        <v>2</v>
      </c>
      <c r="B2810" s="41" t="s">
        <v>1215</v>
      </c>
      <c r="C2810" s="7">
        <v>1</v>
      </c>
      <c r="D2810" s="7" t="s">
        <v>363</v>
      </c>
      <c r="E2810" s="104">
        <v>619875</v>
      </c>
      <c r="F2810" s="104">
        <f>E2810*C2810</f>
        <v>619875</v>
      </c>
      <c r="G2810" s="25"/>
      <c r="H2810" s="11"/>
      <c r="I2810" s="21"/>
      <c r="J2810" s="21"/>
      <c r="K2810" s="21"/>
      <c r="L2810" s="21"/>
      <c r="M2810" s="21"/>
      <c r="N2810" s="21"/>
    </row>
    <row r="2811" spans="1:14" ht="15.75" customHeight="1" x14ac:dyDescent="0.25">
      <c r="A2811" s="7"/>
      <c r="B2811" s="343" t="s">
        <v>342</v>
      </c>
      <c r="C2811" s="344"/>
      <c r="D2811" s="344"/>
      <c r="E2811" s="334"/>
      <c r="F2811" s="104">
        <f>SUM(F2809:F2810)</f>
        <v>964250</v>
      </c>
      <c r="G2811" s="25"/>
      <c r="H2811" s="11"/>
      <c r="I2811" s="21"/>
      <c r="J2811" s="21"/>
      <c r="K2811" s="21"/>
      <c r="L2811" s="21"/>
      <c r="M2811" s="21"/>
      <c r="N2811" s="21"/>
    </row>
    <row r="2812" spans="1:14" ht="15.75" customHeight="1" x14ac:dyDescent="0.25">
      <c r="A2812" s="7"/>
      <c r="B2812" s="343" t="s">
        <v>343</v>
      </c>
      <c r="C2812" s="344"/>
      <c r="D2812" s="344"/>
      <c r="E2812" s="334"/>
      <c r="F2812" s="108">
        <v>106067.5</v>
      </c>
      <c r="G2812" s="25"/>
      <c r="H2812" s="11"/>
      <c r="I2812" s="21"/>
      <c r="J2812" s="21"/>
      <c r="K2812" s="21"/>
      <c r="L2812" s="21"/>
      <c r="M2812" s="21"/>
      <c r="N2812" s="21"/>
    </row>
    <row r="2813" spans="1:14" ht="15.75" customHeight="1" x14ac:dyDescent="0.25">
      <c r="A2813" s="7"/>
      <c r="B2813" s="345" t="s">
        <v>344</v>
      </c>
      <c r="C2813" s="344"/>
      <c r="D2813" s="344"/>
      <c r="E2813" s="334"/>
      <c r="F2813" s="109">
        <f>SUM(F2811:F2812)</f>
        <v>1070317.5</v>
      </c>
      <c r="G2813" s="25"/>
      <c r="H2813" s="11"/>
      <c r="I2813" s="21"/>
      <c r="J2813" s="21"/>
      <c r="K2813" s="21"/>
      <c r="L2813" s="21"/>
      <c r="M2813" s="21"/>
      <c r="N2813" s="21"/>
    </row>
    <row r="2814" spans="1:14" ht="15.75" customHeight="1" x14ac:dyDescent="0.25">
      <c r="A2814" s="21"/>
      <c r="B2814" s="21"/>
      <c r="C2814" s="11"/>
      <c r="D2814" s="11"/>
      <c r="E2814" s="21"/>
      <c r="F2814" s="21"/>
      <c r="G2814" s="25"/>
      <c r="H2814" s="11"/>
      <c r="I2814" s="21"/>
      <c r="J2814" s="21"/>
      <c r="K2814" s="21"/>
      <c r="L2814" s="21"/>
      <c r="M2814" s="21"/>
      <c r="N2814" s="21"/>
    </row>
    <row r="2815" spans="1:14" ht="15.75" customHeight="1" x14ac:dyDescent="0.25">
      <c r="A2815" s="31" t="s">
        <v>351</v>
      </c>
      <c r="B2815" s="31" t="s">
        <v>234</v>
      </c>
      <c r="C2815" s="31" t="s">
        <v>16</v>
      </c>
      <c r="D2815" s="31" t="s">
        <v>17</v>
      </c>
      <c r="E2815" s="31" t="s">
        <v>235</v>
      </c>
      <c r="F2815" s="31" t="s">
        <v>236</v>
      </c>
      <c r="G2815" s="25"/>
      <c r="H2815" s="11"/>
      <c r="I2815" s="21"/>
      <c r="J2815" s="21"/>
      <c r="K2815" s="21"/>
      <c r="L2815" s="21"/>
      <c r="M2815" s="21"/>
      <c r="N2815" s="21"/>
    </row>
    <row r="2816" spans="1:14" ht="15.75" customHeight="1" x14ac:dyDescent="0.25">
      <c r="A2816" s="7">
        <v>1</v>
      </c>
      <c r="B2816" s="41" t="s">
        <v>1216</v>
      </c>
      <c r="C2816" s="7">
        <v>24</v>
      </c>
      <c r="D2816" s="7" t="s">
        <v>363</v>
      </c>
      <c r="E2816" s="104">
        <v>6650</v>
      </c>
      <c r="F2816" s="104">
        <f>E2816*C2816</f>
        <v>159600</v>
      </c>
      <c r="G2816" s="25"/>
      <c r="H2816" s="11"/>
      <c r="I2816" s="21"/>
      <c r="J2816" s="21"/>
      <c r="K2816" s="21"/>
      <c r="L2816" s="21"/>
      <c r="M2816" s="21"/>
      <c r="N2816" s="21"/>
    </row>
    <row r="2817" spans="1:14" ht="15.75" customHeight="1" x14ac:dyDescent="0.25">
      <c r="A2817" s="7">
        <v>2</v>
      </c>
      <c r="B2817" s="41" t="s">
        <v>1217</v>
      </c>
      <c r="C2817" s="7">
        <v>5</v>
      </c>
      <c r="D2817" s="7" t="s">
        <v>363</v>
      </c>
      <c r="E2817" s="104">
        <v>37050</v>
      </c>
      <c r="F2817" s="104">
        <f>E2817*C2817</f>
        <v>185250</v>
      </c>
      <c r="G2817" s="25"/>
      <c r="H2817" s="11"/>
      <c r="I2817" s="21"/>
      <c r="J2817" s="21"/>
      <c r="K2817" s="21"/>
      <c r="L2817" s="21"/>
      <c r="M2817" s="21"/>
      <c r="N2817" s="21"/>
    </row>
    <row r="2818" spans="1:14" ht="15.75" customHeight="1" x14ac:dyDescent="0.25">
      <c r="A2818" s="7"/>
      <c r="B2818" s="343" t="s">
        <v>342</v>
      </c>
      <c r="C2818" s="344"/>
      <c r="D2818" s="344"/>
      <c r="E2818" s="334"/>
      <c r="F2818" s="104">
        <f>SUM(F2816:F2817)</f>
        <v>344850</v>
      </c>
      <c r="G2818" s="25"/>
      <c r="H2818" s="11"/>
      <c r="I2818" s="21"/>
      <c r="J2818" s="21"/>
      <c r="K2818" s="21"/>
      <c r="L2818" s="21"/>
      <c r="M2818" s="21"/>
      <c r="N2818" s="21"/>
    </row>
    <row r="2819" spans="1:14" ht="15.75" customHeight="1" x14ac:dyDescent="0.25">
      <c r="A2819" s="7"/>
      <c r="B2819" s="343" t="s">
        <v>343</v>
      </c>
      <c r="C2819" s="344"/>
      <c r="D2819" s="344"/>
      <c r="E2819" s="334"/>
      <c r="F2819" s="108">
        <v>37933.5</v>
      </c>
      <c r="G2819" s="25"/>
      <c r="H2819" s="11"/>
      <c r="I2819" s="21"/>
      <c r="J2819" s="21"/>
      <c r="K2819" s="21"/>
      <c r="L2819" s="21"/>
      <c r="M2819" s="21"/>
      <c r="N2819" s="21"/>
    </row>
    <row r="2820" spans="1:14" ht="15.75" customHeight="1" x14ac:dyDescent="0.25">
      <c r="A2820" s="7"/>
      <c r="B2820" s="345" t="s">
        <v>344</v>
      </c>
      <c r="C2820" s="344"/>
      <c r="D2820" s="344"/>
      <c r="E2820" s="334"/>
      <c r="F2820" s="109">
        <f>SUM(F2818:F2819)</f>
        <v>382783.5</v>
      </c>
      <c r="G2820" s="25"/>
      <c r="H2820" s="11"/>
      <c r="I2820" s="21"/>
      <c r="J2820" s="21"/>
      <c r="K2820" s="21"/>
      <c r="L2820" s="21"/>
      <c r="M2820" s="21"/>
      <c r="N2820" s="21"/>
    </row>
    <row r="2821" spans="1:14" ht="15.75" customHeight="1" x14ac:dyDescent="0.25">
      <c r="A2821" s="21"/>
      <c r="B2821" s="21"/>
      <c r="C2821" s="11"/>
      <c r="D2821" s="11"/>
      <c r="E2821" s="21"/>
      <c r="F2821" s="21"/>
      <c r="G2821" s="25"/>
      <c r="H2821" s="11"/>
      <c r="I2821" s="21"/>
      <c r="J2821" s="21"/>
      <c r="K2821" s="21"/>
      <c r="L2821" s="21"/>
      <c r="M2821" s="21"/>
      <c r="N2821" s="21"/>
    </row>
    <row r="2822" spans="1:14" ht="15.75" customHeight="1" x14ac:dyDescent="0.25">
      <c r="A2822" s="31" t="s">
        <v>351</v>
      </c>
      <c r="B2822" s="31" t="s">
        <v>234</v>
      </c>
      <c r="C2822" s="31" t="s">
        <v>16</v>
      </c>
      <c r="D2822" s="31" t="s">
        <v>17</v>
      </c>
      <c r="E2822" s="31" t="s">
        <v>235</v>
      </c>
      <c r="F2822" s="31" t="s">
        <v>236</v>
      </c>
      <c r="G2822" s="25"/>
      <c r="H2822" s="11"/>
      <c r="I2822" s="21"/>
      <c r="J2822" s="21"/>
      <c r="K2822" s="21"/>
      <c r="L2822" s="21"/>
      <c r="M2822" s="21"/>
      <c r="N2822" s="21"/>
    </row>
    <row r="2823" spans="1:14" ht="15.75" customHeight="1" x14ac:dyDescent="0.25">
      <c r="A2823" s="7">
        <v>1</v>
      </c>
      <c r="B2823" s="41" t="s">
        <v>1218</v>
      </c>
      <c r="C2823" s="7">
        <v>3</v>
      </c>
      <c r="D2823" s="7" t="s">
        <v>363</v>
      </c>
      <c r="E2823" s="104">
        <v>7850000</v>
      </c>
      <c r="F2823" s="104">
        <f>E2823*C2823</f>
        <v>23550000</v>
      </c>
      <c r="G2823" s="25"/>
      <c r="H2823" s="11"/>
      <c r="I2823" s="21"/>
      <c r="J2823" s="21"/>
      <c r="K2823" s="21"/>
      <c r="L2823" s="21"/>
      <c r="M2823" s="21"/>
      <c r="N2823" s="21"/>
    </row>
    <row r="2824" spans="1:14" ht="15.75" customHeight="1" x14ac:dyDescent="0.25">
      <c r="A2824" s="7">
        <v>2</v>
      </c>
      <c r="B2824" s="35" t="s">
        <v>1219</v>
      </c>
      <c r="C2824" s="7">
        <v>3</v>
      </c>
      <c r="D2824" s="7" t="s">
        <v>363</v>
      </c>
      <c r="E2824" s="104">
        <v>5130000</v>
      </c>
      <c r="F2824" s="104">
        <f>E2824*C2824</f>
        <v>15390000</v>
      </c>
      <c r="G2824" s="25"/>
      <c r="H2824" s="11"/>
      <c r="I2824" s="21"/>
      <c r="J2824" s="21"/>
      <c r="K2824" s="21"/>
      <c r="L2824" s="21"/>
      <c r="M2824" s="21"/>
      <c r="N2824" s="21"/>
    </row>
    <row r="2825" spans="1:14" ht="15.75" customHeight="1" x14ac:dyDescent="0.25">
      <c r="A2825" s="7"/>
      <c r="B2825" s="343" t="s">
        <v>342</v>
      </c>
      <c r="C2825" s="344"/>
      <c r="D2825" s="344"/>
      <c r="E2825" s="334"/>
      <c r="F2825" s="104">
        <f>SUM(F2823:F2824)</f>
        <v>38940000</v>
      </c>
      <c r="G2825" s="25"/>
      <c r="H2825" s="11"/>
      <c r="I2825" s="21"/>
      <c r="J2825" s="21"/>
      <c r="K2825" s="21"/>
      <c r="L2825" s="21"/>
      <c r="M2825" s="21"/>
      <c r="N2825" s="21"/>
    </row>
    <row r="2826" spans="1:14" ht="15.75" customHeight="1" x14ac:dyDescent="0.25">
      <c r="A2826" s="7"/>
      <c r="B2826" s="343" t="s">
        <v>986</v>
      </c>
      <c r="C2826" s="344"/>
      <c r="D2826" s="344"/>
      <c r="E2826" s="334"/>
      <c r="F2826" s="104">
        <v>1168200</v>
      </c>
      <c r="G2826" s="25"/>
      <c r="H2826" s="11"/>
      <c r="I2826" s="21"/>
      <c r="J2826" s="21"/>
      <c r="K2826" s="21"/>
      <c r="L2826" s="21"/>
      <c r="M2826" s="21"/>
      <c r="N2826" s="21"/>
    </row>
    <row r="2827" spans="1:14" ht="15.75" customHeight="1" x14ac:dyDescent="0.25">
      <c r="A2827" s="7"/>
      <c r="B2827" s="345" t="s">
        <v>342</v>
      </c>
      <c r="C2827" s="344"/>
      <c r="D2827" s="344"/>
      <c r="E2827" s="334"/>
      <c r="F2827" s="107">
        <f>F2825-F2826</f>
        <v>37771800</v>
      </c>
      <c r="G2827" s="25"/>
      <c r="H2827" s="11"/>
      <c r="I2827" s="21"/>
      <c r="J2827" s="21"/>
      <c r="K2827" s="21"/>
      <c r="L2827" s="21"/>
      <c r="M2827" s="21"/>
      <c r="N2827" s="21"/>
    </row>
    <row r="2828" spans="1:14" ht="15.75" customHeight="1" x14ac:dyDescent="0.25">
      <c r="A2828" s="7"/>
      <c r="B2828" s="343" t="s">
        <v>343</v>
      </c>
      <c r="C2828" s="344"/>
      <c r="D2828" s="344"/>
      <c r="E2828" s="334"/>
      <c r="F2828" s="104">
        <v>4154898</v>
      </c>
      <c r="G2828" s="25"/>
      <c r="H2828" s="11"/>
      <c r="I2828" s="21"/>
      <c r="J2828" s="21"/>
      <c r="K2828" s="21"/>
      <c r="L2828" s="21"/>
      <c r="M2828" s="21"/>
      <c r="N2828" s="21"/>
    </row>
    <row r="2829" spans="1:14" ht="15.75" customHeight="1" x14ac:dyDescent="0.25">
      <c r="A2829" s="7"/>
      <c r="B2829" s="345" t="s">
        <v>344</v>
      </c>
      <c r="C2829" s="344"/>
      <c r="D2829" s="344"/>
      <c r="E2829" s="334"/>
      <c r="F2829" s="107">
        <f>SUM(F2827:F2828)</f>
        <v>41926698</v>
      </c>
      <c r="G2829" s="25"/>
      <c r="H2829" s="11"/>
      <c r="I2829" s="21"/>
      <c r="J2829" s="21"/>
      <c r="K2829" s="21"/>
      <c r="L2829" s="21"/>
      <c r="M2829" s="21"/>
      <c r="N2829" s="21"/>
    </row>
    <row r="2830" spans="1:14" ht="15.75" customHeight="1" x14ac:dyDescent="0.25">
      <c r="A2830" s="21"/>
      <c r="B2830" s="21"/>
      <c r="C2830" s="11"/>
      <c r="D2830" s="11"/>
      <c r="E2830" s="21"/>
      <c r="F2830" s="21"/>
      <c r="G2830" s="25"/>
      <c r="H2830" s="11"/>
      <c r="I2830" s="21"/>
      <c r="J2830" s="21"/>
      <c r="K2830" s="21"/>
      <c r="L2830" s="21"/>
      <c r="M2830" s="21"/>
      <c r="N2830" s="21"/>
    </row>
    <row r="2831" spans="1:14" ht="15.75" customHeight="1" x14ac:dyDescent="0.25">
      <c r="A2831" s="31" t="s">
        <v>351</v>
      </c>
      <c r="B2831" s="31" t="s">
        <v>234</v>
      </c>
      <c r="C2831" s="31" t="s">
        <v>16</v>
      </c>
      <c r="D2831" s="31" t="s">
        <v>17</v>
      </c>
      <c r="E2831" s="31" t="s">
        <v>235</v>
      </c>
      <c r="F2831" s="31" t="s">
        <v>236</v>
      </c>
      <c r="G2831" s="25"/>
      <c r="H2831" s="11"/>
      <c r="I2831" s="21"/>
      <c r="J2831" s="21"/>
      <c r="K2831" s="21"/>
      <c r="L2831" s="21"/>
      <c r="M2831" s="21"/>
      <c r="N2831" s="21"/>
    </row>
    <row r="2832" spans="1:14" ht="15.75" customHeight="1" x14ac:dyDescent="0.25">
      <c r="A2832" s="7">
        <v>1</v>
      </c>
      <c r="B2832" s="41" t="s">
        <v>1220</v>
      </c>
      <c r="C2832" s="7">
        <v>1</v>
      </c>
      <c r="D2832" s="7" t="s">
        <v>19</v>
      </c>
      <c r="E2832" s="104">
        <v>75500</v>
      </c>
      <c r="F2832" s="104">
        <f>E2832*C2832</f>
        <v>75500</v>
      </c>
      <c r="G2832" s="25"/>
      <c r="H2832" s="11"/>
      <c r="I2832" s="21"/>
      <c r="J2832" s="21"/>
      <c r="K2832" s="21"/>
      <c r="L2832" s="21"/>
      <c r="M2832" s="21"/>
      <c r="N2832" s="21"/>
    </row>
    <row r="2833" spans="1:14" ht="15.75" customHeight="1" x14ac:dyDescent="0.25">
      <c r="A2833" s="7">
        <v>2</v>
      </c>
      <c r="B2833" s="41" t="s">
        <v>1221</v>
      </c>
      <c r="C2833" s="7">
        <v>1</v>
      </c>
      <c r="D2833" s="7" t="s">
        <v>19</v>
      </c>
      <c r="E2833" s="104">
        <v>247000</v>
      </c>
      <c r="F2833" s="104">
        <f>E2833*C2833</f>
        <v>247000</v>
      </c>
      <c r="G2833" s="25"/>
      <c r="H2833" s="11"/>
      <c r="I2833" s="21"/>
      <c r="J2833" s="21"/>
      <c r="K2833" s="21"/>
      <c r="L2833" s="21"/>
      <c r="M2833" s="21"/>
      <c r="N2833" s="21"/>
    </row>
    <row r="2834" spans="1:14" ht="15.75" customHeight="1" x14ac:dyDescent="0.25">
      <c r="A2834" s="7"/>
      <c r="B2834" s="343" t="s">
        <v>342</v>
      </c>
      <c r="C2834" s="344"/>
      <c r="D2834" s="344"/>
      <c r="E2834" s="334"/>
      <c r="F2834" s="104">
        <f>SUM(F2832:F2833)</f>
        <v>322500</v>
      </c>
      <c r="G2834" s="25"/>
      <c r="H2834" s="11"/>
      <c r="I2834" s="21"/>
      <c r="J2834" s="21"/>
      <c r="K2834" s="21"/>
      <c r="L2834" s="21"/>
      <c r="M2834" s="21"/>
      <c r="N2834" s="21"/>
    </row>
    <row r="2835" spans="1:14" ht="15.75" customHeight="1" x14ac:dyDescent="0.25">
      <c r="A2835" s="7"/>
      <c r="B2835" s="343" t="s">
        <v>343</v>
      </c>
      <c r="C2835" s="344"/>
      <c r="D2835" s="344"/>
      <c r="E2835" s="334"/>
      <c r="F2835" s="104">
        <v>35475</v>
      </c>
      <c r="G2835" s="25"/>
      <c r="H2835" s="11"/>
      <c r="I2835" s="21"/>
      <c r="J2835" s="21"/>
      <c r="K2835" s="21"/>
      <c r="L2835" s="21"/>
      <c r="M2835" s="21"/>
      <c r="N2835" s="21"/>
    </row>
    <row r="2836" spans="1:14" ht="15.75" customHeight="1" x14ac:dyDescent="0.25">
      <c r="A2836" s="7"/>
      <c r="B2836" s="345" t="s">
        <v>344</v>
      </c>
      <c r="C2836" s="344"/>
      <c r="D2836" s="344"/>
      <c r="E2836" s="334"/>
      <c r="F2836" s="107">
        <f>SUM(F2834:F2835)</f>
        <v>357975</v>
      </c>
      <c r="G2836" s="25"/>
      <c r="H2836" s="11"/>
      <c r="I2836" s="21"/>
      <c r="J2836" s="21"/>
      <c r="K2836" s="21"/>
      <c r="L2836" s="21"/>
      <c r="M2836" s="21"/>
      <c r="N2836" s="21"/>
    </row>
    <row r="2837" spans="1:14" ht="15.75" customHeight="1" x14ac:dyDescent="0.25">
      <c r="A2837" s="21"/>
      <c r="B2837" s="21"/>
      <c r="C2837" s="11"/>
      <c r="D2837" s="11"/>
      <c r="E2837" s="21"/>
      <c r="F2837" s="21"/>
      <c r="G2837" s="25"/>
      <c r="H2837" s="11"/>
      <c r="I2837" s="21"/>
      <c r="J2837" s="21"/>
      <c r="K2837" s="21"/>
      <c r="L2837" s="21"/>
      <c r="M2837" s="21"/>
      <c r="N2837" s="21"/>
    </row>
    <row r="2838" spans="1:14" ht="15.75" customHeight="1" x14ac:dyDescent="0.25">
      <c r="A2838" s="31" t="s">
        <v>14</v>
      </c>
      <c r="B2838" s="31" t="s">
        <v>234</v>
      </c>
      <c r="C2838" s="31" t="s">
        <v>16</v>
      </c>
      <c r="D2838" s="31" t="s">
        <v>17</v>
      </c>
      <c r="E2838" s="31" t="s">
        <v>235</v>
      </c>
      <c r="F2838" s="31" t="s">
        <v>236</v>
      </c>
      <c r="G2838" s="25"/>
      <c r="H2838" s="11"/>
      <c r="I2838" s="21"/>
      <c r="J2838" s="21"/>
      <c r="K2838" s="21"/>
      <c r="L2838" s="21"/>
      <c r="M2838" s="21"/>
      <c r="N2838" s="21"/>
    </row>
    <row r="2839" spans="1:14" ht="15.75" customHeight="1" x14ac:dyDescent="0.25">
      <c r="A2839" s="7">
        <v>1</v>
      </c>
      <c r="B2839" s="155" t="s">
        <v>1222</v>
      </c>
      <c r="C2839" s="129">
        <v>1</v>
      </c>
      <c r="D2839" s="7" t="s">
        <v>251</v>
      </c>
      <c r="E2839" s="130">
        <v>27000000</v>
      </c>
      <c r="F2839" s="130">
        <f>E2839*C2839</f>
        <v>27000000</v>
      </c>
      <c r="G2839" s="25"/>
      <c r="H2839" s="11"/>
      <c r="I2839" s="21"/>
      <c r="J2839" s="21"/>
      <c r="K2839" s="21"/>
      <c r="L2839" s="21"/>
      <c r="M2839" s="21"/>
      <c r="N2839" s="21"/>
    </row>
    <row r="2840" spans="1:14" ht="15.75" customHeight="1" x14ac:dyDescent="0.25">
      <c r="A2840" s="7"/>
      <c r="B2840" s="343" t="s">
        <v>342</v>
      </c>
      <c r="C2840" s="344"/>
      <c r="D2840" s="344"/>
      <c r="E2840" s="334"/>
      <c r="F2840" s="104">
        <f>SUM(F2839)</f>
        <v>27000000</v>
      </c>
      <c r="G2840" s="25"/>
      <c r="H2840" s="11"/>
      <c r="I2840" s="21"/>
      <c r="J2840" s="21"/>
      <c r="K2840" s="21"/>
      <c r="L2840" s="21"/>
      <c r="M2840" s="21"/>
      <c r="N2840" s="21"/>
    </row>
    <row r="2841" spans="1:14" ht="15.75" customHeight="1" x14ac:dyDescent="0.25">
      <c r="A2841" s="7"/>
      <c r="B2841" s="343" t="s">
        <v>343</v>
      </c>
      <c r="C2841" s="344"/>
      <c r="D2841" s="344"/>
      <c r="E2841" s="334"/>
      <c r="F2841" s="104">
        <v>2970000</v>
      </c>
      <c r="G2841" s="25"/>
      <c r="H2841" s="11"/>
      <c r="I2841" s="21"/>
      <c r="J2841" s="21"/>
      <c r="K2841" s="21"/>
      <c r="L2841" s="21"/>
      <c r="M2841" s="21"/>
      <c r="N2841" s="21"/>
    </row>
    <row r="2842" spans="1:14" ht="15.75" customHeight="1" x14ac:dyDescent="0.25">
      <c r="A2842" s="7"/>
      <c r="B2842" s="345" t="s">
        <v>344</v>
      </c>
      <c r="C2842" s="344"/>
      <c r="D2842" s="344"/>
      <c r="E2842" s="334"/>
      <c r="F2842" s="107">
        <f>SUM(F2840:F2841)</f>
        <v>29970000</v>
      </c>
      <c r="G2842" s="25"/>
      <c r="H2842" s="11"/>
      <c r="I2842" s="21"/>
      <c r="J2842" s="21"/>
      <c r="K2842" s="21"/>
      <c r="L2842" s="21"/>
      <c r="M2842" s="21"/>
      <c r="N2842" s="21"/>
    </row>
    <row r="2843" spans="1:14" ht="15.75" customHeight="1" x14ac:dyDescent="0.25">
      <c r="A2843" s="21"/>
      <c r="B2843" s="21"/>
      <c r="C2843" s="11"/>
      <c r="D2843" s="11"/>
      <c r="E2843" s="21"/>
      <c r="F2843" s="21"/>
      <c r="G2843" s="25"/>
      <c r="H2843" s="11"/>
      <c r="I2843" s="21"/>
      <c r="J2843" s="21"/>
      <c r="K2843" s="21"/>
      <c r="L2843" s="21"/>
      <c r="M2843" s="21"/>
      <c r="N2843" s="21"/>
    </row>
    <row r="2844" spans="1:14" ht="15.75" customHeight="1" x14ac:dyDescent="0.25">
      <c r="A2844" s="31" t="s">
        <v>14</v>
      </c>
      <c r="B2844" s="31" t="s">
        <v>234</v>
      </c>
      <c r="C2844" s="31" t="s">
        <v>16</v>
      </c>
      <c r="D2844" s="31" t="s">
        <v>17</v>
      </c>
      <c r="E2844" s="31" t="s">
        <v>235</v>
      </c>
      <c r="F2844" s="31" t="s">
        <v>236</v>
      </c>
      <c r="G2844" s="25"/>
      <c r="H2844" s="11"/>
      <c r="I2844" s="21"/>
      <c r="J2844" s="21"/>
      <c r="K2844" s="21"/>
      <c r="L2844" s="21"/>
      <c r="M2844" s="21"/>
      <c r="N2844" s="21"/>
    </row>
    <row r="2845" spans="1:14" ht="15.75" customHeight="1" x14ac:dyDescent="0.25">
      <c r="A2845" s="7">
        <v>1</v>
      </c>
      <c r="B2845" s="155" t="s">
        <v>1223</v>
      </c>
      <c r="C2845" s="129">
        <v>2</v>
      </c>
      <c r="D2845" s="7" t="s">
        <v>251</v>
      </c>
      <c r="E2845" s="130">
        <v>6032500</v>
      </c>
      <c r="F2845" s="130">
        <f>E2845*C2845</f>
        <v>12065000</v>
      </c>
      <c r="G2845" s="25"/>
      <c r="H2845" s="11"/>
      <c r="I2845" s="21"/>
      <c r="J2845" s="21"/>
      <c r="K2845" s="21"/>
      <c r="L2845" s="21"/>
      <c r="M2845" s="21"/>
      <c r="N2845" s="21"/>
    </row>
    <row r="2846" spans="1:14" ht="15.75" customHeight="1" x14ac:dyDescent="0.25">
      <c r="A2846" s="7"/>
      <c r="B2846" s="343" t="s">
        <v>342</v>
      </c>
      <c r="C2846" s="344"/>
      <c r="D2846" s="344"/>
      <c r="E2846" s="334"/>
      <c r="F2846" s="104">
        <f>SUM(F2845)</f>
        <v>12065000</v>
      </c>
      <c r="G2846" s="25"/>
      <c r="H2846" s="11"/>
      <c r="I2846" s="21"/>
      <c r="J2846" s="21"/>
      <c r="K2846" s="21"/>
      <c r="L2846" s="21"/>
      <c r="M2846" s="21"/>
      <c r="N2846" s="21"/>
    </row>
    <row r="2847" spans="1:14" ht="15.75" customHeight="1" x14ac:dyDescent="0.25">
      <c r="A2847" s="7"/>
      <c r="B2847" s="343" t="s">
        <v>343</v>
      </c>
      <c r="C2847" s="344"/>
      <c r="D2847" s="344"/>
      <c r="E2847" s="334"/>
      <c r="F2847" s="104">
        <v>1327150</v>
      </c>
      <c r="G2847" s="25"/>
      <c r="H2847" s="11"/>
      <c r="I2847" s="21"/>
      <c r="J2847" s="21"/>
      <c r="K2847" s="21"/>
      <c r="L2847" s="21"/>
      <c r="M2847" s="21"/>
      <c r="N2847" s="21"/>
    </row>
    <row r="2848" spans="1:14" ht="15.75" customHeight="1" x14ac:dyDescent="0.25">
      <c r="A2848" s="7"/>
      <c r="B2848" s="345" t="s">
        <v>344</v>
      </c>
      <c r="C2848" s="344"/>
      <c r="D2848" s="344"/>
      <c r="E2848" s="334"/>
      <c r="F2848" s="107">
        <f>SUM(F2846:F2847)</f>
        <v>13392150</v>
      </c>
      <c r="G2848" s="25"/>
      <c r="H2848" s="11"/>
      <c r="I2848" s="21"/>
      <c r="J2848" s="21"/>
      <c r="K2848" s="21"/>
      <c r="L2848" s="21"/>
      <c r="M2848" s="21"/>
      <c r="N2848" s="21"/>
    </row>
    <row r="2849" spans="1:14" ht="15.75" customHeight="1" x14ac:dyDescent="0.25">
      <c r="A2849" s="21"/>
      <c r="B2849" s="21"/>
      <c r="C2849" s="11"/>
      <c r="D2849" s="11"/>
      <c r="E2849" s="21"/>
      <c r="F2849" s="21"/>
      <c r="G2849" s="25"/>
      <c r="H2849" s="11"/>
      <c r="I2849" s="21"/>
      <c r="J2849" s="21"/>
      <c r="K2849" s="21"/>
      <c r="L2849" s="21"/>
      <c r="M2849" s="21"/>
      <c r="N2849" s="21"/>
    </row>
    <row r="2850" spans="1:14" ht="15.75" customHeight="1" x14ac:dyDescent="0.25">
      <c r="A2850" s="31" t="s">
        <v>14</v>
      </c>
      <c r="B2850" s="31" t="s">
        <v>234</v>
      </c>
      <c r="C2850" s="31" t="s">
        <v>16</v>
      </c>
      <c r="D2850" s="31" t="s">
        <v>17</v>
      </c>
      <c r="E2850" s="31" t="s">
        <v>235</v>
      </c>
      <c r="F2850" s="31" t="s">
        <v>236</v>
      </c>
      <c r="G2850" s="25"/>
      <c r="H2850" s="11"/>
      <c r="I2850" s="21"/>
      <c r="J2850" s="21"/>
      <c r="K2850" s="21"/>
      <c r="L2850" s="21"/>
      <c r="M2850" s="21"/>
      <c r="N2850" s="21"/>
    </row>
    <row r="2851" spans="1:14" ht="15.75" customHeight="1" x14ac:dyDescent="0.25">
      <c r="A2851" s="7">
        <v>1</v>
      </c>
      <c r="B2851" s="155" t="s">
        <v>1224</v>
      </c>
      <c r="C2851" s="129">
        <v>6</v>
      </c>
      <c r="D2851" s="7" t="s">
        <v>363</v>
      </c>
      <c r="E2851" s="130">
        <v>356000</v>
      </c>
      <c r="F2851" s="130">
        <f>E2851*C2851</f>
        <v>2136000</v>
      </c>
      <c r="G2851" s="25"/>
      <c r="H2851" s="11"/>
      <c r="I2851" s="21"/>
      <c r="J2851" s="21"/>
      <c r="K2851" s="21"/>
      <c r="L2851" s="21"/>
      <c r="M2851" s="21"/>
      <c r="N2851" s="21"/>
    </row>
    <row r="2852" spans="1:14" ht="15.75" customHeight="1" x14ac:dyDescent="0.25">
      <c r="A2852" s="7"/>
      <c r="B2852" s="343" t="s">
        <v>342</v>
      </c>
      <c r="C2852" s="344"/>
      <c r="D2852" s="344"/>
      <c r="E2852" s="334"/>
      <c r="F2852" s="104">
        <f>SUM(F2851)</f>
        <v>2136000</v>
      </c>
      <c r="G2852" s="25"/>
      <c r="H2852" s="11"/>
      <c r="I2852" s="21"/>
      <c r="J2852" s="21"/>
      <c r="K2852" s="21"/>
      <c r="L2852" s="21"/>
      <c r="M2852" s="21"/>
      <c r="N2852" s="21"/>
    </row>
    <row r="2853" spans="1:14" ht="15.75" customHeight="1" x14ac:dyDescent="0.25">
      <c r="A2853" s="7"/>
      <c r="B2853" s="343" t="s">
        <v>343</v>
      </c>
      <c r="C2853" s="344"/>
      <c r="D2853" s="344"/>
      <c r="E2853" s="334"/>
      <c r="F2853" s="104">
        <v>234960</v>
      </c>
      <c r="G2853" s="25"/>
      <c r="H2853" s="11"/>
      <c r="I2853" s="21"/>
      <c r="J2853" s="21"/>
      <c r="K2853" s="21"/>
      <c r="L2853" s="21"/>
      <c r="M2853" s="21"/>
      <c r="N2853" s="21"/>
    </row>
    <row r="2854" spans="1:14" ht="15.75" customHeight="1" x14ac:dyDescent="0.25">
      <c r="A2854" s="7"/>
      <c r="B2854" s="345" t="s">
        <v>344</v>
      </c>
      <c r="C2854" s="344"/>
      <c r="D2854" s="344"/>
      <c r="E2854" s="334"/>
      <c r="F2854" s="107">
        <f>SUM(F2852:F2853)</f>
        <v>2370960</v>
      </c>
      <c r="G2854" s="25"/>
      <c r="H2854" s="11"/>
      <c r="I2854" s="21"/>
      <c r="J2854" s="21"/>
      <c r="K2854" s="21"/>
      <c r="L2854" s="21"/>
      <c r="M2854" s="21"/>
      <c r="N2854" s="21"/>
    </row>
    <row r="2855" spans="1:14" ht="15.75" customHeight="1" x14ac:dyDescent="0.25">
      <c r="A2855" s="21"/>
      <c r="B2855" s="21"/>
      <c r="C2855" s="11"/>
      <c r="D2855" s="11"/>
      <c r="E2855" s="21"/>
      <c r="F2855" s="21"/>
      <c r="G2855" s="25"/>
      <c r="H2855" s="11"/>
      <c r="I2855" s="21"/>
      <c r="J2855" s="21"/>
      <c r="K2855" s="21"/>
      <c r="L2855" s="21"/>
      <c r="M2855" s="21"/>
      <c r="N2855" s="21"/>
    </row>
    <row r="2856" spans="1:14" ht="15.75" customHeight="1" x14ac:dyDescent="0.25">
      <c r="A2856" s="31" t="s">
        <v>351</v>
      </c>
      <c r="B2856" s="31" t="s">
        <v>234</v>
      </c>
      <c r="C2856" s="31" t="s">
        <v>16</v>
      </c>
      <c r="D2856" s="31" t="s">
        <v>17</v>
      </c>
      <c r="E2856" s="31" t="s">
        <v>235</v>
      </c>
      <c r="F2856" s="31" t="s">
        <v>236</v>
      </c>
      <c r="G2856" s="25"/>
      <c r="H2856" s="11"/>
      <c r="I2856" s="21"/>
      <c r="J2856" s="21"/>
      <c r="K2856" s="21"/>
      <c r="L2856" s="21"/>
      <c r="M2856" s="21"/>
      <c r="N2856" s="21"/>
    </row>
    <row r="2857" spans="1:14" ht="15.75" customHeight="1" x14ac:dyDescent="0.25">
      <c r="A2857" s="7">
        <v>1</v>
      </c>
      <c r="B2857" s="41" t="s">
        <v>1225</v>
      </c>
      <c r="C2857" s="7">
        <v>4</v>
      </c>
      <c r="D2857" s="7" t="s">
        <v>19</v>
      </c>
      <c r="E2857" s="104">
        <v>489850</v>
      </c>
      <c r="F2857" s="104">
        <f>E2857*C2857</f>
        <v>1959400</v>
      </c>
      <c r="G2857" s="25"/>
      <c r="H2857" s="11"/>
      <c r="I2857" s="21"/>
      <c r="J2857" s="21"/>
      <c r="K2857" s="21"/>
      <c r="L2857" s="21"/>
      <c r="M2857" s="21"/>
      <c r="N2857" s="21"/>
    </row>
    <row r="2858" spans="1:14" ht="15.75" customHeight="1" x14ac:dyDescent="0.25">
      <c r="A2858" s="7">
        <v>2</v>
      </c>
      <c r="B2858" s="41" t="s">
        <v>1226</v>
      </c>
      <c r="C2858" s="7">
        <v>4</v>
      </c>
      <c r="D2858" s="7" t="s">
        <v>19</v>
      </c>
      <c r="E2858" s="104">
        <v>349200</v>
      </c>
      <c r="F2858" s="104">
        <f>E2858*C2858</f>
        <v>1396800</v>
      </c>
      <c r="G2858" s="25"/>
      <c r="H2858" s="11"/>
      <c r="I2858" s="21"/>
      <c r="J2858" s="21"/>
      <c r="K2858" s="21"/>
      <c r="L2858" s="21"/>
      <c r="M2858" s="21"/>
      <c r="N2858" s="21"/>
    </row>
    <row r="2859" spans="1:14" ht="15.75" customHeight="1" x14ac:dyDescent="0.25">
      <c r="A2859" s="7"/>
      <c r="B2859" s="343" t="s">
        <v>342</v>
      </c>
      <c r="C2859" s="344"/>
      <c r="D2859" s="344"/>
      <c r="E2859" s="334"/>
      <c r="F2859" s="104">
        <f>SUM(F2857:F2858)</f>
        <v>3356200</v>
      </c>
      <c r="G2859" s="25"/>
      <c r="H2859" s="11"/>
      <c r="I2859" s="21"/>
      <c r="J2859" s="21"/>
      <c r="K2859" s="21"/>
      <c r="L2859" s="21"/>
      <c r="M2859" s="21"/>
      <c r="N2859" s="21"/>
    </row>
    <row r="2860" spans="1:14" ht="15.75" customHeight="1" x14ac:dyDescent="0.25">
      <c r="A2860" s="7"/>
      <c r="B2860" s="343" t="s">
        <v>343</v>
      </c>
      <c r="C2860" s="344"/>
      <c r="D2860" s="344"/>
      <c r="E2860" s="334"/>
      <c r="F2860" s="104">
        <v>369182</v>
      </c>
      <c r="G2860" s="25"/>
      <c r="H2860" s="11"/>
      <c r="I2860" s="21"/>
      <c r="J2860" s="21"/>
      <c r="K2860" s="21"/>
      <c r="L2860" s="21"/>
      <c r="M2860" s="21"/>
      <c r="N2860" s="21"/>
    </row>
    <row r="2861" spans="1:14" ht="15.75" customHeight="1" x14ac:dyDescent="0.25">
      <c r="A2861" s="7"/>
      <c r="B2861" s="345" t="s">
        <v>344</v>
      </c>
      <c r="C2861" s="344"/>
      <c r="D2861" s="344"/>
      <c r="E2861" s="334"/>
      <c r="F2861" s="107">
        <f>SUM(F2859:F2860)</f>
        <v>3725382</v>
      </c>
      <c r="G2861" s="25"/>
      <c r="H2861" s="11"/>
      <c r="I2861" s="21"/>
      <c r="J2861" s="21"/>
      <c r="K2861" s="21"/>
      <c r="L2861" s="21"/>
      <c r="M2861" s="21"/>
      <c r="N2861" s="21"/>
    </row>
    <row r="2862" spans="1:14" ht="15.75" customHeight="1" x14ac:dyDescent="0.25">
      <c r="A2862" s="21"/>
      <c r="B2862" s="21"/>
      <c r="C2862" s="11"/>
      <c r="D2862" s="11"/>
      <c r="E2862" s="21"/>
      <c r="F2862" s="21"/>
      <c r="G2862" s="25"/>
      <c r="H2862" s="11"/>
      <c r="I2862" s="21"/>
      <c r="J2862" s="21"/>
      <c r="K2862" s="21"/>
      <c r="L2862" s="21"/>
      <c r="M2862" s="21"/>
      <c r="N2862" s="21"/>
    </row>
    <row r="2863" spans="1:14" ht="15.75" customHeight="1" x14ac:dyDescent="0.25">
      <c r="A2863" s="31" t="s">
        <v>14</v>
      </c>
      <c r="B2863" s="31" t="s">
        <v>234</v>
      </c>
      <c r="C2863" s="31" t="s">
        <v>16</v>
      </c>
      <c r="D2863" s="31" t="s">
        <v>17</v>
      </c>
      <c r="E2863" s="31" t="s">
        <v>235</v>
      </c>
      <c r="F2863" s="31" t="s">
        <v>236</v>
      </c>
      <c r="G2863" s="25"/>
      <c r="H2863" s="11"/>
      <c r="I2863" s="21"/>
      <c r="J2863" s="21"/>
      <c r="K2863" s="21"/>
      <c r="L2863" s="21"/>
      <c r="M2863" s="21"/>
      <c r="N2863" s="21"/>
    </row>
    <row r="2864" spans="1:14" ht="15.75" customHeight="1" x14ac:dyDescent="0.25">
      <c r="A2864" s="7">
        <v>1</v>
      </c>
      <c r="B2864" s="124" t="s">
        <v>1227</v>
      </c>
      <c r="C2864" s="134">
        <v>5</v>
      </c>
      <c r="D2864" s="7" t="s">
        <v>19</v>
      </c>
      <c r="E2864" s="104">
        <v>45000</v>
      </c>
      <c r="F2864" s="104">
        <f>E2864*C2864</f>
        <v>225000</v>
      </c>
      <c r="G2864" s="25"/>
      <c r="H2864" s="11"/>
      <c r="I2864" s="21"/>
      <c r="J2864" s="21"/>
      <c r="K2864" s="21"/>
      <c r="L2864" s="21"/>
      <c r="M2864" s="21"/>
      <c r="N2864" s="21"/>
    </row>
    <row r="2865" spans="1:14" ht="15.75" customHeight="1" x14ac:dyDescent="0.25">
      <c r="A2865" s="7">
        <v>2</v>
      </c>
      <c r="B2865" s="124" t="s">
        <v>1228</v>
      </c>
      <c r="C2865" s="133">
        <v>10</v>
      </c>
      <c r="D2865" s="7" t="s">
        <v>19</v>
      </c>
      <c r="E2865" s="104">
        <v>32000</v>
      </c>
      <c r="F2865" s="104">
        <f>E2865*C2865</f>
        <v>320000</v>
      </c>
      <c r="G2865" s="25"/>
      <c r="H2865" s="11"/>
      <c r="I2865" s="21"/>
      <c r="J2865" s="21"/>
      <c r="K2865" s="21"/>
      <c r="L2865" s="21"/>
      <c r="M2865" s="21"/>
      <c r="N2865" s="21"/>
    </row>
    <row r="2866" spans="1:14" ht="15.75" customHeight="1" x14ac:dyDescent="0.25">
      <c r="A2866" s="7">
        <v>3</v>
      </c>
      <c r="B2866" s="131" t="s">
        <v>1021</v>
      </c>
      <c r="C2866" s="151">
        <v>20</v>
      </c>
      <c r="D2866" s="133" t="s">
        <v>19</v>
      </c>
      <c r="E2866" s="104">
        <v>2900</v>
      </c>
      <c r="F2866" s="104">
        <f>E2866*C2866</f>
        <v>58000</v>
      </c>
      <c r="G2866" s="25"/>
      <c r="H2866" s="11"/>
      <c r="I2866" s="21"/>
      <c r="J2866" s="21"/>
      <c r="K2866" s="21"/>
      <c r="L2866" s="21"/>
      <c r="M2866" s="21"/>
      <c r="N2866" s="21"/>
    </row>
    <row r="2867" spans="1:14" ht="15.75" customHeight="1" x14ac:dyDescent="0.25">
      <c r="A2867" s="7"/>
      <c r="B2867" s="343" t="s">
        <v>342</v>
      </c>
      <c r="C2867" s="344"/>
      <c r="D2867" s="344"/>
      <c r="E2867" s="334"/>
      <c r="F2867" s="104">
        <f>SUM(F2864:F2866)</f>
        <v>603000</v>
      </c>
      <c r="G2867" s="25"/>
      <c r="H2867" s="11"/>
      <c r="I2867" s="21"/>
      <c r="J2867" s="21"/>
      <c r="K2867" s="21"/>
      <c r="L2867" s="21"/>
      <c r="M2867" s="21"/>
      <c r="N2867" s="21"/>
    </row>
    <row r="2868" spans="1:14" ht="15.75" customHeight="1" x14ac:dyDescent="0.25">
      <c r="A2868" s="7"/>
      <c r="B2868" s="343" t="s">
        <v>343</v>
      </c>
      <c r="C2868" s="344"/>
      <c r="D2868" s="344"/>
      <c r="E2868" s="334"/>
      <c r="F2868" s="104">
        <v>66330</v>
      </c>
      <c r="G2868" s="25"/>
      <c r="H2868" s="11"/>
      <c r="I2868" s="21"/>
      <c r="J2868" s="21"/>
      <c r="K2868" s="21"/>
      <c r="L2868" s="21"/>
      <c r="M2868" s="21"/>
      <c r="N2868" s="21"/>
    </row>
    <row r="2869" spans="1:14" ht="15.75" customHeight="1" x14ac:dyDescent="0.25">
      <c r="A2869" s="7"/>
      <c r="B2869" s="345" t="s">
        <v>344</v>
      </c>
      <c r="C2869" s="344"/>
      <c r="D2869" s="344"/>
      <c r="E2869" s="334"/>
      <c r="F2869" s="107">
        <f>SUM(F2867:F2868)</f>
        <v>669330</v>
      </c>
      <c r="G2869" s="25"/>
      <c r="H2869" s="11"/>
      <c r="I2869" s="21"/>
      <c r="J2869" s="21"/>
      <c r="K2869" s="21"/>
      <c r="L2869" s="21"/>
      <c r="M2869" s="21"/>
      <c r="N2869" s="21"/>
    </row>
    <row r="2870" spans="1:14" ht="15.75" customHeight="1" x14ac:dyDescent="0.25">
      <c r="A2870" s="21"/>
      <c r="B2870" s="21"/>
      <c r="C2870" s="11"/>
      <c r="D2870" s="11"/>
      <c r="E2870" s="21"/>
      <c r="F2870" s="21"/>
      <c r="G2870" s="25"/>
      <c r="H2870" s="11"/>
      <c r="I2870" s="21"/>
      <c r="J2870" s="21"/>
      <c r="K2870" s="21"/>
      <c r="L2870" s="21"/>
      <c r="M2870" s="21"/>
      <c r="N2870" s="21"/>
    </row>
    <row r="2871" spans="1:14" ht="15.75" customHeight="1" x14ac:dyDescent="0.25">
      <c r="A2871" s="31" t="s">
        <v>14</v>
      </c>
      <c r="B2871" s="31" t="s">
        <v>234</v>
      </c>
      <c r="C2871" s="31" t="s">
        <v>16</v>
      </c>
      <c r="D2871" s="31" t="s">
        <v>17</v>
      </c>
      <c r="E2871" s="31" t="s">
        <v>235</v>
      </c>
      <c r="F2871" s="31" t="s">
        <v>236</v>
      </c>
      <c r="G2871" s="25"/>
      <c r="H2871" s="11"/>
      <c r="I2871" s="21"/>
      <c r="J2871" s="21"/>
      <c r="K2871" s="21"/>
      <c r="L2871" s="21"/>
      <c r="M2871" s="21"/>
      <c r="N2871" s="21"/>
    </row>
    <row r="2872" spans="1:14" ht="15.75" customHeight="1" x14ac:dyDescent="0.25">
      <c r="A2872" s="7">
        <v>1</v>
      </c>
      <c r="B2872" s="155" t="s">
        <v>1229</v>
      </c>
      <c r="C2872" s="129">
        <v>1</v>
      </c>
      <c r="D2872" s="7" t="s">
        <v>329</v>
      </c>
      <c r="E2872" s="130">
        <v>1600000</v>
      </c>
      <c r="F2872" s="130">
        <f>E2872*C2872</f>
        <v>1600000</v>
      </c>
      <c r="G2872" s="25"/>
      <c r="H2872" s="11"/>
      <c r="I2872" s="21"/>
      <c r="J2872" s="21"/>
      <c r="K2872" s="21"/>
      <c r="L2872" s="21"/>
      <c r="M2872" s="21"/>
      <c r="N2872" s="21"/>
    </row>
    <row r="2873" spans="1:14" ht="15.75" customHeight="1" x14ac:dyDescent="0.25">
      <c r="A2873" s="7"/>
      <c r="B2873" s="343" t="s">
        <v>342</v>
      </c>
      <c r="C2873" s="344"/>
      <c r="D2873" s="344"/>
      <c r="E2873" s="334"/>
      <c r="F2873" s="104">
        <f>SUM(F2872)</f>
        <v>1600000</v>
      </c>
      <c r="G2873" s="25"/>
      <c r="H2873" s="11"/>
      <c r="I2873" s="21"/>
      <c r="J2873" s="21"/>
      <c r="K2873" s="21"/>
      <c r="L2873" s="21"/>
      <c r="M2873" s="21"/>
      <c r="N2873" s="21"/>
    </row>
    <row r="2874" spans="1:14" ht="15.75" customHeight="1" x14ac:dyDescent="0.25">
      <c r="A2874" s="7"/>
      <c r="B2874" s="343" t="s">
        <v>343</v>
      </c>
      <c r="C2874" s="344"/>
      <c r="D2874" s="344"/>
      <c r="E2874" s="334"/>
      <c r="F2874" s="104">
        <v>176000</v>
      </c>
      <c r="G2874" s="25"/>
      <c r="H2874" s="11"/>
      <c r="I2874" s="21"/>
      <c r="J2874" s="21"/>
      <c r="K2874" s="21"/>
      <c r="L2874" s="21"/>
      <c r="M2874" s="21"/>
      <c r="N2874" s="21"/>
    </row>
    <row r="2875" spans="1:14" ht="15.75" customHeight="1" x14ac:dyDescent="0.25">
      <c r="A2875" s="7"/>
      <c r="B2875" s="345" t="s">
        <v>344</v>
      </c>
      <c r="C2875" s="344"/>
      <c r="D2875" s="344"/>
      <c r="E2875" s="334"/>
      <c r="F2875" s="107">
        <f>SUM(F2873:F2874)</f>
        <v>1776000</v>
      </c>
      <c r="G2875" s="25"/>
      <c r="H2875" s="11"/>
      <c r="I2875" s="21"/>
      <c r="J2875" s="21"/>
      <c r="K2875" s="21"/>
      <c r="L2875" s="21"/>
      <c r="M2875" s="21"/>
      <c r="N2875" s="21"/>
    </row>
    <row r="2876" spans="1:14" ht="15.75" customHeight="1" x14ac:dyDescent="0.25">
      <c r="A2876" s="21"/>
      <c r="B2876" s="21"/>
      <c r="C2876" s="11"/>
      <c r="D2876" s="11"/>
      <c r="E2876" s="21"/>
      <c r="F2876" s="21"/>
      <c r="G2876" s="25"/>
      <c r="H2876" s="11"/>
      <c r="I2876" s="21"/>
      <c r="J2876" s="21"/>
      <c r="K2876" s="21"/>
      <c r="L2876" s="21"/>
      <c r="M2876" s="21"/>
      <c r="N2876" s="21"/>
    </row>
    <row r="2877" spans="1:14" ht="15.75" customHeight="1" x14ac:dyDescent="0.25">
      <c r="A2877" s="31" t="s">
        <v>14</v>
      </c>
      <c r="B2877" s="31" t="s">
        <v>234</v>
      </c>
      <c r="C2877" s="31" t="s">
        <v>16</v>
      </c>
      <c r="D2877" s="31" t="s">
        <v>17</v>
      </c>
      <c r="E2877" s="31" t="s">
        <v>235</v>
      </c>
      <c r="F2877" s="31" t="s">
        <v>236</v>
      </c>
      <c r="G2877" s="25"/>
      <c r="H2877" s="11"/>
      <c r="I2877" s="21"/>
      <c r="J2877" s="21"/>
      <c r="K2877" s="21"/>
      <c r="L2877" s="21"/>
      <c r="M2877" s="21"/>
      <c r="N2877" s="21"/>
    </row>
    <row r="2878" spans="1:14" ht="15.75" customHeight="1" x14ac:dyDescent="0.25">
      <c r="A2878" s="7">
        <v>1</v>
      </c>
      <c r="B2878" s="153" t="s">
        <v>1230</v>
      </c>
      <c r="C2878" s="129">
        <v>20</v>
      </c>
      <c r="D2878" s="7" t="s">
        <v>347</v>
      </c>
      <c r="E2878" s="130">
        <v>368000</v>
      </c>
      <c r="F2878" s="130">
        <f>E2878*C2878</f>
        <v>7360000</v>
      </c>
      <c r="G2878" s="25"/>
      <c r="H2878" s="11"/>
      <c r="I2878" s="21"/>
      <c r="J2878" s="21"/>
      <c r="K2878" s="21"/>
      <c r="L2878" s="21"/>
      <c r="M2878" s="21"/>
      <c r="N2878" s="21"/>
    </row>
    <row r="2879" spans="1:14" ht="15.75" customHeight="1" x14ac:dyDescent="0.25">
      <c r="A2879" s="7">
        <v>2</v>
      </c>
      <c r="B2879" s="154" t="s">
        <v>1231</v>
      </c>
      <c r="C2879" s="129">
        <v>30</v>
      </c>
      <c r="D2879" s="7" t="s">
        <v>347</v>
      </c>
      <c r="E2879" s="130">
        <v>225000</v>
      </c>
      <c r="F2879" s="130">
        <f>E2879*C2879</f>
        <v>6750000</v>
      </c>
      <c r="G2879" s="25"/>
      <c r="H2879" s="11"/>
      <c r="I2879" s="21"/>
      <c r="J2879" s="21"/>
      <c r="K2879" s="21"/>
      <c r="L2879" s="21"/>
      <c r="M2879" s="21"/>
      <c r="N2879" s="21"/>
    </row>
    <row r="2880" spans="1:14" ht="15.75" customHeight="1" x14ac:dyDescent="0.25">
      <c r="A2880" s="7">
        <v>3</v>
      </c>
      <c r="B2880" s="153" t="s">
        <v>1232</v>
      </c>
      <c r="C2880" s="129">
        <v>150</v>
      </c>
      <c r="D2880" s="7" t="s">
        <v>19</v>
      </c>
      <c r="E2880" s="130">
        <v>4200</v>
      </c>
      <c r="F2880" s="130">
        <f>E2880*C2880</f>
        <v>630000</v>
      </c>
      <c r="G2880" s="25"/>
      <c r="H2880" s="11"/>
      <c r="I2880" s="21"/>
      <c r="J2880" s="21"/>
      <c r="K2880" s="21"/>
      <c r="L2880" s="21"/>
      <c r="M2880" s="21"/>
      <c r="N2880" s="21"/>
    </row>
    <row r="2881" spans="1:14" ht="15.75" customHeight="1" x14ac:dyDescent="0.25">
      <c r="A2881" s="7">
        <v>4</v>
      </c>
      <c r="B2881" s="154" t="s">
        <v>1233</v>
      </c>
      <c r="C2881" s="129">
        <v>20</v>
      </c>
      <c r="D2881" s="7" t="s">
        <v>19</v>
      </c>
      <c r="E2881" s="130">
        <v>88500</v>
      </c>
      <c r="F2881" s="130">
        <f>E2881*C2881</f>
        <v>1770000</v>
      </c>
      <c r="G2881" s="25"/>
      <c r="H2881" s="11"/>
      <c r="I2881" s="21"/>
      <c r="J2881" s="21"/>
      <c r="K2881" s="21"/>
      <c r="L2881" s="21"/>
      <c r="M2881" s="21"/>
      <c r="N2881" s="21"/>
    </row>
    <row r="2882" spans="1:14" ht="15.75" customHeight="1" x14ac:dyDescent="0.25">
      <c r="A2882" s="7"/>
      <c r="B2882" s="343" t="s">
        <v>342</v>
      </c>
      <c r="C2882" s="344"/>
      <c r="D2882" s="344"/>
      <c r="E2882" s="334"/>
      <c r="F2882" s="104">
        <f>SUM(F2878:F2881)</f>
        <v>16510000</v>
      </c>
      <c r="G2882" s="25"/>
      <c r="H2882" s="11"/>
      <c r="I2882" s="21"/>
      <c r="J2882" s="21"/>
      <c r="K2882" s="21"/>
      <c r="L2882" s="21"/>
      <c r="M2882" s="21"/>
      <c r="N2882" s="21"/>
    </row>
    <row r="2883" spans="1:14" ht="15.75" customHeight="1" x14ac:dyDescent="0.25">
      <c r="A2883" s="7"/>
      <c r="B2883" s="343" t="s">
        <v>343</v>
      </c>
      <c r="C2883" s="344"/>
      <c r="D2883" s="344"/>
      <c r="E2883" s="334"/>
      <c r="F2883" s="104">
        <v>1816100</v>
      </c>
      <c r="G2883" s="25"/>
      <c r="H2883" s="11"/>
      <c r="I2883" s="21"/>
      <c r="J2883" s="21"/>
      <c r="K2883" s="21"/>
      <c r="L2883" s="21"/>
      <c r="M2883" s="21"/>
      <c r="N2883" s="21"/>
    </row>
    <row r="2884" spans="1:14" ht="15.75" customHeight="1" x14ac:dyDescent="0.25">
      <c r="A2884" s="7"/>
      <c r="B2884" s="345" t="s">
        <v>344</v>
      </c>
      <c r="C2884" s="344"/>
      <c r="D2884" s="344"/>
      <c r="E2884" s="334"/>
      <c r="F2884" s="107">
        <f>SUM(F2882:F2883)</f>
        <v>18326100</v>
      </c>
      <c r="G2884" s="25"/>
      <c r="H2884" s="11"/>
      <c r="I2884" s="21"/>
      <c r="J2884" s="21"/>
      <c r="K2884" s="21"/>
      <c r="L2884" s="21"/>
      <c r="M2884" s="21"/>
      <c r="N2884" s="21"/>
    </row>
    <row r="2885" spans="1:14" ht="15.75" customHeight="1" x14ac:dyDescent="0.25">
      <c r="A2885" s="21"/>
      <c r="B2885" s="21"/>
      <c r="C2885" s="11"/>
      <c r="D2885" s="11"/>
      <c r="E2885" s="21"/>
      <c r="F2885" s="21"/>
      <c r="G2885" s="25"/>
      <c r="H2885" s="11"/>
      <c r="I2885" s="21"/>
      <c r="J2885" s="21"/>
      <c r="K2885" s="21"/>
      <c r="L2885" s="21"/>
      <c r="M2885" s="21"/>
      <c r="N2885" s="21"/>
    </row>
    <row r="2886" spans="1:14" ht="15.75" customHeight="1" x14ac:dyDescent="0.25">
      <c r="A2886" s="31" t="s">
        <v>14</v>
      </c>
      <c r="B2886" s="31" t="s">
        <v>234</v>
      </c>
      <c r="C2886" s="31" t="s">
        <v>16</v>
      </c>
      <c r="D2886" s="31" t="s">
        <v>17</v>
      </c>
      <c r="E2886" s="31" t="s">
        <v>235</v>
      </c>
      <c r="F2886" s="31" t="s">
        <v>236</v>
      </c>
      <c r="G2886" s="25"/>
      <c r="H2886" s="11"/>
      <c r="I2886" s="21"/>
      <c r="J2886" s="21"/>
      <c r="K2886" s="21"/>
      <c r="L2886" s="21"/>
      <c r="M2886" s="21"/>
      <c r="N2886" s="21"/>
    </row>
    <row r="2887" spans="1:14" ht="15.75" customHeight="1" x14ac:dyDescent="0.25">
      <c r="A2887" s="7">
        <v>1</v>
      </c>
      <c r="B2887" s="156" t="s">
        <v>1234</v>
      </c>
      <c r="C2887" s="129">
        <v>20</v>
      </c>
      <c r="D2887" s="7" t="s">
        <v>539</v>
      </c>
      <c r="E2887" s="130">
        <v>242250</v>
      </c>
      <c r="F2887" s="130">
        <f>E2887*C2887</f>
        <v>4845000</v>
      </c>
      <c r="G2887" s="25"/>
      <c r="H2887" s="11"/>
      <c r="I2887" s="21"/>
      <c r="J2887" s="21"/>
      <c r="K2887" s="21"/>
      <c r="L2887" s="21"/>
      <c r="M2887" s="21"/>
      <c r="N2887" s="21"/>
    </row>
    <row r="2888" spans="1:14" ht="15.75" customHeight="1" x14ac:dyDescent="0.25">
      <c r="A2888" s="7">
        <v>2</v>
      </c>
      <c r="B2888" s="35" t="s">
        <v>1235</v>
      </c>
      <c r="C2888" s="129">
        <v>20</v>
      </c>
      <c r="D2888" s="7" t="s">
        <v>539</v>
      </c>
      <c r="E2888" s="130">
        <v>249100</v>
      </c>
      <c r="F2888" s="130">
        <f>E2888*C2888</f>
        <v>4982000</v>
      </c>
      <c r="G2888" s="25"/>
      <c r="H2888" s="11"/>
      <c r="I2888" s="21"/>
      <c r="J2888" s="21"/>
      <c r="K2888" s="21"/>
      <c r="L2888" s="21"/>
      <c r="M2888" s="21"/>
      <c r="N2888" s="21"/>
    </row>
    <row r="2889" spans="1:14" ht="15.75" customHeight="1" x14ac:dyDescent="0.25">
      <c r="A2889" s="7">
        <v>3</v>
      </c>
      <c r="B2889" s="41" t="s">
        <v>1236</v>
      </c>
      <c r="C2889" s="129">
        <v>20</v>
      </c>
      <c r="D2889" s="7" t="s">
        <v>539</v>
      </c>
      <c r="E2889" s="130">
        <v>249100</v>
      </c>
      <c r="F2889" s="130">
        <f>E2889*C2889</f>
        <v>4982000</v>
      </c>
      <c r="G2889" s="25"/>
      <c r="H2889" s="11"/>
      <c r="I2889" s="21"/>
      <c r="J2889" s="21"/>
      <c r="K2889" s="21"/>
      <c r="L2889" s="21"/>
      <c r="M2889" s="21"/>
      <c r="N2889" s="21"/>
    </row>
    <row r="2890" spans="1:14" ht="15.75" customHeight="1" x14ac:dyDescent="0.25">
      <c r="A2890" s="7">
        <v>4</v>
      </c>
      <c r="B2890" s="35" t="s">
        <v>1237</v>
      </c>
      <c r="C2890" s="129">
        <v>20</v>
      </c>
      <c r="D2890" s="7" t="s">
        <v>539</v>
      </c>
      <c r="E2890" s="130">
        <v>232750</v>
      </c>
      <c r="F2890" s="130">
        <f>E2890*C2890</f>
        <v>4655000</v>
      </c>
      <c r="G2890" s="25"/>
      <c r="H2890" s="11"/>
      <c r="I2890" s="21"/>
      <c r="J2890" s="21"/>
      <c r="K2890" s="21"/>
      <c r="L2890" s="21"/>
      <c r="M2890" s="21"/>
      <c r="N2890" s="21"/>
    </row>
    <row r="2891" spans="1:14" ht="15.75" customHeight="1" x14ac:dyDescent="0.25">
      <c r="A2891" s="7"/>
      <c r="B2891" s="343" t="s">
        <v>342</v>
      </c>
      <c r="C2891" s="344"/>
      <c r="D2891" s="344"/>
      <c r="E2891" s="334"/>
      <c r="F2891" s="104">
        <f>SUM(F2887:F2890)</f>
        <v>19464000</v>
      </c>
      <c r="G2891" s="25"/>
      <c r="H2891" s="11"/>
      <c r="I2891" s="21"/>
      <c r="J2891" s="21"/>
      <c r="K2891" s="21"/>
      <c r="L2891" s="21"/>
      <c r="M2891" s="21"/>
      <c r="N2891" s="21"/>
    </row>
    <row r="2892" spans="1:14" ht="15.75" customHeight="1" x14ac:dyDescent="0.25">
      <c r="A2892" s="7"/>
      <c r="B2892" s="343" t="s">
        <v>343</v>
      </c>
      <c r="C2892" s="344"/>
      <c r="D2892" s="344"/>
      <c r="E2892" s="334"/>
      <c r="F2892" s="104">
        <v>2141040</v>
      </c>
      <c r="G2892" s="25"/>
      <c r="H2892" s="11"/>
      <c r="I2892" s="21"/>
      <c r="J2892" s="21"/>
      <c r="K2892" s="21"/>
      <c r="L2892" s="21"/>
      <c r="M2892" s="21"/>
      <c r="N2892" s="21"/>
    </row>
    <row r="2893" spans="1:14" ht="15.75" customHeight="1" x14ac:dyDescent="0.25">
      <c r="A2893" s="7"/>
      <c r="B2893" s="345" t="s">
        <v>344</v>
      </c>
      <c r="C2893" s="344"/>
      <c r="D2893" s="344"/>
      <c r="E2893" s="334"/>
      <c r="F2893" s="107">
        <f>SUM(F2891:F2892)</f>
        <v>21605040</v>
      </c>
      <c r="G2893" s="25"/>
      <c r="H2893" s="11"/>
      <c r="I2893" s="21"/>
      <c r="J2893" s="21"/>
      <c r="K2893" s="21"/>
      <c r="L2893" s="21"/>
      <c r="M2893" s="21"/>
      <c r="N2893" s="21"/>
    </row>
    <row r="2894" spans="1:14" ht="15.75" customHeight="1" x14ac:dyDescent="0.25">
      <c r="A2894" s="21"/>
      <c r="B2894" s="21"/>
      <c r="C2894" s="11"/>
      <c r="D2894" s="11"/>
      <c r="E2894" s="21"/>
      <c r="F2894" s="21"/>
      <c r="G2894" s="25"/>
      <c r="H2894" s="11"/>
      <c r="I2894" s="21"/>
      <c r="J2894" s="21"/>
      <c r="K2894" s="21"/>
      <c r="L2894" s="21"/>
      <c r="M2894" s="21"/>
      <c r="N2894" s="21"/>
    </row>
    <row r="2895" spans="1:14" ht="15.75" customHeight="1" x14ac:dyDescent="0.25">
      <c r="A2895" s="31" t="s">
        <v>14</v>
      </c>
      <c r="B2895" s="31" t="s">
        <v>234</v>
      </c>
      <c r="C2895" s="31" t="s">
        <v>16</v>
      </c>
      <c r="D2895" s="31" t="s">
        <v>17</v>
      </c>
      <c r="E2895" s="31" t="s">
        <v>235</v>
      </c>
      <c r="F2895" s="31" t="s">
        <v>236</v>
      </c>
      <c r="G2895" s="25"/>
      <c r="H2895" s="11"/>
      <c r="I2895" s="21"/>
      <c r="J2895" s="21"/>
      <c r="K2895" s="21"/>
      <c r="L2895" s="21"/>
      <c r="M2895" s="21"/>
      <c r="N2895" s="21"/>
    </row>
    <row r="2896" spans="1:14" ht="15.75" customHeight="1" x14ac:dyDescent="0.25">
      <c r="A2896" s="7">
        <v>1</v>
      </c>
      <c r="B2896" s="156" t="s">
        <v>1238</v>
      </c>
      <c r="C2896" s="157">
        <v>6</v>
      </c>
      <c r="D2896" s="7" t="s">
        <v>19</v>
      </c>
      <c r="E2896" s="104">
        <v>72200</v>
      </c>
      <c r="F2896" s="104">
        <f>E2896*C2896</f>
        <v>433200</v>
      </c>
      <c r="G2896" s="25"/>
      <c r="H2896" s="11"/>
      <c r="I2896" s="21"/>
      <c r="J2896" s="21"/>
      <c r="K2896" s="21"/>
      <c r="L2896" s="21"/>
      <c r="M2896" s="21"/>
      <c r="N2896" s="21"/>
    </row>
    <row r="2897" spans="1:14" ht="15.75" customHeight="1" x14ac:dyDescent="0.25">
      <c r="A2897" s="7">
        <v>2</v>
      </c>
      <c r="B2897" s="35" t="s">
        <v>1239</v>
      </c>
      <c r="C2897" s="133">
        <v>6</v>
      </c>
      <c r="D2897" s="7" t="s">
        <v>19</v>
      </c>
      <c r="E2897" s="104">
        <v>50825</v>
      </c>
      <c r="F2897" s="104">
        <f>E2897*C2897</f>
        <v>304950</v>
      </c>
      <c r="G2897" s="25"/>
      <c r="H2897" s="11"/>
      <c r="I2897" s="21"/>
      <c r="J2897" s="21"/>
      <c r="K2897" s="21"/>
      <c r="L2897" s="21"/>
      <c r="M2897" s="21"/>
      <c r="N2897" s="21"/>
    </row>
    <row r="2898" spans="1:14" ht="15.75" customHeight="1" x14ac:dyDescent="0.25">
      <c r="A2898" s="7">
        <v>3</v>
      </c>
      <c r="B2898" s="41" t="s">
        <v>1240</v>
      </c>
      <c r="C2898" s="151">
        <v>6</v>
      </c>
      <c r="D2898" s="133" t="s">
        <v>19</v>
      </c>
      <c r="E2898" s="104">
        <v>35910</v>
      </c>
      <c r="F2898" s="104">
        <f>E2898*C2898</f>
        <v>215460</v>
      </c>
      <c r="G2898" s="25"/>
      <c r="H2898" s="11"/>
      <c r="I2898" s="21"/>
      <c r="J2898" s="21"/>
      <c r="K2898" s="21"/>
      <c r="L2898" s="21"/>
      <c r="M2898" s="21"/>
      <c r="N2898" s="21"/>
    </row>
    <row r="2899" spans="1:14" ht="15.75" customHeight="1" x14ac:dyDescent="0.25">
      <c r="A2899" s="7"/>
      <c r="B2899" s="343" t="s">
        <v>342</v>
      </c>
      <c r="C2899" s="344"/>
      <c r="D2899" s="344"/>
      <c r="E2899" s="334"/>
      <c r="F2899" s="104">
        <f>SUM(F2896:F2898)</f>
        <v>953610</v>
      </c>
      <c r="G2899" s="25"/>
      <c r="H2899" s="11"/>
      <c r="I2899" s="21"/>
      <c r="J2899" s="21"/>
      <c r="K2899" s="21"/>
      <c r="L2899" s="21"/>
      <c r="M2899" s="21"/>
      <c r="N2899" s="21"/>
    </row>
    <row r="2900" spans="1:14" ht="15.75" customHeight="1" x14ac:dyDescent="0.25">
      <c r="A2900" s="7"/>
      <c r="B2900" s="343" t="s">
        <v>343</v>
      </c>
      <c r="C2900" s="344"/>
      <c r="D2900" s="344"/>
      <c r="E2900" s="334"/>
      <c r="F2900" s="108">
        <v>104897.1</v>
      </c>
      <c r="G2900" s="25"/>
      <c r="H2900" s="11"/>
      <c r="I2900" s="21"/>
      <c r="J2900" s="21"/>
      <c r="K2900" s="21"/>
      <c r="L2900" s="21"/>
      <c r="M2900" s="21"/>
      <c r="N2900" s="21"/>
    </row>
    <row r="2901" spans="1:14" ht="15.75" customHeight="1" x14ac:dyDescent="0.25">
      <c r="A2901" s="7"/>
      <c r="B2901" s="345" t="s">
        <v>344</v>
      </c>
      <c r="C2901" s="344"/>
      <c r="D2901" s="344"/>
      <c r="E2901" s="334"/>
      <c r="F2901" s="109">
        <f>SUM(F2899:F2900)</f>
        <v>1058507.1000000001</v>
      </c>
      <c r="G2901" s="25"/>
      <c r="H2901" s="11"/>
      <c r="I2901" s="21"/>
      <c r="J2901" s="21"/>
      <c r="K2901" s="21"/>
      <c r="L2901" s="21"/>
      <c r="M2901" s="21"/>
      <c r="N2901" s="21"/>
    </row>
    <row r="2902" spans="1:14" ht="15.75" customHeight="1" x14ac:dyDescent="0.25">
      <c r="A2902" s="21"/>
      <c r="B2902" s="21"/>
      <c r="C2902" s="11"/>
      <c r="D2902" s="11"/>
      <c r="E2902" s="21"/>
      <c r="F2902" s="21"/>
      <c r="G2902" s="25"/>
      <c r="H2902" s="11"/>
      <c r="I2902" s="21"/>
      <c r="J2902" s="21"/>
      <c r="K2902" s="21"/>
      <c r="L2902" s="21"/>
      <c r="M2902" s="21"/>
      <c r="N2902" s="21"/>
    </row>
    <row r="2903" spans="1:14" ht="15.75" customHeight="1" x14ac:dyDescent="0.25">
      <c r="A2903" s="31" t="s">
        <v>14</v>
      </c>
      <c r="B2903" s="31" t="s">
        <v>234</v>
      </c>
      <c r="C2903" s="31" t="s">
        <v>16</v>
      </c>
      <c r="D2903" s="31" t="s">
        <v>17</v>
      </c>
      <c r="E2903" s="31" t="s">
        <v>235</v>
      </c>
      <c r="F2903" s="31" t="s">
        <v>236</v>
      </c>
      <c r="G2903" s="25"/>
      <c r="H2903" s="11"/>
      <c r="I2903" s="21"/>
      <c r="J2903" s="21"/>
      <c r="K2903" s="21"/>
      <c r="L2903" s="21"/>
      <c r="M2903" s="21"/>
      <c r="N2903" s="21"/>
    </row>
    <row r="2904" spans="1:14" ht="15.75" customHeight="1" x14ac:dyDescent="0.25">
      <c r="A2904" s="7">
        <v>1</v>
      </c>
      <c r="B2904" s="156" t="s">
        <v>1042</v>
      </c>
      <c r="C2904" s="158">
        <v>40</v>
      </c>
      <c r="D2904" s="7" t="s">
        <v>539</v>
      </c>
      <c r="E2904" s="104">
        <v>51648</v>
      </c>
      <c r="F2904" s="104">
        <f>E2904*C2904</f>
        <v>2065920</v>
      </c>
      <c r="G2904" s="25"/>
      <c r="H2904" s="11"/>
      <c r="I2904" s="21"/>
      <c r="J2904" s="21"/>
      <c r="K2904" s="21"/>
      <c r="L2904" s="21"/>
      <c r="M2904" s="21"/>
      <c r="N2904" s="21"/>
    </row>
    <row r="2905" spans="1:14" ht="15.75" customHeight="1" x14ac:dyDescent="0.25">
      <c r="A2905" s="7">
        <v>2</v>
      </c>
      <c r="B2905" s="35" t="s">
        <v>1043</v>
      </c>
      <c r="C2905" s="133">
        <v>40</v>
      </c>
      <c r="D2905" s="7" t="s">
        <v>539</v>
      </c>
      <c r="E2905" s="104">
        <v>36500</v>
      </c>
      <c r="F2905" s="104">
        <f>E2905*C2905</f>
        <v>1460000</v>
      </c>
      <c r="G2905" s="25"/>
      <c r="H2905" s="11"/>
      <c r="I2905" s="21"/>
      <c r="J2905" s="21"/>
      <c r="K2905" s="21"/>
      <c r="L2905" s="21"/>
      <c r="M2905" s="21"/>
      <c r="N2905" s="21"/>
    </row>
    <row r="2906" spans="1:14" ht="15.75" customHeight="1" x14ac:dyDescent="0.25">
      <c r="A2906" s="7">
        <v>3</v>
      </c>
      <c r="B2906" s="41" t="s">
        <v>1041</v>
      </c>
      <c r="C2906" s="151">
        <v>100</v>
      </c>
      <c r="D2906" s="133" t="s">
        <v>539</v>
      </c>
      <c r="E2906" s="104">
        <v>49000</v>
      </c>
      <c r="F2906" s="104">
        <f>E2906*C2906</f>
        <v>4900000</v>
      </c>
      <c r="G2906" s="25"/>
      <c r="H2906" s="11"/>
      <c r="I2906" s="21"/>
      <c r="J2906" s="21"/>
      <c r="K2906" s="21"/>
      <c r="L2906" s="21"/>
      <c r="M2906" s="21"/>
      <c r="N2906" s="21"/>
    </row>
    <row r="2907" spans="1:14" ht="15.75" customHeight="1" x14ac:dyDescent="0.25">
      <c r="A2907" s="7"/>
      <c r="B2907" s="343" t="s">
        <v>342</v>
      </c>
      <c r="C2907" s="344"/>
      <c r="D2907" s="344"/>
      <c r="E2907" s="334"/>
      <c r="F2907" s="104">
        <f>SUM(F2904:F2906)</f>
        <v>8425920</v>
      </c>
      <c r="G2907" s="25"/>
      <c r="H2907" s="11"/>
      <c r="I2907" s="21"/>
      <c r="J2907" s="21"/>
      <c r="K2907" s="21"/>
      <c r="L2907" s="21"/>
      <c r="M2907" s="21"/>
      <c r="N2907" s="21"/>
    </row>
    <row r="2908" spans="1:14" ht="15.75" customHeight="1" x14ac:dyDescent="0.25">
      <c r="A2908" s="7"/>
      <c r="B2908" s="343" t="s">
        <v>343</v>
      </c>
      <c r="C2908" s="344"/>
      <c r="D2908" s="344"/>
      <c r="E2908" s="334"/>
      <c r="F2908" s="108">
        <v>926851.2</v>
      </c>
      <c r="G2908" s="25"/>
      <c r="H2908" s="11"/>
      <c r="I2908" s="21"/>
      <c r="J2908" s="21"/>
      <c r="K2908" s="21"/>
      <c r="L2908" s="21"/>
      <c r="M2908" s="21"/>
      <c r="N2908" s="21"/>
    </row>
    <row r="2909" spans="1:14" ht="15.75" customHeight="1" x14ac:dyDescent="0.25">
      <c r="A2909" s="7"/>
      <c r="B2909" s="345" t="s">
        <v>344</v>
      </c>
      <c r="C2909" s="344"/>
      <c r="D2909" s="344"/>
      <c r="E2909" s="334"/>
      <c r="F2909" s="109">
        <f>SUM(F2907:F2908)</f>
        <v>9352771.1999999993</v>
      </c>
      <c r="G2909" s="25"/>
      <c r="H2909" s="11"/>
      <c r="I2909" s="21"/>
      <c r="J2909" s="21"/>
      <c r="K2909" s="21"/>
      <c r="L2909" s="21"/>
      <c r="M2909" s="21"/>
      <c r="N2909" s="21"/>
    </row>
    <row r="2910" spans="1:14" ht="15.75" customHeight="1" x14ac:dyDescent="0.25">
      <c r="A2910" s="21"/>
      <c r="B2910" s="21"/>
      <c r="C2910" s="11"/>
      <c r="D2910" s="11"/>
      <c r="E2910" s="21"/>
      <c r="F2910" s="21"/>
      <c r="G2910" s="25"/>
      <c r="H2910" s="11"/>
      <c r="I2910" s="21"/>
      <c r="J2910" s="21"/>
      <c r="K2910" s="21"/>
      <c r="L2910" s="21"/>
      <c r="M2910" s="21"/>
      <c r="N2910" s="21"/>
    </row>
    <row r="2911" spans="1:14" ht="15.75" customHeight="1" x14ac:dyDescent="0.25">
      <c r="A2911" s="31" t="s">
        <v>14</v>
      </c>
      <c r="B2911" s="31" t="s">
        <v>234</v>
      </c>
      <c r="C2911" s="31" t="s">
        <v>16</v>
      </c>
      <c r="D2911" s="31" t="s">
        <v>17</v>
      </c>
      <c r="E2911" s="31" t="s">
        <v>235</v>
      </c>
      <c r="F2911" s="31" t="s">
        <v>236</v>
      </c>
      <c r="G2911" s="25"/>
      <c r="H2911" s="11"/>
      <c r="I2911" s="21"/>
      <c r="J2911" s="21"/>
      <c r="K2911" s="21"/>
      <c r="L2911" s="21"/>
      <c r="M2911" s="21"/>
      <c r="N2911" s="21"/>
    </row>
    <row r="2912" spans="1:14" ht="15.75" customHeight="1" x14ac:dyDescent="0.25">
      <c r="A2912" s="7">
        <v>1</v>
      </c>
      <c r="B2912" s="156" t="s">
        <v>1241</v>
      </c>
      <c r="C2912" s="129">
        <v>20</v>
      </c>
      <c r="D2912" s="7" t="s">
        <v>19</v>
      </c>
      <c r="E2912" s="130">
        <v>165000</v>
      </c>
      <c r="F2912" s="130">
        <f>E2912*C2912</f>
        <v>3300000</v>
      </c>
      <c r="G2912" s="25"/>
      <c r="H2912" s="11"/>
      <c r="I2912" s="21"/>
      <c r="J2912" s="21"/>
      <c r="K2912" s="21"/>
      <c r="L2912" s="21"/>
      <c r="M2912" s="21"/>
      <c r="N2912" s="21"/>
    </row>
    <row r="2913" spans="1:14" ht="15.75" customHeight="1" x14ac:dyDescent="0.25">
      <c r="A2913" s="7">
        <v>2</v>
      </c>
      <c r="B2913" s="35" t="s">
        <v>991</v>
      </c>
      <c r="C2913" s="129">
        <v>20</v>
      </c>
      <c r="D2913" s="7" t="s">
        <v>19</v>
      </c>
      <c r="E2913" s="130">
        <v>3000</v>
      </c>
      <c r="F2913" s="130">
        <f>E2913*C2913</f>
        <v>60000</v>
      </c>
      <c r="G2913" s="25"/>
      <c r="H2913" s="11"/>
      <c r="I2913" s="21"/>
      <c r="J2913" s="21"/>
      <c r="K2913" s="21"/>
      <c r="L2913" s="21"/>
      <c r="M2913" s="21"/>
      <c r="N2913" s="21"/>
    </row>
    <row r="2914" spans="1:14" ht="15.75" customHeight="1" x14ac:dyDescent="0.25">
      <c r="A2914" s="7">
        <v>3</v>
      </c>
      <c r="B2914" s="41" t="s">
        <v>1242</v>
      </c>
      <c r="C2914" s="129">
        <v>10</v>
      </c>
      <c r="D2914" s="7" t="s">
        <v>19</v>
      </c>
      <c r="E2914" s="130">
        <v>44000</v>
      </c>
      <c r="F2914" s="130">
        <f>E2914*C2914</f>
        <v>440000</v>
      </c>
      <c r="G2914" s="25"/>
      <c r="H2914" s="11"/>
      <c r="I2914" s="21"/>
      <c r="J2914" s="21"/>
      <c r="K2914" s="21"/>
      <c r="L2914" s="21"/>
      <c r="M2914" s="21"/>
      <c r="N2914" s="21"/>
    </row>
    <row r="2915" spans="1:14" ht="15.75" customHeight="1" x14ac:dyDescent="0.25">
      <c r="A2915" s="7">
        <v>4</v>
      </c>
      <c r="B2915" s="35" t="s">
        <v>1243</v>
      </c>
      <c r="C2915" s="129">
        <v>50</v>
      </c>
      <c r="D2915" s="7" t="s">
        <v>19</v>
      </c>
      <c r="E2915" s="130">
        <v>1250</v>
      </c>
      <c r="F2915" s="130">
        <f>E2915*C2915</f>
        <v>62500</v>
      </c>
      <c r="G2915" s="25"/>
      <c r="H2915" s="11"/>
      <c r="I2915" s="21"/>
      <c r="J2915" s="21"/>
      <c r="K2915" s="21"/>
      <c r="L2915" s="21"/>
      <c r="M2915" s="21"/>
      <c r="N2915" s="21"/>
    </row>
    <row r="2916" spans="1:14" ht="15.75" customHeight="1" x14ac:dyDescent="0.25">
      <c r="A2916" s="7"/>
      <c r="B2916" s="343" t="s">
        <v>342</v>
      </c>
      <c r="C2916" s="344"/>
      <c r="D2916" s="344"/>
      <c r="E2916" s="334"/>
      <c r="F2916" s="104">
        <f>SUM(F2912:F2915)</f>
        <v>3862500</v>
      </c>
      <c r="G2916" s="25"/>
      <c r="H2916" s="11"/>
      <c r="I2916" s="21"/>
      <c r="J2916" s="21"/>
      <c r="K2916" s="21"/>
      <c r="L2916" s="21"/>
      <c r="M2916" s="21"/>
      <c r="N2916" s="21"/>
    </row>
    <row r="2917" spans="1:14" ht="15.75" customHeight="1" x14ac:dyDescent="0.25">
      <c r="A2917" s="7"/>
      <c r="B2917" s="343" t="s">
        <v>343</v>
      </c>
      <c r="C2917" s="344"/>
      <c r="D2917" s="344"/>
      <c r="E2917" s="334"/>
      <c r="F2917" s="104">
        <v>424875</v>
      </c>
      <c r="G2917" s="25"/>
      <c r="H2917" s="11"/>
      <c r="I2917" s="21"/>
      <c r="J2917" s="21"/>
      <c r="K2917" s="21"/>
      <c r="L2917" s="21"/>
      <c r="M2917" s="21"/>
      <c r="N2917" s="21"/>
    </row>
    <row r="2918" spans="1:14" ht="15.75" customHeight="1" x14ac:dyDescent="0.25">
      <c r="A2918" s="7"/>
      <c r="B2918" s="345" t="s">
        <v>344</v>
      </c>
      <c r="C2918" s="344"/>
      <c r="D2918" s="344"/>
      <c r="E2918" s="334"/>
      <c r="F2918" s="107">
        <f>SUM(F2916:F2917)</f>
        <v>4287375</v>
      </c>
      <c r="G2918" s="25"/>
      <c r="H2918" s="11"/>
      <c r="I2918" s="21"/>
      <c r="J2918" s="21"/>
      <c r="K2918" s="21"/>
      <c r="L2918" s="21"/>
      <c r="M2918" s="21"/>
      <c r="N2918" s="21"/>
    </row>
    <row r="2919" spans="1:14" ht="15.75" customHeight="1" x14ac:dyDescent="0.25">
      <c r="A2919" s="21"/>
      <c r="B2919" s="21"/>
      <c r="C2919" s="11"/>
      <c r="D2919" s="11"/>
      <c r="E2919" s="21"/>
      <c r="F2919" s="21"/>
      <c r="G2919" s="25"/>
      <c r="H2919" s="11"/>
      <c r="I2919" s="21"/>
      <c r="J2919" s="21"/>
      <c r="K2919" s="21"/>
      <c r="L2919" s="21"/>
      <c r="M2919" s="21"/>
      <c r="N2919" s="21"/>
    </row>
    <row r="2920" spans="1:14" ht="15.75" customHeight="1" x14ac:dyDescent="0.25">
      <c r="A2920" s="31" t="s">
        <v>351</v>
      </c>
      <c r="B2920" s="31" t="s">
        <v>234</v>
      </c>
      <c r="C2920" s="31" t="s">
        <v>16</v>
      </c>
      <c r="D2920" s="31" t="s">
        <v>17</v>
      </c>
      <c r="E2920" s="31" t="s">
        <v>235</v>
      </c>
      <c r="F2920" s="31" t="s">
        <v>236</v>
      </c>
      <c r="G2920" s="25"/>
      <c r="H2920" s="11"/>
      <c r="I2920" s="21"/>
      <c r="J2920" s="21"/>
      <c r="K2920" s="21"/>
      <c r="L2920" s="21"/>
      <c r="M2920" s="21"/>
      <c r="N2920" s="21"/>
    </row>
    <row r="2921" spans="1:14" ht="15.75" customHeight="1" x14ac:dyDescent="0.25">
      <c r="A2921" s="7">
        <v>1</v>
      </c>
      <c r="B2921" s="41" t="s">
        <v>1244</v>
      </c>
      <c r="C2921" s="7">
        <v>30</v>
      </c>
      <c r="D2921" s="7" t="s">
        <v>19</v>
      </c>
      <c r="E2921" s="104">
        <v>5000</v>
      </c>
      <c r="F2921" s="104">
        <f>E2921*C2921</f>
        <v>150000</v>
      </c>
      <c r="G2921" s="25"/>
      <c r="H2921" s="11"/>
      <c r="I2921" s="21"/>
      <c r="J2921" s="21"/>
      <c r="K2921" s="21"/>
      <c r="L2921" s="21"/>
      <c r="M2921" s="21"/>
      <c r="N2921" s="21"/>
    </row>
    <row r="2922" spans="1:14" ht="15.75" customHeight="1" x14ac:dyDescent="0.25">
      <c r="A2922" s="7">
        <v>2</v>
      </c>
      <c r="B2922" s="41" t="s">
        <v>1245</v>
      </c>
      <c r="C2922" s="7">
        <v>5</v>
      </c>
      <c r="D2922" s="7" t="s">
        <v>370</v>
      </c>
      <c r="E2922" s="104">
        <v>30875</v>
      </c>
      <c r="F2922" s="104">
        <f>E2922*C2922</f>
        <v>154375</v>
      </c>
      <c r="G2922" s="25"/>
      <c r="H2922" s="11"/>
      <c r="I2922" s="21"/>
      <c r="J2922" s="21"/>
      <c r="K2922" s="21"/>
      <c r="L2922" s="21"/>
      <c r="M2922" s="21"/>
      <c r="N2922" s="21"/>
    </row>
    <row r="2923" spans="1:14" ht="15.75" customHeight="1" x14ac:dyDescent="0.25">
      <c r="A2923" s="7"/>
      <c r="B2923" s="343" t="s">
        <v>342</v>
      </c>
      <c r="C2923" s="344"/>
      <c r="D2923" s="344"/>
      <c r="E2923" s="334"/>
      <c r="F2923" s="104">
        <f>SUM(F2921:F2922)</f>
        <v>304375</v>
      </c>
      <c r="G2923" s="25"/>
      <c r="H2923" s="11"/>
      <c r="I2923" s="21"/>
      <c r="J2923" s="21"/>
      <c r="K2923" s="21"/>
      <c r="L2923" s="21"/>
      <c r="M2923" s="21"/>
      <c r="N2923" s="21"/>
    </row>
    <row r="2924" spans="1:14" ht="15.75" customHeight="1" x14ac:dyDescent="0.25">
      <c r="A2924" s="7"/>
      <c r="B2924" s="343" t="s">
        <v>343</v>
      </c>
      <c r="C2924" s="344"/>
      <c r="D2924" s="344"/>
      <c r="E2924" s="334"/>
      <c r="F2924" s="108">
        <v>33481.25</v>
      </c>
      <c r="G2924" s="25"/>
      <c r="H2924" s="11"/>
      <c r="I2924" s="21"/>
      <c r="J2924" s="21"/>
      <c r="K2924" s="21"/>
      <c r="L2924" s="21"/>
      <c r="M2924" s="21"/>
      <c r="N2924" s="21"/>
    </row>
    <row r="2925" spans="1:14" ht="15.75" customHeight="1" x14ac:dyDescent="0.25">
      <c r="A2925" s="7"/>
      <c r="B2925" s="345" t="s">
        <v>344</v>
      </c>
      <c r="C2925" s="344"/>
      <c r="D2925" s="344"/>
      <c r="E2925" s="334"/>
      <c r="F2925" s="109">
        <f>SUM(F2923:F2924)</f>
        <v>337856.25</v>
      </c>
      <c r="G2925" s="25"/>
      <c r="H2925" s="11"/>
      <c r="I2925" s="21"/>
      <c r="J2925" s="21"/>
      <c r="K2925" s="21"/>
      <c r="L2925" s="21"/>
      <c r="M2925" s="21"/>
      <c r="N2925" s="21"/>
    </row>
    <row r="2926" spans="1:14" ht="15.75" customHeight="1" x14ac:dyDescent="0.25">
      <c r="A2926" s="21"/>
      <c r="B2926" s="21"/>
      <c r="C2926" s="11"/>
      <c r="D2926" s="11"/>
      <c r="E2926" s="21"/>
      <c r="F2926" s="21"/>
      <c r="G2926" s="25"/>
      <c r="H2926" s="11"/>
      <c r="I2926" s="21"/>
      <c r="J2926" s="21"/>
      <c r="K2926" s="21"/>
      <c r="L2926" s="21"/>
      <c r="M2926" s="21"/>
      <c r="N2926" s="21"/>
    </row>
    <row r="2927" spans="1:14" ht="15.75" customHeight="1" x14ac:dyDescent="0.25">
      <c r="A2927" s="31" t="s">
        <v>14</v>
      </c>
      <c r="B2927" s="31" t="s">
        <v>234</v>
      </c>
      <c r="C2927" s="31" t="s">
        <v>16</v>
      </c>
      <c r="D2927" s="31" t="s">
        <v>17</v>
      </c>
      <c r="E2927" s="31" t="s">
        <v>235</v>
      </c>
      <c r="F2927" s="31" t="s">
        <v>236</v>
      </c>
      <c r="G2927" s="25"/>
      <c r="H2927" s="11"/>
      <c r="I2927" s="21"/>
      <c r="J2927" s="21"/>
      <c r="K2927" s="21"/>
      <c r="L2927" s="21"/>
      <c r="M2927" s="21"/>
      <c r="N2927" s="21"/>
    </row>
    <row r="2928" spans="1:14" ht="15.75" customHeight="1" x14ac:dyDescent="0.25">
      <c r="A2928" s="7">
        <v>1</v>
      </c>
      <c r="B2928" s="155" t="s">
        <v>1246</v>
      </c>
      <c r="C2928" s="129">
        <v>2</v>
      </c>
      <c r="D2928" s="7" t="s">
        <v>347</v>
      </c>
      <c r="E2928" s="130">
        <v>6425000</v>
      </c>
      <c r="F2928" s="130">
        <f>E2928*C2928</f>
        <v>12850000</v>
      </c>
      <c r="G2928" s="25"/>
      <c r="H2928" s="11"/>
      <c r="I2928" s="21"/>
      <c r="J2928" s="21"/>
      <c r="K2928" s="21"/>
      <c r="L2928" s="21"/>
      <c r="M2928" s="21"/>
      <c r="N2928" s="21"/>
    </row>
    <row r="2929" spans="1:14" ht="15.75" customHeight="1" x14ac:dyDescent="0.25">
      <c r="A2929" s="7"/>
      <c r="B2929" s="343" t="s">
        <v>342</v>
      </c>
      <c r="C2929" s="344"/>
      <c r="D2929" s="344"/>
      <c r="E2929" s="334"/>
      <c r="F2929" s="104">
        <f>SUM(F2928)</f>
        <v>12850000</v>
      </c>
      <c r="G2929" s="25"/>
      <c r="H2929" s="11"/>
      <c r="I2929" s="21"/>
      <c r="J2929" s="21"/>
      <c r="K2929" s="21"/>
      <c r="L2929" s="21"/>
      <c r="M2929" s="21"/>
      <c r="N2929" s="21"/>
    </row>
    <row r="2930" spans="1:14" ht="15.75" customHeight="1" x14ac:dyDescent="0.25">
      <c r="A2930" s="7"/>
      <c r="B2930" s="343" t="s">
        <v>343</v>
      </c>
      <c r="C2930" s="344"/>
      <c r="D2930" s="344"/>
      <c r="E2930" s="334"/>
      <c r="F2930" s="104">
        <v>1413500</v>
      </c>
      <c r="G2930" s="25"/>
      <c r="H2930" s="11"/>
      <c r="I2930" s="21"/>
      <c r="J2930" s="21"/>
      <c r="K2930" s="21"/>
      <c r="L2930" s="21"/>
      <c r="M2930" s="21"/>
      <c r="N2930" s="21"/>
    </row>
    <row r="2931" spans="1:14" ht="15.75" customHeight="1" x14ac:dyDescent="0.25">
      <c r="A2931" s="7"/>
      <c r="B2931" s="345" t="s">
        <v>344</v>
      </c>
      <c r="C2931" s="344"/>
      <c r="D2931" s="344"/>
      <c r="E2931" s="334"/>
      <c r="F2931" s="107">
        <f>SUM(F2929:F2930)</f>
        <v>14263500</v>
      </c>
      <c r="G2931" s="25"/>
      <c r="H2931" s="11"/>
      <c r="I2931" s="21"/>
      <c r="J2931" s="21"/>
      <c r="K2931" s="21"/>
      <c r="L2931" s="21"/>
      <c r="M2931" s="21"/>
      <c r="N2931" s="21"/>
    </row>
    <row r="2932" spans="1:14" ht="15.75" customHeight="1" x14ac:dyDescent="0.25">
      <c r="A2932" s="21"/>
      <c r="B2932" s="21"/>
      <c r="C2932" s="11"/>
      <c r="D2932" s="11"/>
      <c r="E2932" s="21"/>
      <c r="F2932" s="21"/>
      <c r="G2932" s="25"/>
      <c r="H2932" s="11"/>
      <c r="I2932" s="21"/>
      <c r="J2932" s="21"/>
      <c r="K2932" s="21"/>
      <c r="L2932" s="21"/>
      <c r="M2932" s="21"/>
      <c r="N2932" s="21"/>
    </row>
    <row r="2933" spans="1:14" ht="15.75" customHeight="1" x14ac:dyDescent="0.25">
      <c r="A2933" s="31" t="s">
        <v>14</v>
      </c>
      <c r="B2933" s="31" t="s">
        <v>234</v>
      </c>
      <c r="C2933" s="31" t="s">
        <v>16</v>
      </c>
      <c r="D2933" s="31" t="s">
        <v>17</v>
      </c>
      <c r="E2933" s="31" t="s">
        <v>235</v>
      </c>
      <c r="F2933" s="31" t="s">
        <v>236</v>
      </c>
      <c r="G2933" s="25"/>
      <c r="H2933" s="11"/>
      <c r="I2933" s="21"/>
      <c r="J2933" s="21"/>
      <c r="K2933" s="21"/>
      <c r="L2933" s="21"/>
      <c r="M2933" s="21"/>
      <c r="N2933" s="21"/>
    </row>
    <row r="2934" spans="1:14" ht="15.75" customHeight="1" x14ac:dyDescent="0.25">
      <c r="A2934" s="7">
        <v>1</v>
      </c>
      <c r="B2934" s="124" t="s">
        <v>1247</v>
      </c>
      <c r="C2934" s="129">
        <v>1</v>
      </c>
      <c r="D2934" s="7" t="s">
        <v>243</v>
      </c>
      <c r="E2934" s="130">
        <v>7350387</v>
      </c>
      <c r="F2934" s="130">
        <f>E2934*C2934</f>
        <v>7350387</v>
      </c>
      <c r="G2934" s="25"/>
      <c r="H2934" s="11"/>
      <c r="I2934" s="21"/>
      <c r="J2934" s="21"/>
      <c r="K2934" s="21"/>
      <c r="L2934" s="21"/>
      <c r="M2934" s="21"/>
      <c r="N2934" s="21"/>
    </row>
    <row r="2935" spans="1:14" ht="15.75" customHeight="1" x14ac:dyDescent="0.25">
      <c r="A2935" s="7">
        <v>2</v>
      </c>
      <c r="B2935" s="120" t="s">
        <v>1248</v>
      </c>
      <c r="C2935" s="129">
        <v>1</v>
      </c>
      <c r="D2935" s="7" t="s">
        <v>243</v>
      </c>
      <c r="E2935" s="130">
        <v>3529725</v>
      </c>
      <c r="F2935" s="130">
        <f>E2935*C2935</f>
        <v>3529725</v>
      </c>
      <c r="G2935" s="25"/>
      <c r="H2935" s="11"/>
      <c r="I2935" s="21"/>
      <c r="J2935" s="21"/>
      <c r="K2935" s="21"/>
      <c r="L2935" s="21"/>
      <c r="M2935" s="21"/>
      <c r="N2935" s="21"/>
    </row>
    <row r="2936" spans="1:14" ht="15.75" customHeight="1" x14ac:dyDescent="0.25">
      <c r="A2936" s="7">
        <v>3</v>
      </c>
      <c r="B2936" s="131" t="s">
        <v>1249</v>
      </c>
      <c r="C2936" s="129">
        <v>1</v>
      </c>
      <c r="D2936" s="7" t="s">
        <v>243</v>
      </c>
      <c r="E2936" s="130">
        <v>5194125</v>
      </c>
      <c r="F2936" s="130">
        <f>E2936*C2936</f>
        <v>5194125</v>
      </c>
      <c r="G2936" s="25"/>
      <c r="H2936" s="11"/>
      <c r="I2936" s="21"/>
      <c r="J2936" s="21"/>
      <c r="K2936" s="21"/>
      <c r="L2936" s="21"/>
      <c r="M2936" s="21"/>
      <c r="N2936" s="21"/>
    </row>
    <row r="2937" spans="1:14" ht="15.75" customHeight="1" x14ac:dyDescent="0.25">
      <c r="A2937" s="7">
        <v>4</v>
      </c>
      <c r="B2937" s="131" t="s">
        <v>1250</v>
      </c>
      <c r="C2937" s="129">
        <v>1</v>
      </c>
      <c r="D2937" s="7" t="s">
        <v>243</v>
      </c>
      <c r="E2937" s="130">
        <v>4355750</v>
      </c>
      <c r="F2937" s="130">
        <f>E2937*C2937</f>
        <v>4355750</v>
      </c>
      <c r="G2937" s="25"/>
      <c r="H2937" s="11"/>
      <c r="I2937" s="21"/>
      <c r="J2937" s="21"/>
      <c r="K2937" s="21"/>
      <c r="L2937" s="21"/>
      <c r="M2937" s="21"/>
      <c r="N2937" s="21"/>
    </row>
    <row r="2938" spans="1:14" ht="15.75" customHeight="1" x14ac:dyDescent="0.25">
      <c r="A2938" s="7"/>
      <c r="B2938" s="343" t="s">
        <v>342</v>
      </c>
      <c r="C2938" s="344"/>
      <c r="D2938" s="344"/>
      <c r="E2938" s="334"/>
      <c r="F2938" s="104">
        <f>SUM(F2934:F2937)</f>
        <v>20429987</v>
      </c>
      <c r="G2938" s="25"/>
      <c r="H2938" s="11"/>
      <c r="I2938" s="21"/>
      <c r="J2938" s="21"/>
      <c r="K2938" s="21"/>
      <c r="L2938" s="21"/>
      <c r="M2938" s="21"/>
      <c r="N2938" s="21"/>
    </row>
    <row r="2939" spans="1:14" ht="15.75" customHeight="1" x14ac:dyDescent="0.25">
      <c r="A2939" s="7"/>
      <c r="B2939" s="343" t="s">
        <v>343</v>
      </c>
      <c r="C2939" s="344"/>
      <c r="D2939" s="344"/>
      <c r="E2939" s="334"/>
      <c r="F2939" s="108">
        <v>2247298.5699999998</v>
      </c>
      <c r="G2939" s="25"/>
      <c r="H2939" s="11"/>
      <c r="I2939" s="21"/>
      <c r="J2939" s="21"/>
      <c r="K2939" s="21"/>
      <c r="L2939" s="21"/>
      <c r="M2939" s="21"/>
      <c r="N2939" s="21"/>
    </row>
    <row r="2940" spans="1:14" ht="15.75" customHeight="1" x14ac:dyDescent="0.25">
      <c r="A2940" s="7"/>
      <c r="B2940" s="345" t="s">
        <v>344</v>
      </c>
      <c r="C2940" s="344"/>
      <c r="D2940" s="344"/>
      <c r="E2940" s="334"/>
      <c r="F2940" s="109">
        <f>SUM(F2938:F2939)</f>
        <v>22677285.57</v>
      </c>
      <c r="G2940" s="25"/>
      <c r="H2940" s="11"/>
      <c r="I2940" s="21"/>
      <c r="J2940" s="21"/>
      <c r="K2940" s="21"/>
      <c r="L2940" s="21"/>
      <c r="M2940" s="21"/>
      <c r="N2940" s="21"/>
    </row>
    <row r="2941" spans="1:14" ht="15.75" customHeight="1" x14ac:dyDescent="0.25">
      <c r="A2941" s="21"/>
      <c r="B2941" s="21"/>
      <c r="C2941" s="11"/>
      <c r="D2941" s="11"/>
      <c r="E2941" s="21"/>
      <c r="F2941" s="21"/>
      <c r="G2941" s="25"/>
      <c r="H2941" s="11"/>
      <c r="I2941" s="21"/>
      <c r="J2941" s="21"/>
      <c r="K2941" s="21"/>
      <c r="L2941" s="21"/>
      <c r="M2941" s="21"/>
      <c r="N2941" s="21"/>
    </row>
    <row r="2942" spans="1:14" ht="15.75" customHeight="1" x14ac:dyDescent="0.25">
      <c r="A2942" s="31" t="s">
        <v>14</v>
      </c>
      <c r="B2942" s="31" t="s">
        <v>234</v>
      </c>
      <c r="C2942" s="31" t="s">
        <v>16</v>
      </c>
      <c r="D2942" s="31" t="s">
        <v>17</v>
      </c>
      <c r="E2942" s="31" t="s">
        <v>235</v>
      </c>
      <c r="F2942" s="31" t="s">
        <v>236</v>
      </c>
      <c r="G2942" s="25"/>
      <c r="H2942" s="11"/>
      <c r="I2942" s="21"/>
      <c r="J2942" s="21"/>
      <c r="K2942" s="21"/>
      <c r="L2942" s="21"/>
      <c r="M2942" s="21"/>
      <c r="N2942" s="21"/>
    </row>
    <row r="2943" spans="1:14" ht="15.75" customHeight="1" x14ac:dyDescent="0.25">
      <c r="A2943" s="7">
        <v>1</v>
      </c>
      <c r="B2943" s="155" t="s">
        <v>1251</v>
      </c>
      <c r="C2943" s="129">
        <v>3</v>
      </c>
      <c r="D2943" s="7" t="s">
        <v>355</v>
      </c>
      <c r="E2943" s="130">
        <v>152500</v>
      </c>
      <c r="F2943" s="130">
        <f>E2943*C2943</f>
        <v>457500</v>
      </c>
      <c r="G2943" s="25"/>
      <c r="H2943" s="11"/>
      <c r="I2943" s="21"/>
      <c r="J2943" s="21"/>
      <c r="K2943" s="21"/>
      <c r="L2943" s="21"/>
      <c r="M2943" s="21"/>
      <c r="N2943" s="21"/>
    </row>
    <row r="2944" spans="1:14" ht="15.75" customHeight="1" x14ac:dyDescent="0.25">
      <c r="A2944" s="7"/>
      <c r="B2944" s="343" t="s">
        <v>342</v>
      </c>
      <c r="C2944" s="344"/>
      <c r="D2944" s="344"/>
      <c r="E2944" s="334"/>
      <c r="F2944" s="104">
        <f>SUM(F2943)</f>
        <v>457500</v>
      </c>
      <c r="G2944" s="25"/>
      <c r="H2944" s="11"/>
      <c r="I2944" s="21"/>
      <c r="J2944" s="21"/>
      <c r="K2944" s="21"/>
      <c r="L2944" s="21"/>
      <c r="M2944" s="21"/>
      <c r="N2944" s="21"/>
    </row>
    <row r="2945" spans="1:14" ht="15.75" customHeight="1" x14ac:dyDescent="0.25">
      <c r="A2945" s="7"/>
      <c r="B2945" s="343" t="s">
        <v>343</v>
      </c>
      <c r="C2945" s="344"/>
      <c r="D2945" s="344"/>
      <c r="E2945" s="334"/>
      <c r="F2945" s="104">
        <v>50325</v>
      </c>
      <c r="G2945" s="25"/>
      <c r="H2945" s="11"/>
      <c r="I2945" s="21"/>
      <c r="J2945" s="21"/>
      <c r="K2945" s="21"/>
      <c r="L2945" s="21"/>
      <c r="M2945" s="21"/>
      <c r="N2945" s="21"/>
    </row>
    <row r="2946" spans="1:14" ht="15.75" customHeight="1" x14ac:dyDescent="0.25">
      <c r="A2946" s="7"/>
      <c r="B2946" s="345" t="s">
        <v>344</v>
      </c>
      <c r="C2946" s="344"/>
      <c r="D2946" s="344"/>
      <c r="E2946" s="334"/>
      <c r="F2946" s="107">
        <f>SUM(F2944:F2945)</f>
        <v>507825</v>
      </c>
      <c r="G2946" s="25"/>
      <c r="H2946" s="11"/>
      <c r="I2946" s="21"/>
      <c r="J2946" s="21"/>
      <c r="K2946" s="21"/>
      <c r="L2946" s="21"/>
      <c r="M2946" s="21"/>
      <c r="N2946" s="21"/>
    </row>
    <row r="2947" spans="1:14" ht="15.75" customHeight="1" x14ac:dyDescent="0.25">
      <c r="A2947" s="21"/>
      <c r="B2947" s="21"/>
      <c r="C2947" s="11"/>
      <c r="D2947" s="11"/>
      <c r="E2947" s="21"/>
      <c r="F2947" s="21"/>
      <c r="G2947" s="25"/>
      <c r="H2947" s="11"/>
      <c r="I2947" s="21"/>
      <c r="J2947" s="21"/>
      <c r="K2947" s="21"/>
      <c r="L2947" s="21"/>
      <c r="M2947" s="21"/>
      <c r="N2947" s="21"/>
    </row>
    <row r="2948" spans="1:14" ht="15.75" customHeight="1" x14ac:dyDescent="0.25">
      <c r="A2948" s="31" t="s">
        <v>14</v>
      </c>
      <c r="B2948" s="31" t="s">
        <v>234</v>
      </c>
      <c r="C2948" s="31" t="s">
        <v>16</v>
      </c>
      <c r="D2948" s="31" t="s">
        <v>17</v>
      </c>
      <c r="E2948" s="31" t="s">
        <v>235</v>
      </c>
      <c r="F2948" s="31" t="s">
        <v>236</v>
      </c>
      <c r="G2948" s="25"/>
      <c r="H2948" s="11"/>
      <c r="I2948" s="21"/>
      <c r="J2948" s="21"/>
      <c r="K2948" s="21"/>
      <c r="L2948" s="21"/>
      <c r="M2948" s="21"/>
      <c r="N2948" s="21"/>
    </row>
    <row r="2949" spans="1:14" ht="15.75" customHeight="1" x14ac:dyDescent="0.25">
      <c r="A2949" s="7">
        <v>1</v>
      </c>
      <c r="B2949" s="155" t="s">
        <v>1252</v>
      </c>
      <c r="C2949" s="129">
        <v>2</v>
      </c>
      <c r="D2949" s="7" t="s">
        <v>372</v>
      </c>
      <c r="E2949" s="130">
        <v>35000</v>
      </c>
      <c r="F2949" s="130">
        <f>E2949*C2949</f>
        <v>70000</v>
      </c>
      <c r="G2949" s="25"/>
      <c r="H2949" s="11"/>
      <c r="I2949" s="21"/>
      <c r="J2949" s="21"/>
      <c r="K2949" s="21"/>
      <c r="L2949" s="21"/>
      <c r="M2949" s="21"/>
      <c r="N2949" s="21"/>
    </row>
    <row r="2950" spans="1:14" ht="15.75" customHeight="1" x14ac:dyDescent="0.25">
      <c r="A2950" s="7"/>
      <c r="B2950" s="343" t="s">
        <v>342</v>
      </c>
      <c r="C2950" s="344"/>
      <c r="D2950" s="344"/>
      <c r="E2950" s="334"/>
      <c r="F2950" s="104">
        <f>SUM(F2949)</f>
        <v>70000</v>
      </c>
      <c r="G2950" s="25"/>
      <c r="H2950" s="11"/>
      <c r="I2950" s="21"/>
      <c r="J2950" s="21"/>
      <c r="K2950" s="21"/>
      <c r="L2950" s="21"/>
      <c r="M2950" s="21"/>
      <c r="N2950" s="21"/>
    </row>
    <row r="2951" spans="1:14" ht="15.75" customHeight="1" x14ac:dyDescent="0.25">
      <c r="A2951" s="7"/>
      <c r="B2951" s="343" t="s">
        <v>343</v>
      </c>
      <c r="C2951" s="344"/>
      <c r="D2951" s="344"/>
      <c r="E2951" s="334"/>
      <c r="F2951" s="104">
        <v>7700</v>
      </c>
      <c r="G2951" s="25"/>
      <c r="H2951" s="11"/>
      <c r="I2951" s="21"/>
      <c r="J2951" s="21"/>
      <c r="K2951" s="21"/>
      <c r="L2951" s="21"/>
      <c r="M2951" s="21"/>
      <c r="N2951" s="21"/>
    </row>
    <row r="2952" spans="1:14" ht="15.75" customHeight="1" x14ac:dyDescent="0.25">
      <c r="A2952" s="7"/>
      <c r="B2952" s="345" t="s">
        <v>344</v>
      </c>
      <c r="C2952" s="344"/>
      <c r="D2952" s="344"/>
      <c r="E2952" s="334"/>
      <c r="F2952" s="107">
        <f>SUM(F2950:F2951)</f>
        <v>77700</v>
      </c>
      <c r="G2952" s="25"/>
      <c r="H2952" s="11"/>
      <c r="I2952" s="21"/>
      <c r="J2952" s="21"/>
      <c r="K2952" s="21"/>
      <c r="L2952" s="21"/>
      <c r="M2952" s="21"/>
      <c r="N2952" s="21"/>
    </row>
    <row r="2953" spans="1:14" ht="15.75" customHeight="1" x14ac:dyDescent="0.25">
      <c r="A2953" s="21"/>
      <c r="B2953" s="21"/>
      <c r="C2953" s="11"/>
      <c r="D2953" s="11"/>
      <c r="E2953" s="21"/>
      <c r="F2953" s="21"/>
      <c r="G2953" s="25"/>
      <c r="H2953" s="11"/>
      <c r="I2953" s="21"/>
      <c r="J2953" s="21"/>
      <c r="K2953" s="21"/>
      <c r="L2953" s="21"/>
      <c r="M2953" s="21"/>
      <c r="N2953" s="21"/>
    </row>
    <row r="2954" spans="1:14" ht="15.75" customHeight="1" x14ac:dyDescent="0.25">
      <c r="A2954" s="31" t="s">
        <v>351</v>
      </c>
      <c r="B2954" s="31" t="s">
        <v>234</v>
      </c>
      <c r="C2954" s="31" t="s">
        <v>16</v>
      </c>
      <c r="D2954" s="31" t="s">
        <v>17</v>
      </c>
      <c r="E2954" s="31" t="s">
        <v>235</v>
      </c>
      <c r="F2954" s="31" t="s">
        <v>236</v>
      </c>
      <c r="G2954" s="25"/>
      <c r="H2954" s="11"/>
      <c r="I2954" s="21"/>
      <c r="J2954" s="21"/>
      <c r="K2954" s="21"/>
      <c r="L2954" s="21"/>
      <c r="M2954" s="21"/>
      <c r="N2954" s="21"/>
    </row>
    <row r="2955" spans="1:14" ht="15.75" customHeight="1" x14ac:dyDescent="0.25">
      <c r="A2955" s="7">
        <v>1</v>
      </c>
      <c r="B2955" s="41" t="s">
        <v>1253</v>
      </c>
      <c r="C2955" s="7">
        <v>1</v>
      </c>
      <c r="D2955" s="7" t="s">
        <v>353</v>
      </c>
      <c r="E2955" s="104">
        <v>125000</v>
      </c>
      <c r="F2955" s="104">
        <f>E2955*C2955</f>
        <v>125000</v>
      </c>
      <c r="G2955" s="25"/>
      <c r="H2955" s="11"/>
      <c r="I2955" s="21"/>
      <c r="J2955" s="21"/>
      <c r="K2955" s="21"/>
      <c r="L2955" s="21"/>
      <c r="M2955" s="21"/>
      <c r="N2955" s="21"/>
    </row>
    <row r="2956" spans="1:14" ht="15.75" customHeight="1" x14ac:dyDescent="0.25">
      <c r="A2956" s="7">
        <v>2</v>
      </c>
      <c r="B2956" s="41" t="s">
        <v>1254</v>
      </c>
      <c r="C2956" s="7">
        <v>1</v>
      </c>
      <c r="D2956" s="7" t="s">
        <v>353</v>
      </c>
      <c r="E2956" s="104">
        <v>255000</v>
      </c>
      <c r="F2956" s="104">
        <f>E2956*C2956</f>
        <v>255000</v>
      </c>
      <c r="G2956" s="25"/>
      <c r="H2956" s="11"/>
      <c r="I2956" s="21"/>
      <c r="J2956" s="21"/>
      <c r="K2956" s="21"/>
      <c r="L2956" s="21"/>
      <c r="M2956" s="21"/>
      <c r="N2956" s="21"/>
    </row>
    <row r="2957" spans="1:14" ht="15.75" customHeight="1" x14ac:dyDescent="0.25">
      <c r="A2957" s="7"/>
      <c r="B2957" s="343" t="s">
        <v>342</v>
      </c>
      <c r="C2957" s="344"/>
      <c r="D2957" s="344"/>
      <c r="E2957" s="334"/>
      <c r="F2957" s="104">
        <f>SUM(F2955:F2956)</f>
        <v>380000</v>
      </c>
      <c r="G2957" s="25"/>
      <c r="H2957" s="11"/>
      <c r="I2957" s="21"/>
      <c r="J2957" s="21"/>
      <c r="K2957" s="21"/>
      <c r="L2957" s="21"/>
      <c r="M2957" s="21"/>
      <c r="N2957" s="21"/>
    </row>
    <row r="2958" spans="1:14" ht="15.75" customHeight="1" x14ac:dyDescent="0.25">
      <c r="A2958" s="7"/>
      <c r="B2958" s="343" t="s">
        <v>343</v>
      </c>
      <c r="C2958" s="344"/>
      <c r="D2958" s="344"/>
      <c r="E2958" s="334"/>
      <c r="F2958" s="104">
        <v>41800</v>
      </c>
      <c r="G2958" s="25"/>
      <c r="H2958" s="11"/>
      <c r="I2958" s="21"/>
      <c r="J2958" s="21"/>
      <c r="K2958" s="21"/>
      <c r="L2958" s="21"/>
      <c r="M2958" s="21"/>
      <c r="N2958" s="21"/>
    </row>
    <row r="2959" spans="1:14" ht="15.75" customHeight="1" x14ac:dyDescent="0.25">
      <c r="A2959" s="7"/>
      <c r="B2959" s="345" t="s">
        <v>344</v>
      </c>
      <c r="C2959" s="344"/>
      <c r="D2959" s="344"/>
      <c r="E2959" s="334"/>
      <c r="F2959" s="107">
        <f>SUM(F2957:F2958)</f>
        <v>421800</v>
      </c>
      <c r="G2959" s="25"/>
      <c r="H2959" s="11"/>
      <c r="I2959" s="21"/>
      <c r="J2959" s="21"/>
      <c r="K2959" s="21"/>
      <c r="L2959" s="21"/>
      <c r="M2959" s="21"/>
      <c r="N2959" s="21"/>
    </row>
    <row r="2960" spans="1:14" ht="15.75" customHeight="1" x14ac:dyDescent="0.25">
      <c r="A2960" s="21"/>
      <c r="B2960" s="21"/>
      <c r="C2960" s="11"/>
      <c r="D2960" s="11"/>
      <c r="E2960" s="21"/>
      <c r="F2960" s="21"/>
      <c r="G2960" s="25"/>
      <c r="H2960" s="11"/>
      <c r="I2960" s="21"/>
      <c r="J2960" s="21"/>
      <c r="K2960" s="21"/>
      <c r="L2960" s="21"/>
      <c r="M2960" s="21"/>
      <c r="N2960" s="21"/>
    </row>
    <row r="2961" spans="1:14" ht="15.75" customHeight="1" x14ac:dyDescent="0.25">
      <c r="A2961" s="31" t="s">
        <v>14</v>
      </c>
      <c r="B2961" s="31" t="s">
        <v>234</v>
      </c>
      <c r="C2961" s="31" t="s">
        <v>16</v>
      </c>
      <c r="D2961" s="31" t="s">
        <v>17</v>
      </c>
      <c r="E2961" s="31" t="s">
        <v>235</v>
      </c>
      <c r="F2961" s="31" t="s">
        <v>236</v>
      </c>
      <c r="G2961" s="25"/>
      <c r="H2961" s="11"/>
      <c r="I2961" s="21"/>
      <c r="J2961" s="21"/>
      <c r="K2961" s="21"/>
      <c r="L2961" s="21"/>
      <c r="M2961" s="21"/>
      <c r="N2961" s="21"/>
    </row>
    <row r="2962" spans="1:14" ht="15.75" customHeight="1" x14ac:dyDescent="0.25">
      <c r="A2962" s="7">
        <v>1</v>
      </c>
      <c r="B2962" s="155" t="s">
        <v>719</v>
      </c>
      <c r="C2962" s="129">
        <v>12</v>
      </c>
      <c r="D2962" s="7" t="s">
        <v>363</v>
      </c>
      <c r="E2962" s="130">
        <v>117000</v>
      </c>
      <c r="F2962" s="130">
        <f>E2962*C2962</f>
        <v>1404000</v>
      </c>
      <c r="G2962" s="25"/>
      <c r="H2962" s="11"/>
      <c r="I2962" s="21"/>
      <c r="J2962" s="21"/>
      <c r="K2962" s="21"/>
      <c r="L2962" s="21"/>
      <c r="M2962" s="21"/>
      <c r="N2962" s="21"/>
    </row>
    <row r="2963" spans="1:14" ht="15.75" customHeight="1" x14ac:dyDescent="0.25">
      <c r="A2963" s="7"/>
      <c r="B2963" s="343" t="s">
        <v>342</v>
      </c>
      <c r="C2963" s="344"/>
      <c r="D2963" s="344"/>
      <c r="E2963" s="334"/>
      <c r="F2963" s="104">
        <f>SUM(F2962)</f>
        <v>1404000</v>
      </c>
      <c r="G2963" s="25"/>
      <c r="H2963" s="11"/>
      <c r="I2963" s="21"/>
      <c r="J2963" s="21"/>
      <c r="K2963" s="21"/>
      <c r="L2963" s="21"/>
      <c r="M2963" s="21"/>
      <c r="N2963" s="21"/>
    </row>
    <row r="2964" spans="1:14" ht="15.75" customHeight="1" x14ac:dyDescent="0.25">
      <c r="A2964" s="7"/>
      <c r="B2964" s="343" t="s">
        <v>343</v>
      </c>
      <c r="C2964" s="344"/>
      <c r="D2964" s="344"/>
      <c r="E2964" s="334"/>
      <c r="F2964" s="104">
        <v>154440</v>
      </c>
      <c r="G2964" s="25"/>
      <c r="H2964" s="11"/>
      <c r="I2964" s="21"/>
      <c r="J2964" s="21"/>
      <c r="K2964" s="21"/>
      <c r="L2964" s="21"/>
      <c r="M2964" s="21"/>
      <c r="N2964" s="21"/>
    </row>
    <row r="2965" spans="1:14" ht="15.75" customHeight="1" x14ac:dyDescent="0.25">
      <c r="A2965" s="7"/>
      <c r="B2965" s="345" t="s">
        <v>344</v>
      </c>
      <c r="C2965" s="344"/>
      <c r="D2965" s="344"/>
      <c r="E2965" s="334"/>
      <c r="F2965" s="107">
        <f>SUM(F2963:F2964)</f>
        <v>1558440</v>
      </c>
      <c r="G2965" s="25"/>
      <c r="H2965" s="11"/>
      <c r="I2965" s="21"/>
      <c r="J2965" s="21"/>
      <c r="K2965" s="21"/>
      <c r="L2965" s="21"/>
      <c r="M2965" s="21"/>
      <c r="N2965" s="21"/>
    </row>
    <row r="2966" spans="1:14" ht="15.75" customHeight="1" x14ac:dyDescent="0.25">
      <c r="A2966" s="21"/>
      <c r="B2966" s="21"/>
      <c r="C2966" s="11"/>
      <c r="D2966" s="11"/>
      <c r="E2966" s="21"/>
      <c r="F2966" s="21"/>
      <c r="G2966" s="25"/>
      <c r="H2966" s="11"/>
      <c r="I2966" s="21"/>
      <c r="J2966" s="21"/>
      <c r="K2966" s="21"/>
      <c r="L2966" s="21"/>
      <c r="M2966" s="21"/>
      <c r="N2966" s="21"/>
    </row>
    <row r="2967" spans="1:14" ht="15.75" customHeight="1" x14ac:dyDescent="0.25">
      <c r="A2967" s="31" t="s">
        <v>14</v>
      </c>
      <c r="B2967" s="31" t="s">
        <v>234</v>
      </c>
      <c r="C2967" s="31" t="s">
        <v>16</v>
      </c>
      <c r="D2967" s="31" t="s">
        <v>17</v>
      </c>
      <c r="E2967" s="31" t="s">
        <v>235</v>
      </c>
      <c r="F2967" s="31" t="s">
        <v>236</v>
      </c>
      <c r="G2967" s="25"/>
      <c r="H2967" s="11"/>
      <c r="I2967" s="21"/>
      <c r="J2967" s="21"/>
      <c r="K2967" s="21"/>
      <c r="L2967" s="21"/>
      <c r="M2967" s="21"/>
      <c r="N2967" s="21"/>
    </row>
    <row r="2968" spans="1:14" ht="15.75" customHeight="1" x14ac:dyDescent="0.25">
      <c r="A2968" s="7">
        <v>1</v>
      </c>
      <c r="B2968" s="156" t="s">
        <v>1255</v>
      </c>
      <c r="C2968" s="158">
        <v>4</v>
      </c>
      <c r="D2968" s="7" t="s">
        <v>355</v>
      </c>
      <c r="E2968" s="104">
        <v>490000</v>
      </c>
      <c r="F2968" s="104">
        <f>E2968*C2968</f>
        <v>1960000</v>
      </c>
      <c r="G2968" s="25"/>
      <c r="H2968" s="11"/>
      <c r="I2968" s="21"/>
      <c r="J2968" s="21"/>
      <c r="K2968" s="21"/>
      <c r="L2968" s="21"/>
      <c r="M2968" s="21"/>
      <c r="N2968" s="21"/>
    </row>
    <row r="2969" spans="1:14" ht="15.75" customHeight="1" x14ac:dyDescent="0.25">
      <c r="A2969" s="7">
        <v>2</v>
      </c>
      <c r="B2969" s="35" t="s">
        <v>1256</v>
      </c>
      <c r="C2969" s="133">
        <v>1</v>
      </c>
      <c r="D2969" s="7" t="s">
        <v>347</v>
      </c>
      <c r="E2969" s="104">
        <v>1820000</v>
      </c>
      <c r="F2969" s="104">
        <f>E2969*C2969</f>
        <v>1820000</v>
      </c>
      <c r="G2969" s="25"/>
      <c r="H2969" s="11"/>
      <c r="I2969" s="21"/>
      <c r="J2969" s="21"/>
      <c r="K2969" s="21"/>
      <c r="L2969" s="21"/>
      <c r="M2969" s="21"/>
      <c r="N2969" s="21"/>
    </row>
    <row r="2970" spans="1:14" ht="15.75" customHeight="1" x14ac:dyDescent="0.25">
      <c r="A2970" s="7">
        <v>3</v>
      </c>
      <c r="B2970" s="41" t="s">
        <v>1257</v>
      </c>
      <c r="C2970" s="151">
        <v>1</v>
      </c>
      <c r="D2970" s="133" t="s">
        <v>347</v>
      </c>
      <c r="E2970" s="104">
        <v>1820000</v>
      </c>
      <c r="F2970" s="104">
        <f>E2970*C2970</f>
        <v>1820000</v>
      </c>
      <c r="G2970" s="25"/>
      <c r="H2970" s="11"/>
      <c r="I2970" s="21"/>
      <c r="J2970" s="21"/>
      <c r="K2970" s="21"/>
      <c r="L2970" s="21"/>
      <c r="M2970" s="21"/>
      <c r="N2970" s="21"/>
    </row>
    <row r="2971" spans="1:14" ht="15.75" customHeight="1" x14ac:dyDescent="0.25">
      <c r="A2971" s="7"/>
      <c r="B2971" s="343" t="s">
        <v>342</v>
      </c>
      <c r="C2971" s="344"/>
      <c r="D2971" s="344"/>
      <c r="E2971" s="334"/>
      <c r="F2971" s="104">
        <f>SUM(F2968:F2970)</f>
        <v>5600000</v>
      </c>
      <c r="G2971" s="25"/>
      <c r="H2971" s="11"/>
      <c r="I2971" s="21"/>
      <c r="J2971" s="21"/>
      <c r="K2971" s="21"/>
      <c r="L2971" s="21"/>
      <c r="M2971" s="21"/>
      <c r="N2971" s="21"/>
    </row>
    <row r="2972" spans="1:14" ht="15.75" customHeight="1" x14ac:dyDescent="0.25">
      <c r="A2972" s="7"/>
      <c r="B2972" s="343" t="s">
        <v>343</v>
      </c>
      <c r="C2972" s="344"/>
      <c r="D2972" s="344"/>
      <c r="E2972" s="334"/>
      <c r="F2972" s="104">
        <v>616000</v>
      </c>
      <c r="G2972" s="25"/>
      <c r="H2972" s="11"/>
      <c r="I2972" s="21"/>
      <c r="J2972" s="21"/>
      <c r="K2972" s="21"/>
      <c r="L2972" s="21"/>
      <c r="M2972" s="21"/>
      <c r="N2972" s="21"/>
    </row>
    <row r="2973" spans="1:14" ht="15.75" customHeight="1" x14ac:dyDescent="0.25">
      <c r="A2973" s="7"/>
      <c r="B2973" s="345" t="s">
        <v>344</v>
      </c>
      <c r="C2973" s="344"/>
      <c r="D2973" s="344"/>
      <c r="E2973" s="334"/>
      <c r="F2973" s="107">
        <f>SUM(F2971:F2972)</f>
        <v>6216000</v>
      </c>
      <c r="G2973" s="25"/>
      <c r="H2973" s="11"/>
      <c r="I2973" s="21"/>
      <c r="J2973" s="21"/>
      <c r="K2973" s="21"/>
      <c r="L2973" s="21"/>
      <c r="M2973" s="21"/>
      <c r="N2973" s="21"/>
    </row>
    <row r="2974" spans="1:14" ht="15.75" customHeight="1" x14ac:dyDescent="0.25">
      <c r="A2974" s="21"/>
      <c r="B2974" s="21"/>
      <c r="C2974" s="11"/>
      <c r="D2974" s="11"/>
      <c r="E2974" s="21"/>
      <c r="F2974" s="21"/>
      <c r="G2974" s="25"/>
      <c r="H2974" s="11"/>
      <c r="I2974" s="21"/>
      <c r="J2974" s="21"/>
      <c r="K2974" s="21"/>
      <c r="L2974" s="21"/>
      <c r="M2974" s="21"/>
      <c r="N2974" s="21"/>
    </row>
    <row r="2975" spans="1:14" ht="15.75" customHeight="1" x14ac:dyDescent="0.25">
      <c r="A2975" s="31" t="s">
        <v>14</v>
      </c>
      <c r="B2975" s="31" t="s">
        <v>234</v>
      </c>
      <c r="C2975" s="31" t="s">
        <v>16</v>
      </c>
      <c r="D2975" s="31" t="s">
        <v>17</v>
      </c>
      <c r="E2975" s="31" t="s">
        <v>235</v>
      </c>
      <c r="F2975" s="31" t="s">
        <v>236</v>
      </c>
      <c r="G2975" s="25"/>
      <c r="H2975" s="11"/>
      <c r="I2975" s="21"/>
      <c r="J2975" s="21"/>
      <c r="K2975" s="21"/>
      <c r="L2975" s="21"/>
      <c r="M2975" s="21"/>
      <c r="N2975" s="21"/>
    </row>
    <row r="2976" spans="1:14" ht="15.75" customHeight="1" x14ac:dyDescent="0.25">
      <c r="A2976" s="10">
        <v>1</v>
      </c>
      <c r="B2976" s="38" t="s">
        <v>1142</v>
      </c>
      <c r="C2976" s="7">
        <v>6</v>
      </c>
      <c r="D2976" s="7" t="s">
        <v>19</v>
      </c>
      <c r="E2976" s="104">
        <v>64800</v>
      </c>
      <c r="F2976" s="104">
        <f t="shared" ref="F2976:F2982" si="27">E2976*C2976</f>
        <v>388800</v>
      </c>
      <c r="G2976" s="25"/>
      <c r="H2976" s="11"/>
      <c r="I2976" s="21"/>
      <c r="J2976" s="21"/>
      <c r="K2976" s="21"/>
      <c r="L2976" s="21"/>
      <c r="M2976" s="21"/>
      <c r="N2976" s="21"/>
    </row>
    <row r="2977" spans="1:14" ht="15.75" customHeight="1" x14ac:dyDescent="0.25">
      <c r="A2977" s="7">
        <v>2</v>
      </c>
      <c r="B2977" s="124" t="s">
        <v>1143</v>
      </c>
      <c r="C2977" s="7">
        <v>100</v>
      </c>
      <c r="D2977" s="7" t="s">
        <v>19</v>
      </c>
      <c r="E2977" s="104">
        <v>13500</v>
      </c>
      <c r="F2977" s="104">
        <f t="shared" si="27"/>
        <v>1350000</v>
      </c>
      <c r="G2977" s="25"/>
      <c r="H2977" s="11"/>
      <c r="I2977" s="21"/>
      <c r="J2977" s="21"/>
      <c r="K2977" s="21"/>
      <c r="L2977" s="21"/>
      <c r="M2977" s="21"/>
      <c r="N2977" s="21"/>
    </row>
    <row r="2978" spans="1:14" ht="15.75" customHeight="1" x14ac:dyDescent="0.25">
      <c r="A2978" s="7">
        <v>3</v>
      </c>
      <c r="B2978" s="131" t="s">
        <v>1144</v>
      </c>
      <c r="C2978" s="7">
        <v>50</v>
      </c>
      <c r="D2978" s="7" t="s">
        <v>19</v>
      </c>
      <c r="E2978" s="104">
        <v>14500</v>
      </c>
      <c r="F2978" s="104">
        <f t="shared" si="27"/>
        <v>725000</v>
      </c>
      <c r="G2978" s="25"/>
      <c r="H2978" s="11"/>
      <c r="I2978" s="21"/>
      <c r="J2978" s="21"/>
      <c r="K2978" s="21"/>
      <c r="L2978" s="21"/>
      <c r="M2978" s="21"/>
      <c r="N2978" s="21"/>
    </row>
    <row r="2979" spans="1:14" ht="15.75" customHeight="1" x14ac:dyDescent="0.25">
      <c r="A2979" s="7">
        <v>4</v>
      </c>
      <c r="B2979" s="35" t="s">
        <v>1145</v>
      </c>
      <c r="C2979" s="7">
        <v>34</v>
      </c>
      <c r="D2979" s="7" t="s">
        <v>19</v>
      </c>
      <c r="E2979" s="104">
        <v>36500</v>
      </c>
      <c r="F2979" s="104">
        <f t="shared" si="27"/>
        <v>1241000</v>
      </c>
      <c r="G2979" s="25"/>
      <c r="H2979" s="11"/>
      <c r="I2979" s="21"/>
      <c r="J2979" s="21"/>
      <c r="K2979" s="21"/>
      <c r="L2979" s="21"/>
      <c r="M2979" s="21"/>
      <c r="N2979" s="21"/>
    </row>
    <row r="2980" spans="1:14" ht="15.75" customHeight="1" x14ac:dyDescent="0.25">
      <c r="A2980" s="7">
        <v>5</v>
      </c>
      <c r="B2980" s="41" t="s">
        <v>1146</v>
      </c>
      <c r="C2980" s="7">
        <v>20</v>
      </c>
      <c r="D2980" s="7" t="s">
        <v>19</v>
      </c>
      <c r="E2980" s="104">
        <v>53500</v>
      </c>
      <c r="F2980" s="104">
        <f t="shared" si="27"/>
        <v>1070000</v>
      </c>
      <c r="G2980" s="25"/>
      <c r="H2980" s="11"/>
      <c r="I2980" s="21"/>
      <c r="J2980" s="21"/>
      <c r="K2980" s="21"/>
      <c r="L2980" s="21"/>
      <c r="M2980" s="21"/>
      <c r="N2980" s="21"/>
    </row>
    <row r="2981" spans="1:14" ht="15.75" customHeight="1" x14ac:dyDescent="0.25">
      <c r="A2981" s="7">
        <v>6</v>
      </c>
      <c r="B2981" s="35" t="s">
        <v>1147</v>
      </c>
      <c r="C2981" s="7">
        <v>1</v>
      </c>
      <c r="D2981" s="7" t="s">
        <v>353</v>
      </c>
      <c r="E2981" s="104">
        <v>218800</v>
      </c>
      <c r="F2981" s="104">
        <f t="shared" si="27"/>
        <v>218800</v>
      </c>
      <c r="G2981" s="25"/>
      <c r="H2981" s="11"/>
      <c r="I2981" s="21"/>
      <c r="J2981" s="21"/>
      <c r="K2981" s="21"/>
      <c r="L2981" s="21"/>
      <c r="M2981" s="21"/>
      <c r="N2981" s="21"/>
    </row>
    <row r="2982" spans="1:14" ht="15.75" customHeight="1" x14ac:dyDescent="0.25">
      <c r="A2982" s="7">
        <v>7</v>
      </c>
      <c r="B2982" s="35" t="s">
        <v>1148</v>
      </c>
      <c r="C2982" s="7">
        <v>320</v>
      </c>
      <c r="D2982" s="7" t="s">
        <v>19</v>
      </c>
      <c r="E2982" s="104">
        <v>38500</v>
      </c>
      <c r="F2982" s="104">
        <f t="shared" si="27"/>
        <v>12320000</v>
      </c>
      <c r="G2982" s="25"/>
      <c r="H2982" s="11"/>
      <c r="I2982" s="21"/>
      <c r="J2982" s="21"/>
      <c r="K2982" s="21"/>
      <c r="L2982" s="21"/>
      <c r="M2982" s="21"/>
      <c r="N2982" s="21"/>
    </row>
    <row r="2983" spans="1:14" ht="15.75" customHeight="1" x14ac:dyDescent="0.25">
      <c r="A2983" s="7"/>
      <c r="B2983" s="343" t="s">
        <v>342</v>
      </c>
      <c r="C2983" s="344"/>
      <c r="D2983" s="344"/>
      <c r="E2983" s="334"/>
      <c r="F2983" s="104">
        <f>SUM(F2976:F2982)</f>
        <v>17313600</v>
      </c>
      <c r="G2983" s="25"/>
      <c r="H2983" s="11"/>
      <c r="I2983" s="21"/>
      <c r="J2983" s="21"/>
      <c r="K2983" s="21"/>
      <c r="L2983" s="21"/>
      <c r="M2983" s="21"/>
      <c r="N2983" s="21"/>
    </row>
    <row r="2984" spans="1:14" ht="15.75" customHeight="1" x14ac:dyDescent="0.25">
      <c r="A2984" s="7"/>
      <c r="B2984" s="343" t="s">
        <v>1068</v>
      </c>
      <c r="C2984" s="344"/>
      <c r="D2984" s="344"/>
      <c r="E2984" s="334"/>
      <c r="F2984" s="104">
        <v>865680</v>
      </c>
      <c r="G2984" s="25"/>
      <c r="H2984" s="11"/>
      <c r="I2984" s="21"/>
      <c r="J2984" s="21"/>
      <c r="K2984" s="21"/>
      <c r="L2984" s="21"/>
      <c r="M2984" s="21"/>
      <c r="N2984" s="21"/>
    </row>
    <row r="2985" spans="1:14" ht="15.75" customHeight="1" x14ac:dyDescent="0.25">
      <c r="A2985" s="7"/>
      <c r="B2985" s="345" t="s">
        <v>342</v>
      </c>
      <c r="C2985" s="344"/>
      <c r="D2985" s="344"/>
      <c r="E2985" s="334"/>
      <c r="F2985" s="107">
        <f>F2983-F2984</f>
        <v>16447920</v>
      </c>
      <c r="G2985" s="25"/>
      <c r="H2985" s="11"/>
      <c r="I2985" s="21"/>
      <c r="J2985" s="21"/>
      <c r="K2985" s="21"/>
      <c r="L2985" s="21"/>
      <c r="M2985" s="21"/>
      <c r="N2985" s="21"/>
    </row>
    <row r="2986" spans="1:14" ht="15.75" customHeight="1" x14ac:dyDescent="0.25">
      <c r="A2986" s="7"/>
      <c r="B2986" s="345" t="s">
        <v>1048</v>
      </c>
      <c r="C2986" s="344"/>
      <c r="D2986" s="344"/>
      <c r="E2986" s="334"/>
      <c r="F2986" s="107">
        <v>9868752</v>
      </c>
      <c r="G2986" s="25"/>
      <c r="H2986" s="11"/>
      <c r="I2986" s="21"/>
      <c r="J2986" s="21"/>
      <c r="K2986" s="21"/>
      <c r="L2986" s="21"/>
      <c r="M2986" s="21"/>
      <c r="N2986" s="21"/>
    </row>
    <row r="2987" spans="1:14" ht="15.75" customHeight="1" x14ac:dyDescent="0.25">
      <c r="A2987" s="7"/>
      <c r="B2987" s="343" t="s">
        <v>343</v>
      </c>
      <c r="C2987" s="344"/>
      <c r="D2987" s="344"/>
      <c r="E2987" s="334"/>
      <c r="F2987" s="104">
        <v>1085562.72</v>
      </c>
      <c r="G2987" s="25"/>
      <c r="H2987" s="11"/>
      <c r="I2987" s="21"/>
      <c r="J2987" s="21"/>
      <c r="K2987" s="21"/>
      <c r="L2987" s="21"/>
      <c r="M2987" s="21"/>
      <c r="N2987" s="21"/>
    </row>
    <row r="2988" spans="1:14" ht="15.75" customHeight="1" x14ac:dyDescent="0.25">
      <c r="A2988" s="7"/>
      <c r="B2988" s="345" t="s">
        <v>344</v>
      </c>
      <c r="C2988" s="344"/>
      <c r="D2988" s="344"/>
      <c r="E2988" s="334"/>
      <c r="F2988" s="107">
        <f>SUM(F2986:F2987)</f>
        <v>10954314.720000001</v>
      </c>
      <c r="G2988" s="25"/>
      <c r="H2988" s="11"/>
      <c r="I2988" s="21"/>
      <c r="J2988" s="21"/>
      <c r="K2988" s="21"/>
      <c r="L2988" s="21"/>
      <c r="M2988" s="21"/>
      <c r="N2988" s="21"/>
    </row>
    <row r="2989" spans="1:14" ht="15.75" customHeight="1" x14ac:dyDescent="0.25">
      <c r="A2989" s="21"/>
      <c r="B2989" s="21"/>
      <c r="C2989" s="11"/>
      <c r="D2989" s="11"/>
      <c r="E2989" s="21"/>
      <c r="F2989" s="21"/>
      <c r="G2989" s="25"/>
      <c r="H2989" s="11"/>
      <c r="I2989" s="21"/>
      <c r="J2989" s="21"/>
      <c r="K2989" s="21"/>
      <c r="L2989" s="21"/>
      <c r="M2989" s="21"/>
      <c r="N2989" s="21"/>
    </row>
    <row r="2990" spans="1:14" ht="15.75" customHeight="1" x14ac:dyDescent="0.25">
      <c r="A2990" s="31" t="s">
        <v>14</v>
      </c>
      <c r="B2990" s="31" t="s">
        <v>234</v>
      </c>
      <c r="C2990" s="31" t="s">
        <v>16</v>
      </c>
      <c r="D2990" s="31" t="s">
        <v>17</v>
      </c>
      <c r="E2990" s="31" t="s">
        <v>235</v>
      </c>
      <c r="F2990" s="31" t="s">
        <v>236</v>
      </c>
      <c r="G2990" s="25"/>
      <c r="H2990" s="11"/>
      <c r="I2990" s="21"/>
      <c r="J2990" s="21"/>
      <c r="K2990" s="21"/>
      <c r="L2990" s="21"/>
      <c r="M2990" s="21"/>
      <c r="N2990" s="21"/>
    </row>
    <row r="2991" spans="1:14" ht="15.75" customHeight="1" x14ac:dyDescent="0.25">
      <c r="A2991" s="10">
        <v>1</v>
      </c>
      <c r="B2991" s="38" t="s">
        <v>1150</v>
      </c>
      <c r="C2991" s="7">
        <v>390</v>
      </c>
      <c r="D2991" s="7" t="s">
        <v>19</v>
      </c>
      <c r="E2991" s="104">
        <v>8100</v>
      </c>
      <c r="F2991" s="104">
        <f t="shared" ref="F2991:F2999" si="28">E2991*C2991</f>
        <v>3159000</v>
      </c>
      <c r="G2991" s="25"/>
      <c r="H2991" s="11"/>
      <c r="I2991" s="21"/>
      <c r="J2991" s="21"/>
      <c r="K2991" s="21"/>
      <c r="L2991" s="21"/>
      <c r="M2991" s="21"/>
      <c r="N2991" s="21"/>
    </row>
    <row r="2992" spans="1:14" ht="15.75" customHeight="1" x14ac:dyDescent="0.25">
      <c r="A2992" s="7">
        <v>2</v>
      </c>
      <c r="B2992" s="124" t="s">
        <v>1151</v>
      </c>
      <c r="C2992" s="7">
        <v>48</v>
      </c>
      <c r="D2992" s="7" t="s">
        <v>19</v>
      </c>
      <c r="E2992" s="104">
        <v>14500</v>
      </c>
      <c r="F2992" s="104">
        <f t="shared" si="28"/>
        <v>696000</v>
      </c>
      <c r="G2992" s="25"/>
      <c r="H2992" s="11"/>
      <c r="I2992" s="21"/>
      <c r="J2992" s="21"/>
      <c r="K2992" s="21"/>
      <c r="L2992" s="21"/>
      <c r="M2992" s="21"/>
      <c r="N2992" s="21"/>
    </row>
    <row r="2993" spans="1:14" ht="15.75" customHeight="1" x14ac:dyDescent="0.25">
      <c r="A2993" s="7">
        <v>3</v>
      </c>
      <c r="B2993" s="131" t="s">
        <v>1152</v>
      </c>
      <c r="C2993" s="7">
        <v>26</v>
      </c>
      <c r="D2993" s="7" t="s">
        <v>19</v>
      </c>
      <c r="E2993" s="104">
        <v>33800</v>
      </c>
      <c r="F2993" s="104">
        <f t="shared" si="28"/>
        <v>878800</v>
      </c>
      <c r="G2993" s="25"/>
      <c r="H2993" s="11"/>
      <c r="I2993" s="21"/>
      <c r="J2993" s="21"/>
      <c r="K2993" s="21"/>
      <c r="L2993" s="21"/>
      <c r="M2993" s="21"/>
      <c r="N2993" s="21"/>
    </row>
    <row r="2994" spans="1:14" ht="15.75" customHeight="1" x14ac:dyDescent="0.25">
      <c r="A2994" s="7">
        <v>4</v>
      </c>
      <c r="B2994" s="35" t="s">
        <v>983</v>
      </c>
      <c r="C2994" s="7">
        <v>90</v>
      </c>
      <c r="D2994" s="7" t="s">
        <v>19</v>
      </c>
      <c r="E2994" s="104">
        <v>14500</v>
      </c>
      <c r="F2994" s="104">
        <f t="shared" si="28"/>
        <v>1305000</v>
      </c>
      <c r="G2994" s="25"/>
      <c r="H2994" s="11"/>
      <c r="I2994" s="21"/>
      <c r="J2994" s="21"/>
      <c r="K2994" s="21"/>
      <c r="L2994" s="21"/>
      <c r="M2994" s="21"/>
      <c r="N2994" s="21"/>
    </row>
    <row r="2995" spans="1:14" ht="15.75" customHeight="1" x14ac:dyDescent="0.25">
      <c r="A2995" s="7">
        <v>5</v>
      </c>
      <c r="B2995" s="41" t="s">
        <v>1153</v>
      </c>
      <c r="C2995" s="7">
        <v>32</v>
      </c>
      <c r="D2995" s="7" t="s">
        <v>19</v>
      </c>
      <c r="E2995" s="104">
        <v>391600</v>
      </c>
      <c r="F2995" s="104">
        <f t="shared" si="28"/>
        <v>12531200</v>
      </c>
      <c r="G2995" s="25"/>
      <c r="H2995" s="11"/>
      <c r="I2995" s="21"/>
      <c r="J2995" s="21"/>
      <c r="K2995" s="21"/>
      <c r="L2995" s="21"/>
      <c r="M2995" s="21"/>
      <c r="N2995" s="21"/>
    </row>
    <row r="2996" spans="1:14" ht="15.75" customHeight="1" x14ac:dyDescent="0.25">
      <c r="A2996" s="7">
        <v>6</v>
      </c>
      <c r="B2996" s="35" t="s">
        <v>1154</v>
      </c>
      <c r="C2996" s="7">
        <v>20</v>
      </c>
      <c r="D2996" s="7" t="s">
        <v>353</v>
      </c>
      <c r="E2996" s="104">
        <v>11800</v>
      </c>
      <c r="F2996" s="104">
        <f t="shared" si="28"/>
        <v>236000</v>
      </c>
      <c r="G2996" s="25"/>
      <c r="H2996" s="11"/>
      <c r="I2996" s="21"/>
      <c r="J2996" s="21"/>
      <c r="K2996" s="21"/>
      <c r="L2996" s="21"/>
      <c r="M2996" s="21"/>
      <c r="N2996" s="21"/>
    </row>
    <row r="2997" spans="1:14" ht="15.75" customHeight="1" x14ac:dyDescent="0.25">
      <c r="A2997" s="7">
        <v>7</v>
      </c>
      <c r="B2997" s="35" t="s">
        <v>1155</v>
      </c>
      <c r="C2997" s="7">
        <v>30</v>
      </c>
      <c r="D2997" s="7" t="s">
        <v>19</v>
      </c>
      <c r="E2997" s="104">
        <v>10500</v>
      </c>
      <c r="F2997" s="104">
        <f t="shared" si="28"/>
        <v>315000</v>
      </c>
      <c r="G2997" s="25"/>
      <c r="H2997" s="11"/>
      <c r="I2997" s="21"/>
      <c r="J2997" s="21"/>
      <c r="K2997" s="21"/>
      <c r="L2997" s="21"/>
      <c r="M2997" s="21"/>
      <c r="N2997" s="21"/>
    </row>
    <row r="2998" spans="1:14" ht="15.75" customHeight="1" x14ac:dyDescent="0.25">
      <c r="A2998" s="7">
        <v>8</v>
      </c>
      <c r="B2998" s="41" t="s">
        <v>1156</v>
      </c>
      <c r="C2998" s="7">
        <v>16</v>
      </c>
      <c r="D2998" s="7" t="s">
        <v>19</v>
      </c>
      <c r="E2998" s="104">
        <v>145000</v>
      </c>
      <c r="F2998" s="104">
        <f t="shared" si="28"/>
        <v>2320000</v>
      </c>
      <c r="G2998" s="25"/>
      <c r="H2998" s="11"/>
      <c r="I2998" s="21"/>
      <c r="J2998" s="21"/>
      <c r="K2998" s="21"/>
      <c r="L2998" s="21"/>
      <c r="M2998" s="21"/>
      <c r="N2998" s="21"/>
    </row>
    <row r="2999" spans="1:14" ht="15.75" customHeight="1" x14ac:dyDescent="0.25">
      <c r="A2999" s="7">
        <v>9</v>
      </c>
      <c r="B2999" s="35" t="s">
        <v>1148</v>
      </c>
      <c r="C2999" s="7">
        <v>320</v>
      </c>
      <c r="D2999" s="7" t="s">
        <v>19</v>
      </c>
      <c r="E2999" s="104">
        <v>38500</v>
      </c>
      <c r="F2999" s="104">
        <f t="shared" si="28"/>
        <v>12320000</v>
      </c>
      <c r="G2999" s="25"/>
      <c r="H2999" s="11"/>
      <c r="I2999" s="21"/>
      <c r="J2999" s="21"/>
      <c r="K2999" s="21"/>
      <c r="L2999" s="21"/>
      <c r="M2999" s="21"/>
      <c r="N2999" s="21"/>
    </row>
    <row r="3000" spans="1:14" ht="15.75" customHeight="1" x14ac:dyDescent="0.25">
      <c r="A3000" s="7"/>
      <c r="B3000" s="343" t="s">
        <v>342</v>
      </c>
      <c r="C3000" s="344"/>
      <c r="D3000" s="344"/>
      <c r="E3000" s="334"/>
      <c r="F3000" s="104">
        <f>SUM(F2991:F2999)</f>
        <v>33761000</v>
      </c>
      <c r="G3000" s="25"/>
      <c r="H3000" s="11"/>
      <c r="I3000" s="21"/>
      <c r="J3000" s="21"/>
      <c r="K3000" s="21"/>
      <c r="L3000" s="21"/>
      <c r="M3000" s="21"/>
      <c r="N3000" s="21"/>
    </row>
    <row r="3001" spans="1:14" ht="15.75" customHeight="1" x14ac:dyDescent="0.25">
      <c r="A3001" s="7"/>
      <c r="B3001" s="343" t="s">
        <v>1068</v>
      </c>
      <c r="C3001" s="344"/>
      <c r="D3001" s="344"/>
      <c r="E3001" s="334"/>
      <c r="F3001" s="104">
        <v>1688050</v>
      </c>
      <c r="G3001" s="25"/>
      <c r="H3001" s="11"/>
      <c r="I3001" s="21"/>
      <c r="J3001" s="21"/>
      <c r="K3001" s="21"/>
      <c r="L3001" s="21"/>
      <c r="M3001" s="21"/>
      <c r="N3001" s="21"/>
    </row>
    <row r="3002" spans="1:14" ht="15.75" customHeight="1" x14ac:dyDescent="0.25">
      <c r="A3002" s="7"/>
      <c r="B3002" s="345" t="s">
        <v>342</v>
      </c>
      <c r="C3002" s="344"/>
      <c r="D3002" s="344"/>
      <c r="E3002" s="334"/>
      <c r="F3002" s="107">
        <f>F3000-F3001</f>
        <v>32072950</v>
      </c>
      <c r="G3002" s="25"/>
      <c r="H3002" s="11"/>
      <c r="I3002" s="21"/>
      <c r="J3002" s="21"/>
      <c r="K3002" s="21"/>
      <c r="L3002" s="21"/>
      <c r="M3002" s="21"/>
      <c r="N3002" s="21"/>
    </row>
    <row r="3003" spans="1:14" ht="15.75" customHeight="1" x14ac:dyDescent="0.25">
      <c r="A3003" s="7"/>
      <c r="B3003" s="345" t="s">
        <v>1048</v>
      </c>
      <c r="C3003" s="344"/>
      <c r="D3003" s="344"/>
      <c r="E3003" s="334"/>
      <c r="F3003" s="107">
        <v>19243770</v>
      </c>
      <c r="G3003" s="25"/>
      <c r="H3003" s="11"/>
      <c r="I3003" s="21"/>
      <c r="J3003" s="21"/>
      <c r="K3003" s="21"/>
      <c r="L3003" s="21"/>
      <c r="M3003" s="21"/>
      <c r="N3003" s="21"/>
    </row>
    <row r="3004" spans="1:14" ht="15.75" customHeight="1" x14ac:dyDescent="0.25">
      <c r="A3004" s="7"/>
      <c r="B3004" s="343" t="s">
        <v>343</v>
      </c>
      <c r="C3004" s="344"/>
      <c r="D3004" s="344"/>
      <c r="E3004" s="334"/>
      <c r="F3004" s="104">
        <v>2116814.7000000002</v>
      </c>
      <c r="G3004" s="25"/>
      <c r="H3004" s="11"/>
      <c r="I3004" s="21"/>
      <c r="J3004" s="21"/>
      <c r="K3004" s="21"/>
      <c r="L3004" s="21"/>
      <c r="M3004" s="21"/>
      <c r="N3004" s="21"/>
    </row>
    <row r="3005" spans="1:14" ht="15.75" customHeight="1" x14ac:dyDescent="0.25">
      <c r="A3005" s="7"/>
      <c r="B3005" s="345" t="s">
        <v>344</v>
      </c>
      <c r="C3005" s="344"/>
      <c r="D3005" s="344"/>
      <c r="E3005" s="334"/>
      <c r="F3005" s="107">
        <f>SUM(F3003:F3004)</f>
        <v>21360584.699999999</v>
      </c>
      <c r="G3005" s="25"/>
      <c r="H3005" s="11"/>
      <c r="I3005" s="21"/>
      <c r="J3005" s="21"/>
      <c r="K3005" s="21"/>
      <c r="L3005" s="21"/>
      <c r="M3005" s="21"/>
      <c r="N3005" s="21"/>
    </row>
    <row r="3006" spans="1:14" ht="15.75" customHeight="1" x14ac:dyDescent="0.25">
      <c r="A3006" s="21"/>
      <c r="B3006" s="21"/>
      <c r="C3006" s="11"/>
      <c r="D3006" s="11"/>
      <c r="E3006" s="21"/>
      <c r="F3006" s="21"/>
      <c r="G3006" s="25"/>
      <c r="H3006" s="11"/>
      <c r="I3006" s="21"/>
      <c r="J3006" s="21"/>
      <c r="K3006" s="21"/>
      <c r="L3006" s="21"/>
      <c r="M3006" s="21"/>
      <c r="N3006" s="21"/>
    </row>
    <row r="3007" spans="1:14" ht="15.75" customHeight="1" x14ac:dyDescent="0.25">
      <c r="A3007" s="31" t="s">
        <v>351</v>
      </c>
      <c r="B3007" s="31" t="s">
        <v>234</v>
      </c>
      <c r="C3007" s="31" t="s">
        <v>16</v>
      </c>
      <c r="D3007" s="31" t="s">
        <v>17</v>
      </c>
      <c r="E3007" s="31" t="s">
        <v>235</v>
      </c>
      <c r="F3007" s="31" t="s">
        <v>236</v>
      </c>
      <c r="G3007" s="25"/>
      <c r="H3007" s="11"/>
      <c r="I3007" s="21"/>
      <c r="J3007" s="21"/>
      <c r="K3007" s="21"/>
      <c r="L3007" s="21"/>
      <c r="M3007" s="21"/>
      <c r="N3007" s="21"/>
    </row>
    <row r="3008" spans="1:14" ht="15.75" customHeight="1" x14ac:dyDescent="0.25">
      <c r="A3008" s="7">
        <v>1</v>
      </c>
      <c r="B3008" s="41" t="s">
        <v>1258</v>
      </c>
      <c r="C3008" s="7">
        <v>2</v>
      </c>
      <c r="D3008" s="7" t="s">
        <v>247</v>
      </c>
      <c r="E3008" s="104">
        <v>222800</v>
      </c>
      <c r="F3008" s="104">
        <f>E3008*C3008</f>
        <v>445600</v>
      </c>
      <c r="G3008" s="25"/>
      <c r="H3008" s="11"/>
      <c r="I3008" s="21"/>
      <c r="J3008" s="21"/>
      <c r="K3008" s="21"/>
      <c r="L3008" s="21"/>
      <c r="M3008" s="21"/>
      <c r="N3008" s="21"/>
    </row>
    <row r="3009" spans="1:14" ht="15.75" customHeight="1" x14ac:dyDescent="0.25">
      <c r="A3009" s="7">
        <v>2</v>
      </c>
      <c r="B3009" s="41" t="s">
        <v>1259</v>
      </c>
      <c r="C3009" s="7">
        <v>2</v>
      </c>
      <c r="D3009" s="7" t="s">
        <v>247</v>
      </c>
      <c r="E3009" s="104">
        <v>227500</v>
      </c>
      <c r="F3009" s="104">
        <f>E3009*C3009</f>
        <v>455000</v>
      </c>
      <c r="G3009" s="25"/>
      <c r="H3009" s="11"/>
      <c r="I3009" s="21"/>
      <c r="J3009" s="21"/>
      <c r="K3009" s="21"/>
      <c r="L3009" s="21"/>
      <c r="M3009" s="21"/>
      <c r="N3009" s="21"/>
    </row>
    <row r="3010" spans="1:14" ht="15.75" customHeight="1" x14ac:dyDescent="0.25">
      <c r="A3010" s="7"/>
      <c r="B3010" s="343" t="s">
        <v>342</v>
      </c>
      <c r="C3010" s="344"/>
      <c r="D3010" s="344"/>
      <c r="E3010" s="334"/>
      <c r="F3010" s="104">
        <f>SUM(F3008:F3009)</f>
        <v>900600</v>
      </c>
      <c r="G3010" s="25"/>
      <c r="H3010" s="11"/>
      <c r="I3010" s="21"/>
      <c r="J3010" s="21"/>
      <c r="K3010" s="21"/>
      <c r="L3010" s="21"/>
      <c r="M3010" s="21"/>
      <c r="N3010" s="21"/>
    </row>
    <row r="3011" spans="1:14" ht="15.75" customHeight="1" x14ac:dyDescent="0.25">
      <c r="A3011" s="7"/>
      <c r="B3011" s="343" t="s">
        <v>343</v>
      </c>
      <c r="C3011" s="344"/>
      <c r="D3011" s="344"/>
      <c r="E3011" s="334"/>
      <c r="F3011" s="104">
        <v>99066</v>
      </c>
      <c r="G3011" s="25"/>
      <c r="H3011" s="11"/>
      <c r="I3011" s="21"/>
      <c r="J3011" s="21"/>
      <c r="K3011" s="21"/>
      <c r="L3011" s="21"/>
      <c r="M3011" s="21"/>
      <c r="N3011" s="21"/>
    </row>
    <row r="3012" spans="1:14" ht="15.75" customHeight="1" x14ac:dyDescent="0.25">
      <c r="A3012" s="7"/>
      <c r="B3012" s="345" t="s">
        <v>344</v>
      </c>
      <c r="C3012" s="344"/>
      <c r="D3012" s="344"/>
      <c r="E3012" s="334"/>
      <c r="F3012" s="107">
        <f>SUM(F3010:F3011)</f>
        <v>999666</v>
      </c>
      <c r="G3012" s="25"/>
      <c r="H3012" s="11"/>
      <c r="I3012" s="21"/>
      <c r="J3012" s="21"/>
      <c r="K3012" s="21"/>
      <c r="L3012" s="21"/>
      <c r="M3012" s="21"/>
      <c r="N3012" s="21"/>
    </row>
    <row r="3013" spans="1:14" ht="15.75" customHeight="1" x14ac:dyDescent="0.25">
      <c r="A3013" s="21"/>
      <c r="B3013" s="21"/>
      <c r="C3013" s="11"/>
      <c r="D3013" s="11"/>
      <c r="E3013" s="21"/>
      <c r="F3013" s="21"/>
      <c r="G3013" s="25"/>
      <c r="H3013" s="11"/>
      <c r="I3013" s="21"/>
      <c r="J3013" s="21"/>
      <c r="K3013" s="21"/>
      <c r="L3013" s="21"/>
      <c r="M3013" s="21"/>
      <c r="N3013" s="21"/>
    </row>
    <row r="3014" spans="1:14" ht="15.75" customHeight="1" x14ac:dyDescent="0.25">
      <c r="A3014" s="31" t="s">
        <v>14</v>
      </c>
      <c r="B3014" s="31" t="s">
        <v>234</v>
      </c>
      <c r="C3014" s="31" t="s">
        <v>16</v>
      </c>
      <c r="D3014" s="31" t="s">
        <v>17</v>
      </c>
      <c r="E3014" s="31" t="s">
        <v>235</v>
      </c>
      <c r="F3014" s="31" t="s">
        <v>236</v>
      </c>
      <c r="G3014" s="25"/>
      <c r="H3014" s="11"/>
      <c r="I3014" s="21"/>
      <c r="J3014" s="21"/>
      <c r="K3014" s="21"/>
      <c r="L3014" s="21"/>
      <c r="M3014" s="21"/>
      <c r="N3014" s="21"/>
    </row>
    <row r="3015" spans="1:14" ht="15.75" customHeight="1" x14ac:dyDescent="0.25">
      <c r="A3015" s="7">
        <v>1</v>
      </c>
      <c r="B3015" s="155" t="s">
        <v>1260</v>
      </c>
      <c r="C3015" s="129">
        <v>1</v>
      </c>
      <c r="D3015" s="7" t="s">
        <v>363</v>
      </c>
      <c r="E3015" s="130">
        <v>1750000</v>
      </c>
      <c r="F3015" s="130">
        <f>E3015*C3015</f>
        <v>1750000</v>
      </c>
      <c r="G3015" s="25"/>
      <c r="H3015" s="11"/>
      <c r="I3015" s="21"/>
      <c r="J3015" s="21"/>
      <c r="K3015" s="21"/>
      <c r="L3015" s="21"/>
      <c r="M3015" s="21"/>
      <c r="N3015" s="21"/>
    </row>
    <row r="3016" spans="1:14" ht="15.75" customHeight="1" x14ac:dyDescent="0.25">
      <c r="A3016" s="7"/>
      <c r="B3016" s="343" t="s">
        <v>342</v>
      </c>
      <c r="C3016" s="344"/>
      <c r="D3016" s="344"/>
      <c r="E3016" s="334"/>
      <c r="F3016" s="104">
        <f>SUM(F3015)</f>
        <v>1750000</v>
      </c>
      <c r="G3016" s="25"/>
      <c r="H3016" s="11"/>
      <c r="I3016" s="21"/>
      <c r="J3016" s="21"/>
      <c r="K3016" s="21"/>
      <c r="L3016" s="21"/>
      <c r="M3016" s="21"/>
      <c r="N3016" s="21"/>
    </row>
    <row r="3017" spans="1:14" ht="15.75" customHeight="1" x14ac:dyDescent="0.25">
      <c r="A3017" s="7"/>
      <c r="B3017" s="343" t="s">
        <v>343</v>
      </c>
      <c r="C3017" s="344"/>
      <c r="D3017" s="344"/>
      <c r="E3017" s="334"/>
      <c r="F3017" s="104">
        <v>192500</v>
      </c>
      <c r="G3017" s="25"/>
      <c r="H3017" s="11"/>
      <c r="I3017" s="21"/>
      <c r="J3017" s="21"/>
      <c r="K3017" s="21"/>
      <c r="L3017" s="21"/>
      <c r="M3017" s="21"/>
      <c r="N3017" s="21"/>
    </row>
    <row r="3018" spans="1:14" ht="15.75" customHeight="1" x14ac:dyDescent="0.25">
      <c r="A3018" s="7"/>
      <c r="B3018" s="345" t="s">
        <v>344</v>
      </c>
      <c r="C3018" s="344"/>
      <c r="D3018" s="344"/>
      <c r="E3018" s="334"/>
      <c r="F3018" s="107">
        <f>SUM(F3016:F3017)</f>
        <v>1942500</v>
      </c>
      <c r="G3018" s="25"/>
      <c r="H3018" s="11"/>
      <c r="I3018" s="21"/>
      <c r="J3018" s="21"/>
      <c r="K3018" s="21"/>
      <c r="L3018" s="21"/>
      <c r="M3018" s="21"/>
      <c r="N3018" s="21"/>
    </row>
    <row r="3019" spans="1:14" ht="15.75" customHeight="1" x14ac:dyDescent="0.25">
      <c r="A3019" s="21"/>
      <c r="B3019" s="21"/>
      <c r="C3019" s="11"/>
      <c r="D3019" s="11"/>
      <c r="E3019" s="21"/>
      <c r="F3019" s="21"/>
      <c r="G3019" s="25"/>
      <c r="H3019" s="11"/>
      <c r="I3019" s="21"/>
      <c r="J3019" s="21"/>
      <c r="K3019" s="21"/>
      <c r="L3019" s="21"/>
      <c r="M3019" s="21"/>
      <c r="N3019" s="21"/>
    </row>
    <row r="3020" spans="1:14" ht="15.75" customHeight="1" x14ac:dyDescent="0.25">
      <c r="A3020" s="31" t="s">
        <v>14</v>
      </c>
      <c r="B3020" s="31" t="s">
        <v>234</v>
      </c>
      <c r="C3020" s="31" t="s">
        <v>16</v>
      </c>
      <c r="D3020" s="31" t="s">
        <v>17</v>
      </c>
      <c r="E3020" s="31" t="s">
        <v>235</v>
      </c>
      <c r="F3020" s="31" t="s">
        <v>236</v>
      </c>
      <c r="G3020" s="25"/>
      <c r="H3020" s="11"/>
      <c r="I3020" s="21"/>
      <c r="J3020" s="21"/>
      <c r="K3020" s="21"/>
      <c r="L3020" s="21"/>
      <c r="M3020" s="21"/>
      <c r="N3020" s="21"/>
    </row>
    <row r="3021" spans="1:14" ht="15.75" customHeight="1" x14ac:dyDescent="0.25">
      <c r="A3021" s="7">
        <v>1</v>
      </c>
      <c r="B3021" s="155" t="s">
        <v>1261</v>
      </c>
      <c r="C3021" s="129">
        <v>2</v>
      </c>
      <c r="D3021" s="7" t="s">
        <v>363</v>
      </c>
      <c r="E3021" s="130">
        <v>1377500</v>
      </c>
      <c r="F3021" s="130">
        <f>E3021*C3021</f>
        <v>2755000</v>
      </c>
      <c r="G3021" s="25"/>
      <c r="H3021" s="11"/>
      <c r="I3021" s="21"/>
      <c r="J3021" s="21"/>
      <c r="K3021" s="21"/>
      <c r="L3021" s="21"/>
      <c r="M3021" s="21"/>
      <c r="N3021" s="21"/>
    </row>
    <row r="3022" spans="1:14" ht="15.75" customHeight="1" x14ac:dyDescent="0.25">
      <c r="A3022" s="7"/>
      <c r="B3022" s="343" t="s">
        <v>342</v>
      </c>
      <c r="C3022" s="344"/>
      <c r="D3022" s="344"/>
      <c r="E3022" s="334"/>
      <c r="F3022" s="104">
        <f>SUM(F3021)</f>
        <v>2755000</v>
      </c>
      <c r="G3022" s="25"/>
      <c r="H3022" s="11"/>
      <c r="I3022" s="21"/>
      <c r="J3022" s="21"/>
      <c r="K3022" s="21"/>
      <c r="L3022" s="21"/>
      <c r="M3022" s="21"/>
      <c r="N3022" s="21"/>
    </row>
    <row r="3023" spans="1:14" ht="15.75" customHeight="1" x14ac:dyDescent="0.25">
      <c r="A3023" s="7"/>
      <c r="B3023" s="343" t="s">
        <v>343</v>
      </c>
      <c r="C3023" s="344"/>
      <c r="D3023" s="344"/>
      <c r="E3023" s="334"/>
      <c r="F3023" s="104">
        <v>303050</v>
      </c>
      <c r="G3023" s="25"/>
      <c r="H3023" s="11"/>
      <c r="I3023" s="21"/>
      <c r="J3023" s="21"/>
      <c r="K3023" s="21"/>
      <c r="L3023" s="21"/>
      <c r="M3023" s="21"/>
      <c r="N3023" s="21"/>
    </row>
    <row r="3024" spans="1:14" ht="15.75" customHeight="1" x14ac:dyDescent="0.25">
      <c r="A3024" s="7"/>
      <c r="B3024" s="345" t="s">
        <v>344</v>
      </c>
      <c r="C3024" s="344"/>
      <c r="D3024" s="344"/>
      <c r="E3024" s="334"/>
      <c r="F3024" s="107">
        <f>SUM(F3022:F3023)</f>
        <v>3058050</v>
      </c>
      <c r="G3024" s="25"/>
      <c r="H3024" s="11"/>
      <c r="I3024" s="21"/>
      <c r="J3024" s="21"/>
      <c r="K3024" s="21"/>
      <c r="L3024" s="21"/>
      <c r="M3024" s="21"/>
      <c r="N3024" s="21"/>
    </row>
    <row r="3025" spans="1:14" ht="15.75" customHeight="1" x14ac:dyDescent="0.25">
      <c r="A3025" s="21"/>
      <c r="B3025" s="21"/>
      <c r="C3025" s="11"/>
      <c r="D3025" s="11"/>
      <c r="E3025" s="21"/>
      <c r="F3025" s="21"/>
      <c r="G3025" s="25"/>
      <c r="H3025" s="11"/>
      <c r="I3025" s="21"/>
      <c r="J3025" s="21"/>
      <c r="K3025" s="21"/>
      <c r="L3025" s="21"/>
      <c r="M3025" s="21"/>
      <c r="N3025" s="21"/>
    </row>
    <row r="3026" spans="1:14" ht="15.75" customHeight="1" x14ac:dyDescent="0.25">
      <c r="A3026" s="31" t="s">
        <v>14</v>
      </c>
      <c r="B3026" s="31" t="s">
        <v>234</v>
      </c>
      <c r="C3026" s="31" t="s">
        <v>16</v>
      </c>
      <c r="D3026" s="31" t="s">
        <v>17</v>
      </c>
      <c r="E3026" s="31" t="s">
        <v>235</v>
      </c>
      <c r="F3026" s="31" t="s">
        <v>236</v>
      </c>
      <c r="G3026" s="25"/>
      <c r="H3026" s="11"/>
      <c r="I3026" s="21"/>
      <c r="J3026" s="21"/>
      <c r="K3026" s="21"/>
      <c r="L3026" s="21"/>
      <c r="M3026" s="21"/>
      <c r="N3026" s="21"/>
    </row>
    <row r="3027" spans="1:14" ht="15.75" customHeight="1" x14ac:dyDescent="0.25">
      <c r="A3027" s="7">
        <v>1</v>
      </c>
      <c r="B3027" s="155" t="s">
        <v>1262</v>
      </c>
      <c r="C3027" s="129">
        <v>4</v>
      </c>
      <c r="D3027" s="7" t="s">
        <v>363</v>
      </c>
      <c r="E3027" s="130">
        <v>25000</v>
      </c>
      <c r="F3027" s="130">
        <f>E3027*C3027</f>
        <v>100000</v>
      </c>
      <c r="G3027" s="25"/>
      <c r="H3027" s="11"/>
      <c r="I3027" s="21"/>
      <c r="J3027" s="21"/>
      <c r="K3027" s="21"/>
      <c r="L3027" s="21"/>
      <c r="M3027" s="21"/>
      <c r="N3027" s="21"/>
    </row>
    <row r="3028" spans="1:14" ht="15.75" customHeight="1" x14ac:dyDescent="0.25">
      <c r="A3028" s="7"/>
      <c r="B3028" s="343" t="s">
        <v>342</v>
      </c>
      <c r="C3028" s="344"/>
      <c r="D3028" s="344"/>
      <c r="E3028" s="334"/>
      <c r="F3028" s="104">
        <f>SUM(F3027)</f>
        <v>100000</v>
      </c>
      <c r="G3028" s="25"/>
      <c r="H3028" s="11"/>
      <c r="I3028" s="21"/>
      <c r="J3028" s="21"/>
      <c r="K3028" s="21"/>
      <c r="L3028" s="21"/>
      <c r="M3028" s="21"/>
      <c r="N3028" s="21"/>
    </row>
    <row r="3029" spans="1:14" ht="15.75" customHeight="1" x14ac:dyDescent="0.25">
      <c r="A3029" s="7"/>
      <c r="B3029" s="343" t="s">
        <v>343</v>
      </c>
      <c r="C3029" s="344"/>
      <c r="D3029" s="344"/>
      <c r="E3029" s="334"/>
      <c r="F3029" s="104">
        <v>11000</v>
      </c>
      <c r="G3029" s="25"/>
      <c r="H3029" s="11"/>
      <c r="I3029" s="21"/>
      <c r="J3029" s="21"/>
      <c r="K3029" s="21"/>
      <c r="L3029" s="21"/>
      <c r="M3029" s="21"/>
      <c r="N3029" s="21"/>
    </row>
    <row r="3030" spans="1:14" ht="15.75" customHeight="1" x14ac:dyDescent="0.25">
      <c r="A3030" s="7"/>
      <c r="B3030" s="345" t="s">
        <v>344</v>
      </c>
      <c r="C3030" s="344"/>
      <c r="D3030" s="344"/>
      <c r="E3030" s="334"/>
      <c r="F3030" s="107">
        <f>SUM(F3028:F3029)</f>
        <v>111000</v>
      </c>
      <c r="G3030" s="25"/>
      <c r="H3030" s="11"/>
      <c r="I3030" s="21"/>
      <c r="J3030" s="21"/>
      <c r="K3030" s="21"/>
      <c r="L3030" s="21"/>
      <c r="M3030" s="21"/>
      <c r="N3030" s="21"/>
    </row>
    <row r="3031" spans="1:14" ht="15.75" customHeight="1" x14ac:dyDescent="0.25">
      <c r="A3031" s="21"/>
      <c r="B3031" s="21"/>
      <c r="C3031" s="11"/>
      <c r="D3031" s="11"/>
      <c r="E3031" s="21"/>
      <c r="F3031" s="21"/>
      <c r="G3031" s="25"/>
      <c r="H3031" s="11"/>
      <c r="I3031" s="21"/>
      <c r="J3031" s="21"/>
      <c r="K3031" s="21"/>
      <c r="L3031" s="21"/>
      <c r="M3031" s="21"/>
      <c r="N3031" s="21"/>
    </row>
    <row r="3032" spans="1:14" ht="15.75" customHeight="1" x14ac:dyDescent="0.25">
      <c r="A3032" s="31" t="s">
        <v>14</v>
      </c>
      <c r="B3032" s="31" t="s">
        <v>234</v>
      </c>
      <c r="C3032" s="31" t="s">
        <v>16</v>
      </c>
      <c r="D3032" s="31" t="s">
        <v>17</v>
      </c>
      <c r="E3032" s="31" t="s">
        <v>235</v>
      </c>
      <c r="F3032" s="31" t="s">
        <v>236</v>
      </c>
      <c r="G3032" s="25"/>
      <c r="H3032" s="11"/>
      <c r="I3032" s="21"/>
      <c r="J3032" s="21"/>
      <c r="K3032" s="21"/>
      <c r="L3032" s="21"/>
      <c r="M3032" s="21"/>
      <c r="N3032" s="21"/>
    </row>
    <row r="3033" spans="1:14" ht="15.75" customHeight="1" x14ac:dyDescent="0.25">
      <c r="A3033" s="7">
        <v>1</v>
      </c>
      <c r="B3033" s="155" t="s">
        <v>1263</v>
      </c>
      <c r="C3033" s="129">
        <v>1</v>
      </c>
      <c r="D3033" s="7" t="s">
        <v>543</v>
      </c>
      <c r="E3033" s="130">
        <v>21000000</v>
      </c>
      <c r="F3033" s="130">
        <f>E3033*C3033</f>
        <v>21000000</v>
      </c>
      <c r="G3033" s="25"/>
      <c r="H3033" s="11"/>
      <c r="I3033" s="21"/>
      <c r="J3033" s="21"/>
      <c r="K3033" s="21"/>
      <c r="L3033" s="21"/>
      <c r="M3033" s="21"/>
      <c r="N3033" s="21"/>
    </row>
    <row r="3034" spans="1:14" ht="15.75" customHeight="1" x14ac:dyDescent="0.25">
      <c r="A3034" s="7"/>
      <c r="B3034" s="343" t="s">
        <v>342</v>
      </c>
      <c r="C3034" s="344"/>
      <c r="D3034" s="344"/>
      <c r="E3034" s="334"/>
      <c r="F3034" s="104">
        <f>SUM(F3033)</f>
        <v>21000000</v>
      </c>
      <c r="G3034" s="25"/>
      <c r="H3034" s="11"/>
      <c r="I3034" s="21"/>
      <c r="J3034" s="21"/>
      <c r="K3034" s="21"/>
      <c r="L3034" s="21"/>
      <c r="M3034" s="21"/>
      <c r="N3034" s="21"/>
    </row>
    <row r="3035" spans="1:14" ht="15.75" customHeight="1" x14ac:dyDescent="0.25">
      <c r="A3035" s="7"/>
      <c r="B3035" s="343" t="s">
        <v>343</v>
      </c>
      <c r="C3035" s="344"/>
      <c r="D3035" s="344"/>
      <c r="E3035" s="334"/>
      <c r="F3035" s="104">
        <v>2310000</v>
      </c>
      <c r="G3035" s="25"/>
      <c r="H3035" s="11"/>
      <c r="I3035" s="21"/>
      <c r="J3035" s="21"/>
      <c r="K3035" s="21"/>
      <c r="L3035" s="21"/>
      <c r="M3035" s="21"/>
      <c r="N3035" s="21"/>
    </row>
    <row r="3036" spans="1:14" ht="15.75" customHeight="1" x14ac:dyDescent="0.25">
      <c r="A3036" s="7"/>
      <c r="B3036" s="345" t="s">
        <v>344</v>
      </c>
      <c r="C3036" s="344"/>
      <c r="D3036" s="344"/>
      <c r="E3036" s="334"/>
      <c r="F3036" s="107">
        <f>SUM(F3034:F3035)</f>
        <v>23310000</v>
      </c>
      <c r="G3036" s="25"/>
      <c r="H3036" s="11"/>
      <c r="I3036" s="21"/>
      <c r="J3036" s="21"/>
      <c r="K3036" s="21"/>
      <c r="L3036" s="21"/>
      <c r="M3036" s="21"/>
      <c r="N3036" s="21"/>
    </row>
    <row r="3037" spans="1:14" ht="15.75" customHeight="1" x14ac:dyDescent="0.25">
      <c r="A3037" s="21"/>
      <c r="B3037" s="21"/>
      <c r="C3037" s="11"/>
      <c r="D3037" s="11"/>
      <c r="E3037" s="21"/>
      <c r="F3037" s="21"/>
      <c r="G3037" s="25"/>
      <c r="H3037" s="11"/>
      <c r="I3037" s="21"/>
      <c r="J3037" s="21"/>
      <c r="K3037" s="21"/>
      <c r="L3037" s="21"/>
      <c r="M3037" s="21"/>
      <c r="N3037" s="21"/>
    </row>
    <row r="3038" spans="1:14" ht="15.75" customHeight="1" x14ac:dyDescent="0.25">
      <c r="A3038" s="31" t="s">
        <v>351</v>
      </c>
      <c r="B3038" s="31" t="s">
        <v>234</v>
      </c>
      <c r="C3038" s="31" t="s">
        <v>16</v>
      </c>
      <c r="D3038" s="31" t="s">
        <v>17</v>
      </c>
      <c r="E3038" s="31" t="s">
        <v>235</v>
      </c>
      <c r="F3038" s="31" t="s">
        <v>236</v>
      </c>
      <c r="G3038" s="25"/>
      <c r="H3038" s="11"/>
      <c r="I3038" s="21"/>
      <c r="J3038" s="21"/>
      <c r="K3038" s="21"/>
      <c r="L3038" s="21"/>
      <c r="M3038" s="21"/>
      <c r="N3038" s="21"/>
    </row>
    <row r="3039" spans="1:14" ht="15.75" customHeight="1" x14ac:dyDescent="0.25">
      <c r="A3039" s="7">
        <v>1</v>
      </c>
      <c r="B3039" s="41" t="s">
        <v>1264</v>
      </c>
      <c r="C3039" s="7">
        <v>2</v>
      </c>
      <c r="D3039" s="7" t="s">
        <v>19</v>
      </c>
      <c r="E3039" s="104">
        <v>10185</v>
      </c>
      <c r="F3039" s="104">
        <f>E3039*C3039</f>
        <v>20370</v>
      </c>
      <c r="G3039" s="25"/>
      <c r="H3039" s="11"/>
      <c r="I3039" s="21"/>
      <c r="J3039" s="21"/>
      <c r="K3039" s="21"/>
      <c r="L3039" s="21"/>
      <c r="M3039" s="21"/>
      <c r="N3039" s="21"/>
    </row>
    <row r="3040" spans="1:14" ht="15.75" customHeight="1" x14ac:dyDescent="0.25">
      <c r="A3040" s="7">
        <v>2</v>
      </c>
      <c r="B3040" s="41" t="s">
        <v>1265</v>
      </c>
      <c r="C3040" s="7">
        <v>6</v>
      </c>
      <c r="D3040" s="7" t="s">
        <v>19</v>
      </c>
      <c r="E3040" s="104">
        <v>47045</v>
      </c>
      <c r="F3040" s="104">
        <f>E3040*C3040</f>
        <v>282270</v>
      </c>
      <c r="G3040" s="25"/>
      <c r="H3040" s="11"/>
      <c r="I3040" s="21"/>
      <c r="J3040" s="21"/>
      <c r="K3040" s="21"/>
      <c r="L3040" s="21"/>
      <c r="M3040" s="21"/>
      <c r="N3040" s="21"/>
    </row>
    <row r="3041" spans="1:14" ht="15.75" customHeight="1" x14ac:dyDescent="0.25">
      <c r="A3041" s="7"/>
      <c r="B3041" s="343" t="s">
        <v>342</v>
      </c>
      <c r="C3041" s="344"/>
      <c r="D3041" s="344"/>
      <c r="E3041" s="334"/>
      <c r="F3041" s="104">
        <f>SUM(F3039:F3040)</f>
        <v>302640</v>
      </c>
      <c r="G3041" s="25"/>
      <c r="H3041" s="11"/>
      <c r="I3041" s="21"/>
      <c r="J3041" s="21"/>
      <c r="K3041" s="21"/>
      <c r="L3041" s="21"/>
      <c r="M3041" s="21"/>
      <c r="N3041" s="21"/>
    </row>
    <row r="3042" spans="1:14" ht="15.75" customHeight="1" x14ac:dyDescent="0.25">
      <c r="A3042" s="7"/>
      <c r="B3042" s="343" t="s">
        <v>343</v>
      </c>
      <c r="C3042" s="344"/>
      <c r="D3042" s="344"/>
      <c r="E3042" s="334"/>
      <c r="F3042" s="108">
        <v>33290.400000000001</v>
      </c>
      <c r="G3042" s="25"/>
      <c r="H3042" s="11"/>
      <c r="I3042" s="21"/>
      <c r="J3042" s="21"/>
      <c r="K3042" s="21"/>
      <c r="L3042" s="21"/>
      <c r="M3042" s="21"/>
      <c r="N3042" s="21"/>
    </row>
    <row r="3043" spans="1:14" ht="15.75" customHeight="1" x14ac:dyDescent="0.25">
      <c r="A3043" s="7"/>
      <c r="B3043" s="345" t="s">
        <v>344</v>
      </c>
      <c r="C3043" s="344"/>
      <c r="D3043" s="344"/>
      <c r="E3043" s="334"/>
      <c r="F3043" s="109">
        <f>SUM(F3041:F3042)</f>
        <v>335930.4</v>
      </c>
      <c r="G3043" s="25"/>
      <c r="H3043" s="11"/>
      <c r="I3043" s="21"/>
      <c r="J3043" s="21"/>
      <c r="K3043" s="21"/>
      <c r="L3043" s="21"/>
      <c r="M3043" s="21"/>
      <c r="N3043" s="21"/>
    </row>
    <row r="3044" spans="1:14" ht="15.75" customHeight="1" x14ac:dyDescent="0.25">
      <c r="A3044" s="159"/>
      <c r="B3044" s="159"/>
      <c r="C3044" s="159"/>
      <c r="D3044" s="159"/>
      <c r="E3044" s="159"/>
      <c r="F3044" s="159"/>
      <c r="G3044" s="25"/>
      <c r="H3044" s="11"/>
      <c r="I3044" s="21"/>
      <c r="J3044" s="21"/>
      <c r="K3044" s="21"/>
      <c r="L3044" s="21"/>
      <c r="M3044" s="21"/>
      <c r="N3044" s="21"/>
    </row>
    <row r="3045" spans="1:14" ht="15.75" customHeight="1" x14ac:dyDescent="0.25">
      <c r="A3045" s="31" t="s">
        <v>14</v>
      </c>
      <c r="B3045" s="31" t="s">
        <v>234</v>
      </c>
      <c r="C3045" s="31" t="s">
        <v>16</v>
      </c>
      <c r="D3045" s="31" t="s">
        <v>17</v>
      </c>
      <c r="E3045" s="31" t="s">
        <v>235</v>
      </c>
      <c r="F3045" s="31" t="s">
        <v>236</v>
      </c>
      <c r="G3045" s="25"/>
      <c r="H3045" s="11"/>
      <c r="I3045" s="21"/>
      <c r="J3045" s="21"/>
      <c r="K3045" s="21"/>
      <c r="L3045" s="21"/>
      <c r="M3045" s="21"/>
      <c r="N3045" s="21"/>
    </row>
    <row r="3046" spans="1:14" ht="15.75" customHeight="1" x14ac:dyDescent="0.25">
      <c r="A3046" s="7">
        <v>1</v>
      </c>
      <c r="B3046" s="41" t="s">
        <v>1266</v>
      </c>
      <c r="C3046" s="129">
        <v>1</v>
      </c>
      <c r="D3046" s="7" t="s">
        <v>243</v>
      </c>
      <c r="E3046" s="130">
        <v>5475000</v>
      </c>
      <c r="F3046" s="130">
        <f>E3046*C3046</f>
        <v>5475000</v>
      </c>
      <c r="G3046" s="25"/>
      <c r="H3046" s="11"/>
      <c r="I3046" s="21"/>
      <c r="J3046" s="21"/>
      <c r="K3046" s="21"/>
      <c r="L3046" s="21"/>
      <c r="M3046" s="21"/>
      <c r="N3046" s="21"/>
    </row>
    <row r="3047" spans="1:14" ht="15.75" customHeight="1" x14ac:dyDescent="0.25">
      <c r="A3047" s="7"/>
      <c r="B3047" s="343" t="s">
        <v>342</v>
      </c>
      <c r="C3047" s="344"/>
      <c r="D3047" s="344"/>
      <c r="E3047" s="334"/>
      <c r="F3047" s="104">
        <f>SUM(F3046)</f>
        <v>5475000</v>
      </c>
      <c r="G3047" s="25"/>
      <c r="H3047" s="11"/>
      <c r="I3047" s="21"/>
      <c r="J3047" s="21"/>
      <c r="K3047" s="21"/>
      <c r="L3047" s="21"/>
      <c r="M3047" s="21"/>
      <c r="N3047" s="21"/>
    </row>
    <row r="3048" spans="1:14" ht="15.75" customHeight="1" x14ac:dyDescent="0.25">
      <c r="A3048" s="7"/>
      <c r="B3048" s="343" t="s">
        <v>1068</v>
      </c>
      <c r="C3048" s="344"/>
      <c r="D3048" s="344"/>
      <c r="E3048" s="334"/>
      <c r="F3048" s="104">
        <v>273750</v>
      </c>
      <c r="G3048" s="25"/>
      <c r="H3048" s="11"/>
      <c r="I3048" s="21"/>
      <c r="J3048" s="21"/>
      <c r="K3048" s="21"/>
      <c r="L3048" s="21"/>
      <c r="M3048" s="21"/>
      <c r="N3048" s="21"/>
    </row>
    <row r="3049" spans="1:14" ht="15.75" customHeight="1" x14ac:dyDescent="0.25">
      <c r="A3049" s="7"/>
      <c r="B3049" s="345" t="s">
        <v>342</v>
      </c>
      <c r="C3049" s="344"/>
      <c r="D3049" s="344"/>
      <c r="E3049" s="334"/>
      <c r="F3049" s="107">
        <f>F3047-F3048</f>
        <v>5201250</v>
      </c>
      <c r="G3049" s="25"/>
      <c r="H3049" s="11"/>
      <c r="I3049" s="21"/>
      <c r="J3049" s="21"/>
      <c r="K3049" s="21"/>
      <c r="L3049" s="21"/>
      <c r="M3049" s="21"/>
      <c r="N3049" s="21"/>
    </row>
    <row r="3050" spans="1:14" ht="15.75" customHeight="1" x14ac:dyDescent="0.25">
      <c r="A3050" s="7"/>
      <c r="B3050" s="343" t="s">
        <v>343</v>
      </c>
      <c r="C3050" s="344"/>
      <c r="D3050" s="344"/>
      <c r="E3050" s="334"/>
      <c r="F3050" s="104">
        <v>572137.5</v>
      </c>
      <c r="G3050" s="25"/>
      <c r="H3050" s="11"/>
      <c r="I3050" s="21"/>
      <c r="J3050" s="21"/>
      <c r="K3050" s="21"/>
      <c r="L3050" s="21"/>
      <c r="M3050" s="21"/>
      <c r="N3050" s="21"/>
    </row>
    <row r="3051" spans="1:14" ht="15.75" customHeight="1" x14ac:dyDescent="0.25">
      <c r="A3051" s="7"/>
      <c r="B3051" s="345" t="s">
        <v>344</v>
      </c>
      <c r="C3051" s="344"/>
      <c r="D3051" s="344"/>
      <c r="E3051" s="334"/>
      <c r="F3051" s="107">
        <f>SUM(F3049:F3050)</f>
        <v>5773387.5</v>
      </c>
      <c r="G3051" s="25"/>
      <c r="H3051" s="11"/>
      <c r="I3051" s="21"/>
      <c r="J3051" s="21"/>
      <c r="K3051" s="21"/>
      <c r="L3051" s="21"/>
      <c r="M3051" s="21"/>
      <c r="N3051" s="21"/>
    </row>
    <row r="3052" spans="1:14" ht="15.75" customHeight="1" x14ac:dyDescent="0.25">
      <c r="A3052" s="11"/>
      <c r="B3052" s="160"/>
      <c r="C3052" s="161"/>
      <c r="D3052" s="11"/>
      <c r="E3052" s="162"/>
      <c r="F3052" s="162"/>
      <c r="G3052" s="25"/>
      <c r="H3052" s="11"/>
      <c r="I3052" s="21"/>
      <c r="J3052" s="21"/>
      <c r="K3052" s="21"/>
      <c r="L3052" s="21"/>
      <c r="M3052" s="21"/>
      <c r="N3052" s="21"/>
    </row>
    <row r="3053" spans="1:14" ht="15.75" customHeight="1" x14ac:dyDescent="0.25">
      <c r="A3053" s="31" t="s">
        <v>351</v>
      </c>
      <c r="B3053" s="31" t="s">
        <v>234</v>
      </c>
      <c r="C3053" s="31" t="s">
        <v>16</v>
      </c>
      <c r="D3053" s="31" t="s">
        <v>17</v>
      </c>
      <c r="E3053" s="31" t="s">
        <v>235</v>
      </c>
      <c r="F3053" s="31" t="s">
        <v>236</v>
      </c>
      <c r="G3053" s="25"/>
      <c r="H3053" s="11"/>
      <c r="I3053" s="21"/>
      <c r="J3053" s="21"/>
      <c r="K3053" s="21"/>
      <c r="L3053" s="21"/>
      <c r="M3053" s="21"/>
      <c r="N3053" s="21"/>
    </row>
    <row r="3054" spans="1:14" ht="15.75" customHeight="1" x14ac:dyDescent="0.25">
      <c r="A3054" s="7">
        <v>1</v>
      </c>
      <c r="B3054" s="41" t="s">
        <v>1267</v>
      </c>
      <c r="C3054" s="7">
        <v>2</v>
      </c>
      <c r="D3054" s="7" t="s">
        <v>243</v>
      </c>
      <c r="E3054" s="104">
        <v>58000000</v>
      </c>
      <c r="F3054" s="104">
        <f>E3054*C3054</f>
        <v>116000000</v>
      </c>
      <c r="G3054" s="25"/>
      <c r="H3054" s="11"/>
      <c r="I3054" s="21"/>
      <c r="J3054" s="21"/>
      <c r="K3054" s="21"/>
      <c r="L3054" s="21"/>
      <c r="M3054" s="21"/>
      <c r="N3054" s="21"/>
    </row>
    <row r="3055" spans="1:14" ht="15.75" customHeight="1" x14ac:dyDescent="0.25">
      <c r="A3055" s="7">
        <v>2</v>
      </c>
      <c r="B3055" s="41" t="s">
        <v>1268</v>
      </c>
      <c r="C3055" s="7">
        <v>2</v>
      </c>
      <c r="D3055" s="7" t="s">
        <v>243</v>
      </c>
      <c r="E3055" s="104">
        <v>65000000</v>
      </c>
      <c r="F3055" s="104">
        <f>E3055*C3055</f>
        <v>130000000</v>
      </c>
      <c r="G3055" s="25"/>
      <c r="H3055" s="11"/>
      <c r="I3055" s="21"/>
      <c r="J3055" s="21"/>
      <c r="K3055" s="21"/>
      <c r="L3055" s="21"/>
      <c r="M3055" s="21"/>
      <c r="N3055" s="21"/>
    </row>
    <row r="3056" spans="1:14" ht="15.75" customHeight="1" x14ac:dyDescent="0.25">
      <c r="A3056" s="7"/>
      <c r="B3056" s="343" t="s">
        <v>342</v>
      </c>
      <c r="C3056" s="344"/>
      <c r="D3056" s="344"/>
      <c r="E3056" s="334"/>
      <c r="F3056" s="104">
        <f>SUM(F3054:F3055)</f>
        <v>246000000</v>
      </c>
      <c r="G3056" s="25"/>
      <c r="H3056" s="11"/>
      <c r="I3056" s="21"/>
      <c r="J3056" s="21"/>
      <c r="K3056" s="21"/>
      <c r="L3056" s="21"/>
      <c r="M3056" s="21"/>
      <c r="N3056" s="21"/>
    </row>
    <row r="3057" spans="1:14" ht="15.75" customHeight="1" x14ac:dyDescent="0.25">
      <c r="A3057" s="7"/>
      <c r="B3057" s="343" t="s">
        <v>343</v>
      </c>
      <c r="C3057" s="344"/>
      <c r="D3057" s="344"/>
      <c r="E3057" s="334"/>
      <c r="F3057" s="104">
        <v>27060000</v>
      </c>
      <c r="G3057" s="25"/>
      <c r="H3057" s="11"/>
      <c r="I3057" s="21"/>
      <c r="J3057" s="21"/>
      <c r="K3057" s="21"/>
      <c r="L3057" s="21"/>
      <c r="M3057" s="21"/>
      <c r="N3057" s="21"/>
    </row>
    <row r="3058" spans="1:14" ht="15.75" customHeight="1" x14ac:dyDescent="0.25">
      <c r="A3058" s="7"/>
      <c r="B3058" s="345" t="s">
        <v>344</v>
      </c>
      <c r="C3058" s="344"/>
      <c r="D3058" s="344"/>
      <c r="E3058" s="334"/>
      <c r="F3058" s="107">
        <f>SUM(F3056:F3057)</f>
        <v>273060000</v>
      </c>
      <c r="G3058" s="25"/>
      <c r="H3058" s="11"/>
      <c r="I3058" s="21"/>
      <c r="J3058" s="21"/>
      <c r="K3058" s="21"/>
      <c r="L3058" s="21"/>
      <c r="M3058" s="21"/>
      <c r="N3058" s="21"/>
    </row>
    <row r="3059" spans="1:14" ht="15.75" customHeight="1" x14ac:dyDescent="0.25">
      <c r="A3059" s="21"/>
      <c r="B3059" s="21"/>
      <c r="C3059" s="11"/>
      <c r="D3059" s="11"/>
      <c r="E3059" s="21"/>
      <c r="F3059" s="21"/>
      <c r="G3059" s="25"/>
      <c r="H3059" s="11"/>
      <c r="I3059" s="21"/>
      <c r="J3059" s="21"/>
      <c r="K3059" s="21"/>
      <c r="L3059" s="21"/>
      <c r="M3059" s="21"/>
      <c r="N3059" s="21"/>
    </row>
    <row r="3060" spans="1:14" ht="15.75" customHeight="1" x14ac:dyDescent="0.25">
      <c r="A3060" s="31" t="s">
        <v>14</v>
      </c>
      <c r="B3060" s="31" t="s">
        <v>234</v>
      </c>
      <c r="C3060" s="31" t="s">
        <v>16</v>
      </c>
      <c r="D3060" s="31" t="s">
        <v>17</v>
      </c>
      <c r="E3060" s="31" t="s">
        <v>235</v>
      </c>
      <c r="F3060" s="31" t="s">
        <v>236</v>
      </c>
      <c r="G3060" s="25"/>
      <c r="H3060" s="11"/>
      <c r="I3060" s="21"/>
      <c r="J3060" s="21"/>
      <c r="K3060" s="21"/>
      <c r="L3060" s="21"/>
      <c r="M3060" s="21"/>
      <c r="N3060" s="21"/>
    </row>
    <row r="3061" spans="1:14" ht="15.75" customHeight="1" x14ac:dyDescent="0.25">
      <c r="A3061" s="10">
        <v>1</v>
      </c>
      <c r="B3061" s="38" t="s">
        <v>1157</v>
      </c>
      <c r="C3061" s="7">
        <v>8</v>
      </c>
      <c r="D3061" s="7" t="s">
        <v>19</v>
      </c>
      <c r="E3061" s="104">
        <v>1136500</v>
      </c>
      <c r="F3061" s="104">
        <f t="shared" ref="F3061:F3072" si="29">E3061*C3061</f>
        <v>9092000</v>
      </c>
      <c r="G3061" s="25"/>
      <c r="H3061" s="11"/>
      <c r="I3061" s="21"/>
      <c r="J3061" s="21"/>
      <c r="K3061" s="21"/>
      <c r="L3061" s="21"/>
      <c r="M3061" s="21"/>
      <c r="N3061" s="21"/>
    </row>
    <row r="3062" spans="1:14" ht="15.75" customHeight="1" x14ac:dyDescent="0.25">
      <c r="A3062" s="7">
        <v>2</v>
      </c>
      <c r="B3062" s="124" t="s">
        <v>1158</v>
      </c>
      <c r="C3062" s="7">
        <v>8</v>
      </c>
      <c r="D3062" s="7" t="s">
        <v>19</v>
      </c>
      <c r="E3062" s="104">
        <v>45500</v>
      </c>
      <c r="F3062" s="104">
        <f t="shared" si="29"/>
        <v>364000</v>
      </c>
      <c r="G3062" s="25"/>
      <c r="H3062" s="11"/>
      <c r="I3062" s="21"/>
      <c r="J3062" s="21"/>
      <c r="K3062" s="21"/>
      <c r="L3062" s="21"/>
      <c r="M3062" s="21"/>
      <c r="N3062" s="21"/>
    </row>
    <row r="3063" spans="1:14" ht="15.75" customHeight="1" x14ac:dyDescent="0.25">
      <c r="A3063" s="7">
        <v>3</v>
      </c>
      <c r="B3063" s="131" t="s">
        <v>1159</v>
      </c>
      <c r="C3063" s="7">
        <v>8</v>
      </c>
      <c r="D3063" s="7" t="s">
        <v>19</v>
      </c>
      <c r="E3063" s="104">
        <v>985000</v>
      </c>
      <c r="F3063" s="104">
        <f t="shared" si="29"/>
        <v>7880000</v>
      </c>
      <c r="G3063" s="25"/>
      <c r="H3063" s="11"/>
      <c r="I3063" s="21"/>
      <c r="J3063" s="21"/>
      <c r="K3063" s="21"/>
      <c r="L3063" s="21"/>
      <c r="M3063" s="21"/>
      <c r="N3063" s="21"/>
    </row>
    <row r="3064" spans="1:14" ht="15.75" customHeight="1" x14ac:dyDescent="0.25">
      <c r="A3064" s="7">
        <v>4</v>
      </c>
      <c r="B3064" s="35" t="s">
        <v>1160</v>
      </c>
      <c r="C3064" s="7">
        <v>48</v>
      </c>
      <c r="D3064" s="7" t="s">
        <v>19</v>
      </c>
      <c r="E3064" s="104">
        <v>785500</v>
      </c>
      <c r="F3064" s="104">
        <f t="shared" si="29"/>
        <v>37704000</v>
      </c>
      <c r="G3064" s="25"/>
      <c r="H3064" s="11"/>
      <c r="I3064" s="21"/>
      <c r="J3064" s="21"/>
      <c r="K3064" s="21"/>
      <c r="L3064" s="21"/>
      <c r="M3064" s="21"/>
      <c r="N3064" s="21"/>
    </row>
    <row r="3065" spans="1:14" ht="15.75" customHeight="1" x14ac:dyDescent="0.25">
      <c r="A3065" s="7">
        <v>5</v>
      </c>
      <c r="B3065" s="41" t="s">
        <v>1161</v>
      </c>
      <c r="C3065" s="7">
        <v>48</v>
      </c>
      <c r="D3065" s="7" t="s">
        <v>19</v>
      </c>
      <c r="E3065" s="104">
        <v>36500</v>
      </c>
      <c r="F3065" s="104">
        <f t="shared" si="29"/>
        <v>1752000</v>
      </c>
      <c r="G3065" s="25"/>
      <c r="H3065" s="11"/>
      <c r="I3065" s="21"/>
      <c r="J3065" s="21"/>
      <c r="K3065" s="21"/>
      <c r="L3065" s="21"/>
      <c r="M3065" s="21"/>
      <c r="N3065" s="21"/>
    </row>
    <row r="3066" spans="1:14" ht="15.75" customHeight="1" x14ac:dyDescent="0.25">
      <c r="A3066" s="7">
        <v>6</v>
      </c>
      <c r="B3066" s="41" t="s">
        <v>1162</v>
      </c>
      <c r="C3066" s="7">
        <v>8</v>
      </c>
      <c r="D3066" s="7" t="s">
        <v>19</v>
      </c>
      <c r="E3066" s="104">
        <v>3956000</v>
      </c>
      <c r="F3066" s="104">
        <f t="shared" si="29"/>
        <v>31648000</v>
      </c>
      <c r="G3066" s="25"/>
      <c r="H3066" s="11"/>
      <c r="I3066" s="21"/>
      <c r="J3066" s="21"/>
      <c r="K3066" s="21"/>
      <c r="L3066" s="21"/>
      <c r="M3066" s="21"/>
      <c r="N3066" s="21"/>
    </row>
    <row r="3067" spans="1:14" ht="15.75" customHeight="1" x14ac:dyDescent="0.25">
      <c r="A3067" s="7">
        <v>7</v>
      </c>
      <c r="B3067" s="35" t="s">
        <v>1163</v>
      </c>
      <c r="C3067" s="7">
        <v>8</v>
      </c>
      <c r="D3067" s="7" t="s">
        <v>19</v>
      </c>
      <c r="E3067" s="104">
        <v>8891000</v>
      </c>
      <c r="F3067" s="104">
        <f t="shared" si="29"/>
        <v>71128000</v>
      </c>
      <c r="G3067" s="25"/>
      <c r="H3067" s="11"/>
      <c r="I3067" s="21"/>
      <c r="J3067" s="21"/>
      <c r="K3067" s="21"/>
      <c r="L3067" s="21"/>
      <c r="M3067" s="21"/>
      <c r="N3067" s="21"/>
    </row>
    <row r="3068" spans="1:14" ht="15.75" customHeight="1" x14ac:dyDescent="0.25">
      <c r="A3068" s="7">
        <v>8</v>
      </c>
      <c r="B3068" s="41" t="s">
        <v>1164</v>
      </c>
      <c r="C3068" s="7">
        <v>8</v>
      </c>
      <c r="D3068" s="7" t="s">
        <v>251</v>
      </c>
      <c r="E3068" s="104">
        <v>1241300</v>
      </c>
      <c r="F3068" s="104">
        <f t="shared" si="29"/>
        <v>9930400</v>
      </c>
      <c r="G3068" s="25"/>
      <c r="H3068" s="11"/>
      <c r="I3068" s="21"/>
      <c r="J3068" s="21"/>
      <c r="K3068" s="21"/>
      <c r="L3068" s="21"/>
      <c r="M3068" s="21"/>
      <c r="N3068" s="21"/>
    </row>
    <row r="3069" spans="1:14" ht="15.75" customHeight="1" x14ac:dyDescent="0.25">
      <c r="A3069" s="7">
        <v>9</v>
      </c>
      <c r="B3069" s="41" t="s">
        <v>1165</v>
      </c>
      <c r="C3069" s="7">
        <v>384</v>
      </c>
      <c r="D3069" s="7" t="s">
        <v>19</v>
      </c>
      <c r="E3069" s="104">
        <v>32500</v>
      </c>
      <c r="F3069" s="104">
        <f t="shared" si="29"/>
        <v>12480000</v>
      </c>
      <c r="G3069" s="25"/>
      <c r="H3069" s="11"/>
      <c r="I3069" s="21"/>
      <c r="J3069" s="21"/>
      <c r="K3069" s="21"/>
      <c r="L3069" s="21"/>
      <c r="M3069" s="21"/>
      <c r="N3069" s="21"/>
    </row>
    <row r="3070" spans="1:14" ht="15.75" customHeight="1" x14ac:dyDescent="0.25">
      <c r="A3070" s="7">
        <v>10</v>
      </c>
      <c r="B3070" s="35" t="s">
        <v>1166</v>
      </c>
      <c r="C3070" s="7">
        <v>64</v>
      </c>
      <c r="D3070" s="7" t="s">
        <v>19</v>
      </c>
      <c r="E3070" s="104">
        <v>49800</v>
      </c>
      <c r="F3070" s="104">
        <f t="shared" si="29"/>
        <v>3187200</v>
      </c>
      <c r="G3070" s="25"/>
      <c r="H3070" s="11"/>
      <c r="I3070" s="21"/>
      <c r="J3070" s="21"/>
      <c r="K3070" s="21"/>
      <c r="L3070" s="21"/>
      <c r="M3070" s="21"/>
      <c r="N3070" s="21"/>
    </row>
    <row r="3071" spans="1:14" ht="15.75" customHeight="1" x14ac:dyDescent="0.25">
      <c r="A3071" s="7">
        <v>11</v>
      </c>
      <c r="B3071" s="41" t="s">
        <v>1167</v>
      </c>
      <c r="C3071" s="7">
        <v>40</v>
      </c>
      <c r="D3071" s="7" t="s">
        <v>19</v>
      </c>
      <c r="E3071" s="104">
        <v>478000</v>
      </c>
      <c r="F3071" s="104">
        <f t="shared" si="29"/>
        <v>19120000</v>
      </c>
      <c r="G3071" s="25"/>
      <c r="H3071" s="11"/>
      <c r="I3071" s="21"/>
      <c r="J3071" s="21"/>
      <c r="K3071" s="21"/>
      <c r="L3071" s="21"/>
      <c r="M3071" s="21"/>
      <c r="N3071" s="21"/>
    </row>
    <row r="3072" spans="1:14" ht="15.75" customHeight="1" x14ac:dyDescent="0.25">
      <c r="A3072" s="7">
        <v>12</v>
      </c>
      <c r="B3072" s="41" t="s">
        <v>1168</v>
      </c>
      <c r="C3072" s="7">
        <v>1</v>
      </c>
      <c r="D3072" s="7" t="s">
        <v>347</v>
      </c>
      <c r="E3072" s="104">
        <v>4169800</v>
      </c>
      <c r="F3072" s="104">
        <f t="shared" si="29"/>
        <v>4169800</v>
      </c>
      <c r="G3072" s="25"/>
      <c r="H3072" s="11"/>
      <c r="I3072" s="21"/>
      <c r="J3072" s="21"/>
      <c r="K3072" s="21"/>
      <c r="L3072" s="21"/>
      <c r="M3072" s="21"/>
      <c r="N3072" s="21"/>
    </row>
    <row r="3073" spans="1:14" ht="15.75" customHeight="1" x14ac:dyDescent="0.25">
      <c r="A3073" s="7"/>
      <c r="B3073" s="343" t="s">
        <v>342</v>
      </c>
      <c r="C3073" s="344"/>
      <c r="D3073" s="344"/>
      <c r="E3073" s="334"/>
      <c r="F3073" s="104">
        <f>SUM(F3061:F3072)</f>
        <v>208455400</v>
      </c>
      <c r="G3073" s="25"/>
      <c r="H3073" s="11"/>
      <c r="I3073" s="21"/>
      <c r="J3073" s="21"/>
      <c r="K3073" s="21"/>
      <c r="L3073" s="21"/>
      <c r="M3073" s="21"/>
      <c r="N3073" s="21"/>
    </row>
    <row r="3074" spans="1:14" ht="15.75" customHeight="1" x14ac:dyDescent="0.25">
      <c r="A3074" s="7"/>
      <c r="B3074" s="343" t="s">
        <v>1068</v>
      </c>
      <c r="C3074" s="344"/>
      <c r="D3074" s="344"/>
      <c r="E3074" s="334"/>
      <c r="F3074" s="104">
        <v>10422770</v>
      </c>
      <c r="G3074" s="25"/>
      <c r="H3074" s="11"/>
      <c r="I3074" s="21"/>
      <c r="J3074" s="21"/>
      <c r="K3074" s="21"/>
      <c r="L3074" s="21"/>
      <c r="M3074" s="21"/>
      <c r="N3074" s="21"/>
    </row>
    <row r="3075" spans="1:14" ht="15.75" customHeight="1" x14ac:dyDescent="0.25">
      <c r="A3075" s="7"/>
      <c r="B3075" s="345" t="s">
        <v>342</v>
      </c>
      <c r="C3075" s="344"/>
      <c r="D3075" s="344"/>
      <c r="E3075" s="334"/>
      <c r="F3075" s="107">
        <f>F3073-F3074</f>
        <v>198032630</v>
      </c>
      <c r="G3075" s="25"/>
      <c r="H3075" s="11"/>
      <c r="I3075" s="21"/>
      <c r="J3075" s="21"/>
      <c r="K3075" s="21"/>
      <c r="L3075" s="21"/>
      <c r="M3075" s="21"/>
      <c r="N3075" s="21"/>
    </row>
    <row r="3076" spans="1:14" ht="15.75" customHeight="1" x14ac:dyDescent="0.25">
      <c r="A3076" s="7"/>
      <c r="B3076" s="345" t="s">
        <v>1269</v>
      </c>
      <c r="C3076" s="344"/>
      <c r="D3076" s="344"/>
      <c r="E3076" s="334"/>
      <c r="F3076" s="107">
        <v>118819578</v>
      </c>
      <c r="G3076" s="25"/>
      <c r="H3076" s="11"/>
      <c r="I3076" s="21"/>
      <c r="J3076" s="21"/>
      <c r="K3076" s="21"/>
      <c r="L3076" s="21"/>
      <c r="M3076" s="21"/>
      <c r="N3076" s="21"/>
    </row>
    <row r="3077" spans="1:14" ht="15.75" customHeight="1" x14ac:dyDescent="0.25">
      <c r="A3077" s="7"/>
      <c r="B3077" s="343" t="s">
        <v>343</v>
      </c>
      <c r="C3077" s="344"/>
      <c r="D3077" s="344"/>
      <c r="E3077" s="334"/>
      <c r="F3077" s="104">
        <v>13070153.6</v>
      </c>
      <c r="G3077" s="25"/>
      <c r="H3077" s="11"/>
      <c r="I3077" s="21"/>
      <c r="J3077" s="21"/>
      <c r="K3077" s="21"/>
      <c r="L3077" s="21"/>
      <c r="M3077" s="21"/>
      <c r="N3077" s="21"/>
    </row>
    <row r="3078" spans="1:14" ht="15.75" customHeight="1" x14ac:dyDescent="0.25">
      <c r="A3078" s="7"/>
      <c r="B3078" s="345" t="s">
        <v>344</v>
      </c>
      <c r="C3078" s="344"/>
      <c r="D3078" s="344"/>
      <c r="E3078" s="334"/>
      <c r="F3078" s="107">
        <f>SUM(F3076:F3077)</f>
        <v>131889731.59999999</v>
      </c>
      <c r="G3078" s="25"/>
      <c r="H3078" s="11"/>
      <c r="I3078" s="21"/>
      <c r="J3078" s="21"/>
      <c r="K3078" s="21"/>
      <c r="L3078" s="21"/>
      <c r="M3078" s="21"/>
      <c r="N3078" s="21"/>
    </row>
    <row r="3079" spans="1:14" ht="15.75" customHeight="1" x14ac:dyDescent="0.25">
      <c r="A3079" s="21"/>
      <c r="B3079" s="21"/>
      <c r="C3079" s="11"/>
      <c r="D3079" s="11"/>
      <c r="E3079" s="21"/>
      <c r="F3079" s="21"/>
      <c r="G3079" s="25"/>
      <c r="H3079" s="11"/>
      <c r="I3079" s="21"/>
      <c r="J3079" s="21"/>
      <c r="K3079" s="21"/>
      <c r="L3079" s="21"/>
      <c r="M3079" s="21"/>
      <c r="N3079" s="21"/>
    </row>
    <row r="3080" spans="1:14" ht="15.75" customHeight="1" x14ac:dyDescent="0.25">
      <c r="A3080" s="31" t="s">
        <v>351</v>
      </c>
      <c r="B3080" s="31" t="s">
        <v>234</v>
      </c>
      <c r="C3080" s="31" t="s">
        <v>16</v>
      </c>
      <c r="D3080" s="31" t="s">
        <v>17</v>
      </c>
      <c r="E3080" s="31" t="s">
        <v>235</v>
      </c>
      <c r="F3080" s="31" t="s">
        <v>236</v>
      </c>
      <c r="G3080" s="25"/>
      <c r="H3080" s="11"/>
      <c r="I3080" s="21"/>
      <c r="J3080" s="21"/>
      <c r="K3080" s="21"/>
      <c r="L3080" s="21"/>
      <c r="M3080" s="21"/>
      <c r="N3080" s="21"/>
    </row>
    <row r="3081" spans="1:14" ht="15.75" customHeight="1" x14ac:dyDescent="0.25">
      <c r="A3081" s="7">
        <v>1</v>
      </c>
      <c r="B3081" s="41" t="s">
        <v>1270</v>
      </c>
      <c r="C3081" s="7">
        <v>1</v>
      </c>
      <c r="D3081" s="7" t="s">
        <v>19</v>
      </c>
      <c r="E3081" s="104">
        <v>111550</v>
      </c>
      <c r="F3081" s="104">
        <f>E3081*C3081</f>
        <v>111550</v>
      </c>
      <c r="G3081" s="25"/>
      <c r="H3081" s="11"/>
      <c r="I3081" s="21"/>
      <c r="J3081" s="21"/>
      <c r="K3081" s="21"/>
      <c r="L3081" s="21"/>
      <c r="M3081" s="21"/>
      <c r="N3081" s="21"/>
    </row>
    <row r="3082" spans="1:14" ht="15.75" customHeight="1" x14ac:dyDescent="0.25">
      <c r="A3082" s="7">
        <v>2</v>
      </c>
      <c r="B3082" s="41" t="s">
        <v>1271</v>
      </c>
      <c r="C3082" s="7">
        <v>6</v>
      </c>
      <c r="D3082" s="7" t="s">
        <v>19</v>
      </c>
      <c r="E3082" s="104">
        <v>71780</v>
      </c>
      <c r="F3082" s="104">
        <f>E3082*C3082</f>
        <v>430680</v>
      </c>
      <c r="G3082" s="25"/>
      <c r="H3082" s="11"/>
      <c r="I3082" s="21"/>
      <c r="J3082" s="21"/>
      <c r="K3082" s="21"/>
      <c r="L3082" s="21"/>
      <c r="M3082" s="21"/>
      <c r="N3082" s="21"/>
    </row>
    <row r="3083" spans="1:14" ht="15.75" customHeight="1" x14ac:dyDescent="0.25">
      <c r="A3083" s="7"/>
      <c r="B3083" s="343" t="s">
        <v>342</v>
      </c>
      <c r="C3083" s="344"/>
      <c r="D3083" s="344"/>
      <c r="E3083" s="334"/>
      <c r="F3083" s="104">
        <f>SUM(F3081:F3082)</f>
        <v>542230</v>
      </c>
      <c r="G3083" s="25"/>
      <c r="H3083" s="11"/>
      <c r="I3083" s="21"/>
      <c r="J3083" s="21"/>
      <c r="K3083" s="21"/>
      <c r="L3083" s="21"/>
      <c r="M3083" s="21"/>
      <c r="N3083" s="21"/>
    </row>
    <row r="3084" spans="1:14" ht="15.75" customHeight="1" x14ac:dyDescent="0.25">
      <c r="A3084" s="7"/>
      <c r="B3084" s="343" t="s">
        <v>343</v>
      </c>
      <c r="C3084" s="344"/>
      <c r="D3084" s="344"/>
      <c r="E3084" s="334"/>
      <c r="F3084" s="108">
        <v>59645.3</v>
      </c>
      <c r="G3084" s="25"/>
      <c r="H3084" s="11"/>
      <c r="I3084" s="21"/>
      <c r="J3084" s="21"/>
      <c r="K3084" s="21"/>
      <c r="L3084" s="21"/>
      <c r="M3084" s="21"/>
      <c r="N3084" s="21"/>
    </row>
    <row r="3085" spans="1:14" ht="15.75" customHeight="1" x14ac:dyDescent="0.25">
      <c r="A3085" s="7"/>
      <c r="B3085" s="345" t="s">
        <v>344</v>
      </c>
      <c r="C3085" s="344"/>
      <c r="D3085" s="344"/>
      <c r="E3085" s="334"/>
      <c r="F3085" s="109">
        <f>SUM(F3083:F3084)</f>
        <v>601875.30000000005</v>
      </c>
      <c r="G3085" s="25"/>
      <c r="H3085" s="11"/>
      <c r="I3085" s="21"/>
      <c r="J3085" s="21"/>
      <c r="K3085" s="21"/>
      <c r="L3085" s="21"/>
      <c r="M3085" s="21"/>
      <c r="N3085" s="21"/>
    </row>
    <row r="3086" spans="1:14" ht="15.75" customHeight="1" x14ac:dyDescent="0.25">
      <c r="A3086" s="21"/>
      <c r="B3086" s="21"/>
      <c r="C3086" s="11"/>
      <c r="D3086" s="11"/>
      <c r="E3086" s="21"/>
      <c r="F3086" s="21"/>
      <c r="G3086" s="25"/>
      <c r="H3086" s="11"/>
      <c r="I3086" s="21"/>
      <c r="J3086" s="21"/>
      <c r="K3086" s="21"/>
      <c r="L3086" s="21"/>
      <c r="M3086" s="21"/>
      <c r="N3086" s="21"/>
    </row>
    <row r="3087" spans="1:14" ht="15.75" customHeight="1" x14ac:dyDescent="0.25">
      <c r="A3087" s="31" t="s">
        <v>14</v>
      </c>
      <c r="B3087" s="31" t="s">
        <v>234</v>
      </c>
      <c r="C3087" s="31" t="s">
        <v>16</v>
      </c>
      <c r="D3087" s="31" t="s">
        <v>17</v>
      </c>
      <c r="E3087" s="31" t="s">
        <v>235</v>
      </c>
      <c r="F3087" s="31" t="s">
        <v>236</v>
      </c>
      <c r="G3087" s="25"/>
      <c r="H3087" s="11"/>
      <c r="I3087" s="21"/>
      <c r="J3087" s="21"/>
      <c r="K3087" s="21"/>
      <c r="L3087" s="21"/>
      <c r="M3087" s="21"/>
      <c r="N3087" s="21"/>
    </row>
    <row r="3088" spans="1:14" ht="15.75" customHeight="1" x14ac:dyDescent="0.25">
      <c r="A3088" s="7">
        <v>1</v>
      </c>
      <c r="B3088" s="155" t="s">
        <v>1272</v>
      </c>
      <c r="C3088" s="129">
        <v>2</v>
      </c>
      <c r="D3088" s="7" t="s">
        <v>243</v>
      </c>
      <c r="E3088" s="130">
        <v>35500000</v>
      </c>
      <c r="F3088" s="130">
        <f>E3088*C3088</f>
        <v>71000000</v>
      </c>
      <c r="G3088" s="25"/>
      <c r="H3088" s="11"/>
      <c r="I3088" s="21"/>
      <c r="J3088" s="21"/>
      <c r="K3088" s="21"/>
      <c r="L3088" s="21"/>
      <c r="M3088" s="21"/>
      <c r="N3088" s="21"/>
    </row>
    <row r="3089" spans="1:14" ht="15.75" customHeight="1" x14ac:dyDescent="0.25">
      <c r="A3089" s="7"/>
      <c r="B3089" s="343" t="s">
        <v>342</v>
      </c>
      <c r="C3089" s="344"/>
      <c r="D3089" s="344"/>
      <c r="E3089" s="334"/>
      <c r="F3089" s="104">
        <f>SUM(F3088)</f>
        <v>71000000</v>
      </c>
      <c r="G3089" s="25"/>
      <c r="H3089" s="11"/>
      <c r="I3089" s="21"/>
      <c r="J3089" s="21"/>
      <c r="K3089" s="21"/>
      <c r="L3089" s="21"/>
      <c r="M3089" s="21"/>
      <c r="N3089" s="21"/>
    </row>
    <row r="3090" spans="1:14" ht="15.75" customHeight="1" x14ac:dyDescent="0.25">
      <c r="A3090" s="7"/>
      <c r="B3090" s="343" t="s">
        <v>343</v>
      </c>
      <c r="C3090" s="344"/>
      <c r="D3090" s="344"/>
      <c r="E3090" s="334"/>
      <c r="F3090" s="104">
        <v>7810000</v>
      </c>
      <c r="G3090" s="25"/>
      <c r="H3090" s="11"/>
      <c r="I3090" s="21"/>
      <c r="J3090" s="21"/>
      <c r="K3090" s="21"/>
      <c r="L3090" s="21"/>
      <c r="M3090" s="21"/>
      <c r="N3090" s="21"/>
    </row>
    <row r="3091" spans="1:14" ht="15.75" customHeight="1" x14ac:dyDescent="0.25">
      <c r="A3091" s="7"/>
      <c r="B3091" s="345" t="s">
        <v>344</v>
      </c>
      <c r="C3091" s="344"/>
      <c r="D3091" s="344"/>
      <c r="E3091" s="334"/>
      <c r="F3091" s="107">
        <f>SUM(F3089:F3090)</f>
        <v>78810000</v>
      </c>
      <c r="G3091" s="25"/>
      <c r="H3091" s="11"/>
      <c r="I3091" s="21"/>
      <c r="J3091" s="21"/>
      <c r="K3091" s="21"/>
      <c r="L3091" s="21"/>
      <c r="M3091" s="21"/>
      <c r="N3091" s="21"/>
    </row>
    <row r="3092" spans="1:14" ht="15.75" customHeight="1" x14ac:dyDescent="0.25">
      <c r="A3092" s="21"/>
      <c r="B3092" s="21"/>
      <c r="C3092" s="11"/>
      <c r="D3092" s="11"/>
      <c r="E3092" s="21"/>
      <c r="F3092" s="21"/>
      <c r="G3092" s="25"/>
      <c r="H3092" s="11"/>
      <c r="I3092" s="21"/>
      <c r="J3092" s="21"/>
      <c r="K3092" s="21"/>
      <c r="L3092" s="21"/>
      <c r="M3092" s="21"/>
      <c r="N3092" s="21"/>
    </row>
    <row r="3093" spans="1:14" ht="15.75" customHeight="1" x14ac:dyDescent="0.25">
      <c r="A3093" s="31" t="s">
        <v>14</v>
      </c>
      <c r="B3093" s="31" t="s">
        <v>234</v>
      </c>
      <c r="C3093" s="31" t="s">
        <v>16</v>
      </c>
      <c r="D3093" s="31" t="s">
        <v>17</v>
      </c>
      <c r="E3093" s="31" t="s">
        <v>235</v>
      </c>
      <c r="F3093" s="31" t="s">
        <v>236</v>
      </c>
      <c r="G3093" s="25"/>
      <c r="H3093" s="11"/>
      <c r="I3093" s="21"/>
      <c r="J3093" s="21"/>
      <c r="K3093" s="21"/>
      <c r="L3093" s="21"/>
      <c r="M3093" s="21"/>
      <c r="N3093" s="21"/>
    </row>
    <row r="3094" spans="1:14" ht="15.75" customHeight="1" x14ac:dyDescent="0.25">
      <c r="A3094" s="7">
        <v>1</v>
      </c>
      <c r="B3094" s="155" t="s">
        <v>1273</v>
      </c>
      <c r="C3094" s="129">
        <v>2</v>
      </c>
      <c r="D3094" s="7" t="s">
        <v>347</v>
      </c>
      <c r="E3094" s="130">
        <v>1900000</v>
      </c>
      <c r="F3094" s="130">
        <f>E3094*C3094</f>
        <v>3800000</v>
      </c>
      <c r="G3094" s="25"/>
      <c r="H3094" s="11"/>
      <c r="I3094" s="21"/>
      <c r="J3094" s="21"/>
      <c r="K3094" s="21"/>
      <c r="L3094" s="21"/>
      <c r="M3094" s="21"/>
      <c r="N3094" s="21"/>
    </row>
    <row r="3095" spans="1:14" ht="15.75" customHeight="1" x14ac:dyDescent="0.25">
      <c r="A3095" s="7"/>
      <c r="B3095" s="343" t="s">
        <v>342</v>
      </c>
      <c r="C3095" s="344"/>
      <c r="D3095" s="344"/>
      <c r="E3095" s="334"/>
      <c r="F3095" s="104">
        <f>SUM(F3094)</f>
        <v>3800000</v>
      </c>
      <c r="G3095" s="25"/>
      <c r="H3095" s="11"/>
      <c r="I3095" s="21"/>
      <c r="J3095" s="21"/>
      <c r="K3095" s="21"/>
      <c r="L3095" s="21"/>
      <c r="M3095" s="21"/>
      <c r="N3095" s="21"/>
    </row>
    <row r="3096" spans="1:14" ht="15.75" customHeight="1" x14ac:dyDescent="0.25">
      <c r="A3096" s="7"/>
      <c r="B3096" s="343" t="s">
        <v>343</v>
      </c>
      <c r="C3096" s="344"/>
      <c r="D3096" s="344"/>
      <c r="E3096" s="334"/>
      <c r="F3096" s="104">
        <v>418000</v>
      </c>
      <c r="G3096" s="25"/>
      <c r="H3096" s="11"/>
      <c r="I3096" s="21"/>
      <c r="J3096" s="21"/>
      <c r="K3096" s="21"/>
      <c r="L3096" s="21"/>
      <c r="M3096" s="21"/>
      <c r="N3096" s="21"/>
    </row>
    <row r="3097" spans="1:14" ht="15.75" customHeight="1" x14ac:dyDescent="0.25">
      <c r="A3097" s="7"/>
      <c r="B3097" s="345" t="s">
        <v>344</v>
      </c>
      <c r="C3097" s="344"/>
      <c r="D3097" s="344"/>
      <c r="E3097" s="334"/>
      <c r="F3097" s="107">
        <f>SUM(F3095:F3096)</f>
        <v>4218000</v>
      </c>
      <c r="G3097" s="25"/>
      <c r="H3097" s="11"/>
      <c r="I3097" s="21"/>
      <c r="J3097" s="21"/>
      <c r="K3097" s="21"/>
      <c r="L3097" s="21"/>
      <c r="M3097" s="21"/>
      <c r="N3097" s="21"/>
    </row>
    <row r="3098" spans="1:14" ht="15.75" customHeight="1" x14ac:dyDescent="0.25">
      <c r="A3098" s="21"/>
      <c r="B3098" s="21"/>
      <c r="C3098" s="11"/>
      <c r="D3098" s="11"/>
      <c r="E3098" s="21"/>
      <c r="F3098" s="21"/>
      <c r="G3098" s="25"/>
      <c r="H3098" s="11"/>
      <c r="I3098" s="21"/>
      <c r="J3098" s="21"/>
      <c r="K3098" s="21"/>
      <c r="L3098" s="21"/>
      <c r="M3098" s="21"/>
      <c r="N3098" s="21"/>
    </row>
    <row r="3099" spans="1:14" ht="15.75" customHeight="1" x14ac:dyDescent="0.25">
      <c r="A3099" s="31" t="s">
        <v>14</v>
      </c>
      <c r="B3099" s="31" t="s">
        <v>15</v>
      </c>
      <c r="C3099" s="31" t="s">
        <v>16</v>
      </c>
      <c r="D3099" s="31" t="s">
        <v>17</v>
      </c>
      <c r="E3099" s="31" t="s">
        <v>235</v>
      </c>
      <c r="F3099" s="31" t="s">
        <v>236</v>
      </c>
      <c r="G3099" s="25"/>
      <c r="H3099" s="11"/>
      <c r="I3099" s="21"/>
      <c r="J3099" s="21"/>
      <c r="K3099" s="21"/>
      <c r="L3099" s="21"/>
      <c r="M3099" s="21"/>
      <c r="N3099" s="21"/>
    </row>
    <row r="3100" spans="1:14" ht="15.75" customHeight="1" x14ac:dyDescent="0.25">
      <c r="A3100" s="7">
        <v>1</v>
      </c>
      <c r="B3100" s="124" t="s">
        <v>1274</v>
      </c>
      <c r="C3100" s="133">
        <v>300</v>
      </c>
      <c r="D3100" s="7" t="s">
        <v>19</v>
      </c>
      <c r="E3100" s="104">
        <v>1610</v>
      </c>
      <c r="F3100" s="104">
        <f t="shared" ref="F3100:F3105" si="30">E3100*C3100</f>
        <v>483000</v>
      </c>
      <c r="G3100" s="25"/>
      <c r="H3100" s="11"/>
      <c r="I3100" s="21"/>
      <c r="J3100" s="21"/>
      <c r="K3100" s="21"/>
      <c r="L3100" s="21"/>
      <c r="M3100" s="21"/>
      <c r="N3100" s="21"/>
    </row>
    <row r="3101" spans="1:14" ht="15.75" customHeight="1" x14ac:dyDescent="0.25">
      <c r="A3101" s="7">
        <v>2</v>
      </c>
      <c r="B3101" s="124" t="s">
        <v>1275</v>
      </c>
      <c r="C3101" s="133">
        <v>100</v>
      </c>
      <c r="D3101" s="7" t="s">
        <v>19</v>
      </c>
      <c r="E3101" s="104">
        <v>14812</v>
      </c>
      <c r="F3101" s="104">
        <f t="shared" si="30"/>
        <v>1481200</v>
      </c>
      <c r="G3101" s="25"/>
      <c r="H3101" s="11"/>
      <c r="I3101" s="21"/>
      <c r="J3101" s="21"/>
      <c r="K3101" s="21"/>
      <c r="L3101" s="21"/>
      <c r="M3101" s="21"/>
      <c r="N3101" s="21"/>
    </row>
    <row r="3102" spans="1:14" ht="15.75" customHeight="1" x14ac:dyDescent="0.25">
      <c r="A3102" s="7">
        <v>3</v>
      </c>
      <c r="B3102" s="124" t="s">
        <v>1276</v>
      </c>
      <c r="C3102" s="133">
        <v>200</v>
      </c>
      <c r="D3102" s="7" t="s">
        <v>19</v>
      </c>
      <c r="E3102" s="104">
        <v>7820</v>
      </c>
      <c r="F3102" s="104">
        <f t="shared" si="30"/>
        <v>1564000</v>
      </c>
      <c r="G3102" s="25"/>
      <c r="H3102" s="11"/>
      <c r="I3102" s="21"/>
      <c r="J3102" s="21"/>
      <c r="K3102" s="21"/>
      <c r="L3102" s="21"/>
      <c r="M3102" s="21"/>
      <c r="N3102" s="21"/>
    </row>
    <row r="3103" spans="1:14" ht="15.75" customHeight="1" x14ac:dyDescent="0.25">
      <c r="A3103" s="7">
        <v>4</v>
      </c>
      <c r="B3103" s="124" t="s">
        <v>1277</v>
      </c>
      <c r="C3103" s="133">
        <v>50</v>
      </c>
      <c r="D3103" s="7" t="s">
        <v>19</v>
      </c>
      <c r="E3103" s="104">
        <v>21620</v>
      </c>
      <c r="F3103" s="104">
        <f t="shared" si="30"/>
        <v>1081000</v>
      </c>
      <c r="G3103" s="25"/>
      <c r="H3103" s="11"/>
      <c r="I3103" s="21"/>
      <c r="J3103" s="21"/>
      <c r="K3103" s="21"/>
      <c r="L3103" s="21"/>
      <c r="M3103" s="21"/>
      <c r="N3103" s="21"/>
    </row>
    <row r="3104" spans="1:14" ht="15.75" customHeight="1" x14ac:dyDescent="0.25">
      <c r="A3104" s="7">
        <v>5</v>
      </c>
      <c r="B3104" s="124" t="s">
        <v>1278</v>
      </c>
      <c r="C3104" s="136">
        <v>50</v>
      </c>
      <c r="D3104" s="7" t="s">
        <v>19</v>
      </c>
      <c r="E3104" s="104">
        <v>19228</v>
      </c>
      <c r="F3104" s="104">
        <f t="shared" si="30"/>
        <v>961400</v>
      </c>
      <c r="G3104" s="25"/>
      <c r="H3104" s="11"/>
      <c r="I3104" s="21"/>
      <c r="J3104" s="21"/>
      <c r="K3104" s="21"/>
      <c r="L3104" s="21"/>
      <c r="M3104" s="21"/>
      <c r="N3104" s="21"/>
    </row>
    <row r="3105" spans="1:14" ht="15.75" customHeight="1" x14ac:dyDescent="0.25">
      <c r="A3105" s="7">
        <v>6</v>
      </c>
      <c r="B3105" s="124" t="s">
        <v>1279</v>
      </c>
      <c r="C3105" s="133">
        <v>50</v>
      </c>
      <c r="D3105" s="7" t="s">
        <v>19</v>
      </c>
      <c r="E3105" s="104">
        <v>37720</v>
      </c>
      <c r="F3105" s="104">
        <f t="shared" si="30"/>
        <v>1886000</v>
      </c>
      <c r="G3105" s="25"/>
      <c r="H3105" s="11"/>
      <c r="I3105" s="21"/>
      <c r="J3105" s="21"/>
      <c r="K3105" s="21"/>
      <c r="L3105" s="21"/>
      <c r="M3105" s="21"/>
      <c r="N3105" s="21"/>
    </row>
    <row r="3106" spans="1:14" ht="15.75" customHeight="1" x14ac:dyDescent="0.25">
      <c r="A3106" s="7"/>
      <c r="B3106" s="346" t="s">
        <v>342</v>
      </c>
      <c r="C3106" s="347"/>
      <c r="D3106" s="347"/>
      <c r="E3106" s="348"/>
      <c r="F3106" s="104">
        <f>SUM(F3100:F3105)</f>
        <v>7456600</v>
      </c>
      <c r="G3106" s="25"/>
      <c r="H3106" s="11"/>
      <c r="I3106" s="21"/>
      <c r="J3106" s="21"/>
      <c r="K3106" s="21"/>
      <c r="L3106" s="21"/>
      <c r="M3106" s="21"/>
      <c r="N3106" s="21"/>
    </row>
    <row r="3107" spans="1:14" ht="15.75" customHeight="1" x14ac:dyDescent="0.25">
      <c r="A3107" s="7"/>
      <c r="B3107" s="343" t="s">
        <v>343</v>
      </c>
      <c r="C3107" s="344"/>
      <c r="D3107" s="344"/>
      <c r="E3107" s="334"/>
      <c r="F3107" s="104">
        <v>820226</v>
      </c>
      <c r="G3107" s="25"/>
      <c r="H3107" s="11"/>
      <c r="I3107" s="21"/>
      <c r="J3107" s="21"/>
      <c r="K3107" s="21"/>
      <c r="L3107" s="21"/>
      <c r="M3107" s="21"/>
      <c r="N3107" s="21"/>
    </row>
    <row r="3108" spans="1:14" ht="15.75" customHeight="1" x14ac:dyDescent="0.25">
      <c r="A3108" s="7"/>
      <c r="B3108" s="345" t="s">
        <v>344</v>
      </c>
      <c r="C3108" s="344"/>
      <c r="D3108" s="344"/>
      <c r="E3108" s="334"/>
      <c r="F3108" s="107">
        <f>SUM(F3106:F3107)</f>
        <v>8276826</v>
      </c>
      <c r="G3108" s="25"/>
      <c r="H3108" s="11"/>
      <c r="I3108" s="21"/>
      <c r="J3108" s="21"/>
      <c r="K3108" s="21"/>
      <c r="L3108" s="21"/>
      <c r="M3108" s="21"/>
      <c r="N3108" s="21"/>
    </row>
    <row r="3109" spans="1:14" ht="15.75" customHeight="1" x14ac:dyDescent="0.25">
      <c r="A3109" s="21"/>
      <c r="B3109" s="21"/>
      <c r="C3109" s="11"/>
      <c r="D3109" s="11"/>
      <c r="E3109" s="21"/>
      <c r="F3109" s="21"/>
      <c r="G3109" s="25"/>
      <c r="H3109" s="11"/>
      <c r="I3109" s="21"/>
      <c r="J3109" s="21"/>
      <c r="K3109" s="21"/>
      <c r="L3109" s="21"/>
      <c r="M3109" s="21"/>
      <c r="N3109" s="21"/>
    </row>
    <row r="3110" spans="1:14" ht="15.75" customHeight="1" x14ac:dyDescent="0.25">
      <c r="A3110" s="31" t="s">
        <v>14</v>
      </c>
      <c r="B3110" s="31" t="s">
        <v>234</v>
      </c>
      <c r="C3110" s="31" t="s">
        <v>16</v>
      </c>
      <c r="D3110" s="31" t="s">
        <v>17</v>
      </c>
      <c r="E3110" s="31" t="s">
        <v>235</v>
      </c>
      <c r="F3110" s="31" t="s">
        <v>236</v>
      </c>
      <c r="G3110" s="25"/>
      <c r="H3110" s="11"/>
      <c r="I3110" s="21"/>
      <c r="J3110" s="21"/>
      <c r="K3110" s="21"/>
      <c r="L3110" s="21"/>
      <c r="M3110" s="21"/>
      <c r="N3110" s="21"/>
    </row>
    <row r="3111" spans="1:14" ht="15.75" customHeight="1" x14ac:dyDescent="0.25">
      <c r="A3111" s="7">
        <v>1</v>
      </c>
      <c r="B3111" s="155" t="s">
        <v>1280</v>
      </c>
      <c r="C3111" s="129">
        <v>3</v>
      </c>
      <c r="D3111" s="7" t="s">
        <v>363</v>
      </c>
      <c r="E3111" s="130">
        <v>35509</v>
      </c>
      <c r="F3111" s="130">
        <f>E3111*C3111</f>
        <v>106527</v>
      </c>
      <c r="G3111" s="25"/>
      <c r="H3111" s="11"/>
      <c r="I3111" s="21"/>
      <c r="J3111" s="21"/>
      <c r="K3111" s="21"/>
      <c r="L3111" s="21"/>
      <c r="M3111" s="21"/>
      <c r="N3111" s="21"/>
    </row>
    <row r="3112" spans="1:14" ht="15.75" customHeight="1" x14ac:dyDescent="0.25">
      <c r="A3112" s="7"/>
      <c r="B3112" s="343" t="s">
        <v>342</v>
      </c>
      <c r="C3112" s="344"/>
      <c r="D3112" s="344"/>
      <c r="E3112" s="334"/>
      <c r="F3112" s="104">
        <f>SUM(F3111)</f>
        <v>106527</v>
      </c>
      <c r="G3112" s="25"/>
      <c r="H3112" s="11"/>
      <c r="I3112" s="21"/>
      <c r="J3112" s="21"/>
      <c r="K3112" s="21"/>
      <c r="L3112" s="21"/>
      <c r="M3112" s="21"/>
      <c r="N3112" s="21"/>
    </row>
    <row r="3113" spans="1:14" ht="15.75" customHeight="1" x14ac:dyDescent="0.25">
      <c r="A3113" s="7"/>
      <c r="B3113" s="343" t="s">
        <v>343</v>
      </c>
      <c r="C3113" s="344"/>
      <c r="D3113" s="344"/>
      <c r="E3113" s="334"/>
      <c r="F3113" s="108">
        <v>11717.97</v>
      </c>
      <c r="G3113" s="25"/>
      <c r="H3113" s="11"/>
      <c r="I3113" s="21"/>
      <c r="J3113" s="21"/>
      <c r="K3113" s="21"/>
      <c r="L3113" s="21"/>
      <c r="M3113" s="21"/>
      <c r="N3113" s="21"/>
    </row>
    <row r="3114" spans="1:14" ht="15.75" customHeight="1" x14ac:dyDescent="0.25">
      <c r="A3114" s="7"/>
      <c r="B3114" s="345" t="s">
        <v>344</v>
      </c>
      <c r="C3114" s="344"/>
      <c r="D3114" s="344"/>
      <c r="E3114" s="334"/>
      <c r="F3114" s="109">
        <f>SUM(F3112:F3113)</f>
        <v>118244.97</v>
      </c>
      <c r="G3114" s="25"/>
      <c r="H3114" s="11"/>
      <c r="I3114" s="21"/>
      <c r="J3114" s="21"/>
      <c r="K3114" s="21"/>
      <c r="L3114" s="21"/>
      <c r="M3114" s="21"/>
      <c r="N3114" s="21"/>
    </row>
    <row r="3115" spans="1:14" ht="15.75" customHeight="1" x14ac:dyDescent="0.25">
      <c r="A3115" s="21"/>
      <c r="B3115" s="21"/>
      <c r="C3115" s="11"/>
      <c r="D3115" s="11"/>
      <c r="E3115" s="21"/>
      <c r="F3115" s="21"/>
      <c r="G3115" s="25"/>
      <c r="H3115" s="11"/>
      <c r="I3115" s="21"/>
      <c r="J3115" s="21"/>
      <c r="K3115" s="21"/>
      <c r="L3115" s="21"/>
      <c r="M3115" s="21"/>
      <c r="N3115" s="21"/>
    </row>
    <row r="3116" spans="1:14" ht="15.75" customHeight="1" x14ac:dyDescent="0.25">
      <c r="A3116" s="31" t="s">
        <v>14</v>
      </c>
      <c r="B3116" s="31" t="s">
        <v>234</v>
      </c>
      <c r="C3116" s="31" t="s">
        <v>16</v>
      </c>
      <c r="D3116" s="31" t="s">
        <v>17</v>
      </c>
      <c r="E3116" s="31" t="s">
        <v>235</v>
      </c>
      <c r="F3116" s="31" t="s">
        <v>236</v>
      </c>
      <c r="G3116" s="25"/>
      <c r="H3116" s="11"/>
      <c r="I3116" s="21"/>
      <c r="J3116" s="21"/>
      <c r="K3116" s="21"/>
      <c r="L3116" s="21"/>
      <c r="M3116" s="21"/>
      <c r="N3116" s="21"/>
    </row>
    <row r="3117" spans="1:14" ht="15.75" customHeight="1" x14ac:dyDescent="0.25">
      <c r="A3117" s="10">
        <v>1</v>
      </c>
      <c r="B3117" s="38" t="s">
        <v>1281</v>
      </c>
      <c r="C3117" s="7">
        <v>5</v>
      </c>
      <c r="D3117" s="7" t="s">
        <v>363</v>
      </c>
      <c r="E3117" s="104">
        <v>71725</v>
      </c>
      <c r="F3117" s="104">
        <f t="shared" ref="F3117:F3123" si="31">E3117*C3117</f>
        <v>358625</v>
      </c>
      <c r="G3117" s="25"/>
      <c r="H3117" s="11"/>
      <c r="I3117" s="21"/>
      <c r="J3117" s="21"/>
      <c r="K3117" s="21"/>
      <c r="L3117" s="21"/>
      <c r="M3117" s="21"/>
      <c r="N3117" s="21"/>
    </row>
    <row r="3118" spans="1:14" ht="15.75" customHeight="1" x14ac:dyDescent="0.25">
      <c r="A3118" s="7">
        <v>2</v>
      </c>
      <c r="B3118" s="124" t="s">
        <v>1282</v>
      </c>
      <c r="C3118" s="7">
        <v>5</v>
      </c>
      <c r="D3118" s="7" t="s">
        <v>363</v>
      </c>
      <c r="E3118" s="104">
        <v>236075</v>
      </c>
      <c r="F3118" s="104">
        <f t="shared" si="31"/>
        <v>1180375</v>
      </c>
      <c r="G3118" s="25"/>
      <c r="H3118" s="11"/>
      <c r="I3118" s="21"/>
      <c r="J3118" s="21"/>
      <c r="K3118" s="21"/>
      <c r="L3118" s="21"/>
      <c r="M3118" s="21"/>
      <c r="N3118" s="21"/>
    </row>
    <row r="3119" spans="1:14" ht="15.75" customHeight="1" x14ac:dyDescent="0.25">
      <c r="A3119" s="7">
        <v>3</v>
      </c>
      <c r="B3119" s="131" t="s">
        <v>1283</v>
      </c>
      <c r="C3119" s="7">
        <v>5</v>
      </c>
      <c r="D3119" s="7" t="s">
        <v>363</v>
      </c>
      <c r="E3119" s="104">
        <v>6175</v>
      </c>
      <c r="F3119" s="104">
        <f t="shared" si="31"/>
        <v>30875</v>
      </c>
      <c r="G3119" s="25"/>
      <c r="H3119" s="11"/>
      <c r="I3119" s="21"/>
      <c r="J3119" s="21"/>
      <c r="K3119" s="21"/>
      <c r="L3119" s="21"/>
      <c r="M3119" s="21"/>
      <c r="N3119" s="21"/>
    </row>
    <row r="3120" spans="1:14" ht="15.75" customHeight="1" x14ac:dyDescent="0.25">
      <c r="A3120" s="7">
        <v>4</v>
      </c>
      <c r="B3120" s="35" t="s">
        <v>1284</v>
      </c>
      <c r="C3120" s="7">
        <v>5</v>
      </c>
      <c r="D3120" s="7" t="s">
        <v>363</v>
      </c>
      <c r="E3120" s="104">
        <v>6175</v>
      </c>
      <c r="F3120" s="104">
        <f t="shared" si="31"/>
        <v>30875</v>
      </c>
      <c r="G3120" s="25"/>
      <c r="H3120" s="11"/>
      <c r="I3120" s="21"/>
      <c r="J3120" s="21"/>
      <c r="K3120" s="21"/>
      <c r="L3120" s="21"/>
      <c r="M3120" s="21"/>
      <c r="N3120" s="21"/>
    </row>
    <row r="3121" spans="1:14" ht="15.75" customHeight="1" x14ac:dyDescent="0.25">
      <c r="A3121" s="7">
        <v>5</v>
      </c>
      <c r="B3121" s="41" t="s">
        <v>1285</v>
      </c>
      <c r="C3121" s="7">
        <v>5</v>
      </c>
      <c r="D3121" s="7" t="s">
        <v>363</v>
      </c>
      <c r="E3121" s="104">
        <v>6175</v>
      </c>
      <c r="F3121" s="104">
        <f t="shared" si="31"/>
        <v>30875</v>
      </c>
      <c r="G3121" s="25"/>
      <c r="H3121" s="11"/>
      <c r="I3121" s="21"/>
      <c r="J3121" s="21"/>
      <c r="K3121" s="21"/>
      <c r="L3121" s="21"/>
      <c r="M3121" s="21"/>
      <c r="N3121" s="21"/>
    </row>
    <row r="3122" spans="1:14" ht="15.75" customHeight="1" x14ac:dyDescent="0.25">
      <c r="A3122" s="7">
        <v>6</v>
      </c>
      <c r="B3122" s="35" t="s">
        <v>1286</v>
      </c>
      <c r="C3122" s="7">
        <v>5</v>
      </c>
      <c r="D3122" s="7" t="s">
        <v>363</v>
      </c>
      <c r="E3122" s="104">
        <v>115425</v>
      </c>
      <c r="F3122" s="104">
        <f t="shared" si="31"/>
        <v>577125</v>
      </c>
      <c r="G3122" s="25"/>
      <c r="H3122" s="11"/>
      <c r="I3122" s="21"/>
      <c r="J3122" s="21"/>
      <c r="K3122" s="21"/>
      <c r="L3122" s="21"/>
      <c r="M3122" s="21"/>
      <c r="N3122" s="21"/>
    </row>
    <row r="3123" spans="1:14" ht="15.75" customHeight="1" x14ac:dyDescent="0.25">
      <c r="A3123" s="7">
        <v>7</v>
      </c>
      <c r="B3123" s="35" t="s">
        <v>1287</v>
      </c>
      <c r="C3123" s="7">
        <v>5</v>
      </c>
      <c r="D3123" s="7" t="s">
        <v>363</v>
      </c>
      <c r="E3123" s="104">
        <v>274075</v>
      </c>
      <c r="F3123" s="104">
        <f t="shared" si="31"/>
        <v>1370375</v>
      </c>
      <c r="G3123" s="25"/>
      <c r="H3123" s="11"/>
      <c r="I3123" s="21"/>
      <c r="J3123" s="21"/>
      <c r="K3123" s="21"/>
      <c r="L3123" s="21"/>
      <c r="M3123" s="21"/>
      <c r="N3123" s="21"/>
    </row>
    <row r="3124" spans="1:14" ht="15.75" customHeight="1" x14ac:dyDescent="0.25">
      <c r="A3124" s="7"/>
      <c r="B3124" s="346" t="s">
        <v>342</v>
      </c>
      <c r="C3124" s="347"/>
      <c r="D3124" s="347"/>
      <c r="E3124" s="348"/>
      <c r="F3124" s="104">
        <f>SUM(F3117:F3123)</f>
        <v>3579125</v>
      </c>
      <c r="G3124" s="25"/>
      <c r="H3124" s="11"/>
      <c r="I3124" s="21"/>
      <c r="J3124" s="21"/>
      <c r="K3124" s="21"/>
      <c r="L3124" s="21"/>
      <c r="M3124" s="21"/>
      <c r="N3124" s="21"/>
    </row>
    <row r="3125" spans="1:14" ht="15.75" customHeight="1" x14ac:dyDescent="0.25">
      <c r="A3125" s="7"/>
      <c r="B3125" s="343" t="s">
        <v>343</v>
      </c>
      <c r="C3125" s="344"/>
      <c r="D3125" s="344"/>
      <c r="E3125" s="334"/>
      <c r="F3125" s="104">
        <v>393703.75</v>
      </c>
      <c r="G3125" s="25"/>
      <c r="H3125" s="11"/>
      <c r="I3125" s="21"/>
      <c r="J3125" s="21"/>
      <c r="K3125" s="21"/>
      <c r="L3125" s="21"/>
      <c r="M3125" s="21"/>
      <c r="N3125" s="21"/>
    </row>
    <row r="3126" spans="1:14" ht="15.75" customHeight="1" x14ac:dyDescent="0.25">
      <c r="A3126" s="7"/>
      <c r="B3126" s="345" t="s">
        <v>344</v>
      </c>
      <c r="C3126" s="344"/>
      <c r="D3126" s="344"/>
      <c r="E3126" s="334"/>
      <c r="F3126" s="107">
        <f>SUM(F3124:F3125)</f>
        <v>3972828.75</v>
      </c>
      <c r="G3126" s="25"/>
      <c r="H3126" s="11"/>
      <c r="I3126" s="21"/>
      <c r="J3126" s="21"/>
      <c r="K3126" s="21"/>
      <c r="L3126" s="21"/>
      <c r="M3126" s="21"/>
      <c r="N3126" s="21"/>
    </row>
    <row r="3127" spans="1:14" ht="15.75" customHeight="1" x14ac:dyDescent="0.25">
      <c r="A3127" s="21"/>
      <c r="B3127" s="21"/>
      <c r="C3127" s="11"/>
      <c r="D3127" s="11"/>
      <c r="E3127" s="21"/>
      <c r="F3127" s="21"/>
      <c r="G3127" s="25"/>
      <c r="H3127" s="11"/>
      <c r="I3127" s="21"/>
      <c r="J3127" s="21"/>
      <c r="K3127" s="21"/>
      <c r="L3127" s="21"/>
      <c r="M3127" s="21"/>
      <c r="N3127" s="21"/>
    </row>
    <row r="3128" spans="1:14" ht="15.75" customHeight="1" x14ac:dyDescent="0.25">
      <c r="A3128" s="31" t="s">
        <v>351</v>
      </c>
      <c r="B3128" s="31" t="s">
        <v>234</v>
      </c>
      <c r="C3128" s="31" t="s">
        <v>16</v>
      </c>
      <c r="D3128" s="31" t="s">
        <v>17</v>
      </c>
      <c r="E3128" s="31" t="s">
        <v>235</v>
      </c>
      <c r="F3128" s="31" t="s">
        <v>236</v>
      </c>
      <c r="G3128" s="25"/>
      <c r="H3128" s="11"/>
      <c r="I3128" s="21"/>
      <c r="J3128" s="21"/>
      <c r="K3128" s="21"/>
      <c r="L3128" s="21"/>
      <c r="M3128" s="21"/>
      <c r="N3128" s="21"/>
    </row>
    <row r="3129" spans="1:14" ht="15.75" customHeight="1" x14ac:dyDescent="0.25">
      <c r="A3129" s="7">
        <v>1</v>
      </c>
      <c r="B3129" s="41" t="s">
        <v>1288</v>
      </c>
      <c r="C3129" s="7">
        <v>60</v>
      </c>
      <c r="D3129" s="7" t="s">
        <v>363</v>
      </c>
      <c r="E3129" s="104">
        <v>34500</v>
      </c>
      <c r="F3129" s="104">
        <f>E3129*C3129</f>
        <v>2070000</v>
      </c>
      <c r="G3129" s="25"/>
      <c r="H3129" s="11"/>
      <c r="I3129" s="21"/>
      <c r="J3129" s="21"/>
      <c r="K3129" s="21"/>
      <c r="L3129" s="21"/>
      <c r="M3129" s="21"/>
      <c r="N3129" s="21"/>
    </row>
    <row r="3130" spans="1:14" ht="15.75" customHeight="1" x14ac:dyDescent="0.25">
      <c r="A3130" s="7">
        <v>2</v>
      </c>
      <c r="B3130" s="35" t="s">
        <v>1289</v>
      </c>
      <c r="C3130" s="7">
        <v>3</v>
      </c>
      <c r="D3130" s="7" t="s">
        <v>251</v>
      </c>
      <c r="E3130" s="104">
        <v>350000</v>
      </c>
      <c r="F3130" s="104">
        <f>E3130*C3130</f>
        <v>1050000</v>
      </c>
      <c r="G3130" s="25"/>
      <c r="H3130" s="11"/>
      <c r="I3130" s="21"/>
      <c r="J3130" s="21"/>
      <c r="K3130" s="21"/>
      <c r="L3130" s="21"/>
      <c r="M3130" s="21"/>
      <c r="N3130" s="21"/>
    </row>
    <row r="3131" spans="1:14" ht="15.75" customHeight="1" x14ac:dyDescent="0.25">
      <c r="A3131" s="7"/>
      <c r="B3131" s="343" t="s">
        <v>342</v>
      </c>
      <c r="C3131" s="344"/>
      <c r="D3131" s="344"/>
      <c r="E3131" s="334"/>
      <c r="F3131" s="104">
        <f>SUM(F3129:F3130)</f>
        <v>3120000</v>
      </c>
      <c r="G3131" s="25"/>
      <c r="H3131" s="11"/>
      <c r="I3131" s="21"/>
      <c r="J3131" s="21"/>
      <c r="K3131" s="21"/>
      <c r="L3131" s="21"/>
      <c r="M3131" s="21"/>
      <c r="N3131" s="21"/>
    </row>
    <row r="3132" spans="1:14" ht="15.75" customHeight="1" x14ac:dyDescent="0.25">
      <c r="A3132" s="7"/>
      <c r="B3132" s="343" t="s">
        <v>343</v>
      </c>
      <c r="C3132" s="344"/>
      <c r="D3132" s="344"/>
      <c r="E3132" s="334"/>
      <c r="F3132" s="104">
        <v>343200</v>
      </c>
      <c r="G3132" s="25"/>
      <c r="H3132" s="11"/>
      <c r="I3132" s="21"/>
      <c r="J3132" s="21"/>
      <c r="K3132" s="21"/>
      <c r="L3132" s="21"/>
      <c r="M3132" s="21"/>
      <c r="N3132" s="21"/>
    </row>
    <row r="3133" spans="1:14" ht="15.75" customHeight="1" x14ac:dyDescent="0.25">
      <c r="A3133" s="7"/>
      <c r="B3133" s="345" t="s">
        <v>344</v>
      </c>
      <c r="C3133" s="344"/>
      <c r="D3133" s="344"/>
      <c r="E3133" s="334"/>
      <c r="F3133" s="107">
        <f>SUM(F3131:F3132)</f>
        <v>3463200</v>
      </c>
      <c r="G3133" s="25"/>
      <c r="H3133" s="11"/>
      <c r="I3133" s="21"/>
      <c r="J3133" s="21"/>
      <c r="K3133" s="21"/>
      <c r="L3133" s="21"/>
      <c r="M3133" s="21"/>
      <c r="N3133" s="21"/>
    </row>
    <row r="3134" spans="1:14" ht="15.75" customHeight="1" x14ac:dyDescent="0.25">
      <c r="A3134" s="21"/>
      <c r="B3134" s="21"/>
      <c r="C3134" s="11"/>
      <c r="D3134" s="11"/>
      <c r="E3134" s="21"/>
      <c r="F3134" s="21"/>
      <c r="G3134" s="25"/>
      <c r="H3134" s="11"/>
      <c r="I3134" s="21"/>
      <c r="J3134" s="21"/>
      <c r="K3134" s="21"/>
      <c r="L3134" s="21"/>
      <c r="M3134" s="21"/>
      <c r="N3134" s="21"/>
    </row>
    <row r="3135" spans="1:14" ht="15.75" customHeight="1" x14ac:dyDescent="0.25">
      <c r="A3135" s="31" t="s">
        <v>14</v>
      </c>
      <c r="B3135" s="31" t="s">
        <v>234</v>
      </c>
      <c r="C3135" s="31" t="s">
        <v>16</v>
      </c>
      <c r="D3135" s="31" t="s">
        <v>17</v>
      </c>
      <c r="E3135" s="31" t="s">
        <v>235</v>
      </c>
      <c r="F3135" s="31" t="s">
        <v>236</v>
      </c>
      <c r="G3135" s="25"/>
      <c r="H3135" s="11"/>
      <c r="I3135" s="21"/>
      <c r="J3135" s="21"/>
      <c r="K3135" s="21"/>
      <c r="L3135" s="21"/>
      <c r="M3135" s="21"/>
      <c r="N3135" s="21"/>
    </row>
    <row r="3136" spans="1:14" ht="15.75" customHeight="1" x14ac:dyDescent="0.25">
      <c r="A3136" s="10">
        <v>1</v>
      </c>
      <c r="B3136" s="124" t="s">
        <v>1290</v>
      </c>
      <c r="C3136" s="7">
        <v>4</v>
      </c>
      <c r="D3136" s="7" t="s">
        <v>363</v>
      </c>
      <c r="E3136" s="104">
        <v>75500</v>
      </c>
      <c r="F3136" s="104">
        <f t="shared" ref="F3136:F3144" si="32">E3136*C3136</f>
        <v>302000</v>
      </c>
      <c r="G3136" s="25"/>
      <c r="H3136" s="11"/>
      <c r="I3136" s="21"/>
      <c r="J3136" s="21"/>
      <c r="K3136" s="21"/>
      <c r="L3136" s="21"/>
      <c r="M3136" s="21"/>
      <c r="N3136" s="21"/>
    </row>
    <row r="3137" spans="1:14" ht="15.75" customHeight="1" x14ac:dyDescent="0.25">
      <c r="A3137" s="7">
        <v>2</v>
      </c>
      <c r="B3137" s="124" t="s">
        <v>1291</v>
      </c>
      <c r="C3137" s="7">
        <v>4</v>
      </c>
      <c r="D3137" s="7" t="s">
        <v>363</v>
      </c>
      <c r="E3137" s="104">
        <v>165000</v>
      </c>
      <c r="F3137" s="104">
        <f t="shared" si="32"/>
        <v>660000</v>
      </c>
      <c r="G3137" s="25"/>
      <c r="H3137" s="11"/>
      <c r="I3137" s="21"/>
      <c r="J3137" s="21"/>
      <c r="K3137" s="21"/>
      <c r="L3137" s="21"/>
      <c r="M3137" s="21"/>
      <c r="N3137" s="21"/>
    </row>
    <row r="3138" spans="1:14" ht="15.75" customHeight="1" x14ac:dyDescent="0.25">
      <c r="A3138" s="7">
        <v>3</v>
      </c>
      <c r="B3138" s="131" t="s">
        <v>1292</v>
      </c>
      <c r="C3138" s="7">
        <v>3</v>
      </c>
      <c r="D3138" s="7" t="s">
        <v>363</v>
      </c>
      <c r="E3138" s="104">
        <v>226800</v>
      </c>
      <c r="F3138" s="104">
        <f t="shared" si="32"/>
        <v>680400</v>
      </c>
      <c r="G3138" s="25"/>
      <c r="H3138" s="11"/>
      <c r="I3138" s="21"/>
      <c r="J3138" s="21"/>
      <c r="K3138" s="21"/>
      <c r="L3138" s="21"/>
      <c r="M3138" s="21"/>
      <c r="N3138" s="21"/>
    </row>
    <row r="3139" spans="1:14" ht="15.75" customHeight="1" x14ac:dyDescent="0.25">
      <c r="A3139" s="7">
        <v>4</v>
      </c>
      <c r="B3139" s="35" t="s">
        <v>1293</v>
      </c>
      <c r="C3139" s="7">
        <v>2</v>
      </c>
      <c r="D3139" s="7" t="s">
        <v>363</v>
      </c>
      <c r="E3139" s="104">
        <v>457000</v>
      </c>
      <c r="F3139" s="104">
        <f t="shared" si="32"/>
        <v>914000</v>
      </c>
      <c r="G3139" s="25"/>
      <c r="H3139" s="11"/>
      <c r="I3139" s="21"/>
      <c r="J3139" s="21"/>
      <c r="K3139" s="21"/>
      <c r="L3139" s="21"/>
      <c r="M3139" s="21"/>
      <c r="N3139" s="21"/>
    </row>
    <row r="3140" spans="1:14" ht="15.75" customHeight="1" x14ac:dyDescent="0.25">
      <c r="A3140" s="7">
        <v>5</v>
      </c>
      <c r="B3140" s="41" t="s">
        <v>1294</v>
      </c>
      <c r="C3140" s="7">
        <v>2</v>
      </c>
      <c r="D3140" s="7" t="s">
        <v>363</v>
      </c>
      <c r="E3140" s="104">
        <v>495000</v>
      </c>
      <c r="F3140" s="104">
        <f t="shared" si="32"/>
        <v>990000</v>
      </c>
      <c r="G3140" s="25"/>
      <c r="H3140" s="11"/>
      <c r="I3140" s="21"/>
      <c r="J3140" s="21"/>
      <c r="K3140" s="21"/>
      <c r="L3140" s="21"/>
      <c r="M3140" s="21"/>
      <c r="N3140" s="21"/>
    </row>
    <row r="3141" spans="1:14" ht="15.75" customHeight="1" x14ac:dyDescent="0.25">
      <c r="A3141" s="7">
        <v>6</v>
      </c>
      <c r="B3141" s="35" t="s">
        <v>1295</v>
      </c>
      <c r="C3141" s="7">
        <v>2</v>
      </c>
      <c r="D3141" s="7" t="s">
        <v>363</v>
      </c>
      <c r="E3141" s="104">
        <v>265000</v>
      </c>
      <c r="F3141" s="104">
        <f t="shared" si="32"/>
        <v>530000</v>
      </c>
      <c r="G3141" s="25"/>
      <c r="H3141" s="11"/>
      <c r="I3141" s="21"/>
      <c r="J3141" s="21"/>
      <c r="K3141" s="21"/>
      <c r="L3141" s="21"/>
      <c r="M3141" s="21"/>
      <c r="N3141" s="21"/>
    </row>
    <row r="3142" spans="1:14" ht="15.75" customHeight="1" x14ac:dyDescent="0.25">
      <c r="A3142" s="7">
        <v>7</v>
      </c>
      <c r="B3142" s="35" t="s">
        <v>1296</v>
      </c>
      <c r="C3142" s="7">
        <v>2</v>
      </c>
      <c r="D3142" s="7" t="s">
        <v>363</v>
      </c>
      <c r="E3142" s="104">
        <v>265000</v>
      </c>
      <c r="F3142" s="104">
        <f t="shared" si="32"/>
        <v>530000</v>
      </c>
      <c r="G3142" s="25"/>
      <c r="H3142" s="11"/>
      <c r="I3142" s="21"/>
      <c r="J3142" s="21"/>
      <c r="K3142" s="21"/>
      <c r="L3142" s="21"/>
      <c r="M3142" s="21"/>
      <c r="N3142" s="21"/>
    </row>
    <row r="3143" spans="1:14" ht="15.75" customHeight="1" x14ac:dyDescent="0.25">
      <c r="A3143" s="7">
        <v>8</v>
      </c>
      <c r="B3143" s="41" t="s">
        <v>1297</v>
      </c>
      <c r="C3143" s="7">
        <v>2</v>
      </c>
      <c r="D3143" s="7" t="s">
        <v>363</v>
      </c>
      <c r="E3143" s="104">
        <v>265000</v>
      </c>
      <c r="F3143" s="104">
        <f t="shared" si="32"/>
        <v>530000</v>
      </c>
      <c r="G3143" s="25"/>
      <c r="H3143" s="11"/>
      <c r="I3143" s="21"/>
      <c r="J3143" s="21"/>
      <c r="K3143" s="21"/>
      <c r="L3143" s="21"/>
      <c r="M3143" s="21"/>
      <c r="N3143" s="21"/>
    </row>
    <row r="3144" spans="1:14" ht="15.75" customHeight="1" x14ac:dyDescent="0.25">
      <c r="A3144" s="7">
        <v>9</v>
      </c>
      <c r="B3144" s="35" t="s">
        <v>1298</v>
      </c>
      <c r="C3144" s="7">
        <v>2</v>
      </c>
      <c r="D3144" s="7" t="s">
        <v>363</v>
      </c>
      <c r="E3144" s="104">
        <v>265000</v>
      </c>
      <c r="F3144" s="104">
        <f t="shared" si="32"/>
        <v>530000</v>
      </c>
      <c r="G3144" s="25"/>
      <c r="H3144" s="11"/>
      <c r="I3144" s="21"/>
      <c r="J3144" s="21"/>
      <c r="K3144" s="21"/>
      <c r="L3144" s="21"/>
      <c r="M3144" s="21"/>
      <c r="N3144" s="21"/>
    </row>
    <row r="3145" spans="1:14" ht="15.75" customHeight="1" x14ac:dyDescent="0.25">
      <c r="A3145" s="7"/>
      <c r="B3145" s="343" t="s">
        <v>342</v>
      </c>
      <c r="C3145" s="344"/>
      <c r="D3145" s="344"/>
      <c r="E3145" s="334"/>
      <c r="F3145" s="104">
        <f>SUM(F3136:F3144)</f>
        <v>5666400</v>
      </c>
      <c r="G3145" s="25"/>
      <c r="H3145" s="11"/>
      <c r="I3145" s="21"/>
      <c r="J3145" s="21"/>
      <c r="K3145" s="21"/>
      <c r="L3145" s="21"/>
      <c r="M3145" s="21"/>
      <c r="N3145" s="21"/>
    </row>
    <row r="3146" spans="1:14" ht="15.75" customHeight="1" x14ac:dyDescent="0.25">
      <c r="A3146" s="7"/>
      <c r="B3146" s="343" t="s">
        <v>343</v>
      </c>
      <c r="C3146" s="344"/>
      <c r="D3146" s="344"/>
      <c r="E3146" s="334"/>
      <c r="F3146" s="104">
        <v>623304</v>
      </c>
      <c r="G3146" s="25"/>
      <c r="H3146" s="11"/>
      <c r="I3146" s="21"/>
      <c r="J3146" s="21"/>
      <c r="K3146" s="21"/>
      <c r="L3146" s="21"/>
      <c r="M3146" s="21"/>
      <c r="N3146" s="21"/>
    </row>
    <row r="3147" spans="1:14" ht="15.75" customHeight="1" x14ac:dyDescent="0.25">
      <c r="A3147" s="7"/>
      <c r="B3147" s="345" t="s">
        <v>344</v>
      </c>
      <c r="C3147" s="344"/>
      <c r="D3147" s="344"/>
      <c r="E3147" s="334"/>
      <c r="F3147" s="107">
        <f>SUM(F3145:F3146)</f>
        <v>6289704</v>
      </c>
      <c r="G3147" s="25"/>
      <c r="H3147" s="11"/>
      <c r="I3147" s="21"/>
      <c r="J3147" s="21"/>
      <c r="K3147" s="21"/>
      <c r="L3147" s="21"/>
      <c r="M3147" s="21"/>
      <c r="N3147" s="21"/>
    </row>
    <row r="3148" spans="1:14" ht="15.75" customHeight="1" x14ac:dyDescent="0.25">
      <c r="A3148" s="21"/>
      <c r="B3148" s="21"/>
      <c r="C3148" s="11"/>
      <c r="D3148" s="11"/>
      <c r="E3148" s="21"/>
      <c r="F3148" s="21"/>
      <c r="G3148" s="25"/>
      <c r="H3148" s="11"/>
      <c r="I3148" s="21"/>
      <c r="J3148" s="21"/>
      <c r="K3148" s="21"/>
      <c r="L3148" s="21"/>
      <c r="M3148" s="21"/>
      <c r="N3148" s="21"/>
    </row>
    <row r="3149" spans="1:14" ht="15.75" customHeight="1" x14ac:dyDescent="0.25">
      <c r="A3149" s="31" t="s">
        <v>14</v>
      </c>
      <c r="B3149" s="31" t="s">
        <v>234</v>
      </c>
      <c r="C3149" s="31" t="s">
        <v>16</v>
      </c>
      <c r="D3149" s="31" t="s">
        <v>17</v>
      </c>
      <c r="E3149" s="31" t="s">
        <v>235</v>
      </c>
      <c r="F3149" s="31" t="s">
        <v>236</v>
      </c>
      <c r="G3149" s="25"/>
      <c r="H3149" s="11"/>
      <c r="I3149" s="21"/>
      <c r="J3149" s="21"/>
      <c r="K3149" s="21"/>
      <c r="L3149" s="21"/>
      <c r="M3149" s="21"/>
      <c r="N3149" s="21"/>
    </row>
    <row r="3150" spans="1:14" ht="15.75" customHeight="1" x14ac:dyDescent="0.25">
      <c r="A3150" s="7">
        <v>1</v>
      </c>
      <c r="B3150" s="155" t="s">
        <v>1240</v>
      </c>
      <c r="C3150" s="129">
        <v>5</v>
      </c>
      <c r="D3150" s="7" t="s">
        <v>363</v>
      </c>
      <c r="E3150" s="130">
        <v>35910</v>
      </c>
      <c r="F3150" s="130">
        <f>E3150*C3150</f>
        <v>179550</v>
      </c>
      <c r="G3150" s="25"/>
      <c r="H3150" s="11"/>
      <c r="I3150" s="21"/>
      <c r="J3150" s="21"/>
      <c r="K3150" s="21"/>
      <c r="L3150" s="21"/>
      <c r="M3150" s="21"/>
      <c r="N3150" s="21"/>
    </row>
    <row r="3151" spans="1:14" ht="15.75" customHeight="1" x14ac:dyDescent="0.25">
      <c r="A3151" s="7"/>
      <c r="B3151" s="343" t="s">
        <v>342</v>
      </c>
      <c r="C3151" s="344"/>
      <c r="D3151" s="344"/>
      <c r="E3151" s="334"/>
      <c r="F3151" s="104">
        <f>SUM(F3150)</f>
        <v>179550</v>
      </c>
      <c r="G3151" s="25"/>
      <c r="H3151" s="11"/>
      <c r="I3151" s="21"/>
      <c r="J3151" s="21"/>
      <c r="K3151" s="21"/>
      <c r="L3151" s="21"/>
      <c r="M3151" s="21"/>
      <c r="N3151" s="21"/>
    </row>
    <row r="3152" spans="1:14" ht="15.75" customHeight="1" x14ac:dyDescent="0.25">
      <c r="A3152" s="7"/>
      <c r="B3152" s="343" t="s">
        <v>343</v>
      </c>
      <c r="C3152" s="344"/>
      <c r="D3152" s="344"/>
      <c r="E3152" s="334"/>
      <c r="F3152" s="108">
        <v>19750.5</v>
      </c>
      <c r="G3152" s="25"/>
      <c r="H3152" s="11"/>
      <c r="I3152" s="21"/>
      <c r="J3152" s="21"/>
      <c r="K3152" s="21"/>
      <c r="L3152" s="21"/>
      <c r="M3152" s="21"/>
      <c r="N3152" s="21"/>
    </row>
    <row r="3153" spans="1:14" ht="15.75" customHeight="1" x14ac:dyDescent="0.25">
      <c r="A3153" s="7"/>
      <c r="B3153" s="345" t="s">
        <v>344</v>
      </c>
      <c r="C3153" s="344"/>
      <c r="D3153" s="344"/>
      <c r="E3153" s="334"/>
      <c r="F3153" s="109">
        <f>SUM(F3151:F3152)</f>
        <v>199300.5</v>
      </c>
      <c r="G3153" s="25"/>
      <c r="H3153" s="11"/>
      <c r="I3153" s="21"/>
      <c r="J3153" s="21"/>
      <c r="K3153" s="21"/>
      <c r="L3153" s="21"/>
      <c r="M3153" s="21"/>
      <c r="N3153" s="21"/>
    </row>
    <row r="3154" spans="1:14" ht="15.75" customHeight="1" x14ac:dyDescent="0.25">
      <c r="A3154" s="21"/>
      <c r="B3154" s="21"/>
      <c r="C3154" s="11"/>
      <c r="D3154" s="11"/>
      <c r="E3154" s="21"/>
      <c r="F3154" s="21"/>
      <c r="G3154" s="25"/>
      <c r="H3154" s="11"/>
      <c r="I3154" s="21"/>
      <c r="J3154" s="21"/>
      <c r="K3154" s="21"/>
      <c r="L3154" s="21"/>
      <c r="M3154" s="21"/>
      <c r="N3154" s="21"/>
    </row>
    <row r="3155" spans="1:14" ht="15.75" customHeight="1" x14ac:dyDescent="0.25">
      <c r="A3155" s="31" t="s">
        <v>14</v>
      </c>
      <c r="B3155" s="31" t="s">
        <v>234</v>
      </c>
      <c r="C3155" s="31" t="s">
        <v>16</v>
      </c>
      <c r="D3155" s="31" t="s">
        <v>17</v>
      </c>
      <c r="E3155" s="31" t="s">
        <v>235</v>
      </c>
      <c r="F3155" s="31" t="s">
        <v>236</v>
      </c>
      <c r="G3155" s="25"/>
      <c r="H3155" s="11"/>
      <c r="I3155" s="21"/>
      <c r="J3155" s="21"/>
      <c r="K3155" s="21"/>
      <c r="L3155" s="21"/>
      <c r="M3155" s="21"/>
      <c r="N3155" s="21"/>
    </row>
    <row r="3156" spans="1:14" ht="15.75" customHeight="1" x14ac:dyDescent="0.25">
      <c r="A3156" s="7">
        <v>1</v>
      </c>
      <c r="B3156" s="155" t="s">
        <v>1299</v>
      </c>
      <c r="C3156" s="129">
        <v>10</v>
      </c>
      <c r="D3156" s="7" t="s">
        <v>329</v>
      </c>
      <c r="E3156" s="130">
        <v>85500</v>
      </c>
      <c r="F3156" s="130">
        <f>E3156*C3156</f>
        <v>855000</v>
      </c>
      <c r="G3156" s="25"/>
      <c r="H3156" s="11"/>
      <c r="I3156" s="21"/>
      <c r="J3156" s="21"/>
      <c r="K3156" s="21"/>
      <c r="L3156" s="21"/>
      <c r="M3156" s="21"/>
      <c r="N3156" s="21"/>
    </row>
    <row r="3157" spans="1:14" ht="15.75" customHeight="1" x14ac:dyDescent="0.25">
      <c r="A3157" s="7"/>
      <c r="B3157" s="343" t="s">
        <v>342</v>
      </c>
      <c r="C3157" s="344"/>
      <c r="D3157" s="344"/>
      <c r="E3157" s="334"/>
      <c r="F3157" s="104">
        <f>SUM(F3156)</f>
        <v>855000</v>
      </c>
      <c r="G3157" s="25"/>
      <c r="H3157" s="11"/>
      <c r="I3157" s="21"/>
      <c r="J3157" s="21"/>
      <c r="K3157" s="21"/>
      <c r="L3157" s="21"/>
      <c r="M3157" s="21"/>
      <c r="N3157" s="21"/>
    </row>
    <row r="3158" spans="1:14" ht="15.75" customHeight="1" x14ac:dyDescent="0.25">
      <c r="A3158" s="7"/>
      <c r="B3158" s="343" t="s">
        <v>343</v>
      </c>
      <c r="C3158" s="344"/>
      <c r="D3158" s="344"/>
      <c r="E3158" s="334"/>
      <c r="F3158" s="104">
        <v>94050</v>
      </c>
      <c r="G3158" s="25"/>
      <c r="H3158" s="11"/>
      <c r="I3158" s="21"/>
      <c r="J3158" s="21"/>
      <c r="K3158" s="21"/>
      <c r="L3158" s="21"/>
      <c r="M3158" s="21"/>
      <c r="N3158" s="21"/>
    </row>
    <row r="3159" spans="1:14" ht="15.75" customHeight="1" x14ac:dyDescent="0.25">
      <c r="A3159" s="7"/>
      <c r="B3159" s="345" t="s">
        <v>344</v>
      </c>
      <c r="C3159" s="344"/>
      <c r="D3159" s="344"/>
      <c r="E3159" s="334"/>
      <c r="F3159" s="107">
        <f>SUM(F3157:F3158)</f>
        <v>949050</v>
      </c>
      <c r="G3159" s="25"/>
      <c r="H3159" s="11"/>
      <c r="I3159" s="21"/>
      <c r="J3159" s="21"/>
      <c r="K3159" s="21"/>
      <c r="L3159" s="21"/>
      <c r="M3159" s="21"/>
      <c r="N3159" s="21"/>
    </row>
    <row r="3160" spans="1:14" ht="15.75" customHeight="1" x14ac:dyDescent="0.25">
      <c r="A3160" s="21"/>
      <c r="B3160" s="21"/>
      <c r="C3160" s="11"/>
      <c r="D3160" s="11"/>
      <c r="E3160" s="21"/>
      <c r="F3160" s="21"/>
      <c r="G3160" s="25"/>
      <c r="H3160" s="11"/>
      <c r="I3160" s="21"/>
      <c r="J3160" s="21"/>
      <c r="K3160" s="21"/>
      <c r="L3160" s="21"/>
      <c r="M3160" s="21"/>
      <c r="N3160" s="21"/>
    </row>
    <row r="3161" spans="1:14" ht="15.75" customHeight="1" x14ac:dyDescent="0.25">
      <c r="A3161" s="31" t="s">
        <v>14</v>
      </c>
      <c r="B3161" s="31" t="s">
        <v>234</v>
      </c>
      <c r="C3161" s="31" t="s">
        <v>16</v>
      </c>
      <c r="D3161" s="31" t="s">
        <v>17</v>
      </c>
      <c r="E3161" s="31" t="s">
        <v>235</v>
      </c>
      <c r="F3161" s="31" t="s">
        <v>236</v>
      </c>
      <c r="G3161" s="25"/>
      <c r="H3161" s="11"/>
      <c r="I3161" s="21"/>
      <c r="J3161" s="21"/>
      <c r="K3161" s="21"/>
      <c r="L3161" s="21"/>
      <c r="M3161" s="21"/>
      <c r="N3161" s="21"/>
    </row>
    <row r="3162" spans="1:14" ht="15.75" customHeight="1" x14ac:dyDescent="0.25">
      <c r="A3162" s="10">
        <v>1</v>
      </c>
      <c r="B3162" s="41" t="s">
        <v>1300</v>
      </c>
      <c r="C3162" s="7">
        <v>6</v>
      </c>
      <c r="D3162" s="7" t="s">
        <v>363</v>
      </c>
      <c r="E3162" s="104">
        <v>11400</v>
      </c>
      <c r="F3162" s="104">
        <f t="shared" ref="F3162:F3170" si="33">E3162*C3162</f>
        <v>68400</v>
      </c>
      <c r="G3162" s="25"/>
      <c r="H3162" s="11"/>
      <c r="I3162" s="21"/>
      <c r="J3162" s="21"/>
      <c r="K3162" s="21"/>
      <c r="L3162" s="21"/>
      <c r="M3162" s="21"/>
      <c r="N3162" s="21"/>
    </row>
    <row r="3163" spans="1:14" ht="15.75" customHeight="1" x14ac:dyDescent="0.25">
      <c r="A3163" s="7">
        <v>2</v>
      </c>
      <c r="B3163" s="41" t="s">
        <v>1301</v>
      </c>
      <c r="C3163" s="7">
        <v>3</v>
      </c>
      <c r="D3163" s="7" t="s">
        <v>363</v>
      </c>
      <c r="E3163" s="104">
        <v>18525</v>
      </c>
      <c r="F3163" s="104">
        <f t="shared" si="33"/>
        <v>55575</v>
      </c>
      <c r="G3163" s="25"/>
      <c r="H3163" s="11"/>
      <c r="I3163" s="21"/>
      <c r="J3163" s="21"/>
      <c r="K3163" s="21"/>
      <c r="L3163" s="21"/>
      <c r="M3163" s="21"/>
      <c r="N3163" s="21"/>
    </row>
    <row r="3164" spans="1:14" ht="15.75" customHeight="1" x14ac:dyDescent="0.25">
      <c r="A3164" s="7">
        <v>3</v>
      </c>
      <c r="B3164" s="41" t="s">
        <v>1302</v>
      </c>
      <c r="C3164" s="7">
        <v>3</v>
      </c>
      <c r="D3164" s="7" t="s">
        <v>363</v>
      </c>
      <c r="E3164" s="104">
        <v>21375</v>
      </c>
      <c r="F3164" s="104">
        <f t="shared" si="33"/>
        <v>64125</v>
      </c>
      <c r="G3164" s="25"/>
      <c r="H3164" s="11"/>
      <c r="I3164" s="21"/>
      <c r="J3164" s="21"/>
      <c r="K3164" s="21"/>
      <c r="L3164" s="21"/>
      <c r="M3164" s="21"/>
      <c r="N3164" s="21"/>
    </row>
    <row r="3165" spans="1:14" ht="15.75" customHeight="1" x14ac:dyDescent="0.25">
      <c r="A3165" s="7">
        <v>4</v>
      </c>
      <c r="B3165" s="41" t="s">
        <v>1303</v>
      </c>
      <c r="C3165" s="7">
        <v>3</v>
      </c>
      <c r="D3165" s="7" t="s">
        <v>363</v>
      </c>
      <c r="E3165" s="104">
        <v>27075</v>
      </c>
      <c r="F3165" s="104">
        <f t="shared" si="33"/>
        <v>81225</v>
      </c>
      <c r="G3165" s="25"/>
      <c r="H3165" s="11"/>
      <c r="I3165" s="21"/>
      <c r="J3165" s="21"/>
      <c r="K3165" s="21"/>
      <c r="L3165" s="21"/>
      <c r="M3165" s="21"/>
      <c r="N3165" s="21"/>
    </row>
    <row r="3166" spans="1:14" ht="15.75" customHeight="1" x14ac:dyDescent="0.25">
      <c r="A3166" s="7">
        <v>5</v>
      </c>
      <c r="B3166" s="41" t="s">
        <v>1304</v>
      </c>
      <c r="C3166" s="7">
        <v>3</v>
      </c>
      <c r="D3166" s="7" t="s">
        <v>363</v>
      </c>
      <c r="E3166" s="104">
        <v>29925</v>
      </c>
      <c r="F3166" s="104">
        <f t="shared" si="33"/>
        <v>89775</v>
      </c>
      <c r="G3166" s="25"/>
      <c r="H3166" s="11"/>
      <c r="I3166" s="21"/>
      <c r="J3166" s="21"/>
      <c r="K3166" s="21"/>
      <c r="L3166" s="21"/>
      <c r="M3166" s="21"/>
      <c r="N3166" s="21"/>
    </row>
    <row r="3167" spans="1:14" ht="15.75" customHeight="1" x14ac:dyDescent="0.25">
      <c r="A3167" s="7">
        <v>6</v>
      </c>
      <c r="B3167" s="41" t="s">
        <v>1305</v>
      </c>
      <c r="C3167" s="7">
        <v>3</v>
      </c>
      <c r="D3167" s="7" t="s">
        <v>363</v>
      </c>
      <c r="E3167" s="104">
        <v>24510</v>
      </c>
      <c r="F3167" s="104">
        <f t="shared" si="33"/>
        <v>73530</v>
      </c>
      <c r="G3167" s="25"/>
      <c r="H3167" s="11"/>
      <c r="I3167" s="21"/>
      <c r="J3167" s="21"/>
      <c r="K3167" s="21"/>
      <c r="L3167" s="21"/>
      <c r="M3167" s="21"/>
      <c r="N3167" s="21"/>
    </row>
    <row r="3168" spans="1:14" ht="15.75" customHeight="1" x14ac:dyDescent="0.25">
      <c r="A3168" s="7">
        <v>7</v>
      </c>
      <c r="B3168" s="41" t="s">
        <v>1306</v>
      </c>
      <c r="C3168" s="7">
        <v>3</v>
      </c>
      <c r="D3168" s="7" t="s">
        <v>363</v>
      </c>
      <c r="E3168" s="104">
        <v>18383</v>
      </c>
      <c r="F3168" s="104">
        <f t="shared" si="33"/>
        <v>55149</v>
      </c>
      <c r="G3168" s="25"/>
      <c r="H3168" s="11"/>
      <c r="I3168" s="21"/>
      <c r="J3168" s="21"/>
      <c r="K3168" s="21"/>
      <c r="L3168" s="21"/>
      <c r="M3168" s="21"/>
      <c r="N3168" s="21"/>
    </row>
    <row r="3169" spans="1:14" ht="15.75" customHeight="1" x14ac:dyDescent="0.25">
      <c r="A3169" s="7">
        <v>8</v>
      </c>
      <c r="B3169" s="41" t="s">
        <v>1307</v>
      </c>
      <c r="C3169" s="7">
        <v>3</v>
      </c>
      <c r="D3169" s="7" t="s">
        <v>363</v>
      </c>
      <c r="E3169" s="104">
        <v>21375</v>
      </c>
      <c r="F3169" s="104">
        <f t="shared" si="33"/>
        <v>64125</v>
      </c>
      <c r="G3169" s="25"/>
      <c r="H3169" s="11"/>
      <c r="I3169" s="21"/>
      <c r="J3169" s="21"/>
      <c r="K3169" s="21"/>
      <c r="L3169" s="21"/>
      <c r="M3169" s="21"/>
      <c r="N3169" s="21"/>
    </row>
    <row r="3170" spans="1:14" ht="15.75" customHeight="1" x14ac:dyDescent="0.25">
      <c r="A3170" s="7">
        <v>9</v>
      </c>
      <c r="B3170" s="41" t="s">
        <v>1308</v>
      </c>
      <c r="C3170" s="7">
        <v>3</v>
      </c>
      <c r="D3170" s="7" t="s">
        <v>363</v>
      </c>
      <c r="E3170" s="104">
        <v>25650</v>
      </c>
      <c r="F3170" s="104">
        <f t="shared" si="33"/>
        <v>76950</v>
      </c>
      <c r="G3170" s="25"/>
      <c r="H3170" s="11"/>
      <c r="I3170" s="21"/>
      <c r="J3170" s="21"/>
      <c r="K3170" s="21"/>
      <c r="L3170" s="21"/>
      <c r="M3170" s="21"/>
      <c r="N3170" s="21"/>
    </row>
    <row r="3171" spans="1:14" ht="15.75" customHeight="1" x14ac:dyDescent="0.25">
      <c r="A3171" s="7"/>
      <c r="B3171" s="343" t="s">
        <v>342</v>
      </c>
      <c r="C3171" s="344"/>
      <c r="D3171" s="344"/>
      <c r="E3171" s="334"/>
      <c r="F3171" s="104">
        <f>SUM(F3162:F3170)</f>
        <v>628854</v>
      </c>
      <c r="G3171" s="25"/>
      <c r="H3171" s="11"/>
      <c r="I3171" s="21"/>
      <c r="J3171" s="21"/>
      <c r="K3171" s="21"/>
      <c r="L3171" s="21"/>
      <c r="M3171" s="21"/>
      <c r="N3171" s="21"/>
    </row>
    <row r="3172" spans="1:14" ht="15.75" customHeight="1" x14ac:dyDescent="0.25">
      <c r="A3172" s="7"/>
      <c r="B3172" s="343" t="s">
        <v>343</v>
      </c>
      <c r="C3172" s="344"/>
      <c r="D3172" s="344"/>
      <c r="E3172" s="334"/>
      <c r="F3172" s="104">
        <v>69173.94</v>
      </c>
      <c r="G3172" s="25"/>
      <c r="H3172" s="11"/>
      <c r="I3172" s="21"/>
      <c r="J3172" s="21"/>
      <c r="K3172" s="21"/>
      <c r="L3172" s="21"/>
      <c r="M3172" s="21"/>
      <c r="N3172" s="21"/>
    </row>
    <row r="3173" spans="1:14" ht="15.75" customHeight="1" x14ac:dyDescent="0.25">
      <c r="A3173" s="7"/>
      <c r="B3173" s="345" t="s">
        <v>344</v>
      </c>
      <c r="C3173" s="344"/>
      <c r="D3173" s="344"/>
      <c r="E3173" s="334"/>
      <c r="F3173" s="107">
        <f>SUM(F3171:F3172)</f>
        <v>698027.94</v>
      </c>
      <c r="G3173" s="25"/>
      <c r="H3173" s="11"/>
      <c r="I3173" s="21"/>
      <c r="J3173" s="21"/>
      <c r="K3173" s="21"/>
      <c r="L3173" s="21"/>
      <c r="M3173" s="21"/>
      <c r="N3173" s="21"/>
    </row>
    <row r="3174" spans="1:14" ht="15.75" customHeight="1" x14ac:dyDescent="0.25">
      <c r="A3174" s="21"/>
      <c r="B3174" s="21"/>
      <c r="C3174" s="11"/>
      <c r="D3174" s="11"/>
      <c r="E3174" s="21"/>
      <c r="F3174" s="21"/>
      <c r="G3174" s="25"/>
      <c r="H3174" s="11"/>
      <c r="I3174" s="21"/>
      <c r="J3174" s="21"/>
      <c r="K3174" s="21"/>
      <c r="L3174" s="21"/>
      <c r="M3174" s="21"/>
      <c r="N3174" s="21"/>
    </row>
    <row r="3175" spans="1:14" ht="15.75" customHeight="1" x14ac:dyDescent="0.25">
      <c r="A3175" s="31" t="s">
        <v>14</v>
      </c>
      <c r="B3175" s="31" t="s">
        <v>234</v>
      </c>
      <c r="C3175" s="31" t="s">
        <v>16</v>
      </c>
      <c r="D3175" s="31" t="s">
        <v>17</v>
      </c>
      <c r="E3175" s="31" t="s">
        <v>235</v>
      </c>
      <c r="F3175" s="31" t="s">
        <v>236</v>
      </c>
      <c r="G3175" s="25"/>
      <c r="H3175" s="11"/>
      <c r="I3175" s="21"/>
      <c r="J3175" s="21"/>
      <c r="K3175" s="21"/>
      <c r="L3175" s="21"/>
      <c r="M3175" s="21"/>
      <c r="N3175" s="21"/>
    </row>
    <row r="3176" spans="1:14" ht="15.75" customHeight="1" x14ac:dyDescent="0.25">
      <c r="A3176" s="7">
        <v>1</v>
      </c>
      <c r="B3176" s="155" t="s">
        <v>934</v>
      </c>
      <c r="C3176" s="129">
        <v>4</v>
      </c>
      <c r="D3176" s="7" t="s">
        <v>19</v>
      </c>
      <c r="E3176" s="130">
        <v>190000</v>
      </c>
      <c r="F3176" s="130">
        <f>E3176*C3176</f>
        <v>760000</v>
      </c>
      <c r="G3176" s="25"/>
      <c r="H3176" s="11"/>
      <c r="I3176" s="21"/>
      <c r="J3176" s="21"/>
      <c r="K3176" s="21"/>
      <c r="L3176" s="21"/>
      <c r="M3176" s="21"/>
      <c r="N3176" s="21"/>
    </row>
    <row r="3177" spans="1:14" ht="15.75" customHeight="1" x14ac:dyDescent="0.25">
      <c r="A3177" s="7"/>
      <c r="B3177" s="343" t="s">
        <v>342</v>
      </c>
      <c r="C3177" s="344"/>
      <c r="D3177" s="344"/>
      <c r="E3177" s="334"/>
      <c r="F3177" s="104">
        <f>SUM(F3176)</f>
        <v>760000</v>
      </c>
      <c r="G3177" s="25"/>
      <c r="H3177" s="11"/>
      <c r="I3177" s="21"/>
      <c r="J3177" s="21"/>
      <c r="K3177" s="21"/>
      <c r="L3177" s="21"/>
      <c r="M3177" s="21"/>
      <c r="N3177" s="21"/>
    </row>
    <row r="3178" spans="1:14" ht="15.75" customHeight="1" x14ac:dyDescent="0.25">
      <c r="A3178" s="7"/>
      <c r="B3178" s="343" t="s">
        <v>343</v>
      </c>
      <c r="C3178" s="344"/>
      <c r="D3178" s="344"/>
      <c r="E3178" s="334"/>
      <c r="F3178" s="104">
        <v>83600</v>
      </c>
      <c r="G3178" s="25"/>
      <c r="H3178" s="11"/>
      <c r="I3178" s="21"/>
      <c r="J3178" s="21"/>
      <c r="K3178" s="21"/>
      <c r="L3178" s="21"/>
      <c r="M3178" s="21"/>
      <c r="N3178" s="21"/>
    </row>
    <row r="3179" spans="1:14" ht="15.75" customHeight="1" x14ac:dyDescent="0.25">
      <c r="A3179" s="7"/>
      <c r="B3179" s="345" t="s">
        <v>344</v>
      </c>
      <c r="C3179" s="344"/>
      <c r="D3179" s="344"/>
      <c r="E3179" s="334"/>
      <c r="F3179" s="107">
        <f>SUM(F3177:F3178)</f>
        <v>843600</v>
      </c>
      <c r="G3179" s="25"/>
      <c r="H3179" s="11"/>
      <c r="I3179" s="21"/>
      <c r="J3179" s="21"/>
      <c r="K3179" s="21"/>
      <c r="L3179" s="21"/>
      <c r="M3179" s="21"/>
      <c r="N3179" s="21"/>
    </row>
    <row r="3180" spans="1:14" ht="15.75" customHeight="1" x14ac:dyDescent="0.25">
      <c r="A3180" s="21"/>
      <c r="B3180" s="21"/>
      <c r="C3180" s="11"/>
      <c r="D3180" s="11"/>
      <c r="E3180" s="21"/>
      <c r="F3180" s="21"/>
      <c r="G3180" s="25"/>
      <c r="H3180" s="11"/>
      <c r="I3180" s="21"/>
      <c r="J3180" s="21"/>
      <c r="K3180" s="21"/>
      <c r="L3180" s="21"/>
      <c r="M3180" s="21"/>
      <c r="N3180" s="21"/>
    </row>
    <row r="3181" spans="1:14" ht="15.75" customHeight="1" x14ac:dyDescent="0.25">
      <c r="A3181" s="31" t="s">
        <v>14</v>
      </c>
      <c r="B3181" s="31" t="s">
        <v>234</v>
      </c>
      <c r="C3181" s="31" t="s">
        <v>16</v>
      </c>
      <c r="D3181" s="31" t="s">
        <v>17</v>
      </c>
      <c r="E3181" s="31" t="s">
        <v>235</v>
      </c>
      <c r="F3181" s="31" t="s">
        <v>236</v>
      </c>
      <c r="G3181" s="25"/>
      <c r="H3181" s="11"/>
      <c r="I3181" s="21"/>
      <c r="J3181" s="21"/>
      <c r="K3181" s="21"/>
      <c r="L3181" s="21"/>
      <c r="M3181" s="21"/>
      <c r="N3181" s="21"/>
    </row>
    <row r="3182" spans="1:14" ht="15.75" customHeight="1" x14ac:dyDescent="0.25">
      <c r="A3182" s="7">
        <v>1</v>
      </c>
      <c r="B3182" s="155" t="s">
        <v>1309</v>
      </c>
      <c r="C3182" s="129">
        <v>2</v>
      </c>
      <c r="D3182" s="7" t="s">
        <v>19</v>
      </c>
      <c r="E3182" s="130">
        <v>2211410</v>
      </c>
      <c r="F3182" s="130">
        <f>E3182*C3182</f>
        <v>4422820</v>
      </c>
      <c r="G3182" s="25"/>
      <c r="H3182" s="11"/>
      <c r="I3182" s="21"/>
      <c r="J3182" s="21"/>
      <c r="K3182" s="21"/>
      <c r="L3182" s="21"/>
      <c r="M3182" s="21"/>
      <c r="N3182" s="21"/>
    </row>
    <row r="3183" spans="1:14" ht="15.75" customHeight="1" x14ac:dyDescent="0.25">
      <c r="A3183" s="7"/>
      <c r="B3183" s="343" t="s">
        <v>342</v>
      </c>
      <c r="C3183" s="344"/>
      <c r="D3183" s="344"/>
      <c r="E3183" s="334"/>
      <c r="F3183" s="104">
        <f>SUM(F3182)</f>
        <v>4422820</v>
      </c>
      <c r="G3183" s="25"/>
      <c r="H3183" s="11"/>
      <c r="I3183" s="21"/>
      <c r="J3183" s="21"/>
      <c r="K3183" s="21"/>
      <c r="L3183" s="21"/>
      <c r="M3183" s="21"/>
      <c r="N3183" s="21"/>
    </row>
    <row r="3184" spans="1:14" ht="15.75" customHeight="1" x14ac:dyDescent="0.25">
      <c r="A3184" s="7"/>
      <c r="B3184" s="343" t="s">
        <v>343</v>
      </c>
      <c r="C3184" s="344"/>
      <c r="D3184" s="344"/>
      <c r="E3184" s="334"/>
      <c r="F3184" s="108">
        <v>486510.2</v>
      </c>
      <c r="G3184" s="25"/>
      <c r="H3184" s="11"/>
      <c r="I3184" s="21"/>
      <c r="J3184" s="21"/>
      <c r="K3184" s="21"/>
      <c r="L3184" s="21"/>
      <c r="M3184" s="21"/>
      <c r="N3184" s="21"/>
    </row>
    <row r="3185" spans="1:14" ht="15.75" customHeight="1" x14ac:dyDescent="0.25">
      <c r="A3185" s="7"/>
      <c r="B3185" s="345" t="s">
        <v>344</v>
      </c>
      <c r="C3185" s="344"/>
      <c r="D3185" s="344"/>
      <c r="E3185" s="334"/>
      <c r="F3185" s="109">
        <f>SUM(F3183:F3184)</f>
        <v>4909330.2</v>
      </c>
      <c r="G3185" s="25"/>
      <c r="H3185" s="11"/>
      <c r="I3185" s="21"/>
      <c r="J3185" s="21"/>
      <c r="K3185" s="21"/>
      <c r="L3185" s="21"/>
      <c r="M3185" s="21"/>
      <c r="N3185" s="21"/>
    </row>
    <row r="3186" spans="1:14" ht="15.75" customHeight="1" x14ac:dyDescent="0.25">
      <c r="A3186" s="21"/>
      <c r="B3186" s="21"/>
      <c r="C3186" s="11"/>
      <c r="D3186" s="11"/>
      <c r="E3186" s="21"/>
      <c r="F3186" s="21"/>
      <c r="G3186" s="25"/>
      <c r="H3186" s="11"/>
      <c r="I3186" s="21"/>
      <c r="J3186" s="21"/>
      <c r="K3186" s="21"/>
      <c r="L3186" s="21"/>
      <c r="M3186" s="21"/>
      <c r="N3186" s="21"/>
    </row>
    <row r="3187" spans="1:14" ht="15.75" customHeight="1" x14ac:dyDescent="0.25">
      <c r="A3187" s="31" t="s">
        <v>14</v>
      </c>
      <c r="B3187" s="31" t="s">
        <v>234</v>
      </c>
      <c r="C3187" s="31" t="s">
        <v>16</v>
      </c>
      <c r="D3187" s="31" t="s">
        <v>17</v>
      </c>
      <c r="E3187" s="31" t="s">
        <v>235</v>
      </c>
      <c r="F3187" s="31" t="s">
        <v>236</v>
      </c>
      <c r="G3187" s="25"/>
      <c r="H3187" s="11"/>
      <c r="I3187" s="21"/>
      <c r="J3187" s="21"/>
      <c r="K3187" s="21"/>
      <c r="L3187" s="21"/>
      <c r="M3187" s="21"/>
      <c r="N3187" s="21"/>
    </row>
    <row r="3188" spans="1:14" ht="15.75" customHeight="1" x14ac:dyDescent="0.25">
      <c r="A3188" s="7">
        <v>1</v>
      </c>
      <c r="B3188" s="124" t="s">
        <v>1310</v>
      </c>
      <c r="C3188" s="129">
        <v>30</v>
      </c>
      <c r="D3188" s="7" t="s">
        <v>19</v>
      </c>
      <c r="E3188" s="130">
        <v>74000</v>
      </c>
      <c r="F3188" s="130">
        <f>E3188*C3188</f>
        <v>2220000</v>
      </c>
      <c r="G3188" s="25"/>
      <c r="H3188" s="11"/>
      <c r="I3188" s="21"/>
      <c r="J3188" s="21"/>
      <c r="K3188" s="21"/>
      <c r="L3188" s="21"/>
      <c r="M3188" s="21"/>
      <c r="N3188" s="21"/>
    </row>
    <row r="3189" spans="1:14" ht="15.75" customHeight="1" x14ac:dyDescent="0.25">
      <c r="A3189" s="7">
        <v>2</v>
      </c>
      <c r="B3189" s="120" t="s">
        <v>1311</v>
      </c>
      <c r="C3189" s="129">
        <v>20</v>
      </c>
      <c r="D3189" s="7" t="s">
        <v>19</v>
      </c>
      <c r="E3189" s="130">
        <v>74000</v>
      </c>
      <c r="F3189" s="130">
        <f>E3189*C3189</f>
        <v>1480000</v>
      </c>
      <c r="G3189" s="25"/>
      <c r="H3189" s="11"/>
      <c r="I3189" s="21"/>
      <c r="J3189" s="21"/>
      <c r="K3189" s="21"/>
      <c r="L3189" s="21"/>
      <c r="M3189" s="21"/>
      <c r="N3189" s="21"/>
    </row>
    <row r="3190" spans="1:14" ht="15.75" customHeight="1" x14ac:dyDescent="0.25">
      <c r="A3190" s="7">
        <v>3</v>
      </c>
      <c r="B3190" s="131" t="s">
        <v>1312</v>
      </c>
      <c r="C3190" s="129">
        <v>10</v>
      </c>
      <c r="D3190" s="7" t="s">
        <v>19</v>
      </c>
      <c r="E3190" s="130">
        <v>74000</v>
      </c>
      <c r="F3190" s="130">
        <f>E3190*C3190</f>
        <v>740000</v>
      </c>
      <c r="G3190" s="25"/>
      <c r="H3190" s="11"/>
      <c r="I3190" s="21"/>
      <c r="J3190" s="21"/>
      <c r="K3190" s="21"/>
      <c r="L3190" s="21"/>
      <c r="M3190" s="21"/>
      <c r="N3190" s="21"/>
    </row>
    <row r="3191" spans="1:14" ht="15.75" customHeight="1" x14ac:dyDescent="0.25">
      <c r="A3191" s="7">
        <v>4</v>
      </c>
      <c r="B3191" s="124" t="s">
        <v>1313</v>
      </c>
      <c r="C3191" s="129">
        <v>6</v>
      </c>
      <c r="D3191" s="7" t="s">
        <v>1135</v>
      </c>
      <c r="E3191" s="130">
        <v>872620</v>
      </c>
      <c r="F3191" s="130">
        <f>E3191*C3191</f>
        <v>5235720</v>
      </c>
      <c r="G3191" s="25"/>
      <c r="H3191" s="11"/>
      <c r="I3191" s="21"/>
      <c r="J3191" s="21"/>
      <c r="K3191" s="21"/>
      <c r="L3191" s="21"/>
      <c r="M3191" s="21"/>
      <c r="N3191" s="21"/>
    </row>
    <row r="3192" spans="1:14" ht="15.75" customHeight="1" x14ac:dyDescent="0.25">
      <c r="A3192" s="7"/>
      <c r="B3192" s="343" t="s">
        <v>342</v>
      </c>
      <c r="C3192" s="344"/>
      <c r="D3192" s="344"/>
      <c r="E3192" s="334"/>
      <c r="F3192" s="104">
        <f>SUM(F3188:F3191)</f>
        <v>9675720</v>
      </c>
      <c r="G3192" s="25"/>
      <c r="H3192" s="11"/>
      <c r="I3192" s="21"/>
      <c r="J3192" s="21"/>
      <c r="K3192" s="21"/>
      <c r="L3192" s="21"/>
      <c r="M3192" s="21"/>
      <c r="N3192" s="21"/>
    </row>
    <row r="3193" spans="1:14" ht="15.75" customHeight="1" x14ac:dyDescent="0.25">
      <c r="A3193" s="7"/>
      <c r="B3193" s="343" t="s">
        <v>343</v>
      </c>
      <c r="C3193" s="344"/>
      <c r="D3193" s="344"/>
      <c r="E3193" s="334"/>
      <c r="F3193" s="108">
        <v>1064329.2</v>
      </c>
      <c r="G3193" s="25"/>
      <c r="H3193" s="11"/>
      <c r="I3193" s="21"/>
      <c r="J3193" s="21"/>
      <c r="K3193" s="21"/>
      <c r="L3193" s="21"/>
      <c r="M3193" s="21"/>
      <c r="N3193" s="21"/>
    </row>
    <row r="3194" spans="1:14" ht="15.75" customHeight="1" x14ac:dyDescent="0.25">
      <c r="A3194" s="7"/>
      <c r="B3194" s="345" t="s">
        <v>344</v>
      </c>
      <c r="C3194" s="344"/>
      <c r="D3194" s="344"/>
      <c r="E3194" s="334"/>
      <c r="F3194" s="109">
        <f>SUM(F3192:F3193)</f>
        <v>10740049.199999999</v>
      </c>
      <c r="G3194" s="25"/>
      <c r="H3194" s="11"/>
      <c r="I3194" s="21"/>
      <c r="J3194" s="21"/>
      <c r="K3194" s="21"/>
      <c r="L3194" s="21"/>
      <c r="M3194" s="21"/>
      <c r="N3194" s="21"/>
    </row>
    <row r="3195" spans="1:14" ht="15.75" customHeight="1" x14ac:dyDescent="0.25">
      <c r="A3195" s="21"/>
      <c r="B3195" s="21"/>
      <c r="C3195" s="11"/>
      <c r="D3195" s="11"/>
      <c r="E3195" s="21"/>
      <c r="F3195" s="21"/>
      <c r="G3195" s="25"/>
      <c r="H3195" s="11"/>
      <c r="I3195" s="21"/>
      <c r="J3195" s="21"/>
      <c r="K3195" s="21"/>
      <c r="L3195" s="21"/>
      <c r="M3195" s="21"/>
      <c r="N3195" s="21"/>
    </row>
    <row r="3196" spans="1:14" ht="15.75" customHeight="1" x14ac:dyDescent="0.25">
      <c r="A3196" s="31" t="s">
        <v>351</v>
      </c>
      <c r="B3196" s="31" t="s">
        <v>234</v>
      </c>
      <c r="C3196" s="31" t="s">
        <v>16</v>
      </c>
      <c r="D3196" s="31" t="s">
        <v>17</v>
      </c>
      <c r="E3196" s="31" t="s">
        <v>235</v>
      </c>
      <c r="F3196" s="31" t="s">
        <v>236</v>
      </c>
      <c r="G3196" s="25"/>
      <c r="H3196" s="11"/>
      <c r="I3196" s="21"/>
      <c r="J3196" s="21"/>
      <c r="K3196" s="21"/>
      <c r="L3196" s="21"/>
      <c r="M3196" s="21"/>
      <c r="N3196" s="21"/>
    </row>
    <row r="3197" spans="1:14" ht="15.75" customHeight="1" x14ac:dyDescent="0.25">
      <c r="A3197" s="7">
        <v>1</v>
      </c>
      <c r="B3197" s="41" t="s">
        <v>1314</v>
      </c>
      <c r="C3197" s="7">
        <v>2</v>
      </c>
      <c r="D3197" s="7" t="s">
        <v>363</v>
      </c>
      <c r="E3197" s="104">
        <v>2473500</v>
      </c>
      <c r="F3197" s="104">
        <f>E3197*C3197</f>
        <v>4947000</v>
      </c>
      <c r="G3197" s="25"/>
      <c r="H3197" s="11"/>
      <c r="I3197" s="21"/>
      <c r="J3197" s="21"/>
      <c r="K3197" s="21"/>
      <c r="L3197" s="21"/>
      <c r="M3197" s="21"/>
      <c r="N3197" s="21"/>
    </row>
    <row r="3198" spans="1:14" ht="15.75" customHeight="1" x14ac:dyDescent="0.25">
      <c r="A3198" s="7">
        <v>2</v>
      </c>
      <c r="B3198" s="41" t="s">
        <v>1315</v>
      </c>
      <c r="C3198" s="7">
        <v>1</v>
      </c>
      <c r="D3198" s="7" t="s">
        <v>363</v>
      </c>
      <c r="E3198" s="104">
        <v>1862400</v>
      </c>
      <c r="F3198" s="104">
        <f>E3198*C3198</f>
        <v>1862400</v>
      </c>
      <c r="G3198" s="25"/>
      <c r="H3198" s="11"/>
      <c r="I3198" s="21"/>
      <c r="J3198" s="21"/>
      <c r="K3198" s="21"/>
      <c r="L3198" s="21"/>
      <c r="M3198" s="21"/>
      <c r="N3198" s="21"/>
    </row>
    <row r="3199" spans="1:14" ht="15.75" customHeight="1" x14ac:dyDescent="0.25">
      <c r="A3199" s="7"/>
      <c r="B3199" s="343" t="s">
        <v>342</v>
      </c>
      <c r="C3199" s="344"/>
      <c r="D3199" s="344"/>
      <c r="E3199" s="334"/>
      <c r="F3199" s="104">
        <f>SUM(F3197:F3198)</f>
        <v>6809400</v>
      </c>
      <c r="G3199" s="25"/>
      <c r="H3199" s="11"/>
      <c r="I3199" s="21"/>
      <c r="J3199" s="21"/>
      <c r="K3199" s="21"/>
      <c r="L3199" s="21"/>
      <c r="M3199" s="21"/>
      <c r="N3199" s="21"/>
    </row>
    <row r="3200" spans="1:14" ht="15.75" customHeight="1" x14ac:dyDescent="0.25">
      <c r="A3200" s="7"/>
      <c r="B3200" s="343" t="s">
        <v>343</v>
      </c>
      <c r="C3200" s="344"/>
      <c r="D3200" s="344"/>
      <c r="E3200" s="334"/>
      <c r="F3200" s="104">
        <v>749034</v>
      </c>
      <c r="G3200" s="25"/>
      <c r="H3200" s="11"/>
      <c r="I3200" s="21"/>
      <c r="J3200" s="21"/>
      <c r="K3200" s="21"/>
      <c r="L3200" s="21"/>
      <c r="M3200" s="21"/>
      <c r="N3200" s="21"/>
    </row>
    <row r="3201" spans="1:14" ht="15.75" customHeight="1" x14ac:dyDescent="0.25">
      <c r="A3201" s="7"/>
      <c r="B3201" s="345" t="s">
        <v>344</v>
      </c>
      <c r="C3201" s="344"/>
      <c r="D3201" s="344"/>
      <c r="E3201" s="334"/>
      <c r="F3201" s="107">
        <f>SUM(F3199:F3200)</f>
        <v>7558434</v>
      </c>
      <c r="G3201" s="25"/>
      <c r="H3201" s="11"/>
      <c r="I3201" s="21"/>
      <c r="J3201" s="21"/>
      <c r="K3201" s="21"/>
      <c r="L3201" s="21"/>
      <c r="M3201" s="21"/>
      <c r="N3201" s="21"/>
    </row>
    <row r="3202" spans="1:14" ht="15.75" customHeight="1" x14ac:dyDescent="0.25">
      <c r="A3202" s="21"/>
      <c r="B3202" s="21"/>
      <c r="C3202" s="11"/>
      <c r="D3202" s="11"/>
      <c r="E3202" s="21"/>
      <c r="F3202" s="21"/>
      <c r="G3202" s="25"/>
      <c r="H3202" s="11"/>
      <c r="I3202" s="21"/>
      <c r="J3202" s="21"/>
      <c r="K3202" s="21"/>
      <c r="L3202" s="21"/>
      <c r="M3202" s="21"/>
      <c r="N3202" s="21"/>
    </row>
    <row r="3203" spans="1:14" ht="15.75" customHeight="1" x14ac:dyDescent="0.25">
      <c r="A3203" s="31" t="s">
        <v>14</v>
      </c>
      <c r="B3203" s="31" t="s">
        <v>234</v>
      </c>
      <c r="C3203" s="31" t="s">
        <v>16</v>
      </c>
      <c r="D3203" s="31" t="s">
        <v>17</v>
      </c>
      <c r="E3203" s="31" t="s">
        <v>235</v>
      </c>
      <c r="F3203" s="31" t="s">
        <v>236</v>
      </c>
      <c r="G3203" s="25"/>
      <c r="H3203" s="11"/>
      <c r="I3203" s="21"/>
      <c r="J3203" s="21"/>
      <c r="K3203" s="21"/>
      <c r="L3203" s="21"/>
      <c r="M3203" s="21"/>
      <c r="N3203" s="21"/>
    </row>
    <row r="3204" spans="1:14" ht="15.75" customHeight="1" x14ac:dyDescent="0.25">
      <c r="A3204" s="7">
        <v>1</v>
      </c>
      <c r="B3204" s="121" t="s">
        <v>1316</v>
      </c>
      <c r="C3204" s="129">
        <v>1</v>
      </c>
      <c r="D3204" s="7" t="s">
        <v>19</v>
      </c>
      <c r="E3204" s="130">
        <v>1191110</v>
      </c>
      <c r="F3204" s="130">
        <f>E3204*C3204</f>
        <v>1191110</v>
      </c>
      <c r="G3204" s="25"/>
      <c r="H3204" s="11"/>
      <c r="I3204" s="21"/>
      <c r="J3204" s="21"/>
      <c r="K3204" s="21"/>
      <c r="L3204" s="21"/>
      <c r="M3204" s="21"/>
      <c r="N3204" s="21"/>
    </row>
    <row r="3205" spans="1:14" ht="15.75" customHeight="1" x14ac:dyDescent="0.25">
      <c r="A3205" s="7">
        <v>2</v>
      </c>
      <c r="B3205" s="143" t="s">
        <v>1317</v>
      </c>
      <c r="C3205" s="129">
        <v>1</v>
      </c>
      <c r="D3205" s="7" t="s">
        <v>243</v>
      </c>
      <c r="E3205" s="130">
        <v>1016975</v>
      </c>
      <c r="F3205" s="130">
        <f>E3205*C3205</f>
        <v>1016975</v>
      </c>
      <c r="G3205" s="25"/>
      <c r="H3205" s="11"/>
      <c r="I3205" s="21"/>
      <c r="J3205" s="21"/>
      <c r="K3205" s="21"/>
      <c r="L3205" s="21"/>
      <c r="M3205" s="21"/>
      <c r="N3205" s="21"/>
    </row>
    <row r="3206" spans="1:14" ht="15.75" customHeight="1" x14ac:dyDescent="0.25">
      <c r="A3206" s="7">
        <v>3</v>
      </c>
      <c r="B3206" s="143" t="s">
        <v>1318</v>
      </c>
      <c r="C3206" s="129">
        <v>10</v>
      </c>
      <c r="D3206" s="7" t="s">
        <v>1319</v>
      </c>
      <c r="E3206" s="130">
        <v>2227750</v>
      </c>
      <c r="F3206" s="130">
        <f>E3206*C3206</f>
        <v>22277500</v>
      </c>
      <c r="G3206" s="25"/>
      <c r="H3206" s="11"/>
      <c r="I3206" s="21"/>
      <c r="J3206" s="21"/>
      <c r="K3206" s="21"/>
      <c r="L3206" s="21"/>
      <c r="M3206" s="21"/>
      <c r="N3206" s="21"/>
    </row>
    <row r="3207" spans="1:14" ht="15.75" customHeight="1" x14ac:dyDescent="0.25">
      <c r="A3207" s="7">
        <v>4</v>
      </c>
      <c r="B3207" s="143" t="s">
        <v>1320</v>
      </c>
      <c r="C3207" s="129">
        <v>1</v>
      </c>
      <c r="D3207" s="7" t="s">
        <v>243</v>
      </c>
      <c r="E3207" s="130">
        <v>707750</v>
      </c>
      <c r="F3207" s="130">
        <f>E3207*C3207</f>
        <v>707750</v>
      </c>
      <c r="G3207" s="25"/>
      <c r="H3207" s="11"/>
      <c r="I3207" s="21"/>
      <c r="J3207" s="21"/>
      <c r="K3207" s="21"/>
      <c r="L3207" s="21"/>
      <c r="M3207" s="21"/>
      <c r="N3207" s="21"/>
    </row>
    <row r="3208" spans="1:14" ht="15.75" customHeight="1" x14ac:dyDescent="0.25">
      <c r="A3208" s="7">
        <v>5</v>
      </c>
      <c r="B3208" s="143" t="s">
        <v>1321</v>
      </c>
      <c r="C3208" s="129">
        <v>1</v>
      </c>
      <c r="D3208" s="7" t="s">
        <v>19</v>
      </c>
      <c r="E3208" s="130">
        <v>787075</v>
      </c>
      <c r="F3208" s="130">
        <f>E3208*C3208</f>
        <v>787075</v>
      </c>
      <c r="G3208" s="25"/>
      <c r="H3208" s="11"/>
      <c r="I3208" s="21"/>
      <c r="J3208" s="21"/>
      <c r="K3208" s="21"/>
      <c r="L3208" s="21"/>
      <c r="M3208" s="21"/>
      <c r="N3208" s="21"/>
    </row>
    <row r="3209" spans="1:14" ht="15.75" customHeight="1" x14ac:dyDescent="0.25">
      <c r="A3209" s="7"/>
      <c r="B3209" s="343" t="s">
        <v>342</v>
      </c>
      <c r="C3209" s="344"/>
      <c r="D3209" s="344"/>
      <c r="E3209" s="334"/>
      <c r="F3209" s="104">
        <f>SUM(F3204:F3208)</f>
        <v>25980410</v>
      </c>
      <c r="G3209" s="25"/>
      <c r="H3209" s="11"/>
      <c r="I3209" s="21"/>
      <c r="J3209" s="21"/>
      <c r="K3209" s="21"/>
      <c r="L3209" s="21"/>
      <c r="M3209" s="21"/>
      <c r="N3209" s="21"/>
    </row>
    <row r="3210" spans="1:14" ht="15.75" customHeight="1" x14ac:dyDescent="0.25">
      <c r="A3210" s="7"/>
      <c r="B3210" s="343" t="s">
        <v>343</v>
      </c>
      <c r="C3210" s="344"/>
      <c r="D3210" s="344"/>
      <c r="E3210" s="334"/>
      <c r="F3210" s="108">
        <v>2857845.1</v>
      </c>
      <c r="G3210" s="25"/>
      <c r="H3210" s="11"/>
      <c r="I3210" s="21"/>
      <c r="J3210" s="21"/>
      <c r="K3210" s="21"/>
      <c r="L3210" s="21"/>
      <c r="M3210" s="21"/>
      <c r="N3210" s="21"/>
    </row>
    <row r="3211" spans="1:14" ht="15.75" customHeight="1" x14ac:dyDescent="0.25">
      <c r="A3211" s="7"/>
      <c r="B3211" s="345" t="s">
        <v>344</v>
      </c>
      <c r="C3211" s="344"/>
      <c r="D3211" s="344"/>
      <c r="E3211" s="334"/>
      <c r="F3211" s="109">
        <f>SUM(F3209:F3210)</f>
        <v>28838255.100000001</v>
      </c>
      <c r="G3211" s="25"/>
      <c r="H3211" s="11"/>
      <c r="I3211" s="21"/>
      <c r="J3211" s="21"/>
      <c r="K3211" s="21"/>
      <c r="L3211" s="21"/>
      <c r="M3211" s="21"/>
      <c r="N3211" s="21"/>
    </row>
    <row r="3212" spans="1:14" ht="15.75" customHeight="1" x14ac:dyDescent="0.25">
      <c r="A3212" s="21"/>
      <c r="B3212" s="21"/>
      <c r="C3212" s="11"/>
      <c r="D3212" s="11"/>
      <c r="E3212" s="21"/>
      <c r="F3212" s="21"/>
      <c r="G3212" s="25"/>
      <c r="H3212" s="11"/>
      <c r="I3212" s="21"/>
      <c r="J3212" s="21"/>
      <c r="K3212" s="21"/>
      <c r="L3212" s="21"/>
      <c r="M3212" s="21"/>
      <c r="N3212" s="21"/>
    </row>
    <row r="3213" spans="1:14" ht="15.75" customHeight="1" x14ac:dyDescent="0.25">
      <c r="A3213" s="31" t="s">
        <v>14</v>
      </c>
      <c r="B3213" s="31" t="s">
        <v>234</v>
      </c>
      <c r="C3213" s="31" t="s">
        <v>16</v>
      </c>
      <c r="D3213" s="31" t="s">
        <v>17</v>
      </c>
      <c r="E3213" s="31" t="s">
        <v>235</v>
      </c>
      <c r="F3213" s="31" t="s">
        <v>236</v>
      </c>
      <c r="G3213" s="25"/>
      <c r="H3213" s="11"/>
      <c r="I3213" s="21"/>
      <c r="J3213" s="21"/>
      <c r="K3213" s="21"/>
      <c r="L3213" s="21"/>
      <c r="M3213" s="21"/>
      <c r="N3213" s="21"/>
    </row>
    <row r="3214" spans="1:14" ht="15.75" customHeight="1" x14ac:dyDescent="0.25">
      <c r="A3214" s="7">
        <v>1</v>
      </c>
      <c r="B3214" s="124" t="s">
        <v>1322</v>
      </c>
      <c r="C3214" s="129">
        <v>563</v>
      </c>
      <c r="D3214" s="7" t="s">
        <v>973</v>
      </c>
      <c r="E3214" s="130">
        <v>1667250</v>
      </c>
      <c r="F3214" s="130">
        <f>E3214*C3214</f>
        <v>938661750</v>
      </c>
      <c r="G3214" s="25"/>
      <c r="H3214" s="11"/>
      <c r="I3214" s="21"/>
      <c r="J3214" s="21"/>
      <c r="K3214" s="21"/>
      <c r="L3214" s="21"/>
      <c r="M3214" s="21"/>
      <c r="N3214" s="21"/>
    </row>
    <row r="3215" spans="1:14" ht="15.75" customHeight="1" x14ac:dyDescent="0.25">
      <c r="A3215" s="7">
        <v>2</v>
      </c>
      <c r="B3215" s="120" t="s">
        <v>1323</v>
      </c>
      <c r="C3215" s="129">
        <v>28</v>
      </c>
      <c r="D3215" s="7" t="s">
        <v>1324</v>
      </c>
      <c r="E3215" s="130">
        <v>12253525</v>
      </c>
      <c r="F3215" s="130">
        <f>E3215*C3215</f>
        <v>343098700</v>
      </c>
      <c r="G3215" s="25"/>
      <c r="H3215" s="11"/>
      <c r="I3215" s="21"/>
      <c r="J3215" s="21"/>
      <c r="K3215" s="21"/>
      <c r="L3215" s="21"/>
      <c r="M3215" s="21"/>
      <c r="N3215" s="21"/>
    </row>
    <row r="3216" spans="1:14" ht="15.75" customHeight="1" x14ac:dyDescent="0.25">
      <c r="A3216" s="7">
        <v>3</v>
      </c>
      <c r="B3216" s="131" t="s">
        <v>1325</v>
      </c>
      <c r="C3216" s="129">
        <v>563</v>
      </c>
      <c r="D3216" s="7" t="s">
        <v>19</v>
      </c>
      <c r="E3216" s="130">
        <v>18050</v>
      </c>
      <c r="F3216" s="130">
        <f>E3216*C3216</f>
        <v>10162150</v>
      </c>
      <c r="G3216" s="25"/>
      <c r="H3216" s="11"/>
      <c r="I3216" s="21"/>
      <c r="J3216" s="21"/>
      <c r="K3216" s="21"/>
      <c r="L3216" s="21"/>
      <c r="M3216" s="21"/>
      <c r="N3216" s="21"/>
    </row>
    <row r="3217" spans="1:14" ht="15.75" customHeight="1" x14ac:dyDescent="0.25">
      <c r="A3217" s="7">
        <v>4</v>
      </c>
      <c r="B3217" s="124" t="s">
        <v>1326</v>
      </c>
      <c r="C3217" s="129">
        <v>1106</v>
      </c>
      <c r="D3217" s="7" t="s">
        <v>19</v>
      </c>
      <c r="E3217" s="130">
        <v>30000</v>
      </c>
      <c r="F3217" s="130">
        <f>E3217*C3217</f>
        <v>33180000</v>
      </c>
      <c r="G3217" s="25"/>
      <c r="H3217" s="11"/>
      <c r="I3217" s="21"/>
      <c r="J3217" s="21"/>
      <c r="K3217" s="21"/>
      <c r="L3217" s="21"/>
      <c r="M3217" s="21"/>
      <c r="N3217" s="21"/>
    </row>
    <row r="3218" spans="1:14" ht="15.75" customHeight="1" x14ac:dyDescent="0.25">
      <c r="A3218" s="7"/>
      <c r="B3218" s="343" t="s">
        <v>342</v>
      </c>
      <c r="C3218" s="344"/>
      <c r="D3218" s="344"/>
      <c r="E3218" s="334"/>
      <c r="F3218" s="104">
        <f>SUM(F3214:F3217)</f>
        <v>1325102600</v>
      </c>
      <c r="G3218" s="25"/>
      <c r="H3218" s="11"/>
      <c r="I3218" s="21"/>
      <c r="J3218" s="21"/>
      <c r="K3218" s="21"/>
      <c r="L3218" s="21"/>
      <c r="M3218" s="21"/>
      <c r="N3218" s="21"/>
    </row>
    <row r="3219" spans="1:14" ht="15.75" customHeight="1" x14ac:dyDescent="0.25">
      <c r="A3219" s="7"/>
      <c r="B3219" s="345" t="s">
        <v>1327</v>
      </c>
      <c r="C3219" s="344"/>
      <c r="D3219" s="344"/>
      <c r="E3219" s="334"/>
      <c r="F3219" s="107">
        <v>132510260</v>
      </c>
      <c r="G3219" s="25"/>
      <c r="H3219" s="11"/>
      <c r="I3219" s="21"/>
      <c r="J3219" s="21"/>
      <c r="K3219" s="21"/>
      <c r="L3219" s="21"/>
      <c r="M3219" s="21"/>
      <c r="N3219" s="21"/>
    </row>
    <row r="3220" spans="1:14" ht="15.75" customHeight="1" x14ac:dyDescent="0.25">
      <c r="A3220" s="7"/>
      <c r="B3220" s="343" t="s">
        <v>343</v>
      </c>
      <c r="C3220" s="344"/>
      <c r="D3220" s="344"/>
      <c r="E3220" s="334"/>
      <c r="F3220" s="104">
        <v>14576128.6</v>
      </c>
      <c r="G3220" s="25"/>
      <c r="H3220" s="11"/>
      <c r="I3220" s="21"/>
      <c r="J3220" s="21"/>
      <c r="K3220" s="21"/>
      <c r="L3220" s="21"/>
      <c r="M3220" s="21"/>
      <c r="N3220" s="21"/>
    </row>
    <row r="3221" spans="1:14" ht="15.75" customHeight="1" x14ac:dyDescent="0.25">
      <c r="A3221" s="7"/>
      <c r="B3221" s="345" t="s">
        <v>344</v>
      </c>
      <c r="C3221" s="344"/>
      <c r="D3221" s="344"/>
      <c r="E3221" s="334"/>
      <c r="F3221" s="107">
        <f>SUM(F3219:F3220)</f>
        <v>147086388.59999999</v>
      </c>
      <c r="G3221" s="25"/>
      <c r="H3221" s="11"/>
      <c r="I3221" s="21"/>
      <c r="J3221" s="21"/>
      <c r="K3221" s="21"/>
      <c r="L3221" s="21"/>
      <c r="M3221" s="21"/>
      <c r="N3221" s="21"/>
    </row>
    <row r="3222" spans="1:14" ht="15.75" customHeight="1" x14ac:dyDescent="0.25">
      <c r="A3222" s="21"/>
      <c r="B3222" s="21"/>
      <c r="C3222" s="11"/>
      <c r="D3222" s="11"/>
      <c r="E3222" s="21"/>
      <c r="F3222" s="21"/>
      <c r="G3222" s="25"/>
      <c r="H3222" s="11"/>
      <c r="I3222" s="21"/>
      <c r="J3222" s="21"/>
      <c r="K3222" s="21"/>
      <c r="L3222" s="21"/>
      <c r="M3222" s="21"/>
      <c r="N3222" s="21"/>
    </row>
    <row r="3223" spans="1:14" ht="15.75" customHeight="1" x14ac:dyDescent="0.25">
      <c r="A3223" s="31" t="s">
        <v>14</v>
      </c>
      <c r="B3223" s="31" t="s">
        <v>234</v>
      </c>
      <c r="C3223" s="31" t="s">
        <v>16</v>
      </c>
      <c r="D3223" s="31" t="s">
        <v>17</v>
      </c>
      <c r="E3223" s="31" t="s">
        <v>235</v>
      </c>
      <c r="F3223" s="31" t="s">
        <v>236</v>
      </c>
      <c r="G3223" s="25"/>
      <c r="H3223" s="11"/>
      <c r="I3223" s="21"/>
      <c r="J3223" s="21"/>
      <c r="K3223" s="21"/>
      <c r="L3223" s="21"/>
      <c r="M3223" s="21"/>
      <c r="N3223" s="21"/>
    </row>
    <row r="3224" spans="1:14" ht="15.75" customHeight="1" x14ac:dyDescent="0.25">
      <c r="A3224" s="7">
        <v>1</v>
      </c>
      <c r="B3224" s="124" t="s">
        <v>1328</v>
      </c>
      <c r="C3224" s="129">
        <v>100</v>
      </c>
      <c r="D3224" s="7" t="s">
        <v>973</v>
      </c>
      <c r="E3224" s="130">
        <v>2973050</v>
      </c>
      <c r="F3224" s="130">
        <f>E3224*C3224</f>
        <v>297305000</v>
      </c>
      <c r="G3224" s="25"/>
      <c r="H3224" s="11"/>
      <c r="I3224" s="21"/>
      <c r="J3224" s="21"/>
      <c r="K3224" s="21"/>
      <c r="L3224" s="21"/>
      <c r="M3224" s="21"/>
      <c r="N3224" s="21"/>
    </row>
    <row r="3225" spans="1:14" ht="15.75" customHeight="1" x14ac:dyDescent="0.25">
      <c r="A3225" s="7">
        <v>2</v>
      </c>
      <c r="B3225" s="120" t="s">
        <v>1329</v>
      </c>
      <c r="C3225" s="129">
        <v>350</v>
      </c>
      <c r="D3225" s="7" t="s">
        <v>243</v>
      </c>
      <c r="E3225" s="130">
        <v>5626</v>
      </c>
      <c r="F3225" s="130">
        <f>E3225*C3225</f>
        <v>1969100</v>
      </c>
      <c r="G3225" s="25"/>
      <c r="H3225" s="11"/>
      <c r="I3225" s="21"/>
      <c r="J3225" s="21"/>
      <c r="K3225" s="21"/>
      <c r="L3225" s="21"/>
      <c r="M3225" s="21"/>
      <c r="N3225" s="21"/>
    </row>
    <row r="3226" spans="1:14" ht="15.75" customHeight="1" x14ac:dyDescent="0.25">
      <c r="A3226" s="7">
        <v>3</v>
      </c>
      <c r="B3226" s="131" t="s">
        <v>1330</v>
      </c>
      <c r="C3226" s="129">
        <v>40</v>
      </c>
      <c r="D3226" s="7" t="s">
        <v>973</v>
      </c>
      <c r="E3226" s="130">
        <v>5262250</v>
      </c>
      <c r="F3226" s="130">
        <f>E3226*C3226</f>
        <v>210490000</v>
      </c>
      <c r="G3226" s="25"/>
      <c r="H3226" s="11"/>
      <c r="I3226" s="21"/>
      <c r="J3226" s="21"/>
      <c r="K3226" s="21"/>
      <c r="L3226" s="21"/>
      <c r="M3226" s="21"/>
      <c r="N3226" s="21"/>
    </row>
    <row r="3227" spans="1:14" ht="15.75" customHeight="1" x14ac:dyDescent="0.25">
      <c r="A3227" s="7"/>
      <c r="B3227" s="343" t="s">
        <v>342</v>
      </c>
      <c r="C3227" s="344"/>
      <c r="D3227" s="344"/>
      <c r="E3227" s="334"/>
      <c r="F3227" s="104">
        <f>SUM(F3224:F3226)</f>
        <v>509764100</v>
      </c>
      <c r="G3227" s="25"/>
      <c r="H3227" s="11"/>
      <c r="I3227" s="21"/>
      <c r="J3227" s="21"/>
      <c r="K3227" s="21"/>
      <c r="L3227" s="21"/>
      <c r="M3227" s="21"/>
      <c r="N3227" s="21"/>
    </row>
    <row r="3228" spans="1:14" ht="15.75" customHeight="1" x14ac:dyDescent="0.25">
      <c r="A3228" s="7"/>
      <c r="B3228" s="345" t="s">
        <v>1327</v>
      </c>
      <c r="C3228" s="344"/>
      <c r="D3228" s="344"/>
      <c r="E3228" s="334"/>
      <c r="F3228" s="107">
        <v>50976410</v>
      </c>
      <c r="G3228" s="25"/>
      <c r="H3228" s="11"/>
      <c r="I3228" s="21"/>
      <c r="J3228" s="21"/>
      <c r="K3228" s="21"/>
      <c r="L3228" s="21"/>
      <c r="M3228" s="21"/>
      <c r="N3228" s="21"/>
    </row>
    <row r="3229" spans="1:14" ht="15.75" customHeight="1" x14ac:dyDescent="0.25">
      <c r="A3229" s="7"/>
      <c r="B3229" s="343" t="s">
        <v>343</v>
      </c>
      <c r="C3229" s="344"/>
      <c r="D3229" s="344"/>
      <c r="E3229" s="334"/>
      <c r="F3229" s="104">
        <v>5607405.0999999996</v>
      </c>
      <c r="G3229" s="25"/>
      <c r="H3229" s="11"/>
      <c r="I3229" s="21"/>
      <c r="J3229" s="21"/>
      <c r="K3229" s="21"/>
      <c r="L3229" s="21"/>
      <c r="M3229" s="21"/>
      <c r="N3229" s="21"/>
    </row>
    <row r="3230" spans="1:14" ht="15.75" customHeight="1" x14ac:dyDescent="0.25">
      <c r="A3230" s="7"/>
      <c r="B3230" s="345" t="s">
        <v>344</v>
      </c>
      <c r="C3230" s="344"/>
      <c r="D3230" s="344"/>
      <c r="E3230" s="334"/>
      <c r="F3230" s="107">
        <f>SUM(F3228:F3229)</f>
        <v>56583815.100000001</v>
      </c>
      <c r="G3230" s="25"/>
      <c r="H3230" s="11"/>
      <c r="I3230" s="21"/>
      <c r="J3230" s="21"/>
      <c r="K3230" s="21"/>
      <c r="L3230" s="21"/>
      <c r="M3230" s="21"/>
      <c r="N3230" s="21"/>
    </row>
    <row r="3231" spans="1:14" ht="15.75" customHeight="1" x14ac:dyDescent="0.25">
      <c r="A3231" s="21"/>
      <c r="B3231" s="21"/>
      <c r="C3231" s="11"/>
      <c r="D3231" s="11"/>
      <c r="E3231" s="21"/>
      <c r="F3231" s="21"/>
      <c r="G3231" s="25"/>
      <c r="H3231" s="11"/>
      <c r="I3231" s="21"/>
      <c r="J3231" s="21"/>
      <c r="K3231" s="21"/>
      <c r="L3231" s="21"/>
      <c r="M3231" s="21"/>
      <c r="N3231" s="21"/>
    </row>
    <row r="3232" spans="1:14" ht="15.75" customHeight="1" x14ac:dyDescent="0.25">
      <c r="A3232" s="31" t="s">
        <v>14</v>
      </c>
      <c r="B3232" s="31" t="s">
        <v>234</v>
      </c>
      <c r="C3232" s="31" t="s">
        <v>16</v>
      </c>
      <c r="D3232" s="31" t="s">
        <v>17</v>
      </c>
      <c r="E3232" s="31" t="s">
        <v>235</v>
      </c>
      <c r="F3232" s="31" t="s">
        <v>236</v>
      </c>
      <c r="G3232" s="25"/>
      <c r="H3232" s="11"/>
      <c r="I3232" s="21"/>
      <c r="J3232" s="21"/>
      <c r="K3232" s="21"/>
      <c r="L3232" s="21"/>
      <c r="M3232" s="21"/>
      <c r="N3232" s="21"/>
    </row>
    <row r="3233" spans="1:14" ht="15.75" customHeight="1" x14ac:dyDescent="0.25">
      <c r="A3233" s="10">
        <v>1</v>
      </c>
      <c r="B3233" s="38" t="s">
        <v>1331</v>
      </c>
      <c r="C3233" s="7">
        <v>9</v>
      </c>
      <c r="D3233" s="7" t="s">
        <v>19</v>
      </c>
      <c r="E3233" s="104">
        <v>95545</v>
      </c>
      <c r="F3233" s="104">
        <f t="shared" ref="F3233:F3245" si="34">E3233*C3233</f>
        <v>859905</v>
      </c>
      <c r="G3233" s="25"/>
      <c r="H3233" s="11"/>
      <c r="I3233" s="21"/>
      <c r="J3233" s="21"/>
      <c r="K3233" s="21"/>
      <c r="L3233" s="21"/>
      <c r="M3233" s="21"/>
      <c r="N3233" s="21"/>
    </row>
    <row r="3234" spans="1:14" ht="15.75" customHeight="1" x14ac:dyDescent="0.25">
      <c r="A3234" s="7">
        <v>2</v>
      </c>
      <c r="B3234" s="124" t="s">
        <v>1332</v>
      </c>
      <c r="C3234" s="7">
        <v>3</v>
      </c>
      <c r="D3234" s="7" t="s">
        <v>19</v>
      </c>
      <c r="E3234" s="104">
        <v>292940</v>
      </c>
      <c r="F3234" s="104">
        <f t="shared" si="34"/>
        <v>878820</v>
      </c>
      <c r="G3234" s="25"/>
      <c r="H3234" s="11"/>
      <c r="I3234" s="21"/>
      <c r="J3234" s="21"/>
      <c r="K3234" s="21"/>
      <c r="L3234" s="21"/>
      <c r="M3234" s="21"/>
      <c r="N3234" s="21"/>
    </row>
    <row r="3235" spans="1:14" ht="15.75" customHeight="1" x14ac:dyDescent="0.25">
      <c r="A3235" s="7">
        <v>3</v>
      </c>
      <c r="B3235" s="131" t="s">
        <v>1333</v>
      </c>
      <c r="C3235" s="7">
        <v>3</v>
      </c>
      <c r="D3235" s="7" t="s">
        <v>19</v>
      </c>
      <c r="E3235" s="104">
        <v>1507380</v>
      </c>
      <c r="F3235" s="104">
        <f t="shared" si="34"/>
        <v>4522140</v>
      </c>
      <c r="G3235" s="25"/>
      <c r="H3235" s="11"/>
      <c r="I3235" s="21"/>
      <c r="J3235" s="21"/>
      <c r="K3235" s="21"/>
      <c r="L3235" s="21"/>
      <c r="M3235" s="21"/>
      <c r="N3235" s="21"/>
    </row>
    <row r="3236" spans="1:14" ht="15.75" customHeight="1" x14ac:dyDescent="0.25">
      <c r="A3236" s="7">
        <v>4</v>
      </c>
      <c r="B3236" s="35" t="s">
        <v>1334</v>
      </c>
      <c r="C3236" s="7">
        <v>3</v>
      </c>
      <c r="D3236" s="7" t="s">
        <v>19</v>
      </c>
      <c r="E3236" s="104">
        <v>639036</v>
      </c>
      <c r="F3236" s="104">
        <f t="shared" si="34"/>
        <v>1917108</v>
      </c>
      <c r="G3236" s="25"/>
      <c r="H3236" s="11"/>
      <c r="I3236" s="21"/>
      <c r="J3236" s="21"/>
      <c r="K3236" s="21"/>
      <c r="L3236" s="21"/>
      <c r="M3236" s="21"/>
      <c r="N3236" s="21"/>
    </row>
    <row r="3237" spans="1:14" ht="15.75" customHeight="1" x14ac:dyDescent="0.25">
      <c r="A3237" s="7">
        <v>5</v>
      </c>
      <c r="B3237" s="41" t="s">
        <v>1335</v>
      </c>
      <c r="C3237" s="7">
        <v>12</v>
      </c>
      <c r="D3237" s="7" t="s">
        <v>19</v>
      </c>
      <c r="E3237" s="104">
        <v>6305</v>
      </c>
      <c r="F3237" s="104">
        <f t="shared" si="34"/>
        <v>75660</v>
      </c>
      <c r="G3237" s="25"/>
      <c r="H3237" s="11"/>
      <c r="I3237" s="21"/>
      <c r="J3237" s="21"/>
      <c r="K3237" s="21"/>
      <c r="L3237" s="21"/>
      <c r="M3237" s="21"/>
      <c r="N3237" s="21"/>
    </row>
    <row r="3238" spans="1:14" ht="15.75" customHeight="1" x14ac:dyDescent="0.25">
      <c r="A3238" s="7">
        <v>6</v>
      </c>
      <c r="B3238" s="41" t="s">
        <v>1336</v>
      </c>
      <c r="C3238" s="7">
        <v>12</v>
      </c>
      <c r="D3238" s="7" t="s">
        <v>19</v>
      </c>
      <c r="E3238" s="104">
        <v>21825</v>
      </c>
      <c r="F3238" s="104">
        <f t="shared" si="34"/>
        <v>261900</v>
      </c>
      <c r="G3238" s="25"/>
      <c r="H3238" s="11"/>
      <c r="I3238" s="21"/>
      <c r="J3238" s="21"/>
      <c r="K3238" s="21"/>
      <c r="L3238" s="21"/>
      <c r="M3238" s="21"/>
      <c r="N3238" s="21"/>
    </row>
    <row r="3239" spans="1:14" ht="15.75" customHeight="1" x14ac:dyDescent="0.25">
      <c r="A3239" s="7">
        <v>7</v>
      </c>
      <c r="B3239" s="35" t="s">
        <v>1337</v>
      </c>
      <c r="C3239" s="7">
        <v>12</v>
      </c>
      <c r="D3239" s="7" t="s">
        <v>19</v>
      </c>
      <c r="E3239" s="104">
        <v>19206</v>
      </c>
      <c r="F3239" s="104">
        <f t="shared" si="34"/>
        <v>230472</v>
      </c>
      <c r="G3239" s="25"/>
      <c r="H3239" s="11"/>
      <c r="I3239" s="21"/>
      <c r="J3239" s="21"/>
      <c r="K3239" s="21"/>
      <c r="L3239" s="21"/>
      <c r="M3239" s="21"/>
      <c r="N3239" s="21"/>
    </row>
    <row r="3240" spans="1:14" ht="15.75" customHeight="1" x14ac:dyDescent="0.25">
      <c r="A3240" s="7">
        <v>8</v>
      </c>
      <c r="B3240" s="41" t="s">
        <v>1338</v>
      </c>
      <c r="C3240" s="7">
        <v>6</v>
      </c>
      <c r="D3240" s="7" t="s">
        <v>19</v>
      </c>
      <c r="E3240" s="104">
        <v>163445</v>
      </c>
      <c r="F3240" s="104">
        <f t="shared" si="34"/>
        <v>980670</v>
      </c>
      <c r="G3240" s="25"/>
      <c r="H3240" s="11"/>
      <c r="I3240" s="21"/>
      <c r="J3240" s="21"/>
      <c r="K3240" s="21"/>
      <c r="L3240" s="21"/>
      <c r="M3240" s="21"/>
      <c r="N3240" s="21"/>
    </row>
    <row r="3241" spans="1:14" ht="15.75" customHeight="1" x14ac:dyDescent="0.25">
      <c r="A3241" s="7">
        <v>9</v>
      </c>
      <c r="B3241" s="41" t="s">
        <v>1339</v>
      </c>
      <c r="C3241" s="7">
        <v>18</v>
      </c>
      <c r="D3241" s="7" t="s">
        <v>973</v>
      </c>
      <c r="E3241" s="104">
        <v>46560</v>
      </c>
      <c r="F3241" s="104">
        <f t="shared" si="34"/>
        <v>838080</v>
      </c>
      <c r="G3241" s="25"/>
      <c r="H3241" s="11"/>
      <c r="I3241" s="21"/>
      <c r="J3241" s="21"/>
      <c r="K3241" s="21"/>
      <c r="L3241" s="21"/>
      <c r="M3241" s="21"/>
      <c r="N3241" s="21"/>
    </row>
    <row r="3242" spans="1:14" ht="15.75" customHeight="1" x14ac:dyDescent="0.25">
      <c r="A3242" s="7">
        <v>10</v>
      </c>
      <c r="B3242" s="35" t="s">
        <v>1340</v>
      </c>
      <c r="C3242" s="7">
        <v>6</v>
      </c>
      <c r="D3242" s="7" t="s">
        <v>19</v>
      </c>
      <c r="E3242" s="104">
        <v>33950</v>
      </c>
      <c r="F3242" s="104">
        <f t="shared" si="34"/>
        <v>203700</v>
      </c>
      <c r="G3242" s="25"/>
      <c r="H3242" s="11"/>
      <c r="I3242" s="21"/>
      <c r="J3242" s="21"/>
      <c r="K3242" s="21"/>
      <c r="L3242" s="21"/>
      <c r="M3242" s="21"/>
      <c r="N3242" s="21"/>
    </row>
    <row r="3243" spans="1:14" ht="15.75" customHeight="1" x14ac:dyDescent="0.25">
      <c r="A3243" s="7">
        <v>11</v>
      </c>
      <c r="B3243" s="41" t="s">
        <v>1341</v>
      </c>
      <c r="C3243" s="7">
        <v>36</v>
      </c>
      <c r="D3243" s="7" t="s">
        <v>19</v>
      </c>
      <c r="E3243" s="104">
        <v>58200</v>
      </c>
      <c r="F3243" s="104">
        <f t="shared" si="34"/>
        <v>2095200</v>
      </c>
      <c r="G3243" s="25"/>
      <c r="H3243" s="11"/>
      <c r="I3243" s="21"/>
      <c r="J3243" s="21"/>
      <c r="K3243" s="21"/>
      <c r="L3243" s="21"/>
      <c r="M3243" s="21"/>
      <c r="N3243" s="21"/>
    </row>
    <row r="3244" spans="1:14" ht="15.75" customHeight="1" x14ac:dyDescent="0.25">
      <c r="A3244" s="7">
        <v>12</v>
      </c>
      <c r="B3244" s="41" t="s">
        <v>1342</v>
      </c>
      <c r="C3244" s="7">
        <v>150</v>
      </c>
      <c r="D3244" s="7" t="s">
        <v>19</v>
      </c>
      <c r="E3244" s="104">
        <v>17945</v>
      </c>
      <c r="F3244" s="104">
        <f t="shared" si="34"/>
        <v>2691750</v>
      </c>
      <c r="G3244" s="25"/>
      <c r="H3244" s="11"/>
      <c r="I3244" s="21"/>
      <c r="J3244" s="21"/>
      <c r="K3244" s="21"/>
      <c r="L3244" s="21"/>
      <c r="M3244" s="21"/>
      <c r="N3244" s="21"/>
    </row>
    <row r="3245" spans="1:14" ht="15.75" customHeight="1" x14ac:dyDescent="0.25">
      <c r="A3245" s="7">
        <v>13</v>
      </c>
      <c r="B3245" s="131" t="s">
        <v>1343</v>
      </c>
      <c r="C3245" s="129">
        <v>28</v>
      </c>
      <c r="D3245" s="7" t="s">
        <v>19</v>
      </c>
      <c r="E3245" s="130">
        <v>774060</v>
      </c>
      <c r="F3245" s="130">
        <f t="shared" si="34"/>
        <v>21673680</v>
      </c>
      <c r="G3245" s="25"/>
      <c r="H3245" s="11"/>
      <c r="I3245" s="21"/>
      <c r="J3245" s="21"/>
      <c r="K3245" s="21"/>
      <c r="L3245" s="21"/>
      <c r="M3245" s="21"/>
      <c r="N3245" s="21"/>
    </row>
    <row r="3246" spans="1:14" ht="15.75" customHeight="1" x14ac:dyDescent="0.25">
      <c r="A3246" s="7"/>
      <c r="B3246" s="343" t="s">
        <v>342</v>
      </c>
      <c r="C3246" s="344"/>
      <c r="D3246" s="344"/>
      <c r="E3246" s="334"/>
      <c r="F3246" s="104">
        <f>SUM(F3233:F3245)</f>
        <v>37229085</v>
      </c>
      <c r="G3246" s="25"/>
      <c r="H3246" s="11"/>
      <c r="I3246" s="21"/>
      <c r="J3246" s="21"/>
      <c r="K3246" s="21"/>
      <c r="L3246" s="21"/>
      <c r="M3246" s="21"/>
      <c r="N3246" s="21"/>
    </row>
    <row r="3247" spans="1:14" ht="15.75" customHeight="1" x14ac:dyDescent="0.25">
      <c r="A3247" s="7"/>
      <c r="B3247" s="345" t="s">
        <v>1327</v>
      </c>
      <c r="C3247" s="344"/>
      <c r="D3247" s="344"/>
      <c r="E3247" s="334"/>
      <c r="F3247" s="107">
        <v>3722908</v>
      </c>
      <c r="G3247" s="25"/>
      <c r="H3247" s="11"/>
      <c r="I3247" s="21"/>
      <c r="J3247" s="21"/>
      <c r="K3247" s="21"/>
      <c r="L3247" s="21"/>
      <c r="M3247" s="21"/>
      <c r="N3247" s="21"/>
    </row>
    <row r="3248" spans="1:14" ht="15.75" customHeight="1" x14ac:dyDescent="0.25">
      <c r="A3248" s="7"/>
      <c r="B3248" s="343" t="s">
        <v>343</v>
      </c>
      <c r="C3248" s="344"/>
      <c r="D3248" s="344"/>
      <c r="E3248" s="334"/>
      <c r="F3248" s="104">
        <v>409519</v>
      </c>
      <c r="G3248" s="25"/>
      <c r="H3248" s="11"/>
      <c r="I3248" s="21"/>
      <c r="J3248" s="21"/>
      <c r="K3248" s="21"/>
      <c r="L3248" s="21"/>
      <c r="M3248" s="21"/>
      <c r="N3248" s="21"/>
    </row>
    <row r="3249" spans="1:14" ht="15.75" customHeight="1" x14ac:dyDescent="0.25">
      <c r="A3249" s="7"/>
      <c r="B3249" s="345" t="s">
        <v>344</v>
      </c>
      <c r="C3249" s="344"/>
      <c r="D3249" s="344"/>
      <c r="E3249" s="334"/>
      <c r="F3249" s="107">
        <f>SUM(F3247:F3248)</f>
        <v>4132427</v>
      </c>
      <c r="G3249" s="25"/>
      <c r="H3249" s="11"/>
      <c r="I3249" s="21"/>
      <c r="J3249" s="21"/>
      <c r="K3249" s="21"/>
      <c r="L3249" s="21"/>
      <c r="M3249" s="21"/>
      <c r="N3249" s="21"/>
    </row>
    <row r="3250" spans="1:14" ht="15.75" customHeight="1" x14ac:dyDescent="0.25">
      <c r="A3250" s="21"/>
      <c r="B3250" s="21"/>
      <c r="C3250" s="11"/>
      <c r="D3250" s="11"/>
      <c r="E3250" s="21"/>
      <c r="F3250" s="21"/>
      <c r="G3250" s="25"/>
      <c r="H3250" s="11"/>
      <c r="I3250" s="21"/>
      <c r="J3250" s="21"/>
      <c r="K3250" s="21"/>
      <c r="L3250" s="21"/>
      <c r="M3250" s="21"/>
      <c r="N3250" s="21"/>
    </row>
    <row r="3251" spans="1:14" ht="15.75" customHeight="1" x14ac:dyDescent="0.25">
      <c r="A3251" s="31" t="s">
        <v>14</v>
      </c>
      <c r="B3251" s="31" t="s">
        <v>234</v>
      </c>
      <c r="C3251" s="31" t="s">
        <v>16</v>
      </c>
      <c r="D3251" s="31" t="s">
        <v>17</v>
      </c>
      <c r="E3251" s="31" t="s">
        <v>235</v>
      </c>
      <c r="F3251" s="31" t="s">
        <v>236</v>
      </c>
      <c r="G3251" s="25"/>
      <c r="H3251" s="11"/>
      <c r="I3251" s="21"/>
      <c r="J3251" s="21"/>
      <c r="K3251" s="21"/>
      <c r="L3251" s="21"/>
      <c r="M3251" s="21"/>
      <c r="N3251" s="21"/>
    </row>
    <row r="3252" spans="1:14" ht="15.75" customHeight="1" x14ac:dyDescent="0.25">
      <c r="A3252" s="7">
        <v>1</v>
      </c>
      <c r="B3252" s="120" t="s">
        <v>1344</v>
      </c>
      <c r="C3252" s="129">
        <v>2</v>
      </c>
      <c r="D3252" s="7" t="s">
        <v>243</v>
      </c>
      <c r="E3252" s="130">
        <v>28975000</v>
      </c>
      <c r="F3252" s="130">
        <f>E3252*C3252</f>
        <v>57950000</v>
      </c>
      <c r="G3252" s="25"/>
      <c r="H3252" s="11"/>
      <c r="I3252" s="21"/>
      <c r="J3252" s="21"/>
      <c r="K3252" s="21"/>
      <c r="L3252" s="21"/>
      <c r="M3252" s="21"/>
      <c r="N3252" s="21"/>
    </row>
    <row r="3253" spans="1:14" ht="15.75" customHeight="1" x14ac:dyDescent="0.25">
      <c r="A3253" s="7"/>
      <c r="B3253" s="343" t="s">
        <v>342</v>
      </c>
      <c r="C3253" s="344"/>
      <c r="D3253" s="344"/>
      <c r="E3253" s="334"/>
      <c r="F3253" s="104">
        <f>SUM(F3252)</f>
        <v>57950000</v>
      </c>
      <c r="G3253" s="25"/>
      <c r="H3253" s="11"/>
      <c r="I3253" s="21"/>
      <c r="J3253" s="21"/>
      <c r="K3253" s="21"/>
      <c r="L3253" s="21"/>
      <c r="M3253" s="21"/>
      <c r="N3253" s="21"/>
    </row>
    <row r="3254" spans="1:14" ht="15.75" customHeight="1" x14ac:dyDescent="0.25">
      <c r="A3254" s="7"/>
      <c r="B3254" s="343" t="s">
        <v>343</v>
      </c>
      <c r="C3254" s="344"/>
      <c r="D3254" s="344"/>
      <c r="E3254" s="334"/>
      <c r="F3254" s="104">
        <v>6374500</v>
      </c>
      <c r="G3254" s="25"/>
      <c r="H3254" s="11"/>
      <c r="I3254" s="21"/>
      <c r="J3254" s="21"/>
      <c r="K3254" s="21"/>
      <c r="L3254" s="21"/>
      <c r="M3254" s="21"/>
      <c r="N3254" s="21"/>
    </row>
    <row r="3255" spans="1:14" ht="15.75" customHeight="1" x14ac:dyDescent="0.25">
      <c r="A3255" s="7"/>
      <c r="B3255" s="345" t="s">
        <v>344</v>
      </c>
      <c r="C3255" s="344"/>
      <c r="D3255" s="344"/>
      <c r="E3255" s="334"/>
      <c r="F3255" s="107">
        <f>SUM(F3253:F3254)</f>
        <v>64324500</v>
      </c>
      <c r="G3255" s="25"/>
      <c r="H3255" s="11"/>
      <c r="I3255" s="21"/>
      <c r="J3255" s="21"/>
      <c r="K3255" s="21"/>
      <c r="L3255" s="21"/>
      <c r="M3255" s="21"/>
      <c r="N3255" s="21"/>
    </row>
    <row r="3256" spans="1:14" ht="15.75" customHeight="1" x14ac:dyDescent="0.25">
      <c r="A3256" s="21"/>
      <c r="B3256" s="21"/>
      <c r="C3256" s="11"/>
      <c r="D3256" s="11"/>
      <c r="E3256" s="21"/>
      <c r="F3256" s="21"/>
      <c r="G3256" s="25"/>
      <c r="H3256" s="11"/>
      <c r="I3256" s="21"/>
      <c r="J3256" s="21"/>
      <c r="K3256" s="21"/>
      <c r="L3256" s="21"/>
      <c r="M3256" s="21"/>
      <c r="N3256" s="21"/>
    </row>
    <row r="3257" spans="1:14" ht="15.75" customHeight="1" x14ac:dyDescent="0.25">
      <c r="A3257" s="31" t="s">
        <v>14</v>
      </c>
      <c r="B3257" s="31" t="s">
        <v>234</v>
      </c>
      <c r="C3257" s="31" t="s">
        <v>16</v>
      </c>
      <c r="D3257" s="31" t="s">
        <v>17</v>
      </c>
      <c r="E3257" s="31" t="s">
        <v>235</v>
      </c>
      <c r="F3257" s="31" t="s">
        <v>236</v>
      </c>
      <c r="G3257" s="25"/>
      <c r="H3257" s="11"/>
      <c r="I3257" s="21"/>
      <c r="J3257" s="21"/>
      <c r="K3257" s="21"/>
      <c r="L3257" s="21"/>
      <c r="M3257" s="21"/>
      <c r="N3257" s="21"/>
    </row>
    <row r="3258" spans="1:14" ht="15.75" customHeight="1" x14ac:dyDescent="0.25">
      <c r="A3258" s="10">
        <v>1</v>
      </c>
      <c r="B3258" s="41" t="s">
        <v>1345</v>
      </c>
      <c r="C3258" s="7">
        <v>2</v>
      </c>
      <c r="D3258" s="7" t="s">
        <v>363</v>
      </c>
      <c r="E3258" s="104">
        <v>1532800</v>
      </c>
      <c r="F3258" s="104">
        <f t="shared" ref="F3258:F3265" si="35">E3258*C3258</f>
        <v>3065600</v>
      </c>
      <c r="G3258" s="25"/>
      <c r="H3258" s="11"/>
      <c r="I3258" s="21"/>
      <c r="J3258" s="21"/>
      <c r="K3258" s="21"/>
      <c r="L3258" s="21"/>
      <c r="M3258" s="21"/>
      <c r="N3258" s="21"/>
    </row>
    <row r="3259" spans="1:14" ht="15.75" customHeight="1" x14ac:dyDescent="0.25">
      <c r="A3259" s="7">
        <v>2</v>
      </c>
      <c r="B3259" s="41" t="s">
        <v>1346</v>
      </c>
      <c r="C3259" s="7">
        <v>2</v>
      </c>
      <c r="D3259" s="7" t="s">
        <v>363</v>
      </c>
      <c r="E3259" s="104">
        <v>486800</v>
      </c>
      <c r="F3259" s="104">
        <f t="shared" si="35"/>
        <v>973600</v>
      </c>
      <c r="G3259" s="25"/>
      <c r="H3259" s="11"/>
      <c r="I3259" s="21"/>
      <c r="J3259" s="21"/>
      <c r="K3259" s="21"/>
      <c r="L3259" s="21"/>
      <c r="M3259" s="21"/>
      <c r="N3259" s="21"/>
    </row>
    <row r="3260" spans="1:14" ht="15.75" customHeight="1" x14ac:dyDescent="0.25">
      <c r="A3260" s="7">
        <v>3</v>
      </c>
      <c r="B3260" s="41" t="s">
        <v>1347</v>
      </c>
      <c r="C3260" s="7">
        <v>8</v>
      </c>
      <c r="D3260" s="7" t="s">
        <v>363</v>
      </c>
      <c r="E3260" s="104">
        <v>7500</v>
      </c>
      <c r="F3260" s="104">
        <f t="shared" si="35"/>
        <v>60000</v>
      </c>
      <c r="G3260" s="25"/>
      <c r="H3260" s="11"/>
      <c r="I3260" s="21"/>
      <c r="J3260" s="21"/>
      <c r="K3260" s="21"/>
      <c r="L3260" s="21"/>
      <c r="M3260" s="21"/>
      <c r="N3260" s="21"/>
    </row>
    <row r="3261" spans="1:14" ht="15.75" customHeight="1" x14ac:dyDescent="0.25">
      <c r="A3261" s="7">
        <v>4</v>
      </c>
      <c r="B3261" s="41" t="s">
        <v>1348</v>
      </c>
      <c r="C3261" s="7">
        <v>36</v>
      </c>
      <c r="D3261" s="7" t="s">
        <v>363</v>
      </c>
      <c r="E3261" s="104">
        <v>21000</v>
      </c>
      <c r="F3261" s="104">
        <f t="shared" si="35"/>
        <v>756000</v>
      </c>
      <c r="G3261" s="25"/>
      <c r="H3261" s="11"/>
      <c r="I3261" s="21"/>
      <c r="J3261" s="21"/>
      <c r="K3261" s="21"/>
      <c r="L3261" s="21"/>
      <c r="M3261" s="21"/>
      <c r="N3261" s="21"/>
    </row>
    <row r="3262" spans="1:14" ht="15.75" customHeight="1" x14ac:dyDescent="0.25">
      <c r="A3262" s="7">
        <v>5</v>
      </c>
      <c r="B3262" s="41" t="s">
        <v>1349</v>
      </c>
      <c r="C3262" s="7">
        <v>10</v>
      </c>
      <c r="D3262" s="7" t="s">
        <v>363</v>
      </c>
      <c r="E3262" s="104">
        <v>35000</v>
      </c>
      <c r="F3262" s="104">
        <f t="shared" si="35"/>
        <v>350000</v>
      </c>
      <c r="G3262" s="25"/>
      <c r="H3262" s="11"/>
      <c r="I3262" s="21"/>
      <c r="J3262" s="21"/>
      <c r="K3262" s="21"/>
      <c r="L3262" s="21"/>
      <c r="M3262" s="21"/>
      <c r="N3262" s="21"/>
    </row>
    <row r="3263" spans="1:14" ht="15.75" customHeight="1" x14ac:dyDescent="0.25">
      <c r="A3263" s="7">
        <v>6</v>
      </c>
      <c r="B3263" s="41" t="s">
        <v>1350</v>
      </c>
      <c r="C3263" s="7">
        <v>9</v>
      </c>
      <c r="D3263" s="7" t="s">
        <v>363</v>
      </c>
      <c r="E3263" s="104">
        <v>106500</v>
      </c>
      <c r="F3263" s="104">
        <f t="shared" si="35"/>
        <v>958500</v>
      </c>
      <c r="G3263" s="25"/>
      <c r="H3263" s="11"/>
      <c r="I3263" s="21"/>
      <c r="J3263" s="21"/>
      <c r="K3263" s="21"/>
      <c r="L3263" s="21"/>
      <c r="M3263" s="21"/>
      <c r="N3263" s="21"/>
    </row>
    <row r="3264" spans="1:14" ht="15.75" customHeight="1" x14ac:dyDescent="0.25">
      <c r="A3264" s="7">
        <v>7</v>
      </c>
      <c r="B3264" s="41" t="s">
        <v>1351</v>
      </c>
      <c r="C3264" s="7">
        <v>6</v>
      </c>
      <c r="D3264" s="7" t="s">
        <v>363</v>
      </c>
      <c r="E3264" s="104">
        <v>62800</v>
      </c>
      <c r="F3264" s="104">
        <f t="shared" si="35"/>
        <v>376800</v>
      </c>
      <c r="G3264" s="25"/>
      <c r="H3264" s="11"/>
      <c r="I3264" s="21"/>
      <c r="J3264" s="21"/>
      <c r="K3264" s="21"/>
      <c r="L3264" s="21"/>
      <c r="M3264" s="21"/>
      <c r="N3264" s="21"/>
    </row>
    <row r="3265" spans="1:14" ht="15.75" customHeight="1" x14ac:dyDescent="0.25">
      <c r="A3265" s="7">
        <v>8</v>
      </c>
      <c r="B3265" s="41" t="s">
        <v>1352</v>
      </c>
      <c r="C3265" s="7">
        <v>2</v>
      </c>
      <c r="D3265" s="7" t="s">
        <v>363</v>
      </c>
      <c r="E3265" s="104">
        <v>33750000</v>
      </c>
      <c r="F3265" s="104">
        <f t="shared" si="35"/>
        <v>67500000</v>
      </c>
      <c r="G3265" s="25"/>
      <c r="H3265" s="11"/>
      <c r="I3265" s="21"/>
      <c r="J3265" s="21"/>
      <c r="K3265" s="21"/>
      <c r="L3265" s="21"/>
      <c r="M3265" s="21"/>
      <c r="N3265" s="21"/>
    </row>
    <row r="3266" spans="1:14" ht="15.75" customHeight="1" x14ac:dyDescent="0.25">
      <c r="A3266" s="7"/>
      <c r="B3266" s="343" t="s">
        <v>342</v>
      </c>
      <c r="C3266" s="344"/>
      <c r="D3266" s="344"/>
      <c r="E3266" s="334"/>
      <c r="F3266" s="104">
        <f>SUM(F3258:F3265)</f>
        <v>74040500</v>
      </c>
      <c r="G3266" s="25"/>
      <c r="H3266" s="11"/>
      <c r="I3266" s="21"/>
      <c r="J3266" s="21"/>
      <c r="K3266" s="21"/>
      <c r="L3266" s="21"/>
      <c r="M3266" s="21"/>
      <c r="N3266" s="21"/>
    </row>
    <row r="3267" spans="1:14" ht="15.75" customHeight="1" x14ac:dyDescent="0.25">
      <c r="A3267" s="7"/>
      <c r="B3267" s="343" t="s">
        <v>986</v>
      </c>
      <c r="C3267" s="344"/>
      <c r="D3267" s="344"/>
      <c r="E3267" s="334"/>
      <c r="F3267" s="104">
        <v>2221215</v>
      </c>
      <c r="G3267" s="25"/>
      <c r="H3267" s="11"/>
      <c r="I3267" s="21"/>
      <c r="J3267" s="21"/>
      <c r="K3267" s="21"/>
      <c r="L3267" s="21"/>
      <c r="M3267" s="21"/>
      <c r="N3267" s="21"/>
    </row>
    <row r="3268" spans="1:14" ht="15.75" customHeight="1" x14ac:dyDescent="0.25">
      <c r="A3268" s="7"/>
      <c r="B3268" s="345" t="s">
        <v>342</v>
      </c>
      <c r="C3268" s="344"/>
      <c r="D3268" s="344"/>
      <c r="E3268" s="334"/>
      <c r="F3268" s="107">
        <f>F3266-F3267</f>
        <v>71819285</v>
      </c>
      <c r="G3268" s="25"/>
      <c r="H3268" s="11"/>
      <c r="I3268" s="21"/>
      <c r="J3268" s="21"/>
      <c r="K3268" s="21"/>
      <c r="L3268" s="21"/>
      <c r="M3268" s="21"/>
      <c r="N3268" s="21"/>
    </row>
    <row r="3269" spans="1:14" ht="15.75" customHeight="1" x14ac:dyDescent="0.25">
      <c r="A3269" s="7"/>
      <c r="B3269" s="343" t="s">
        <v>343</v>
      </c>
      <c r="C3269" s="344"/>
      <c r="D3269" s="344"/>
      <c r="E3269" s="334"/>
      <c r="F3269" s="104">
        <v>7900121.3499999996</v>
      </c>
      <c r="G3269" s="25"/>
      <c r="H3269" s="11"/>
      <c r="I3269" s="21"/>
      <c r="J3269" s="21"/>
      <c r="K3269" s="21"/>
      <c r="L3269" s="21"/>
      <c r="M3269" s="21"/>
      <c r="N3269" s="21"/>
    </row>
    <row r="3270" spans="1:14" ht="15.75" customHeight="1" x14ac:dyDescent="0.25">
      <c r="A3270" s="7"/>
      <c r="B3270" s="345" t="s">
        <v>344</v>
      </c>
      <c r="C3270" s="344"/>
      <c r="D3270" s="344"/>
      <c r="E3270" s="334"/>
      <c r="F3270" s="107">
        <f>SUM(F3268:F3269)</f>
        <v>79719406.349999994</v>
      </c>
      <c r="G3270" s="25"/>
      <c r="H3270" s="11"/>
      <c r="I3270" s="21"/>
      <c r="J3270" s="21"/>
      <c r="K3270" s="21"/>
      <c r="L3270" s="21"/>
      <c r="M3270" s="21"/>
      <c r="N3270" s="21"/>
    </row>
    <row r="3271" spans="1:14" ht="15.75" customHeight="1" x14ac:dyDescent="0.25">
      <c r="A3271" s="21"/>
      <c r="B3271" s="21"/>
      <c r="C3271" s="11"/>
      <c r="D3271" s="11"/>
      <c r="E3271" s="21"/>
      <c r="F3271" s="21"/>
      <c r="G3271" s="25"/>
      <c r="H3271" s="11"/>
      <c r="I3271" s="21"/>
      <c r="J3271" s="21"/>
      <c r="K3271" s="21"/>
      <c r="L3271" s="21"/>
      <c r="M3271" s="21"/>
      <c r="N3271" s="21"/>
    </row>
    <row r="3272" spans="1:14" ht="15.75" customHeight="1" x14ac:dyDescent="0.25">
      <c r="A3272" s="31" t="s">
        <v>14</v>
      </c>
      <c r="B3272" s="31" t="s">
        <v>234</v>
      </c>
      <c r="C3272" s="31" t="s">
        <v>16</v>
      </c>
      <c r="D3272" s="31" t="s">
        <v>17</v>
      </c>
      <c r="E3272" s="31" t="s">
        <v>235</v>
      </c>
      <c r="F3272" s="31" t="s">
        <v>236</v>
      </c>
      <c r="G3272" s="25"/>
      <c r="H3272" s="11"/>
      <c r="I3272" s="21"/>
      <c r="J3272" s="21"/>
      <c r="K3272" s="21"/>
      <c r="L3272" s="21"/>
      <c r="M3272" s="21"/>
      <c r="N3272" s="21"/>
    </row>
    <row r="3273" spans="1:14" ht="15.75" customHeight="1" x14ac:dyDescent="0.25">
      <c r="A3273" s="7">
        <v>1</v>
      </c>
      <c r="B3273" s="155" t="s">
        <v>1353</v>
      </c>
      <c r="C3273" s="129">
        <v>1</v>
      </c>
      <c r="D3273" s="7" t="s">
        <v>363</v>
      </c>
      <c r="E3273" s="130">
        <v>110740</v>
      </c>
      <c r="F3273" s="130">
        <f>E3273*C3273</f>
        <v>110740</v>
      </c>
      <c r="G3273" s="25"/>
      <c r="H3273" s="11"/>
      <c r="I3273" s="21"/>
      <c r="J3273" s="21"/>
      <c r="K3273" s="21"/>
      <c r="L3273" s="21"/>
      <c r="M3273" s="21"/>
      <c r="N3273" s="21"/>
    </row>
    <row r="3274" spans="1:14" ht="15.75" customHeight="1" x14ac:dyDescent="0.25">
      <c r="A3274" s="7"/>
      <c r="B3274" s="343" t="s">
        <v>342</v>
      </c>
      <c r="C3274" s="344"/>
      <c r="D3274" s="344"/>
      <c r="E3274" s="334"/>
      <c r="F3274" s="104">
        <f>SUM(F3273)</f>
        <v>110740</v>
      </c>
      <c r="G3274" s="25"/>
      <c r="H3274" s="11"/>
      <c r="I3274" s="21"/>
      <c r="J3274" s="21"/>
      <c r="K3274" s="21"/>
      <c r="L3274" s="21"/>
      <c r="M3274" s="21"/>
      <c r="N3274" s="21"/>
    </row>
    <row r="3275" spans="1:14" ht="15.75" customHeight="1" x14ac:dyDescent="0.25">
      <c r="A3275" s="7"/>
      <c r="B3275" s="343" t="s">
        <v>343</v>
      </c>
      <c r="C3275" s="344"/>
      <c r="D3275" s="344"/>
      <c r="E3275" s="334"/>
      <c r="F3275" s="104">
        <v>12181.4</v>
      </c>
      <c r="G3275" s="25"/>
      <c r="H3275" s="11"/>
      <c r="I3275" s="21"/>
      <c r="J3275" s="21"/>
      <c r="K3275" s="21"/>
      <c r="L3275" s="21"/>
      <c r="M3275" s="21"/>
      <c r="N3275" s="21"/>
    </row>
    <row r="3276" spans="1:14" ht="15.75" customHeight="1" x14ac:dyDescent="0.25">
      <c r="A3276" s="7"/>
      <c r="B3276" s="345" t="s">
        <v>344</v>
      </c>
      <c r="C3276" s="344"/>
      <c r="D3276" s="344"/>
      <c r="E3276" s="334"/>
      <c r="F3276" s="107">
        <f>SUM(F3274:F3275)</f>
        <v>122921.4</v>
      </c>
      <c r="G3276" s="25"/>
      <c r="H3276" s="11"/>
      <c r="I3276" s="21"/>
      <c r="J3276" s="21"/>
      <c r="K3276" s="21"/>
      <c r="L3276" s="21"/>
      <c r="M3276" s="21"/>
      <c r="N3276" s="21"/>
    </row>
    <row r="3277" spans="1:14" ht="15.75" customHeight="1" x14ac:dyDescent="0.25">
      <c r="A3277" s="21"/>
      <c r="B3277" s="21"/>
      <c r="C3277" s="11"/>
      <c r="D3277" s="11"/>
      <c r="E3277" s="21"/>
      <c r="F3277" s="21"/>
      <c r="G3277" s="25"/>
      <c r="H3277" s="11"/>
      <c r="I3277" s="21"/>
      <c r="J3277" s="21"/>
      <c r="K3277" s="21"/>
      <c r="L3277" s="21"/>
      <c r="M3277" s="21"/>
      <c r="N3277" s="21"/>
    </row>
    <row r="3278" spans="1:14" ht="15.75" customHeight="1" x14ac:dyDescent="0.25">
      <c r="A3278" s="31" t="s">
        <v>14</v>
      </c>
      <c r="B3278" s="31" t="s">
        <v>234</v>
      </c>
      <c r="C3278" s="31" t="s">
        <v>16</v>
      </c>
      <c r="D3278" s="31" t="s">
        <v>17</v>
      </c>
      <c r="E3278" s="31" t="s">
        <v>235</v>
      </c>
      <c r="F3278" s="31" t="s">
        <v>236</v>
      </c>
      <c r="G3278" s="25"/>
      <c r="H3278" s="11"/>
      <c r="I3278" s="21"/>
      <c r="J3278" s="21"/>
      <c r="K3278" s="21"/>
      <c r="L3278" s="21"/>
      <c r="M3278" s="21"/>
      <c r="N3278" s="21"/>
    </row>
    <row r="3279" spans="1:14" ht="15.75" customHeight="1" x14ac:dyDescent="0.25">
      <c r="A3279" s="7">
        <v>1</v>
      </c>
      <c r="B3279" s="155" t="s">
        <v>1354</v>
      </c>
      <c r="C3279" s="129">
        <v>1</v>
      </c>
      <c r="D3279" s="7" t="s">
        <v>363</v>
      </c>
      <c r="E3279" s="130">
        <v>750000</v>
      </c>
      <c r="F3279" s="130">
        <f>E3279*C3279</f>
        <v>750000</v>
      </c>
      <c r="G3279" s="25"/>
      <c r="H3279" s="11"/>
      <c r="I3279" s="21"/>
      <c r="J3279" s="21"/>
      <c r="K3279" s="21"/>
      <c r="L3279" s="21"/>
      <c r="M3279" s="21"/>
      <c r="N3279" s="21"/>
    </row>
    <row r="3280" spans="1:14" ht="15.75" customHeight="1" x14ac:dyDescent="0.25">
      <c r="A3280" s="7"/>
      <c r="B3280" s="343" t="s">
        <v>342</v>
      </c>
      <c r="C3280" s="344"/>
      <c r="D3280" s="344"/>
      <c r="E3280" s="334"/>
      <c r="F3280" s="104">
        <f>SUM(F3279)</f>
        <v>750000</v>
      </c>
      <c r="G3280" s="25"/>
      <c r="H3280" s="11"/>
      <c r="I3280" s="21"/>
      <c r="J3280" s="21"/>
      <c r="K3280" s="21"/>
      <c r="L3280" s="21"/>
      <c r="M3280" s="21"/>
      <c r="N3280" s="21"/>
    </row>
    <row r="3281" spans="1:14" ht="15.75" customHeight="1" x14ac:dyDescent="0.25">
      <c r="A3281" s="7"/>
      <c r="B3281" s="343" t="s">
        <v>343</v>
      </c>
      <c r="C3281" s="344"/>
      <c r="D3281" s="344"/>
      <c r="E3281" s="334"/>
      <c r="F3281" s="104">
        <v>82500</v>
      </c>
      <c r="G3281" s="25"/>
      <c r="H3281" s="11"/>
      <c r="I3281" s="21"/>
      <c r="J3281" s="21"/>
      <c r="K3281" s="21"/>
      <c r="L3281" s="21"/>
      <c r="M3281" s="21"/>
      <c r="N3281" s="21"/>
    </row>
    <row r="3282" spans="1:14" ht="15.75" customHeight="1" x14ac:dyDescent="0.25">
      <c r="A3282" s="7"/>
      <c r="B3282" s="345" t="s">
        <v>344</v>
      </c>
      <c r="C3282" s="344"/>
      <c r="D3282" s="344"/>
      <c r="E3282" s="334"/>
      <c r="F3282" s="107">
        <f>SUM(F3280:F3281)</f>
        <v>832500</v>
      </c>
      <c r="G3282" s="25"/>
      <c r="H3282" s="11"/>
      <c r="I3282" s="21"/>
      <c r="J3282" s="21"/>
      <c r="K3282" s="21"/>
      <c r="L3282" s="21"/>
      <c r="M3282" s="21"/>
      <c r="N3282" s="21"/>
    </row>
    <row r="3283" spans="1:14" ht="15.75" customHeight="1" x14ac:dyDescent="0.25">
      <c r="A3283" s="21"/>
      <c r="B3283" s="21"/>
      <c r="C3283" s="11"/>
      <c r="D3283" s="11"/>
      <c r="E3283" s="21"/>
      <c r="F3283" s="21"/>
      <c r="G3283" s="25"/>
      <c r="H3283" s="11"/>
      <c r="I3283" s="21"/>
      <c r="J3283" s="21"/>
      <c r="K3283" s="21"/>
      <c r="L3283" s="21"/>
      <c r="M3283" s="21"/>
      <c r="N3283" s="21"/>
    </row>
    <row r="3284" spans="1:14" ht="15.75" customHeight="1" x14ac:dyDescent="0.25">
      <c r="A3284" s="31" t="s">
        <v>14</v>
      </c>
      <c r="B3284" s="31" t="s">
        <v>234</v>
      </c>
      <c r="C3284" s="31" t="s">
        <v>16</v>
      </c>
      <c r="D3284" s="31" t="s">
        <v>17</v>
      </c>
      <c r="E3284" s="31" t="s">
        <v>235</v>
      </c>
      <c r="F3284" s="31" t="s">
        <v>236</v>
      </c>
      <c r="G3284" s="25"/>
      <c r="H3284" s="11"/>
      <c r="I3284" s="21"/>
      <c r="J3284" s="21"/>
      <c r="K3284" s="21"/>
      <c r="L3284" s="21"/>
      <c r="M3284" s="21"/>
      <c r="N3284" s="21"/>
    </row>
    <row r="3285" spans="1:14" ht="15.75" customHeight="1" x14ac:dyDescent="0.25">
      <c r="A3285" s="7">
        <v>1</v>
      </c>
      <c r="B3285" s="155" t="s">
        <v>1355</v>
      </c>
      <c r="C3285" s="129">
        <v>2</v>
      </c>
      <c r="D3285" s="7" t="s">
        <v>243</v>
      </c>
      <c r="E3285" s="130">
        <v>28975000</v>
      </c>
      <c r="F3285" s="130">
        <f>E3285*C3285</f>
        <v>57950000</v>
      </c>
      <c r="G3285" s="25"/>
      <c r="H3285" s="11"/>
      <c r="I3285" s="21"/>
      <c r="J3285" s="21"/>
      <c r="K3285" s="21"/>
      <c r="L3285" s="21"/>
      <c r="M3285" s="21"/>
      <c r="N3285" s="21"/>
    </row>
    <row r="3286" spans="1:14" ht="15.75" customHeight="1" x14ac:dyDescent="0.25">
      <c r="A3286" s="7"/>
      <c r="B3286" s="343" t="s">
        <v>342</v>
      </c>
      <c r="C3286" s="344"/>
      <c r="D3286" s="344"/>
      <c r="E3286" s="334"/>
      <c r="F3286" s="104">
        <f>SUM(F3285)</f>
        <v>57950000</v>
      </c>
      <c r="G3286" s="25"/>
      <c r="H3286" s="11"/>
      <c r="I3286" s="21"/>
      <c r="J3286" s="21"/>
      <c r="K3286" s="21"/>
      <c r="L3286" s="21"/>
      <c r="M3286" s="21"/>
      <c r="N3286" s="21"/>
    </row>
    <row r="3287" spans="1:14" ht="15.75" customHeight="1" x14ac:dyDescent="0.25">
      <c r="A3287" s="7"/>
      <c r="B3287" s="343" t="s">
        <v>343</v>
      </c>
      <c r="C3287" s="344"/>
      <c r="D3287" s="344"/>
      <c r="E3287" s="334"/>
      <c r="F3287" s="104">
        <v>6374500</v>
      </c>
      <c r="G3287" s="25"/>
      <c r="H3287" s="11"/>
      <c r="I3287" s="21"/>
      <c r="J3287" s="21"/>
      <c r="K3287" s="21"/>
      <c r="L3287" s="21"/>
      <c r="M3287" s="21"/>
      <c r="N3287" s="21"/>
    </row>
    <row r="3288" spans="1:14" ht="15.75" customHeight="1" x14ac:dyDescent="0.25">
      <c r="A3288" s="7"/>
      <c r="B3288" s="345" t="s">
        <v>344</v>
      </c>
      <c r="C3288" s="344"/>
      <c r="D3288" s="344"/>
      <c r="E3288" s="334"/>
      <c r="F3288" s="107">
        <f>SUM(F3286:F3287)</f>
        <v>64324500</v>
      </c>
      <c r="G3288" s="25"/>
      <c r="H3288" s="11"/>
      <c r="I3288" s="21"/>
      <c r="J3288" s="21"/>
      <c r="K3288" s="21"/>
      <c r="L3288" s="21"/>
      <c r="M3288" s="21"/>
      <c r="N3288" s="21"/>
    </row>
    <row r="3289" spans="1:14" ht="15.75" customHeight="1" x14ac:dyDescent="0.25">
      <c r="A3289" s="21"/>
      <c r="B3289" s="21"/>
      <c r="C3289" s="11"/>
      <c r="D3289" s="11"/>
      <c r="E3289" s="21"/>
      <c r="F3289" s="21"/>
      <c r="G3289" s="25"/>
      <c r="H3289" s="11"/>
      <c r="I3289" s="21"/>
      <c r="J3289" s="21"/>
      <c r="K3289" s="21"/>
      <c r="L3289" s="21"/>
      <c r="M3289" s="21"/>
      <c r="N3289" s="21"/>
    </row>
    <row r="3290" spans="1:14" ht="15.75" customHeight="1" x14ac:dyDescent="0.25">
      <c r="A3290" s="31" t="s">
        <v>14</v>
      </c>
      <c r="B3290" s="31" t="s">
        <v>234</v>
      </c>
      <c r="C3290" s="31" t="s">
        <v>16</v>
      </c>
      <c r="D3290" s="31" t="s">
        <v>17</v>
      </c>
      <c r="E3290" s="31" t="s">
        <v>235</v>
      </c>
      <c r="F3290" s="31" t="s">
        <v>236</v>
      </c>
      <c r="G3290" s="25"/>
      <c r="H3290" s="11"/>
      <c r="I3290" s="21"/>
      <c r="J3290" s="21"/>
      <c r="K3290" s="21"/>
      <c r="L3290" s="21"/>
      <c r="M3290" s="21"/>
      <c r="N3290" s="21"/>
    </row>
    <row r="3291" spans="1:14" ht="15.75" customHeight="1" x14ac:dyDescent="0.25">
      <c r="A3291" s="7">
        <v>1</v>
      </c>
      <c r="B3291" s="155" t="s">
        <v>1356</v>
      </c>
      <c r="C3291" s="129">
        <v>100</v>
      </c>
      <c r="D3291" s="7" t="s">
        <v>1357</v>
      </c>
      <c r="E3291" s="130">
        <v>20100</v>
      </c>
      <c r="F3291" s="130">
        <f>E3291*C3291</f>
        <v>2010000</v>
      </c>
      <c r="G3291" s="25"/>
      <c r="H3291" s="11"/>
      <c r="I3291" s="21"/>
      <c r="J3291" s="21"/>
      <c r="K3291" s="21"/>
      <c r="L3291" s="21"/>
      <c r="M3291" s="21"/>
      <c r="N3291" s="21"/>
    </row>
    <row r="3292" spans="1:14" ht="15.75" customHeight="1" x14ac:dyDescent="0.25">
      <c r="A3292" s="7"/>
      <c r="B3292" s="343" t="s">
        <v>342</v>
      </c>
      <c r="C3292" s="344"/>
      <c r="D3292" s="344"/>
      <c r="E3292" s="334"/>
      <c r="F3292" s="104">
        <f>SUM(F3291)</f>
        <v>2010000</v>
      </c>
      <c r="G3292" s="25"/>
      <c r="H3292" s="11"/>
      <c r="I3292" s="21"/>
      <c r="J3292" s="21"/>
      <c r="K3292" s="21"/>
      <c r="L3292" s="21"/>
      <c r="M3292" s="21"/>
      <c r="N3292" s="21"/>
    </row>
    <row r="3293" spans="1:14" ht="15.75" customHeight="1" x14ac:dyDescent="0.25">
      <c r="A3293" s="7"/>
      <c r="B3293" s="343" t="s">
        <v>343</v>
      </c>
      <c r="C3293" s="344"/>
      <c r="D3293" s="344"/>
      <c r="E3293" s="334"/>
      <c r="F3293" s="104">
        <v>221100</v>
      </c>
      <c r="G3293" s="25"/>
      <c r="H3293" s="11"/>
      <c r="I3293" s="21"/>
      <c r="J3293" s="21"/>
      <c r="K3293" s="21"/>
      <c r="L3293" s="21"/>
      <c r="M3293" s="21"/>
      <c r="N3293" s="21"/>
    </row>
    <row r="3294" spans="1:14" ht="15.75" customHeight="1" x14ac:dyDescent="0.25">
      <c r="A3294" s="7"/>
      <c r="B3294" s="345" t="s">
        <v>344</v>
      </c>
      <c r="C3294" s="344"/>
      <c r="D3294" s="344"/>
      <c r="E3294" s="334"/>
      <c r="F3294" s="107">
        <f>SUM(F3292:F3293)</f>
        <v>2231100</v>
      </c>
      <c r="G3294" s="25"/>
      <c r="H3294" s="11"/>
      <c r="I3294" s="21"/>
      <c r="J3294" s="21"/>
      <c r="K3294" s="21"/>
      <c r="L3294" s="21"/>
      <c r="M3294" s="21"/>
      <c r="N3294" s="21"/>
    </row>
    <row r="3295" spans="1:14" ht="15.75" customHeight="1" x14ac:dyDescent="0.25">
      <c r="A3295" s="21"/>
      <c r="B3295" s="21"/>
      <c r="C3295" s="11"/>
      <c r="D3295" s="11"/>
      <c r="E3295" s="21"/>
      <c r="F3295" s="21"/>
      <c r="G3295" s="25"/>
      <c r="H3295" s="11"/>
      <c r="I3295" s="21"/>
      <c r="J3295" s="21"/>
      <c r="K3295" s="21"/>
      <c r="L3295" s="21"/>
      <c r="M3295" s="21"/>
      <c r="N3295" s="21"/>
    </row>
    <row r="3296" spans="1:14" ht="15.75" customHeight="1" x14ac:dyDescent="0.25">
      <c r="A3296" s="31" t="s">
        <v>14</v>
      </c>
      <c r="B3296" s="31" t="s">
        <v>234</v>
      </c>
      <c r="C3296" s="31" t="s">
        <v>16</v>
      </c>
      <c r="D3296" s="31" t="s">
        <v>17</v>
      </c>
      <c r="E3296" s="31" t="s">
        <v>235</v>
      </c>
      <c r="F3296" s="31" t="s">
        <v>236</v>
      </c>
      <c r="G3296" s="25"/>
      <c r="H3296" s="11"/>
      <c r="I3296" s="21"/>
      <c r="J3296" s="21"/>
      <c r="K3296" s="21"/>
      <c r="L3296" s="21"/>
      <c r="M3296" s="21"/>
      <c r="N3296" s="21"/>
    </row>
    <row r="3297" spans="1:14" ht="15.75" customHeight="1" x14ac:dyDescent="0.25">
      <c r="A3297" s="7">
        <v>1</v>
      </c>
      <c r="B3297" s="155" t="s">
        <v>1358</v>
      </c>
      <c r="C3297" s="129">
        <v>4</v>
      </c>
      <c r="D3297" s="7" t="s">
        <v>363</v>
      </c>
      <c r="E3297" s="130">
        <v>371800</v>
      </c>
      <c r="F3297" s="130">
        <f>E3297*C3297</f>
        <v>1487200</v>
      </c>
      <c r="G3297" s="25"/>
      <c r="H3297" s="11"/>
      <c r="I3297" s="21"/>
      <c r="J3297" s="21"/>
      <c r="K3297" s="21"/>
      <c r="L3297" s="21"/>
      <c r="M3297" s="21"/>
      <c r="N3297" s="21"/>
    </row>
    <row r="3298" spans="1:14" ht="15.75" customHeight="1" x14ac:dyDescent="0.25">
      <c r="A3298" s="7">
        <v>2</v>
      </c>
      <c r="B3298" s="41" t="s">
        <v>1359</v>
      </c>
      <c r="C3298" s="7">
        <v>4</v>
      </c>
      <c r="D3298" s="7" t="s">
        <v>363</v>
      </c>
      <c r="E3298" s="104">
        <v>1656500</v>
      </c>
      <c r="F3298" s="104">
        <f>E3298*C3298</f>
        <v>6626000</v>
      </c>
      <c r="G3298" s="25"/>
      <c r="H3298" s="11"/>
      <c r="I3298" s="21"/>
      <c r="J3298" s="21"/>
      <c r="K3298" s="21"/>
      <c r="L3298" s="21"/>
      <c r="M3298" s="21"/>
      <c r="N3298" s="21"/>
    </row>
    <row r="3299" spans="1:14" ht="15.75" customHeight="1" x14ac:dyDescent="0.25">
      <c r="A3299" s="7"/>
      <c r="B3299" s="343" t="s">
        <v>342</v>
      </c>
      <c r="C3299" s="344"/>
      <c r="D3299" s="344"/>
      <c r="E3299" s="334"/>
      <c r="F3299" s="104">
        <f>SUM(F3297:F3298)</f>
        <v>8113200</v>
      </c>
      <c r="G3299" s="25"/>
      <c r="H3299" s="11"/>
      <c r="I3299" s="21"/>
      <c r="J3299" s="21"/>
      <c r="K3299" s="21"/>
      <c r="L3299" s="21"/>
      <c r="M3299" s="21"/>
      <c r="N3299" s="21"/>
    </row>
    <row r="3300" spans="1:14" ht="15.75" customHeight="1" x14ac:dyDescent="0.25">
      <c r="A3300" s="7"/>
      <c r="B3300" s="343" t="s">
        <v>986</v>
      </c>
      <c r="C3300" s="344"/>
      <c r="D3300" s="344"/>
      <c r="E3300" s="334"/>
      <c r="F3300" s="104">
        <v>243396</v>
      </c>
      <c r="G3300" s="25"/>
      <c r="H3300" s="11"/>
      <c r="I3300" s="21"/>
      <c r="J3300" s="21"/>
      <c r="K3300" s="21"/>
      <c r="L3300" s="21"/>
      <c r="M3300" s="21"/>
      <c r="N3300" s="21"/>
    </row>
    <row r="3301" spans="1:14" ht="15.75" customHeight="1" x14ac:dyDescent="0.25">
      <c r="A3301" s="7"/>
      <c r="B3301" s="345" t="s">
        <v>342</v>
      </c>
      <c r="C3301" s="344"/>
      <c r="D3301" s="344"/>
      <c r="E3301" s="334"/>
      <c r="F3301" s="107">
        <f>F3299-F3300</f>
        <v>7869804</v>
      </c>
      <c r="G3301" s="25"/>
      <c r="H3301" s="11"/>
      <c r="I3301" s="21"/>
      <c r="J3301" s="21"/>
      <c r="K3301" s="21"/>
      <c r="L3301" s="21"/>
      <c r="M3301" s="21"/>
      <c r="N3301" s="21"/>
    </row>
    <row r="3302" spans="1:14" ht="15.75" customHeight="1" x14ac:dyDescent="0.25">
      <c r="A3302" s="7"/>
      <c r="B3302" s="343" t="s">
        <v>343</v>
      </c>
      <c r="C3302" s="344"/>
      <c r="D3302" s="344"/>
      <c r="E3302" s="334"/>
      <c r="F3302" s="104">
        <v>865678.44</v>
      </c>
      <c r="G3302" s="25"/>
      <c r="H3302" s="11"/>
      <c r="I3302" s="21"/>
      <c r="J3302" s="21"/>
      <c r="K3302" s="21"/>
      <c r="L3302" s="21"/>
      <c r="M3302" s="21"/>
      <c r="N3302" s="21"/>
    </row>
    <row r="3303" spans="1:14" ht="15.75" customHeight="1" x14ac:dyDescent="0.25">
      <c r="A3303" s="7"/>
      <c r="B3303" s="345" t="s">
        <v>344</v>
      </c>
      <c r="C3303" s="344"/>
      <c r="D3303" s="344"/>
      <c r="E3303" s="334"/>
      <c r="F3303" s="107">
        <f>SUM(F3301:F3302)</f>
        <v>8735482.4399999995</v>
      </c>
      <c r="G3303" s="25"/>
      <c r="H3303" s="11"/>
      <c r="I3303" s="21"/>
      <c r="J3303" s="21"/>
      <c r="K3303" s="21"/>
      <c r="L3303" s="21"/>
      <c r="M3303" s="21"/>
      <c r="N3303" s="21"/>
    </row>
    <row r="3304" spans="1:14" ht="15.75" customHeight="1" x14ac:dyDescent="0.25">
      <c r="A3304" s="21"/>
      <c r="B3304" s="21"/>
      <c r="C3304" s="11"/>
      <c r="D3304" s="11"/>
      <c r="E3304" s="21"/>
      <c r="F3304" s="21"/>
      <c r="G3304" s="25"/>
      <c r="H3304" s="11"/>
      <c r="I3304" s="21"/>
      <c r="J3304" s="21"/>
      <c r="K3304" s="21"/>
      <c r="L3304" s="21"/>
      <c r="M3304" s="21"/>
      <c r="N3304" s="21"/>
    </row>
    <row r="3305" spans="1:14" ht="15.75" customHeight="1" x14ac:dyDescent="0.25">
      <c r="A3305" s="31" t="s">
        <v>14</v>
      </c>
      <c r="B3305" s="31" t="s">
        <v>234</v>
      </c>
      <c r="C3305" s="31" t="s">
        <v>16</v>
      </c>
      <c r="D3305" s="31" t="s">
        <v>17</v>
      </c>
      <c r="E3305" s="31" t="s">
        <v>235</v>
      </c>
      <c r="F3305" s="31" t="s">
        <v>236</v>
      </c>
      <c r="G3305" s="25"/>
      <c r="H3305" s="11"/>
      <c r="I3305" s="21"/>
      <c r="J3305" s="21"/>
      <c r="K3305" s="21"/>
      <c r="L3305" s="21"/>
      <c r="M3305" s="21"/>
      <c r="N3305" s="21"/>
    </row>
    <row r="3306" spans="1:14" ht="15.75" customHeight="1" x14ac:dyDescent="0.25">
      <c r="A3306" s="7">
        <v>1</v>
      </c>
      <c r="B3306" s="155" t="s">
        <v>1360</v>
      </c>
      <c r="C3306" s="129">
        <v>4</v>
      </c>
      <c r="D3306" s="7" t="s">
        <v>363</v>
      </c>
      <c r="E3306" s="130">
        <v>188500</v>
      </c>
      <c r="F3306" s="130">
        <f>E3306*C3306</f>
        <v>754000</v>
      </c>
      <c r="G3306" s="25"/>
      <c r="H3306" s="11"/>
      <c r="I3306" s="21"/>
      <c r="J3306" s="21"/>
      <c r="K3306" s="21"/>
      <c r="L3306" s="21"/>
      <c r="M3306" s="21"/>
      <c r="N3306" s="21"/>
    </row>
    <row r="3307" spans="1:14" ht="15.75" customHeight="1" x14ac:dyDescent="0.25">
      <c r="A3307" s="7"/>
      <c r="B3307" s="343" t="s">
        <v>342</v>
      </c>
      <c r="C3307" s="344"/>
      <c r="D3307" s="344"/>
      <c r="E3307" s="334"/>
      <c r="F3307" s="104">
        <f>SUM(F3306)</f>
        <v>754000</v>
      </c>
      <c r="G3307" s="25"/>
      <c r="H3307" s="11"/>
      <c r="I3307" s="21"/>
      <c r="J3307" s="21"/>
      <c r="K3307" s="21"/>
      <c r="L3307" s="21"/>
      <c r="M3307" s="21"/>
      <c r="N3307" s="21"/>
    </row>
    <row r="3308" spans="1:14" ht="15.75" customHeight="1" x14ac:dyDescent="0.25">
      <c r="A3308" s="7"/>
      <c r="B3308" s="343" t="s">
        <v>343</v>
      </c>
      <c r="C3308" s="344"/>
      <c r="D3308" s="344"/>
      <c r="E3308" s="334"/>
      <c r="F3308" s="104">
        <v>82940</v>
      </c>
      <c r="G3308" s="25"/>
      <c r="H3308" s="11"/>
      <c r="I3308" s="21"/>
      <c r="J3308" s="21"/>
      <c r="K3308" s="21"/>
      <c r="L3308" s="21"/>
      <c r="M3308" s="21"/>
      <c r="N3308" s="21"/>
    </row>
    <row r="3309" spans="1:14" ht="15.75" customHeight="1" x14ac:dyDescent="0.25">
      <c r="A3309" s="7"/>
      <c r="B3309" s="345" t="s">
        <v>344</v>
      </c>
      <c r="C3309" s="344"/>
      <c r="D3309" s="344"/>
      <c r="E3309" s="334"/>
      <c r="F3309" s="107">
        <f>SUM(F3307:F3308)</f>
        <v>836940</v>
      </c>
      <c r="G3309" s="25"/>
      <c r="H3309" s="11"/>
      <c r="I3309" s="21"/>
      <c r="J3309" s="21"/>
      <c r="K3309" s="21"/>
      <c r="L3309" s="21"/>
      <c r="M3309" s="21"/>
      <c r="N3309" s="21"/>
    </row>
    <row r="3310" spans="1:14" ht="15.75" customHeight="1" x14ac:dyDescent="0.25">
      <c r="A3310" s="21"/>
      <c r="B3310" s="21"/>
      <c r="C3310" s="11"/>
      <c r="D3310" s="11"/>
      <c r="E3310" s="21"/>
      <c r="F3310" s="21"/>
      <c r="G3310" s="25"/>
      <c r="H3310" s="11"/>
      <c r="I3310" s="21"/>
      <c r="J3310" s="21"/>
      <c r="K3310" s="21"/>
      <c r="L3310" s="21"/>
      <c r="M3310" s="21"/>
      <c r="N3310" s="21"/>
    </row>
    <row r="3311" spans="1:14" ht="15.75" customHeight="1" x14ac:dyDescent="0.25">
      <c r="A3311" s="31" t="s">
        <v>351</v>
      </c>
      <c r="B3311" s="31" t="s">
        <v>234</v>
      </c>
      <c r="C3311" s="31" t="s">
        <v>16</v>
      </c>
      <c r="D3311" s="31" t="s">
        <v>17</v>
      </c>
      <c r="E3311" s="31" t="s">
        <v>235</v>
      </c>
      <c r="F3311" s="31" t="s">
        <v>236</v>
      </c>
      <c r="G3311" s="25"/>
      <c r="H3311" s="11"/>
      <c r="I3311" s="21"/>
      <c r="J3311" s="21"/>
      <c r="K3311" s="21"/>
      <c r="L3311" s="21"/>
      <c r="M3311" s="21"/>
      <c r="N3311" s="21"/>
    </row>
    <row r="3312" spans="1:14" ht="15.75" customHeight="1" x14ac:dyDescent="0.25">
      <c r="A3312" s="7">
        <v>1</v>
      </c>
      <c r="B3312" s="41" t="s">
        <v>1361</v>
      </c>
      <c r="C3312" s="7">
        <v>2</v>
      </c>
      <c r="D3312" s="7" t="s">
        <v>363</v>
      </c>
      <c r="E3312" s="104">
        <v>71250</v>
      </c>
      <c r="F3312" s="104">
        <f>E3312*C3312</f>
        <v>142500</v>
      </c>
      <c r="G3312" s="25"/>
      <c r="H3312" s="11"/>
      <c r="I3312" s="21"/>
      <c r="J3312" s="21"/>
      <c r="K3312" s="21"/>
      <c r="L3312" s="21"/>
      <c r="M3312" s="21"/>
      <c r="N3312" s="21"/>
    </row>
    <row r="3313" spans="1:14" ht="15.75" customHeight="1" x14ac:dyDescent="0.25">
      <c r="A3313" s="7">
        <v>2</v>
      </c>
      <c r="B3313" s="41" t="s">
        <v>1362</v>
      </c>
      <c r="C3313" s="7">
        <v>2</v>
      </c>
      <c r="D3313" s="7" t="s">
        <v>363</v>
      </c>
      <c r="E3313" s="104">
        <v>69750</v>
      </c>
      <c r="F3313" s="104">
        <f>E3313*C3313</f>
        <v>139500</v>
      </c>
      <c r="G3313" s="25"/>
      <c r="H3313" s="11"/>
      <c r="I3313" s="21"/>
      <c r="J3313" s="21"/>
      <c r="K3313" s="21"/>
      <c r="L3313" s="21"/>
      <c r="M3313" s="21"/>
      <c r="N3313" s="21"/>
    </row>
    <row r="3314" spans="1:14" ht="15.75" customHeight="1" x14ac:dyDescent="0.25">
      <c r="A3314" s="7"/>
      <c r="B3314" s="343" t="s">
        <v>342</v>
      </c>
      <c r="C3314" s="344"/>
      <c r="D3314" s="344"/>
      <c r="E3314" s="334"/>
      <c r="F3314" s="104">
        <f>SUM(F3312:F3313)</f>
        <v>282000</v>
      </c>
      <c r="G3314" s="25"/>
      <c r="H3314" s="11"/>
      <c r="I3314" s="21"/>
      <c r="J3314" s="21"/>
      <c r="K3314" s="21"/>
      <c r="L3314" s="21"/>
      <c r="M3314" s="21"/>
      <c r="N3314" s="21"/>
    </row>
    <row r="3315" spans="1:14" ht="15.75" customHeight="1" x14ac:dyDescent="0.25">
      <c r="A3315" s="7"/>
      <c r="B3315" s="343" t="s">
        <v>343</v>
      </c>
      <c r="C3315" s="344"/>
      <c r="D3315" s="344"/>
      <c r="E3315" s="334"/>
      <c r="F3315" s="104">
        <v>31020</v>
      </c>
      <c r="G3315" s="25"/>
      <c r="H3315" s="11"/>
      <c r="I3315" s="21"/>
      <c r="J3315" s="21"/>
      <c r="K3315" s="21"/>
      <c r="L3315" s="21"/>
      <c r="M3315" s="21"/>
      <c r="N3315" s="21"/>
    </row>
    <row r="3316" spans="1:14" ht="15.75" customHeight="1" x14ac:dyDescent="0.25">
      <c r="A3316" s="7"/>
      <c r="B3316" s="345" t="s">
        <v>344</v>
      </c>
      <c r="C3316" s="344"/>
      <c r="D3316" s="344"/>
      <c r="E3316" s="334"/>
      <c r="F3316" s="107">
        <f>SUM(F3314:F3315)</f>
        <v>313020</v>
      </c>
      <c r="G3316" s="25"/>
      <c r="H3316" s="11"/>
      <c r="I3316" s="21"/>
      <c r="J3316" s="21"/>
      <c r="K3316" s="21"/>
      <c r="L3316" s="21"/>
      <c r="M3316" s="21"/>
      <c r="N3316" s="21"/>
    </row>
    <row r="3317" spans="1:14" ht="15.75" customHeight="1" x14ac:dyDescent="0.25">
      <c r="A3317" s="21"/>
      <c r="B3317" s="21"/>
      <c r="C3317" s="11"/>
      <c r="D3317" s="11"/>
      <c r="E3317" s="21"/>
      <c r="F3317" s="21"/>
      <c r="G3317" s="25"/>
      <c r="H3317" s="11"/>
      <c r="I3317" s="21"/>
      <c r="J3317" s="21"/>
      <c r="K3317" s="21"/>
      <c r="L3317" s="21"/>
      <c r="M3317" s="21"/>
      <c r="N3317" s="21"/>
    </row>
    <row r="3318" spans="1:14" ht="15.75" customHeight="1" x14ac:dyDescent="0.25">
      <c r="A3318" s="31" t="s">
        <v>14</v>
      </c>
      <c r="B3318" s="31" t="s">
        <v>234</v>
      </c>
      <c r="C3318" s="31" t="s">
        <v>16</v>
      </c>
      <c r="D3318" s="31" t="s">
        <v>17</v>
      </c>
      <c r="E3318" s="31" t="s">
        <v>235</v>
      </c>
      <c r="F3318" s="31" t="s">
        <v>236</v>
      </c>
      <c r="G3318" s="25"/>
      <c r="H3318" s="11"/>
      <c r="I3318" s="21"/>
      <c r="J3318" s="21"/>
      <c r="K3318" s="21"/>
      <c r="L3318" s="21"/>
      <c r="M3318" s="21"/>
      <c r="N3318" s="21"/>
    </row>
    <row r="3319" spans="1:14" ht="15.75" customHeight="1" x14ac:dyDescent="0.25">
      <c r="A3319" s="7">
        <v>1</v>
      </c>
      <c r="B3319" s="155" t="s">
        <v>1363</v>
      </c>
      <c r="C3319" s="129">
        <v>10</v>
      </c>
      <c r="D3319" s="7" t="s">
        <v>989</v>
      </c>
      <c r="E3319" s="130">
        <v>105000</v>
      </c>
      <c r="F3319" s="130">
        <f>E3319*C3319</f>
        <v>1050000</v>
      </c>
      <c r="G3319" s="25"/>
      <c r="H3319" s="11"/>
      <c r="I3319" s="21"/>
      <c r="J3319" s="21"/>
      <c r="K3319" s="21"/>
      <c r="L3319" s="21"/>
      <c r="M3319" s="21"/>
      <c r="N3319" s="21"/>
    </row>
    <row r="3320" spans="1:14" ht="15.75" customHeight="1" x14ac:dyDescent="0.25">
      <c r="A3320" s="7"/>
      <c r="B3320" s="343" t="s">
        <v>342</v>
      </c>
      <c r="C3320" s="344"/>
      <c r="D3320" s="344"/>
      <c r="E3320" s="334"/>
      <c r="F3320" s="104">
        <f>SUM(F3319)</f>
        <v>1050000</v>
      </c>
      <c r="G3320" s="25"/>
      <c r="H3320" s="11"/>
      <c r="I3320" s="21"/>
      <c r="J3320" s="21"/>
      <c r="K3320" s="21"/>
      <c r="L3320" s="21"/>
      <c r="M3320" s="21"/>
      <c r="N3320" s="21"/>
    </row>
    <row r="3321" spans="1:14" ht="15.75" customHeight="1" x14ac:dyDescent="0.25">
      <c r="A3321" s="7"/>
      <c r="B3321" s="343" t="s">
        <v>343</v>
      </c>
      <c r="C3321" s="344"/>
      <c r="D3321" s="344"/>
      <c r="E3321" s="334"/>
      <c r="F3321" s="104">
        <v>115500</v>
      </c>
      <c r="G3321" s="25"/>
      <c r="H3321" s="11"/>
      <c r="I3321" s="21"/>
      <c r="J3321" s="21"/>
      <c r="K3321" s="21"/>
      <c r="L3321" s="21"/>
      <c r="M3321" s="21"/>
      <c r="N3321" s="21"/>
    </row>
    <row r="3322" spans="1:14" ht="15.75" customHeight="1" x14ac:dyDescent="0.25">
      <c r="A3322" s="7"/>
      <c r="B3322" s="345" t="s">
        <v>344</v>
      </c>
      <c r="C3322" s="344"/>
      <c r="D3322" s="344"/>
      <c r="E3322" s="334"/>
      <c r="F3322" s="107">
        <f>SUM(F3320:F3321)</f>
        <v>1165500</v>
      </c>
      <c r="G3322" s="25"/>
      <c r="H3322" s="11"/>
      <c r="I3322" s="21"/>
      <c r="J3322" s="21"/>
      <c r="K3322" s="21"/>
      <c r="L3322" s="21"/>
      <c r="M3322" s="21"/>
      <c r="N3322" s="21"/>
    </row>
    <row r="3323" spans="1:14" ht="15.75" customHeight="1" x14ac:dyDescent="0.25">
      <c r="A3323" s="21"/>
      <c r="B3323" s="21"/>
      <c r="C3323" s="11"/>
      <c r="D3323" s="11"/>
      <c r="E3323" s="21"/>
      <c r="F3323" s="21"/>
      <c r="G3323" s="25"/>
      <c r="H3323" s="11"/>
      <c r="I3323" s="21"/>
      <c r="J3323" s="21"/>
      <c r="K3323" s="21"/>
      <c r="L3323" s="21"/>
      <c r="M3323" s="21"/>
      <c r="N3323" s="21"/>
    </row>
    <row r="3324" spans="1:14" ht="15.75" customHeight="1" x14ac:dyDescent="0.25">
      <c r="A3324" s="31" t="s">
        <v>14</v>
      </c>
      <c r="B3324" s="31" t="s">
        <v>234</v>
      </c>
      <c r="C3324" s="31" t="s">
        <v>16</v>
      </c>
      <c r="D3324" s="31" t="s">
        <v>17</v>
      </c>
      <c r="E3324" s="31" t="s">
        <v>235</v>
      </c>
      <c r="F3324" s="31" t="s">
        <v>236</v>
      </c>
      <c r="G3324" s="25"/>
      <c r="H3324" s="11"/>
      <c r="I3324" s="21"/>
      <c r="J3324" s="21"/>
      <c r="K3324" s="21"/>
      <c r="L3324" s="21"/>
      <c r="M3324" s="21"/>
      <c r="N3324" s="21"/>
    </row>
    <row r="3325" spans="1:14" ht="15.75" customHeight="1" x14ac:dyDescent="0.25">
      <c r="A3325" s="7">
        <v>1</v>
      </c>
      <c r="B3325" s="155" t="s">
        <v>688</v>
      </c>
      <c r="C3325" s="129">
        <v>30</v>
      </c>
      <c r="D3325" s="7" t="s">
        <v>363</v>
      </c>
      <c r="E3325" s="130">
        <v>122500</v>
      </c>
      <c r="F3325" s="130">
        <f>E3325*C3325</f>
        <v>3675000</v>
      </c>
      <c r="G3325" s="25"/>
      <c r="H3325" s="11"/>
      <c r="I3325" s="21"/>
      <c r="J3325" s="21"/>
      <c r="K3325" s="21"/>
      <c r="L3325" s="21"/>
      <c r="M3325" s="21"/>
      <c r="N3325" s="21"/>
    </row>
    <row r="3326" spans="1:14" ht="15.75" customHeight="1" x14ac:dyDescent="0.25">
      <c r="A3326" s="7"/>
      <c r="B3326" s="343" t="s">
        <v>342</v>
      </c>
      <c r="C3326" s="344"/>
      <c r="D3326" s="344"/>
      <c r="E3326" s="334"/>
      <c r="F3326" s="104">
        <f>SUM(F3325)</f>
        <v>3675000</v>
      </c>
      <c r="G3326" s="25"/>
      <c r="H3326" s="11"/>
      <c r="I3326" s="21"/>
      <c r="J3326" s="21"/>
      <c r="K3326" s="21"/>
      <c r="L3326" s="21"/>
      <c r="M3326" s="21"/>
      <c r="N3326" s="21"/>
    </row>
    <row r="3327" spans="1:14" ht="15.75" customHeight="1" x14ac:dyDescent="0.25">
      <c r="A3327" s="7"/>
      <c r="B3327" s="343" t="s">
        <v>343</v>
      </c>
      <c r="C3327" s="344"/>
      <c r="D3327" s="344"/>
      <c r="E3327" s="334"/>
      <c r="F3327" s="104">
        <v>404250</v>
      </c>
      <c r="G3327" s="25"/>
      <c r="H3327" s="11"/>
      <c r="I3327" s="21"/>
      <c r="J3327" s="21"/>
      <c r="K3327" s="21"/>
      <c r="L3327" s="21"/>
      <c r="M3327" s="21"/>
      <c r="N3327" s="21"/>
    </row>
    <row r="3328" spans="1:14" ht="15.75" customHeight="1" x14ac:dyDescent="0.25">
      <c r="A3328" s="7"/>
      <c r="B3328" s="345" t="s">
        <v>344</v>
      </c>
      <c r="C3328" s="344"/>
      <c r="D3328" s="344"/>
      <c r="E3328" s="334"/>
      <c r="F3328" s="107">
        <f>SUM(F3326:F3327)</f>
        <v>4079250</v>
      </c>
      <c r="G3328" s="25"/>
      <c r="H3328" s="11"/>
      <c r="I3328" s="21"/>
      <c r="J3328" s="21"/>
      <c r="K3328" s="21"/>
      <c r="L3328" s="21"/>
      <c r="M3328" s="21"/>
      <c r="N3328" s="21"/>
    </row>
    <row r="3329" spans="1:14" ht="15.75" customHeight="1" x14ac:dyDescent="0.25">
      <c r="A3329" s="21"/>
      <c r="B3329" s="21"/>
      <c r="C3329" s="11"/>
      <c r="D3329" s="11"/>
      <c r="E3329" s="21"/>
      <c r="F3329" s="21"/>
      <c r="G3329" s="25"/>
      <c r="H3329" s="11"/>
      <c r="I3329" s="21"/>
      <c r="J3329" s="21"/>
      <c r="K3329" s="21"/>
      <c r="L3329" s="21"/>
      <c r="M3329" s="21"/>
      <c r="N3329" s="21"/>
    </row>
    <row r="3330" spans="1:14" ht="15.75" customHeight="1" x14ac:dyDescent="0.25">
      <c r="A3330" s="31" t="s">
        <v>351</v>
      </c>
      <c r="B3330" s="31" t="s">
        <v>234</v>
      </c>
      <c r="C3330" s="31" t="s">
        <v>16</v>
      </c>
      <c r="D3330" s="31" t="s">
        <v>17</v>
      </c>
      <c r="E3330" s="31" t="s">
        <v>235</v>
      </c>
      <c r="F3330" s="31" t="s">
        <v>236</v>
      </c>
      <c r="G3330" s="25"/>
      <c r="H3330" s="11"/>
      <c r="I3330" s="21"/>
      <c r="J3330" s="21"/>
      <c r="K3330" s="21"/>
      <c r="L3330" s="21"/>
      <c r="M3330" s="21"/>
      <c r="N3330" s="21"/>
    </row>
    <row r="3331" spans="1:14" ht="15.75" customHeight="1" x14ac:dyDescent="0.25">
      <c r="A3331" s="7">
        <v>1</v>
      </c>
      <c r="B3331" s="41" t="s">
        <v>1341</v>
      </c>
      <c r="C3331" s="7">
        <v>6</v>
      </c>
      <c r="D3331" s="7" t="s">
        <v>19</v>
      </c>
      <c r="E3331" s="104">
        <v>56260</v>
      </c>
      <c r="F3331" s="104">
        <f>E3331*C3331</f>
        <v>337560</v>
      </c>
      <c r="G3331" s="25"/>
      <c r="H3331" s="11"/>
      <c r="I3331" s="21"/>
      <c r="J3331" s="21"/>
      <c r="K3331" s="21"/>
      <c r="L3331" s="21"/>
      <c r="M3331" s="21"/>
      <c r="N3331" s="21"/>
    </row>
    <row r="3332" spans="1:14" ht="15.75" customHeight="1" x14ac:dyDescent="0.25">
      <c r="A3332" s="7">
        <v>2</v>
      </c>
      <c r="B3332" s="41" t="s">
        <v>1364</v>
      </c>
      <c r="C3332" s="7">
        <v>4</v>
      </c>
      <c r="D3332" s="7" t="s">
        <v>19</v>
      </c>
      <c r="E3332" s="104">
        <v>75660</v>
      </c>
      <c r="F3332" s="104">
        <f>E3332*C3332</f>
        <v>302640</v>
      </c>
      <c r="G3332" s="25"/>
      <c r="H3332" s="11"/>
      <c r="I3332" s="21"/>
      <c r="J3332" s="21"/>
      <c r="K3332" s="21"/>
      <c r="L3332" s="21"/>
      <c r="M3332" s="21"/>
      <c r="N3332" s="21"/>
    </row>
    <row r="3333" spans="1:14" ht="15.75" customHeight="1" x14ac:dyDescent="0.25">
      <c r="A3333" s="7"/>
      <c r="B3333" s="343" t="s">
        <v>342</v>
      </c>
      <c r="C3333" s="344"/>
      <c r="D3333" s="344"/>
      <c r="E3333" s="334"/>
      <c r="F3333" s="104">
        <f>SUM(F3331:F3332)</f>
        <v>640200</v>
      </c>
      <c r="G3333" s="25"/>
      <c r="H3333" s="11"/>
      <c r="I3333" s="21"/>
      <c r="J3333" s="21"/>
      <c r="K3333" s="21"/>
      <c r="L3333" s="21"/>
      <c r="M3333" s="21"/>
      <c r="N3333" s="21"/>
    </row>
    <row r="3334" spans="1:14" ht="15.75" customHeight="1" x14ac:dyDescent="0.25">
      <c r="A3334" s="7"/>
      <c r="B3334" s="343" t="s">
        <v>343</v>
      </c>
      <c r="C3334" s="344"/>
      <c r="D3334" s="344"/>
      <c r="E3334" s="334"/>
      <c r="F3334" s="104">
        <v>70422</v>
      </c>
      <c r="G3334" s="25"/>
      <c r="H3334" s="11"/>
      <c r="I3334" s="21"/>
      <c r="J3334" s="21"/>
      <c r="K3334" s="21"/>
      <c r="L3334" s="21"/>
      <c r="M3334" s="21"/>
      <c r="N3334" s="21"/>
    </row>
    <row r="3335" spans="1:14" ht="15.75" customHeight="1" x14ac:dyDescent="0.25">
      <c r="A3335" s="7"/>
      <c r="B3335" s="345" t="s">
        <v>344</v>
      </c>
      <c r="C3335" s="344"/>
      <c r="D3335" s="344"/>
      <c r="E3335" s="334"/>
      <c r="F3335" s="107">
        <f>SUM(F3333:F3334)</f>
        <v>710622</v>
      </c>
      <c r="G3335" s="25"/>
      <c r="H3335" s="11"/>
      <c r="I3335" s="21"/>
      <c r="J3335" s="21"/>
      <c r="K3335" s="21"/>
      <c r="L3335" s="21"/>
      <c r="M3335" s="21"/>
      <c r="N3335" s="21"/>
    </row>
    <row r="3336" spans="1:14" ht="15.75" customHeight="1" x14ac:dyDescent="0.25">
      <c r="A3336" s="21"/>
      <c r="B3336" s="21"/>
      <c r="C3336" s="11"/>
      <c r="D3336" s="11"/>
      <c r="E3336" s="21"/>
      <c r="F3336" s="21"/>
      <c r="G3336" s="25"/>
      <c r="H3336" s="11"/>
      <c r="I3336" s="21"/>
      <c r="J3336" s="21"/>
      <c r="K3336" s="21"/>
      <c r="L3336" s="21"/>
      <c r="M3336" s="21"/>
      <c r="N3336" s="21"/>
    </row>
    <row r="3337" spans="1:14" ht="15.75" customHeight="1" x14ac:dyDescent="0.25">
      <c r="A3337" s="31" t="s">
        <v>14</v>
      </c>
      <c r="B3337" s="31" t="s">
        <v>234</v>
      </c>
      <c r="C3337" s="31" t="s">
        <v>16</v>
      </c>
      <c r="D3337" s="31" t="s">
        <v>17</v>
      </c>
      <c r="E3337" s="31" t="s">
        <v>235</v>
      </c>
      <c r="F3337" s="31" t="s">
        <v>236</v>
      </c>
      <c r="G3337" s="25"/>
      <c r="H3337" s="11"/>
      <c r="I3337" s="21"/>
      <c r="J3337" s="21"/>
      <c r="K3337" s="21"/>
      <c r="L3337" s="21"/>
      <c r="M3337" s="21"/>
      <c r="N3337" s="21"/>
    </row>
    <row r="3338" spans="1:14" ht="15.75" customHeight="1" x14ac:dyDescent="0.25">
      <c r="A3338" s="10">
        <v>1</v>
      </c>
      <c r="B3338" s="38" t="s">
        <v>1331</v>
      </c>
      <c r="C3338" s="7">
        <v>9</v>
      </c>
      <c r="D3338" s="7" t="s">
        <v>19</v>
      </c>
      <c r="E3338" s="104">
        <v>95545</v>
      </c>
      <c r="F3338" s="104">
        <f t="shared" ref="F3338:F3350" si="36">E3338*C3338</f>
        <v>859905</v>
      </c>
      <c r="G3338" s="25"/>
      <c r="H3338" s="11"/>
      <c r="I3338" s="21"/>
      <c r="J3338" s="21"/>
      <c r="K3338" s="21"/>
      <c r="L3338" s="21"/>
      <c r="M3338" s="21"/>
      <c r="N3338" s="21"/>
    </row>
    <row r="3339" spans="1:14" ht="15.75" customHeight="1" x14ac:dyDescent="0.25">
      <c r="A3339" s="7">
        <v>2</v>
      </c>
      <c r="B3339" s="124" t="s">
        <v>1332</v>
      </c>
      <c r="C3339" s="7">
        <v>3</v>
      </c>
      <c r="D3339" s="7" t="s">
        <v>19</v>
      </c>
      <c r="E3339" s="104">
        <v>292940</v>
      </c>
      <c r="F3339" s="104">
        <f t="shared" si="36"/>
        <v>878820</v>
      </c>
      <c r="G3339" s="25"/>
      <c r="H3339" s="11"/>
      <c r="I3339" s="21"/>
      <c r="J3339" s="21"/>
      <c r="K3339" s="21"/>
      <c r="L3339" s="21"/>
      <c r="M3339" s="21"/>
      <c r="N3339" s="21"/>
    </row>
    <row r="3340" spans="1:14" ht="15.75" customHeight="1" x14ac:dyDescent="0.25">
      <c r="A3340" s="7">
        <v>3</v>
      </c>
      <c r="B3340" s="131" t="s">
        <v>1333</v>
      </c>
      <c r="C3340" s="7">
        <v>3</v>
      </c>
      <c r="D3340" s="7" t="s">
        <v>19</v>
      </c>
      <c r="E3340" s="104">
        <v>1507380</v>
      </c>
      <c r="F3340" s="104">
        <f t="shared" si="36"/>
        <v>4522140</v>
      </c>
      <c r="G3340" s="25"/>
      <c r="H3340" s="11"/>
      <c r="I3340" s="21"/>
      <c r="J3340" s="21"/>
      <c r="K3340" s="21"/>
      <c r="L3340" s="21"/>
      <c r="M3340" s="21"/>
      <c r="N3340" s="21"/>
    </row>
    <row r="3341" spans="1:14" ht="15.75" customHeight="1" x14ac:dyDescent="0.25">
      <c r="A3341" s="7">
        <v>4</v>
      </c>
      <c r="B3341" s="35" t="s">
        <v>1334</v>
      </c>
      <c r="C3341" s="7">
        <v>3</v>
      </c>
      <c r="D3341" s="7" t="s">
        <v>19</v>
      </c>
      <c r="E3341" s="104">
        <v>639036</v>
      </c>
      <c r="F3341" s="104">
        <f t="shared" si="36"/>
        <v>1917108</v>
      </c>
      <c r="G3341" s="25"/>
      <c r="H3341" s="11"/>
      <c r="I3341" s="21"/>
      <c r="J3341" s="21"/>
      <c r="K3341" s="21"/>
      <c r="L3341" s="21"/>
      <c r="M3341" s="21"/>
      <c r="N3341" s="21"/>
    </row>
    <row r="3342" spans="1:14" ht="15.75" customHeight="1" x14ac:dyDescent="0.25">
      <c r="A3342" s="7">
        <v>5</v>
      </c>
      <c r="B3342" s="41" t="s">
        <v>1335</v>
      </c>
      <c r="C3342" s="7">
        <v>12</v>
      </c>
      <c r="D3342" s="7" t="s">
        <v>19</v>
      </c>
      <c r="E3342" s="104">
        <v>6305</v>
      </c>
      <c r="F3342" s="104">
        <f t="shared" si="36"/>
        <v>75660</v>
      </c>
      <c r="G3342" s="25"/>
      <c r="H3342" s="11"/>
      <c r="I3342" s="21"/>
      <c r="J3342" s="21"/>
      <c r="K3342" s="21"/>
      <c r="L3342" s="21"/>
      <c r="M3342" s="21"/>
      <c r="N3342" s="21"/>
    </row>
    <row r="3343" spans="1:14" ht="15.75" customHeight="1" x14ac:dyDescent="0.25">
      <c r="A3343" s="7">
        <v>6</v>
      </c>
      <c r="B3343" s="41" t="s">
        <v>1336</v>
      </c>
      <c r="C3343" s="7">
        <v>12</v>
      </c>
      <c r="D3343" s="7" t="s">
        <v>19</v>
      </c>
      <c r="E3343" s="104">
        <v>21825</v>
      </c>
      <c r="F3343" s="104">
        <f t="shared" si="36"/>
        <v>261900</v>
      </c>
      <c r="G3343" s="25"/>
      <c r="H3343" s="11"/>
      <c r="I3343" s="21"/>
      <c r="J3343" s="21"/>
      <c r="K3343" s="21"/>
      <c r="L3343" s="21"/>
      <c r="M3343" s="21"/>
      <c r="N3343" s="21"/>
    </row>
    <row r="3344" spans="1:14" ht="15.75" customHeight="1" x14ac:dyDescent="0.25">
      <c r="A3344" s="7">
        <v>7</v>
      </c>
      <c r="B3344" s="35" t="s">
        <v>1337</v>
      </c>
      <c r="C3344" s="7">
        <v>12</v>
      </c>
      <c r="D3344" s="7" t="s">
        <v>19</v>
      </c>
      <c r="E3344" s="104">
        <v>19206</v>
      </c>
      <c r="F3344" s="104">
        <f t="shared" si="36"/>
        <v>230472</v>
      </c>
      <c r="G3344" s="25"/>
      <c r="H3344" s="11"/>
      <c r="I3344" s="21"/>
      <c r="J3344" s="21"/>
      <c r="K3344" s="21"/>
      <c r="L3344" s="21"/>
      <c r="M3344" s="21"/>
      <c r="N3344" s="21"/>
    </row>
    <row r="3345" spans="1:14" ht="15.75" customHeight="1" x14ac:dyDescent="0.25">
      <c r="A3345" s="7">
        <v>8</v>
      </c>
      <c r="B3345" s="41" t="s">
        <v>1338</v>
      </c>
      <c r="C3345" s="7">
        <v>6</v>
      </c>
      <c r="D3345" s="7" t="s">
        <v>19</v>
      </c>
      <c r="E3345" s="104">
        <v>163445</v>
      </c>
      <c r="F3345" s="104">
        <f t="shared" si="36"/>
        <v>980670</v>
      </c>
      <c r="G3345" s="25"/>
      <c r="H3345" s="11"/>
      <c r="I3345" s="21"/>
      <c r="J3345" s="21"/>
      <c r="K3345" s="21"/>
      <c r="L3345" s="21"/>
      <c r="M3345" s="21"/>
      <c r="N3345" s="21"/>
    </row>
    <row r="3346" spans="1:14" ht="15.75" customHeight="1" x14ac:dyDescent="0.25">
      <c r="A3346" s="7">
        <v>9</v>
      </c>
      <c r="B3346" s="41" t="s">
        <v>1339</v>
      </c>
      <c r="C3346" s="7">
        <v>18</v>
      </c>
      <c r="D3346" s="7" t="s">
        <v>973</v>
      </c>
      <c r="E3346" s="104">
        <v>46560</v>
      </c>
      <c r="F3346" s="104">
        <f t="shared" si="36"/>
        <v>838080</v>
      </c>
      <c r="G3346" s="25"/>
      <c r="H3346" s="11"/>
      <c r="I3346" s="21"/>
      <c r="J3346" s="21"/>
      <c r="K3346" s="21"/>
      <c r="L3346" s="21"/>
      <c r="M3346" s="21"/>
      <c r="N3346" s="21"/>
    </row>
    <row r="3347" spans="1:14" ht="15.75" customHeight="1" x14ac:dyDescent="0.25">
      <c r="A3347" s="7">
        <v>10</v>
      </c>
      <c r="B3347" s="35" t="s">
        <v>1340</v>
      </c>
      <c r="C3347" s="7">
        <v>6</v>
      </c>
      <c r="D3347" s="7" t="s">
        <v>19</v>
      </c>
      <c r="E3347" s="104">
        <v>33950</v>
      </c>
      <c r="F3347" s="104">
        <f t="shared" si="36"/>
        <v>203700</v>
      </c>
      <c r="G3347" s="25"/>
      <c r="H3347" s="11"/>
      <c r="I3347" s="21"/>
      <c r="J3347" s="21"/>
      <c r="K3347" s="21"/>
      <c r="L3347" s="21"/>
      <c r="M3347" s="21"/>
      <c r="N3347" s="21"/>
    </row>
    <row r="3348" spans="1:14" ht="15.75" customHeight="1" x14ac:dyDescent="0.25">
      <c r="A3348" s="7">
        <v>11</v>
      </c>
      <c r="B3348" s="41" t="s">
        <v>1341</v>
      </c>
      <c r="C3348" s="7">
        <v>36</v>
      </c>
      <c r="D3348" s="7" t="s">
        <v>19</v>
      </c>
      <c r="E3348" s="104">
        <v>58200</v>
      </c>
      <c r="F3348" s="104">
        <f t="shared" si="36"/>
        <v>2095200</v>
      </c>
      <c r="G3348" s="25"/>
      <c r="H3348" s="11"/>
      <c r="I3348" s="21"/>
      <c r="J3348" s="21"/>
      <c r="K3348" s="21"/>
      <c r="L3348" s="21"/>
      <c r="M3348" s="21"/>
      <c r="N3348" s="21"/>
    </row>
    <row r="3349" spans="1:14" ht="15.75" customHeight="1" x14ac:dyDescent="0.25">
      <c r="A3349" s="7">
        <v>12</v>
      </c>
      <c r="B3349" s="41" t="s">
        <v>1342</v>
      </c>
      <c r="C3349" s="7">
        <v>150</v>
      </c>
      <c r="D3349" s="7" t="s">
        <v>19</v>
      </c>
      <c r="E3349" s="104">
        <v>17945</v>
      </c>
      <c r="F3349" s="104">
        <f t="shared" si="36"/>
        <v>2691750</v>
      </c>
      <c r="G3349" s="25"/>
      <c r="H3349" s="11"/>
      <c r="I3349" s="21"/>
      <c r="J3349" s="21"/>
      <c r="K3349" s="21"/>
      <c r="L3349" s="21"/>
      <c r="M3349" s="21"/>
      <c r="N3349" s="21"/>
    </row>
    <row r="3350" spans="1:14" ht="15.75" customHeight="1" x14ac:dyDescent="0.25">
      <c r="A3350" s="7">
        <v>13</v>
      </c>
      <c r="B3350" s="131" t="s">
        <v>1343</v>
      </c>
      <c r="C3350" s="129">
        <v>28</v>
      </c>
      <c r="D3350" s="7" t="s">
        <v>19</v>
      </c>
      <c r="E3350" s="130">
        <v>774060</v>
      </c>
      <c r="F3350" s="130">
        <f t="shared" si="36"/>
        <v>21673680</v>
      </c>
      <c r="G3350" s="25"/>
      <c r="H3350" s="11"/>
      <c r="I3350" s="21"/>
      <c r="J3350" s="21"/>
      <c r="K3350" s="21"/>
      <c r="L3350" s="21"/>
      <c r="M3350" s="21"/>
      <c r="N3350" s="21"/>
    </row>
    <row r="3351" spans="1:14" ht="15.75" customHeight="1" x14ac:dyDescent="0.25">
      <c r="A3351" s="7"/>
      <c r="B3351" s="343" t="s">
        <v>342</v>
      </c>
      <c r="C3351" s="344"/>
      <c r="D3351" s="344"/>
      <c r="E3351" s="334"/>
      <c r="F3351" s="104">
        <f>SUM(F3338:F3350)</f>
        <v>37229085</v>
      </c>
      <c r="G3351" s="25"/>
      <c r="H3351" s="11"/>
      <c r="I3351" s="21"/>
      <c r="J3351" s="21"/>
      <c r="K3351" s="21"/>
      <c r="L3351" s="21"/>
      <c r="M3351" s="21"/>
      <c r="N3351" s="21"/>
    </row>
    <row r="3352" spans="1:14" ht="15.75" customHeight="1" x14ac:dyDescent="0.25">
      <c r="A3352" s="7"/>
      <c r="B3352" s="345" t="s">
        <v>1365</v>
      </c>
      <c r="C3352" s="344"/>
      <c r="D3352" s="344"/>
      <c r="E3352" s="334"/>
      <c r="F3352" s="107">
        <v>33506176.5</v>
      </c>
      <c r="G3352" s="25"/>
      <c r="H3352" s="11"/>
      <c r="I3352" s="21"/>
      <c r="J3352" s="21"/>
      <c r="K3352" s="21"/>
      <c r="L3352" s="21"/>
      <c r="M3352" s="21"/>
      <c r="N3352" s="21"/>
    </row>
    <row r="3353" spans="1:14" ht="15.75" customHeight="1" x14ac:dyDescent="0.25">
      <c r="A3353" s="7"/>
      <c r="B3353" s="343" t="s">
        <v>343</v>
      </c>
      <c r="C3353" s="344"/>
      <c r="D3353" s="344"/>
      <c r="E3353" s="334"/>
      <c r="F3353" s="104">
        <v>3685679.47</v>
      </c>
      <c r="G3353" s="25"/>
      <c r="H3353" s="11"/>
      <c r="I3353" s="21"/>
      <c r="J3353" s="21"/>
      <c r="K3353" s="21"/>
      <c r="L3353" s="21"/>
      <c r="M3353" s="21"/>
      <c r="N3353" s="21"/>
    </row>
    <row r="3354" spans="1:14" ht="15.75" customHeight="1" x14ac:dyDescent="0.25">
      <c r="A3354" s="7"/>
      <c r="B3354" s="345" t="s">
        <v>344</v>
      </c>
      <c r="C3354" s="344"/>
      <c r="D3354" s="344"/>
      <c r="E3354" s="334"/>
      <c r="F3354" s="107">
        <f>SUM(F3352:F3353)</f>
        <v>37191855.969999999</v>
      </c>
      <c r="G3354" s="25"/>
      <c r="H3354" s="11"/>
      <c r="I3354" s="21"/>
      <c r="J3354" s="21"/>
      <c r="K3354" s="21"/>
      <c r="L3354" s="21"/>
      <c r="M3354" s="21"/>
      <c r="N3354" s="21"/>
    </row>
    <row r="3355" spans="1:14" ht="15.75" customHeight="1" x14ac:dyDescent="0.25">
      <c r="A3355" s="21"/>
      <c r="B3355" s="21"/>
      <c r="C3355" s="11"/>
      <c r="D3355" s="11"/>
      <c r="E3355" s="21"/>
      <c r="F3355" s="21"/>
      <c r="G3355" s="25"/>
      <c r="H3355" s="11"/>
      <c r="I3355" s="21"/>
      <c r="J3355" s="21"/>
      <c r="K3355" s="21"/>
      <c r="L3355" s="21"/>
      <c r="M3355" s="21"/>
      <c r="N3355" s="21"/>
    </row>
    <row r="3356" spans="1:14" ht="15.75" customHeight="1" x14ac:dyDescent="0.25">
      <c r="A3356" s="31" t="s">
        <v>14</v>
      </c>
      <c r="B3356" s="31" t="s">
        <v>234</v>
      </c>
      <c r="C3356" s="31" t="s">
        <v>16</v>
      </c>
      <c r="D3356" s="31" t="s">
        <v>17</v>
      </c>
      <c r="E3356" s="31" t="s">
        <v>235</v>
      </c>
      <c r="F3356" s="31" t="s">
        <v>236</v>
      </c>
      <c r="G3356" s="25"/>
      <c r="H3356" s="11"/>
      <c r="I3356" s="21"/>
      <c r="J3356" s="21"/>
      <c r="K3356" s="21"/>
      <c r="L3356" s="21"/>
      <c r="M3356" s="21"/>
      <c r="N3356" s="21"/>
    </row>
    <row r="3357" spans="1:14" ht="15.75" customHeight="1" x14ac:dyDescent="0.25">
      <c r="A3357" s="7">
        <v>1</v>
      </c>
      <c r="B3357" s="155" t="s">
        <v>1366</v>
      </c>
      <c r="C3357" s="129">
        <v>2</v>
      </c>
      <c r="D3357" s="7" t="s">
        <v>247</v>
      </c>
      <c r="E3357" s="130">
        <v>2450000</v>
      </c>
      <c r="F3357" s="130">
        <f>E3357*C3357</f>
        <v>4900000</v>
      </c>
      <c r="G3357" s="25"/>
      <c r="H3357" s="11"/>
      <c r="I3357" s="21"/>
      <c r="J3357" s="21"/>
      <c r="K3357" s="21"/>
      <c r="L3357" s="21"/>
      <c r="M3357" s="21"/>
      <c r="N3357" s="21"/>
    </row>
    <row r="3358" spans="1:14" ht="15.75" customHeight="1" x14ac:dyDescent="0.25">
      <c r="A3358" s="7"/>
      <c r="B3358" s="343" t="s">
        <v>342</v>
      </c>
      <c r="C3358" s="344"/>
      <c r="D3358" s="344"/>
      <c r="E3358" s="334"/>
      <c r="F3358" s="104">
        <f>SUM(F3357)</f>
        <v>4900000</v>
      </c>
      <c r="G3358" s="25"/>
      <c r="H3358" s="11"/>
      <c r="I3358" s="21"/>
      <c r="J3358" s="21"/>
      <c r="K3358" s="21"/>
      <c r="L3358" s="21"/>
      <c r="M3358" s="21"/>
      <c r="N3358" s="21"/>
    </row>
    <row r="3359" spans="1:14" ht="15.75" customHeight="1" x14ac:dyDescent="0.25">
      <c r="A3359" s="7"/>
      <c r="B3359" s="343" t="s">
        <v>343</v>
      </c>
      <c r="C3359" s="344"/>
      <c r="D3359" s="344"/>
      <c r="E3359" s="334"/>
      <c r="F3359" s="104">
        <v>539000</v>
      </c>
      <c r="G3359" s="25"/>
      <c r="H3359" s="11"/>
      <c r="I3359" s="21"/>
      <c r="J3359" s="21"/>
      <c r="K3359" s="21"/>
      <c r="L3359" s="21"/>
      <c r="M3359" s="21"/>
      <c r="N3359" s="21"/>
    </row>
    <row r="3360" spans="1:14" ht="15.75" customHeight="1" x14ac:dyDescent="0.25">
      <c r="A3360" s="7"/>
      <c r="B3360" s="345" t="s">
        <v>344</v>
      </c>
      <c r="C3360" s="344"/>
      <c r="D3360" s="344"/>
      <c r="E3360" s="334"/>
      <c r="F3360" s="107">
        <f>SUM(F3358:F3359)</f>
        <v>5439000</v>
      </c>
      <c r="G3360" s="25"/>
      <c r="H3360" s="11"/>
      <c r="I3360" s="21"/>
      <c r="J3360" s="21"/>
      <c r="K3360" s="21"/>
      <c r="L3360" s="21"/>
      <c r="M3360" s="21"/>
      <c r="N3360" s="21"/>
    </row>
    <row r="3361" spans="1:14" ht="15.75" customHeight="1" x14ac:dyDescent="0.25">
      <c r="A3361" s="21"/>
      <c r="B3361" s="21"/>
      <c r="C3361" s="11"/>
      <c r="D3361" s="11"/>
      <c r="E3361" s="21"/>
      <c r="F3361" s="21"/>
      <c r="G3361" s="25"/>
      <c r="H3361" s="11"/>
      <c r="I3361" s="21"/>
      <c r="J3361" s="21"/>
      <c r="K3361" s="21"/>
      <c r="L3361" s="21"/>
      <c r="M3361" s="21"/>
      <c r="N3361" s="21"/>
    </row>
    <row r="3362" spans="1:14" ht="15.75" customHeight="1" x14ac:dyDescent="0.25">
      <c r="A3362" s="31" t="s">
        <v>351</v>
      </c>
      <c r="B3362" s="31" t="s">
        <v>234</v>
      </c>
      <c r="C3362" s="31" t="s">
        <v>16</v>
      </c>
      <c r="D3362" s="31" t="s">
        <v>17</v>
      </c>
      <c r="E3362" s="31" t="s">
        <v>235</v>
      </c>
      <c r="F3362" s="31" t="s">
        <v>236</v>
      </c>
      <c r="G3362" s="25"/>
      <c r="H3362" s="11"/>
      <c r="I3362" s="21"/>
      <c r="J3362" s="21"/>
      <c r="K3362" s="21"/>
      <c r="L3362" s="21"/>
      <c r="M3362" s="21"/>
      <c r="N3362" s="21"/>
    </row>
    <row r="3363" spans="1:14" ht="15.75" customHeight="1" x14ac:dyDescent="0.25">
      <c r="A3363" s="7">
        <v>1</v>
      </c>
      <c r="B3363" s="41" t="s">
        <v>1367</v>
      </c>
      <c r="C3363" s="7">
        <v>2</v>
      </c>
      <c r="D3363" s="7" t="s">
        <v>19</v>
      </c>
      <c r="E3363" s="104">
        <v>144000</v>
      </c>
      <c r="F3363" s="104">
        <f>E3363*C3363</f>
        <v>288000</v>
      </c>
      <c r="G3363" s="25"/>
      <c r="H3363" s="11"/>
      <c r="I3363" s="21"/>
      <c r="J3363" s="21"/>
      <c r="K3363" s="21"/>
      <c r="L3363" s="21"/>
      <c r="M3363" s="21"/>
      <c r="N3363" s="21"/>
    </row>
    <row r="3364" spans="1:14" ht="15.75" customHeight="1" x14ac:dyDescent="0.25">
      <c r="A3364" s="7">
        <v>2</v>
      </c>
      <c r="B3364" s="41" t="s">
        <v>1368</v>
      </c>
      <c r="C3364" s="7">
        <v>6</v>
      </c>
      <c r="D3364" s="7" t="s">
        <v>19</v>
      </c>
      <c r="E3364" s="104">
        <v>35910</v>
      </c>
      <c r="F3364" s="104">
        <f>E3364*C3364</f>
        <v>215460</v>
      </c>
      <c r="G3364" s="25"/>
      <c r="H3364" s="11"/>
      <c r="I3364" s="21"/>
      <c r="J3364" s="21"/>
      <c r="K3364" s="21"/>
      <c r="L3364" s="21"/>
      <c r="M3364" s="21"/>
      <c r="N3364" s="21"/>
    </row>
    <row r="3365" spans="1:14" ht="15.75" customHeight="1" x14ac:dyDescent="0.25">
      <c r="A3365" s="7"/>
      <c r="B3365" s="343" t="s">
        <v>342</v>
      </c>
      <c r="C3365" s="344"/>
      <c r="D3365" s="344"/>
      <c r="E3365" s="334"/>
      <c r="F3365" s="104">
        <f>SUM(F3363:F3364)</f>
        <v>503460</v>
      </c>
      <c r="G3365" s="25"/>
      <c r="H3365" s="11"/>
      <c r="I3365" s="21"/>
      <c r="J3365" s="21"/>
      <c r="K3365" s="21"/>
      <c r="L3365" s="21"/>
      <c r="M3365" s="21"/>
      <c r="N3365" s="21"/>
    </row>
    <row r="3366" spans="1:14" ht="15.75" customHeight="1" x14ac:dyDescent="0.25">
      <c r="A3366" s="7"/>
      <c r="B3366" s="343" t="s">
        <v>343</v>
      </c>
      <c r="C3366" s="344"/>
      <c r="D3366" s="344"/>
      <c r="E3366" s="334"/>
      <c r="F3366" s="108">
        <v>55380.6</v>
      </c>
      <c r="G3366" s="25"/>
      <c r="H3366" s="11"/>
      <c r="I3366" s="21"/>
      <c r="J3366" s="21"/>
      <c r="K3366" s="21"/>
      <c r="L3366" s="21"/>
      <c r="M3366" s="21"/>
      <c r="N3366" s="21"/>
    </row>
    <row r="3367" spans="1:14" ht="15.75" customHeight="1" x14ac:dyDescent="0.25">
      <c r="A3367" s="7"/>
      <c r="B3367" s="345" t="s">
        <v>344</v>
      </c>
      <c r="C3367" s="344"/>
      <c r="D3367" s="344"/>
      <c r="E3367" s="334"/>
      <c r="F3367" s="109">
        <f>SUM(F3365:F3366)</f>
        <v>558840.6</v>
      </c>
      <c r="G3367" s="25"/>
      <c r="H3367" s="11"/>
      <c r="I3367" s="21"/>
      <c r="J3367" s="21"/>
      <c r="K3367" s="21"/>
      <c r="L3367" s="21"/>
      <c r="M3367" s="21"/>
      <c r="N3367" s="21"/>
    </row>
    <row r="3368" spans="1:14" ht="15.75" customHeight="1" x14ac:dyDescent="0.25">
      <c r="A3368" s="21"/>
      <c r="B3368" s="21"/>
      <c r="C3368" s="11"/>
      <c r="D3368" s="11"/>
      <c r="E3368" s="21"/>
      <c r="F3368" s="21"/>
      <c r="G3368" s="25"/>
      <c r="H3368" s="11"/>
      <c r="I3368" s="21"/>
      <c r="J3368" s="21"/>
      <c r="K3368" s="21"/>
      <c r="L3368" s="21"/>
      <c r="M3368" s="21"/>
      <c r="N3368" s="21"/>
    </row>
    <row r="3369" spans="1:14" ht="15.75" customHeight="1" x14ac:dyDescent="0.25">
      <c r="A3369" s="31" t="s">
        <v>351</v>
      </c>
      <c r="B3369" s="31" t="s">
        <v>234</v>
      </c>
      <c r="C3369" s="31" t="s">
        <v>16</v>
      </c>
      <c r="D3369" s="31" t="s">
        <v>17</v>
      </c>
      <c r="E3369" s="31" t="s">
        <v>235</v>
      </c>
      <c r="F3369" s="31" t="s">
        <v>236</v>
      </c>
      <c r="G3369" s="25"/>
      <c r="H3369" s="11"/>
      <c r="I3369" s="21"/>
      <c r="J3369" s="21"/>
      <c r="K3369" s="21"/>
      <c r="L3369" s="21"/>
      <c r="M3369" s="21"/>
      <c r="N3369" s="21"/>
    </row>
    <row r="3370" spans="1:14" ht="15.75" customHeight="1" x14ac:dyDescent="0.25">
      <c r="A3370" s="7">
        <v>1</v>
      </c>
      <c r="B3370" s="41" t="s">
        <v>1242</v>
      </c>
      <c r="C3370" s="7">
        <v>12</v>
      </c>
      <c r="D3370" s="7" t="s">
        <v>19</v>
      </c>
      <c r="E3370" s="104">
        <v>44000</v>
      </c>
      <c r="F3370" s="104">
        <f>E3370*C3370</f>
        <v>528000</v>
      </c>
      <c r="G3370" s="25"/>
      <c r="H3370" s="11"/>
      <c r="I3370" s="21"/>
      <c r="J3370" s="21"/>
      <c r="K3370" s="21"/>
      <c r="L3370" s="21"/>
      <c r="M3370" s="21"/>
      <c r="N3370" s="21"/>
    </row>
    <row r="3371" spans="1:14" ht="15.75" customHeight="1" x14ac:dyDescent="0.25">
      <c r="A3371" s="7">
        <v>2</v>
      </c>
      <c r="B3371" s="41" t="s">
        <v>1241</v>
      </c>
      <c r="C3371" s="7">
        <v>20</v>
      </c>
      <c r="D3371" s="7" t="s">
        <v>19</v>
      </c>
      <c r="E3371" s="104">
        <v>165000</v>
      </c>
      <c r="F3371" s="104">
        <f>E3371*C3371</f>
        <v>3300000</v>
      </c>
      <c r="G3371" s="25"/>
      <c r="H3371" s="11"/>
      <c r="I3371" s="21"/>
      <c r="J3371" s="21"/>
      <c r="K3371" s="21"/>
      <c r="L3371" s="21"/>
      <c r="M3371" s="21"/>
      <c r="N3371" s="21"/>
    </row>
    <row r="3372" spans="1:14" ht="15.75" customHeight="1" x14ac:dyDescent="0.25">
      <c r="A3372" s="7"/>
      <c r="B3372" s="343" t="s">
        <v>342</v>
      </c>
      <c r="C3372" s="344"/>
      <c r="D3372" s="344"/>
      <c r="E3372" s="334"/>
      <c r="F3372" s="104">
        <f>SUM(F3370:F3371)</f>
        <v>3828000</v>
      </c>
      <c r="G3372" s="25"/>
      <c r="H3372" s="11"/>
      <c r="I3372" s="21"/>
      <c r="J3372" s="21"/>
      <c r="K3372" s="21"/>
      <c r="L3372" s="21"/>
      <c r="M3372" s="21"/>
      <c r="N3372" s="21"/>
    </row>
    <row r="3373" spans="1:14" ht="15.75" customHeight="1" x14ac:dyDescent="0.25">
      <c r="A3373" s="7"/>
      <c r="B3373" s="343" t="s">
        <v>343</v>
      </c>
      <c r="C3373" s="344"/>
      <c r="D3373" s="344"/>
      <c r="E3373" s="334"/>
      <c r="F3373" s="104">
        <v>421080</v>
      </c>
      <c r="G3373" s="25"/>
      <c r="H3373" s="11"/>
      <c r="I3373" s="21"/>
      <c r="J3373" s="21"/>
      <c r="K3373" s="21"/>
      <c r="L3373" s="21"/>
      <c r="M3373" s="21"/>
      <c r="N3373" s="21"/>
    </row>
    <row r="3374" spans="1:14" ht="15.75" customHeight="1" x14ac:dyDescent="0.25">
      <c r="A3374" s="7"/>
      <c r="B3374" s="345" t="s">
        <v>344</v>
      </c>
      <c r="C3374" s="344"/>
      <c r="D3374" s="344"/>
      <c r="E3374" s="334"/>
      <c r="F3374" s="107">
        <f>SUM(F3372:F3373)</f>
        <v>4249080</v>
      </c>
      <c r="G3374" s="25"/>
      <c r="H3374" s="11"/>
      <c r="I3374" s="21"/>
      <c r="J3374" s="21"/>
      <c r="K3374" s="21"/>
      <c r="L3374" s="21"/>
      <c r="M3374" s="21"/>
      <c r="N3374" s="21"/>
    </row>
    <row r="3375" spans="1:14" ht="15.75" customHeight="1" x14ac:dyDescent="0.25">
      <c r="A3375" s="21"/>
      <c r="B3375" s="21"/>
      <c r="C3375" s="11"/>
      <c r="D3375" s="11"/>
      <c r="E3375" s="21"/>
      <c r="F3375" s="21"/>
      <c r="G3375" s="25"/>
      <c r="H3375" s="11"/>
      <c r="I3375" s="21"/>
      <c r="J3375" s="21"/>
      <c r="K3375" s="21"/>
      <c r="L3375" s="21"/>
      <c r="M3375" s="21"/>
      <c r="N3375" s="21"/>
    </row>
    <row r="3376" spans="1:14" ht="15.75" customHeight="1" x14ac:dyDescent="0.25">
      <c r="A3376" s="31" t="s">
        <v>14</v>
      </c>
      <c r="B3376" s="31" t="s">
        <v>234</v>
      </c>
      <c r="C3376" s="31" t="s">
        <v>16</v>
      </c>
      <c r="D3376" s="31" t="s">
        <v>17</v>
      </c>
      <c r="E3376" s="31" t="s">
        <v>235</v>
      </c>
      <c r="F3376" s="31" t="s">
        <v>236</v>
      </c>
      <c r="G3376" s="25"/>
      <c r="H3376" s="11"/>
      <c r="I3376" s="21"/>
      <c r="J3376" s="21"/>
      <c r="K3376" s="21"/>
      <c r="L3376" s="21"/>
      <c r="M3376" s="21"/>
      <c r="N3376" s="21"/>
    </row>
    <row r="3377" spans="1:14" ht="15.75" customHeight="1" x14ac:dyDescent="0.25">
      <c r="A3377" s="7">
        <v>1</v>
      </c>
      <c r="B3377" s="156" t="s">
        <v>1369</v>
      </c>
      <c r="C3377" s="158">
        <v>4</v>
      </c>
      <c r="D3377" s="7" t="s">
        <v>19</v>
      </c>
      <c r="E3377" s="104">
        <v>242250</v>
      </c>
      <c r="F3377" s="104">
        <f>E3377*C3377</f>
        <v>969000</v>
      </c>
      <c r="G3377" s="25"/>
      <c r="H3377" s="11"/>
      <c r="I3377" s="21"/>
      <c r="J3377" s="21"/>
      <c r="K3377" s="21"/>
      <c r="L3377" s="21"/>
      <c r="M3377" s="21"/>
      <c r="N3377" s="21"/>
    </row>
    <row r="3378" spans="1:14" ht="15.75" customHeight="1" x14ac:dyDescent="0.25">
      <c r="A3378" s="7">
        <v>2</v>
      </c>
      <c r="B3378" s="35" t="s">
        <v>1041</v>
      </c>
      <c r="C3378" s="133">
        <v>100</v>
      </c>
      <c r="D3378" s="7" t="s">
        <v>539</v>
      </c>
      <c r="E3378" s="104">
        <v>49000</v>
      </c>
      <c r="F3378" s="104">
        <f>E3378*C3378</f>
        <v>4900000</v>
      </c>
      <c r="G3378" s="25"/>
      <c r="H3378" s="11"/>
      <c r="I3378" s="21"/>
      <c r="J3378" s="21"/>
      <c r="K3378" s="21"/>
      <c r="L3378" s="21"/>
      <c r="M3378" s="21"/>
      <c r="N3378" s="21"/>
    </row>
    <row r="3379" spans="1:14" ht="15.75" customHeight="1" x14ac:dyDescent="0.25">
      <c r="A3379" s="7">
        <v>3</v>
      </c>
      <c r="B3379" s="41" t="s">
        <v>1370</v>
      </c>
      <c r="C3379" s="151">
        <v>12</v>
      </c>
      <c r="D3379" s="133" t="s">
        <v>251</v>
      </c>
      <c r="E3379" s="104">
        <v>19000</v>
      </c>
      <c r="F3379" s="104">
        <f>E3379*C3379</f>
        <v>228000</v>
      </c>
      <c r="G3379" s="25"/>
      <c r="H3379" s="11"/>
      <c r="I3379" s="21"/>
      <c r="J3379" s="21"/>
      <c r="K3379" s="21"/>
      <c r="L3379" s="21"/>
      <c r="M3379" s="21"/>
      <c r="N3379" s="21"/>
    </row>
    <row r="3380" spans="1:14" ht="15.75" customHeight="1" x14ac:dyDescent="0.25">
      <c r="A3380" s="7"/>
      <c r="B3380" s="343" t="s">
        <v>342</v>
      </c>
      <c r="C3380" s="344"/>
      <c r="D3380" s="344"/>
      <c r="E3380" s="334"/>
      <c r="F3380" s="104">
        <f>SUM(F3377:F3379)</f>
        <v>6097000</v>
      </c>
      <c r="G3380" s="25"/>
      <c r="H3380" s="11"/>
      <c r="I3380" s="21"/>
      <c r="J3380" s="21"/>
      <c r="K3380" s="21"/>
      <c r="L3380" s="21"/>
      <c r="M3380" s="21"/>
      <c r="N3380" s="21"/>
    </row>
    <row r="3381" spans="1:14" ht="15.75" customHeight="1" x14ac:dyDescent="0.25">
      <c r="A3381" s="7"/>
      <c r="B3381" s="343" t="s">
        <v>343</v>
      </c>
      <c r="C3381" s="344"/>
      <c r="D3381" s="344"/>
      <c r="E3381" s="334"/>
      <c r="F3381" s="104">
        <v>670670</v>
      </c>
      <c r="G3381" s="25"/>
      <c r="H3381" s="11"/>
      <c r="I3381" s="21"/>
      <c r="J3381" s="21"/>
      <c r="K3381" s="21"/>
      <c r="L3381" s="21"/>
      <c r="M3381" s="21"/>
      <c r="N3381" s="21"/>
    </row>
    <row r="3382" spans="1:14" ht="15.75" customHeight="1" x14ac:dyDescent="0.25">
      <c r="A3382" s="7"/>
      <c r="B3382" s="345" t="s">
        <v>344</v>
      </c>
      <c r="C3382" s="344"/>
      <c r="D3382" s="344"/>
      <c r="E3382" s="334"/>
      <c r="F3382" s="107">
        <f>SUM(F3380:F3381)</f>
        <v>6767670</v>
      </c>
      <c r="G3382" s="25"/>
      <c r="H3382" s="11"/>
      <c r="I3382" s="21"/>
      <c r="J3382" s="21"/>
      <c r="K3382" s="21"/>
      <c r="L3382" s="21"/>
      <c r="M3382" s="21"/>
      <c r="N3382" s="21"/>
    </row>
    <row r="3383" spans="1:14" ht="15.75" customHeight="1" x14ac:dyDescent="0.25">
      <c r="A3383" s="21"/>
      <c r="B3383" s="21"/>
      <c r="C3383" s="11"/>
      <c r="D3383" s="11"/>
      <c r="E3383" s="21"/>
      <c r="F3383" s="21"/>
      <c r="G3383" s="25"/>
      <c r="H3383" s="11"/>
      <c r="I3383" s="21"/>
      <c r="J3383" s="21"/>
      <c r="K3383" s="21"/>
      <c r="L3383" s="21"/>
      <c r="M3383" s="21"/>
      <c r="N3383" s="21"/>
    </row>
    <row r="3384" spans="1:14" ht="15.75" customHeight="1" x14ac:dyDescent="0.25">
      <c r="A3384" s="31" t="s">
        <v>14</v>
      </c>
      <c r="B3384" s="31" t="s">
        <v>234</v>
      </c>
      <c r="C3384" s="31" t="s">
        <v>16</v>
      </c>
      <c r="D3384" s="31" t="s">
        <v>17</v>
      </c>
      <c r="E3384" s="31" t="s">
        <v>235</v>
      </c>
      <c r="F3384" s="31" t="s">
        <v>236</v>
      </c>
      <c r="G3384" s="25"/>
      <c r="H3384" s="11"/>
      <c r="I3384" s="21"/>
      <c r="J3384" s="21"/>
      <c r="K3384" s="21"/>
      <c r="L3384" s="21"/>
      <c r="M3384" s="21"/>
      <c r="N3384" s="21"/>
    </row>
    <row r="3385" spans="1:14" ht="15.75" customHeight="1" x14ac:dyDescent="0.25">
      <c r="A3385" s="7">
        <v>1</v>
      </c>
      <c r="B3385" s="156" t="s">
        <v>1371</v>
      </c>
      <c r="C3385" s="158">
        <v>4</v>
      </c>
      <c r="D3385" s="7" t="s">
        <v>19</v>
      </c>
      <c r="E3385" s="104">
        <v>82450</v>
      </c>
      <c r="F3385" s="104">
        <f>E3385*C3385</f>
        <v>329800</v>
      </c>
      <c r="G3385" s="25"/>
      <c r="H3385" s="11"/>
      <c r="I3385" s="21"/>
      <c r="J3385" s="21"/>
      <c r="K3385" s="21"/>
      <c r="L3385" s="21"/>
      <c r="M3385" s="21"/>
      <c r="N3385" s="21"/>
    </row>
    <row r="3386" spans="1:14" ht="15.75" customHeight="1" x14ac:dyDescent="0.25">
      <c r="A3386" s="7">
        <v>2</v>
      </c>
      <c r="B3386" s="35" t="s">
        <v>1372</v>
      </c>
      <c r="C3386" s="133">
        <v>8</v>
      </c>
      <c r="D3386" s="7" t="s">
        <v>19</v>
      </c>
      <c r="E3386" s="104">
        <v>114460</v>
      </c>
      <c r="F3386" s="104">
        <f>E3386*C3386</f>
        <v>915680</v>
      </c>
      <c r="G3386" s="25"/>
      <c r="H3386" s="11"/>
      <c r="I3386" s="21"/>
      <c r="J3386" s="21"/>
      <c r="K3386" s="21"/>
      <c r="L3386" s="21"/>
      <c r="M3386" s="21"/>
      <c r="N3386" s="21"/>
    </row>
    <row r="3387" spans="1:14" ht="15.75" customHeight="1" x14ac:dyDescent="0.25">
      <c r="A3387" s="7">
        <v>3</v>
      </c>
      <c r="B3387" s="41" t="s">
        <v>1373</v>
      </c>
      <c r="C3387" s="151">
        <v>6</v>
      </c>
      <c r="D3387" s="133" t="s">
        <v>19</v>
      </c>
      <c r="E3387" s="104">
        <v>115000</v>
      </c>
      <c r="F3387" s="104">
        <f>E3387*C3387</f>
        <v>690000</v>
      </c>
      <c r="G3387" s="25"/>
      <c r="H3387" s="11"/>
      <c r="I3387" s="21"/>
      <c r="J3387" s="21"/>
      <c r="K3387" s="21"/>
      <c r="L3387" s="21"/>
      <c r="M3387" s="21"/>
      <c r="N3387" s="21"/>
    </row>
    <row r="3388" spans="1:14" ht="15.75" customHeight="1" x14ac:dyDescent="0.25">
      <c r="A3388" s="7"/>
      <c r="B3388" s="343" t="s">
        <v>342</v>
      </c>
      <c r="C3388" s="344"/>
      <c r="D3388" s="344"/>
      <c r="E3388" s="334"/>
      <c r="F3388" s="104">
        <f>SUM(F3385:F3387)</f>
        <v>1935480</v>
      </c>
      <c r="G3388" s="25"/>
      <c r="H3388" s="11"/>
      <c r="I3388" s="21"/>
      <c r="J3388" s="21"/>
      <c r="K3388" s="21"/>
      <c r="L3388" s="21"/>
      <c r="M3388" s="21"/>
      <c r="N3388" s="21"/>
    </row>
    <row r="3389" spans="1:14" ht="15.75" customHeight="1" x14ac:dyDescent="0.25">
      <c r="A3389" s="7"/>
      <c r="B3389" s="343" t="s">
        <v>343</v>
      </c>
      <c r="C3389" s="344"/>
      <c r="D3389" s="344"/>
      <c r="E3389" s="334"/>
      <c r="F3389" s="108">
        <v>212902.8</v>
      </c>
      <c r="G3389" s="25"/>
      <c r="H3389" s="11"/>
      <c r="I3389" s="21"/>
      <c r="J3389" s="21"/>
      <c r="K3389" s="21"/>
      <c r="L3389" s="21"/>
      <c r="M3389" s="21"/>
      <c r="N3389" s="21"/>
    </row>
    <row r="3390" spans="1:14" ht="15.75" customHeight="1" x14ac:dyDescent="0.25">
      <c r="A3390" s="7"/>
      <c r="B3390" s="345" t="s">
        <v>344</v>
      </c>
      <c r="C3390" s="344"/>
      <c r="D3390" s="344"/>
      <c r="E3390" s="334"/>
      <c r="F3390" s="109">
        <f>SUM(F3388:F3389)</f>
        <v>2148382.7999999998</v>
      </c>
      <c r="G3390" s="25"/>
      <c r="H3390" s="11"/>
      <c r="I3390" s="21"/>
      <c r="J3390" s="21"/>
      <c r="K3390" s="21"/>
      <c r="L3390" s="21"/>
      <c r="M3390" s="21"/>
      <c r="N3390" s="21"/>
    </row>
    <row r="3391" spans="1:14" ht="15.75" customHeight="1" x14ac:dyDescent="0.25">
      <c r="A3391" s="21"/>
      <c r="B3391" s="21"/>
      <c r="C3391" s="11"/>
      <c r="D3391" s="11"/>
      <c r="E3391" s="21"/>
      <c r="F3391" s="21"/>
      <c r="G3391" s="25"/>
      <c r="H3391" s="11"/>
      <c r="I3391" s="21"/>
      <c r="J3391" s="21"/>
      <c r="K3391" s="21"/>
      <c r="L3391" s="21"/>
      <c r="M3391" s="21"/>
      <c r="N3391" s="21"/>
    </row>
    <row r="3392" spans="1:14" ht="15.75" customHeight="1" x14ac:dyDescent="0.25">
      <c r="A3392" s="31" t="s">
        <v>14</v>
      </c>
      <c r="B3392" s="31" t="s">
        <v>234</v>
      </c>
      <c r="C3392" s="31" t="s">
        <v>16</v>
      </c>
      <c r="D3392" s="31" t="s">
        <v>17</v>
      </c>
      <c r="E3392" s="31" t="s">
        <v>235</v>
      </c>
      <c r="F3392" s="31" t="s">
        <v>236</v>
      </c>
      <c r="G3392" s="25"/>
      <c r="H3392" s="11"/>
      <c r="I3392" s="21"/>
      <c r="J3392" s="21"/>
      <c r="K3392" s="21"/>
      <c r="L3392" s="21"/>
      <c r="M3392" s="21"/>
      <c r="N3392" s="21"/>
    </row>
    <row r="3393" spans="1:14" ht="15.75" customHeight="1" x14ac:dyDescent="0.25">
      <c r="A3393" s="7">
        <v>1</v>
      </c>
      <c r="B3393" s="156" t="s">
        <v>1374</v>
      </c>
      <c r="C3393" s="158">
        <v>100</v>
      </c>
      <c r="D3393" s="7" t="s">
        <v>19</v>
      </c>
      <c r="E3393" s="104">
        <v>2565</v>
      </c>
      <c r="F3393" s="104">
        <f>E3393*C3393</f>
        <v>256500</v>
      </c>
      <c r="G3393" s="25"/>
      <c r="H3393" s="11"/>
      <c r="I3393" s="21"/>
      <c r="J3393" s="21"/>
      <c r="K3393" s="21"/>
      <c r="L3393" s="21"/>
      <c r="M3393" s="21"/>
      <c r="N3393" s="21"/>
    </row>
    <row r="3394" spans="1:14" ht="15.75" customHeight="1" x14ac:dyDescent="0.25">
      <c r="A3394" s="7">
        <v>2</v>
      </c>
      <c r="B3394" s="35" t="s">
        <v>1375</v>
      </c>
      <c r="C3394" s="133">
        <v>30</v>
      </c>
      <c r="D3394" s="7" t="s">
        <v>19</v>
      </c>
      <c r="E3394" s="104">
        <v>52725</v>
      </c>
      <c r="F3394" s="104">
        <f>E3394*C3394</f>
        <v>1581750</v>
      </c>
      <c r="G3394" s="25"/>
      <c r="H3394" s="11"/>
      <c r="I3394" s="21"/>
      <c r="J3394" s="21"/>
      <c r="K3394" s="21"/>
      <c r="L3394" s="21"/>
      <c r="M3394" s="21"/>
      <c r="N3394" s="21"/>
    </row>
    <row r="3395" spans="1:14" ht="15.75" customHeight="1" x14ac:dyDescent="0.25">
      <c r="A3395" s="7">
        <v>3</v>
      </c>
      <c r="B3395" s="41" t="s">
        <v>1376</v>
      </c>
      <c r="C3395" s="151">
        <v>100</v>
      </c>
      <c r="D3395" s="133" t="s">
        <v>19</v>
      </c>
      <c r="E3395" s="104">
        <v>2565</v>
      </c>
      <c r="F3395" s="104">
        <f>E3395*C3395</f>
        <v>256500</v>
      </c>
      <c r="G3395" s="25"/>
      <c r="H3395" s="11"/>
      <c r="I3395" s="21"/>
      <c r="J3395" s="21"/>
      <c r="K3395" s="21"/>
      <c r="L3395" s="21"/>
      <c r="M3395" s="21"/>
      <c r="N3395" s="21"/>
    </row>
    <row r="3396" spans="1:14" ht="15.75" customHeight="1" x14ac:dyDescent="0.25">
      <c r="A3396" s="7"/>
      <c r="B3396" s="343" t="s">
        <v>342</v>
      </c>
      <c r="C3396" s="344"/>
      <c r="D3396" s="344"/>
      <c r="E3396" s="334"/>
      <c r="F3396" s="104">
        <f>SUM(F3393:F3395)</f>
        <v>2094750</v>
      </c>
      <c r="G3396" s="25"/>
      <c r="H3396" s="11"/>
      <c r="I3396" s="21"/>
      <c r="J3396" s="21"/>
      <c r="K3396" s="21"/>
      <c r="L3396" s="21"/>
      <c r="M3396" s="21"/>
      <c r="N3396" s="21"/>
    </row>
    <row r="3397" spans="1:14" ht="15.75" customHeight="1" x14ac:dyDescent="0.25">
      <c r="A3397" s="7"/>
      <c r="B3397" s="343" t="s">
        <v>343</v>
      </c>
      <c r="C3397" s="344"/>
      <c r="D3397" s="344"/>
      <c r="E3397" s="334"/>
      <c r="F3397" s="108">
        <v>230422.5</v>
      </c>
      <c r="G3397" s="25"/>
      <c r="H3397" s="11"/>
      <c r="I3397" s="21"/>
      <c r="J3397" s="21"/>
      <c r="K3397" s="21"/>
      <c r="L3397" s="21"/>
      <c r="M3397" s="21"/>
      <c r="N3397" s="21"/>
    </row>
    <row r="3398" spans="1:14" ht="15.75" customHeight="1" x14ac:dyDescent="0.25">
      <c r="A3398" s="7"/>
      <c r="B3398" s="345" t="s">
        <v>344</v>
      </c>
      <c r="C3398" s="344"/>
      <c r="D3398" s="344"/>
      <c r="E3398" s="334"/>
      <c r="F3398" s="109">
        <f>SUM(F3396:F3397)</f>
        <v>2325172.5</v>
      </c>
      <c r="G3398" s="25"/>
      <c r="H3398" s="11"/>
      <c r="I3398" s="21"/>
      <c r="J3398" s="21"/>
      <c r="K3398" s="21"/>
      <c r="L3398" s="21"/>
      <c r="M3398" s="21"/>
      <c r="N3398" s="21"/>
    </row>
    <row r="3399" spans="1:14" ht="15.75" customHeight="1" x14ac:dyDescent="0.25">
      <c r="A3399" s="21"/>
      <c r="B3399" s="21"/>
      <c r="C3399" s="11"/>
      <c r="D3399" s="11"/>
      <c r="E3399" s="21"/>
      <c r="F3399" s="21"/>
      <c r="G3399" s="25"/>
      <c r="H3399" s="11"/>
      <c r="I3399" s="21"/>
      <c r="J3399" s="21"/>
      <c r="K3399" s="21"/>
      <c r="L3399" s="21"/>
      <c r="M3399" s="21"/>
      <c r="N3399" s="21"/>
    </row>
    <row r="3400" spans="1:14" ht="15.75" customHeight="1" x14ac:dyDescent="0.25">
      <c r="A3400" s="31" t="s">
        <v>14</v>
      </c>
      <c r="B3400" s="31" t="s">
        <v>234</v>
      </c>
      <c r="C3400" s="31" t="s">
        <v>16</v>
      </c>
      <c r="D3400" s="31" t="s">
        <v>17</v>
      </c>
      <c r="E3400" s="31" t="s">
        <v>235</v>
      </c>
      <c r="F3400" s="31" t="s">
        <v>236</v>
      </c>
      <c r="G3400" s="25"/>
      <c r="H3400" s="11"/>
      <c r="I3400" s="21"/>
      <c r="J3400" s="21"/>
      <c r="K3400" s="21"/>
      <c r="L3400" s="21"/>
      <c r="M3400" s="21"/>
      <c r="N3400" s="21"/>
    </row>
    <row r="3401" spans="1:14" ht="15.75" customHeight="1" x14ac:dyDescent="0.25">
      <c r="A3401" s="7">
        <v>1</v>
      </c>
      <c r="B3401" s="156" t="s">
        <v>1043</v>
      </c>
      <c r="C3401" s="158">
        <v>60</v>
      </c>
      <c r="D3401" s="7" t="s">
        <v>539</v>
      </c>
      <c r="E3401" s="104">
        <v>36500</v>
      </c>
      <c r="F3401" s="104">
        <f>E3401*C3401</f>
        <v>2190000</v>
      </c>
      <c r="G3401" s="25"/>
      <c r="H3401" s="11"/>
      <c r="I3401" s="21"/>
      <c r="J3401" s="21"/>
      <c r="K3401" s="21"/>
      <c r="L3401" s="21"/>
      <c r="M3401" s="21"/>
      <c r="N3401" s="21"/>
    </row>
    <row r="3402" spans="1:14" ht="15.75" customHeight="1" x14ac:dyDescent="0.25">
      <c r="A3402" s="7">
        <v>2</v>
      </c>
      <c r="B3402" s="35" t="s">
        <v>1057</v>
      </c>
      <c r="C3402" s="133">
        <v>30</v>
      </c>
      <c r="D3402" s="7" t="s">
        <v>19</v>
      </c>
      <c r="E3402" s="104">
        <v>9310</v>
      </c>
      <c r="F3402" s="104">
        <f>E3402*C3402</f>
        <v>279300</v>
      </c>
      <c r="G3402" s="25"/>
      <c r="H3402" s="11"/>
      <c r="I3402" s="21"/>
      <c r="J3402" s="21"/>
      <c r="K3402" s="21"/>
      <c r="L3402" s="21"/>
      <c r="M3402" s="21"/>
      <c r="N3402" s="21"/>
    </row>
    <row r="3403" spans="1:14" ht="15.75" customHeight="1" x14ac:dyDescent="0.25">
      <c r="A3403" s="7">
        <v>3</v>
      </c>
      <c r="B3403" s="41" t="s">
        <v>1377</v>
      </c>
      <c r="C3403" s="151">
        <v>5</v>
      </c>
      <c r="D3403" s="133" t="s">
        <v>426</v>
      </c>
      <c r="E3403" s="104">
        <v>15000</v>
      </c>
      <c r="F3403" s="104">
        <f>E3403*C3403</f>
        <v>75000</v>
      </c>
      <c r="G3403" s="25"/>
      <c r="H3403" s="11"/>
      <c r="I3403" s="21"/>
      <c r="J3403" s="21"/>
      <c r="K3403" s="21"/>
      <c r="L3403" s="21"/>
      <c r="M3403" s="21"/>
      <c r="N3403" s="21"/>
    </row>
    <row r="3404" spans="1:14" ht="15.75" customHeight="1" x14ac:dyDescent="0.25">
      <c r="A3404" s="7"/>
      <c r="B3404" s="343" t="s">
        <v>342</v>
      </c>
      <c r="C3404" s="344"/>
      <c r="D3404" s="344"/>
      <c r="E3404" s="334"/>
      <c r="F3404" s="104">
        <f>SUM(F3401:F3403)</f>
        <v>2544300</v>
      </c>
      <c r="G3404" s="25"/>
      <c r="H3404" s="11"/>
      <c r="I3404" s="21"/>
      <c r="J3404" s="21"/>
      <c r="K3404" s="21"/>
      <c r="L3404" s="21"/>
      <c r="M3404" s="21"/>
      <c r="N3404" s="21"/>
    </row>
    <row r="3405" spans="1:14" ht="15.75" customHeight="1" x14ac:dyDescent="0.25">
      <c r="A3405" s="7"/>
      <c r="B3405" s="343" t="s">
        <v>343</v>
      </c>
      <c r="C3405" s="344"/>
      <c r="D3405" s="344"/>
      <c r="E3405" s="334"/>
      <c r="F3405" s="104">
        <v>279873</v>
      </c>
      <c r="G3405" s="25"/>
      <c r="H3405" s="11"/>
      <c r="I3405" s="21"/>
      <c r="J3405" s="21"/>
      <c r="K3405" s="21"/>
      <c r="L3405" s="21"/>
      <c r="M3405" s="21"/>
      <c r="N3405" s="21"/>
    </row>
    <row r="3406" spans="1:14" ht="15.75" customHeight="1" x14ac:dyDescent="0.25">
      <c r="A3406" s="7"/>
      <c r="B3406" s="345" t="s">
        <v>344</v>
      </c>
      <c r="C3406" s="344"/>
      <c r="D3406" s="344"/>
      <c r="E3406" s="334"/>
      <c r="F3406" s="107">
        <f>SUM(F3404:F3405)</f>
        <v>2824173</v>
      </c>
      <c r="G3406" s="25"/>
      <c r="H3406" s="11"/>
      <c r="I3406" s="21"/>
      <c r="J3406" s="21"/>
      <c r="K3406" s="21"/>
      <c r="L3406" s="21"/>
      <c r="M3406" s="21"/>
      <c r="N3406" s="21"/>
    </row>
    <row r="3407" spans="1:14" ht="15.75" customHeight="1" x14ac:dyDescent="0.25">
      <c r="A3407" s="21"/>
      <c r="B3407" s="21"/>
      <c r="C3407" s="11"/>
      <c r="D3407" s="11"/>
      <c r="E3407" s="21"/>
      <c r="F3407" s="21"/>
      <c r="G3407" s="25"/>
      <c r="H3407" s="11"/>
      <c r="I3407" s="21"/>
      <c r="J3407" s="21"/>
      <c r="K3407" s="21"/>
      <c r="L3407" s="21"/>
      <c r="M3407" s="21"/>
      <c r="N3407" s="21"/>
    </row>
    <row r="3408" spans="1:14" ht="15.75" customHeight="1" x14ac:dyDescent="0.25">
      <c r="A3408" s="31" t="s">
        <v>14</v>
      </c>
      <c r="B3408" s="31" t="s">
        <v>234</v>
      </c>
      <c r="C3408" s="31" t="s">
        <v>16</v>
      </c>
      <c r="D3408" s="31" t="s">
        <v>17</v>
      </c>
      <c r="E3408" s="31" t="s">
        <v>235</v>
      </c>
      <c r="F3408" s="31" t="s">
        <v>236</v>
      </c>
      <c r="G3408" s="25"/>
      <c r="H3408" s="11"/>
      <c r="I3408" s="21"/>
      <c r="J3408" s="21"/>
      <c r="K3408" s="21"/>
      <c r="L3408" s="21"/>
      <c r="M3408" s="21"/>
      <c r="N3408" s="21"/>
    </row>
    <row r="3409" spans="1:14" ht="15.75" customHeight="1" x14ac:dyDescent="0.25">
      <c r="A3409" s="10">
        <v>1</v>
      </c>
      <c r="B3409" s="124" t="s">
        <v>1378</v>
      </c>
      <c r="C3409" s="7">
        <v>10</v>
      </c>
      <c r="D3409" s="7" t="s">
        <v>19</v>
      </c>
      <c r="E3409" s="104">
        <v>97000</v>
      </c>
      <c r="F3409" s="104">
        <f t="shared" ref="F3409:F3415" si="37">E3409*C3409</f>
        <v>970000</v>
      </c>
      <c r="G3409" s="25"/>
      <c r="H3409" s="11"/>
      <c r="I3409" s="21"/>
      <c r="J3409" s="21"/>
      <c r="K3409" s="21"/>
      <c r="L3409" s="21"/>
      <c r="M3409" s="21"/>
      <c r="N3409" s="21"/>
    </row>
    <row r="3410" spans="1:14" ht="15.75" customHeight="1" x14ac:dyDescent="0.25">
      <c r="A3410" s="7">
        <v>2</v>
      </c>
      <c r="B3410" s="120" t="s">
        <v>1379</v>
      </c>
      <c r="C3410" s="7">
        <v>10</v>
      </c>
      <c r="D3410" s="7" t="s">
        <v>19</v>
      </c>
      <c r="E3410" s="104">
        <v>97000</v>
      </c>
      <c r="F3410" s="104">
        <f t="shared" si="37"/>
        <v>970000</v>
      </c>
      <c r="G3410" s="25"/>
      <c r="H3410" s="11"/>
      <c r="I3410" s="21"/>
      <c r="J3410" s="21"/>
      <c r="K3410" s="21"/>
      <c r="L3410" s="21"/>
      <c r="M3410" s="21"/>
      <c r="N3410" s="21"/>
    </row>
    <row r="3411" spans="1:14" ht="15.75" customHeight="1" x14ac:dyDescent="0.25">
      <c r="A3411" s="7">
        <v>3</v>
      </c>
      <c r="B3411" s="131" t="s">
        <v>1380</v>
      </c>
      <c r="C3411" s="7">
        <v>6</v>
      </c>
      <c r="D3411" s="7" t="s">
        <v>19</v>
      </c>
      <c r="E3411" s="104">
        <v>97000</v>
      </c>
      <c r="F3411" s="104">
        <f t="shared" si="37"/>
        <v>582000</v>
      </c>
      <c r="G3411" s="25"/>
      <c r="H3411" s="11"/>
      <c r="I3411" s="21"/>
      <c r="J3411" s="21"/>
      <c r="K3411" s="21"/>
      <c r="L3411" s="21"/>
      <c r="M3411" s="21"/>
      <c r="N3411" s="21"/>
    </row>
    <row r="3412" spans="1:14" ht="15.75" customHeight="1" x14ac:dyDescent="0.25">
      <c r="A3412" s="7">
        <v>4</v>
      </c>
      <c r="B3412" s="124" t="s">
        <v>1381</v>
      </c>
      <c r="C3412" s="7">
        <v>6</v>
      </c>
      <c r="D3412" s="7" t="s">
        <v>19</v>
      </c>
      <c r="E3412" s="104">
        <v>97000</v>
      </c>
      <c r="F3412" s="104">
        <f t="shared" si="37"/>
        <v>582000</v>
      </c>
      <c r="G3412" s="25"/>
      <c r="H3412" s="11"/>
      <c r="I3412" s="21"/>
      <c r="J3412" s="21"/>
      <c r="K3412" s="21"/>
      <c r="L3412" s="21"/>
      <c r="M3412" s="21"/>
      <c r="N3412" s="21"/>
    </row>
    <row r="3413" spans="1:14" ht="15.75" customHeight="1" x14ac:dyDescent="0.25">
      <c r="A3413" s="7">
        <v>5</v>
      </c>
      <c r="B3413" s="131" t="s">
        <v>1382</v>
      </c>
      <c r="C3413" s="7">
        <v>7</v>
      </c>
      <c r="D3413" s="7" t="s">
        <v>19</v>
      </c>
      <c r="E3413" s="104">
        <v>97000</v>
      </c>
      <c r="F3413" s="104">
        <f t="shared" si="37"/>
        <v>679000</v>
      </c>
      <c r="G3413" s="25"/>
      <c r="H3413" s="11"/>
      <c r="I3413" s="21"/>
      <c r="J3413" s="21"/>
      <c r="K3413" s="21"/>
      <c r="L3413" s="21"/>
      <c r="M3413" s="21"/>
      <c r="N3413" s="21"/>
    </row>
    <row r="3414" spans="1:14" ht="15.75" customHeight="1" x14ac:dyDescent="0.25">
      <c r="A3414" s="7">
        <v>6</v>
      </c>
      <c r="B3414" s="131" t="s">
        <v>1383</v>
      </c>
      <c r="C3414" s="7">
        <v>6</v>
      </c>
      <c r="D3414" s="7" t="s">
        <v>19</v>
      </c>
      <c r="E3414" s="104">
        <v>97000</v>
      </c>
      <c r="F3414" s="104">
        <f t="shared" si="37"/>
        <v>582000</v>
      </c>
      <c r="G3414" s="25"/>
      <c r="H3414" s="11"/>
      <c r="I3414" s="21"/>
      <c r="J3414" s="21"/>
      <c r="K3414" s="21"/>
      <c r="L3414" s="21"/>
      <c r="M3414" s="21"/>
      <c r="N3414" s="21"/>
    </row>
    <row r="3415" spans="1:14" ht="15.75" customHeight="1" x14ac:dyDescent="0.25">
      <c r="A3415" s="7">
        <v>7</v>
      </c>
      <c r="B3415" s="131" t="s">
        <v>1384</v>
      </c>
      <c r="C3415" s="7">
        <v>2</v>
      </c>
      <c r="D3415" s="7" t="s">
        <v>19</v>
      </c>
      <c r="E3415" s="104">
        <v>291800</v>
      </c>
      <c r="F3415" s="104">
        <f t="shared" si="37"/>
        <v>583600</v>
      </c>
      <c r="G3415" s="25"/>
      <c r="H3415" s="11"/>
      <c r="I3415" s="21"/>
      <c r="J3415" s="21"/>
      <c r="K3415" s="21"/>
      <c r="L3415" s="21"/>
      <c r="M3415" s="21"/>
      <c r="N3415" s="21"/>
    </row>
    <row r="3416" spans="1:14" ht="15.75" customHeight="1" x14ac:dyDescent="0.25">
      <c r="A3416" s="7"/>
      <c r="B3416" s="346" t="s">
        <v>342</v>
      </c>
      <c r="C3416" s="347"/>
      <c r="D3416" s="347"/>
      <c r="E3416" s="348"/>
      <c r="F3416" s="104">
        <f>SUM(F3409:F3415)</f>
        <v>4948600</v>
      </c>
      <c r="G3416" s="25"/>
      <c r="H3416" s="11"/>
      <c r="I3416" s="21"/>
      <c r="J3416" s="21"/>
      <c r="K3416" s="21"/>
      <c r="L3416" s="21"/>
      <c r="M3416" s="21"/>
      <c r="N3416" s="21"/>
    </row>
    <row r="3417" spans="1:14" ht="15.75" customHeight="1" x14ac:dyDescent="0.25">
      <c r="A3417" s="7"/>
      <c r="B3417" s="343" t="s">
        <v>343</v>
      </c>
      <c r="C3417" s="344"/>
      <c r="D3417" s="344"/>
      <c r="E3417" s="334"/>
      <c r="F3417" s="104">
        <v>544346</v>
      </c>
      <c r="G3417" s="25"/>
      <c r="H3417" s="11"/>
      <c r="I3417" s="21"/>
      <c r="J3417" s="21"/>
      <c r="K3417" s="21"/>
      <c r="L3417" s="21"/>
      <c r="M3417" s="21"/>
      <c r="N3417" s="21"/>
    </row>
    <row r="3418" spans="1:14" ht="15.75" customHeight="1" x14ac:dyDescent="0.25">
      <c r="A3418" s="7"/>
      <c r="B3418" s="345" t="s">
        <v>344</v>
      </c>
      <c r="C3418" s="344"/>
      <c r="D3418" s="344"/>
      <c r="E3418" s="334"/>
      <c r="F3418" s="107">
        <f>SUM(F3416:F3417)</f>
        <v>5492946</v>
      </c>
      <c r="G3418" s="25"/>
      <c r="H3418" s="11"/>
      <c r="I3418" s="21"/>
      <c r="J3418" s="21"/>
      <c r="K3418" s="21"/>
      <c r="L3418" s="21"/>
      <c r="M3418" s="21"/>
      <c r="N3418" s="21"/>
    </row>
    <row r="3419" spans="1:14" ht="15.75" customHeight="1" x14ac:dyDescent="0.25">
      <c r="A3419" s="21"/>
      <c r="B3419" s="21"/>
      <c r="C3419" s="11"/>
      <c r="D3419" s="11"/>
      <c r="E3419" s="21"/>
      <c r="F3419" s="21"/>
      <c r="G3419" s="25"/>
      <c r="H3419" s="11"/>
      <c r="I3419" s="21"/>
      <c r="J3419" s="21"/>
      <c r="K3419" s="21"/>
      <c r="L3419" s="21"/>
      <c r="M3419" s="21"/>
      <c r="N3419" s="21"/>
    </row>
    <row r="3420" spans="1:14" ht="15.75" customHeight="1" x14ac:dyDescent="0.25">
      <c r="A3420" s="31" t="s">
        <v>351</v>
      </c>
      <c r="B3420" s="31" t="s">
        <v>234</v>
      </c>
      <c r="C3420" s="31" t="s">
        <v>16</v>
      </c>
      <c r="D3420" s="31" t="s">
        <v>17</v>
      </c>
      <c r="E3420" s="31" t="s">
        <v>235</v>
      </c>
      <c r="F3420" s="31" t="s">
        <v>236</v>
      </c>
      <c r="G3420" s="25"/>
      <c r="H3420" s="11"/>
      <c r="I3420" s="21"/>
      <c r="J3420" s="21"/>
      <c r="K3420" s="21"/>
      <c r="L3420" s="21"/>
      <c r="M3420" s="21"/>
      <c r="N3420" s="21"/>
    </row>
    <row r="3421" spans="1:14" ht="15.75" customHeight="1" x14ac:dyDescent="0.25">
      <c r="A3421" s="7">
        <v>1</v>
      </c>
      <c r="B3421" s="41" t="s">
        <v>1385</v>
      </c>
      <c r="C3421" s="7">
        <v>4</v>
      </c>
      <c r="D3421" s="7" t="s">
        <v>19</v>
      </c>
      <c r="E3421" s="104">
        <v>30500</v>
      </c>
      <c r="F3421" s="104">
        <f>E3421*C3421</f>
        <v>122000</v>
      </c>
      <c r="G3421" s="25"/>
      <c r="H3421" s="11"/>
      <c r="I3421" s="21"/>
      <c r="J3421" s="21"/>
      <c r="K3421" s="21"/>
      <c r="L3421" s="21"/>
      <c r="M3421" s="21"/>
      <c r="N3421" s="21"/>
    </row>
    <row r="3422" spans="1:14" ht="15.75" customHeight="1" x14ac:dyDescent="0.25">
      <c r="A3422" s="7">
        <v>2</v>
      </c>
      <c r="B3422" s="41" t="s">
        <v>1386</v>
      </c>
      <c r="C3422" s="7">
        <v>4</v>
      </c>
      <c r="D3422" s="7" t="s">
        <v>19</v>
      </c>
      <c r="E3422" s="104">
        <v>36500</v>
      </c>
      <c r="F3422" s="104">
        <f>E3422*C3422</f>
        <v>146000</v>
      </c>
      <c r="G3422" s="25"/>
      <c r="H3422" s="11"/>
      <c r="I3422" s="21"/>
      <c r="J3422" s="21"/>
      <c r="K3422" s="21"/>
      <c r="L3422" s="21"/>
      <c r="M3422" s="21"/>
      <c r="N3422" s="21"/>
    </row>
    <row r="3423" spans="1:14" ht="15.75" customHeight="1" x14ac:dyDescent="0.25">
      <c r="A3423" s="7"/>
      <c r="B3423" s="343" t="s">
        <v>342</v>
      </c>
      <c r="C3423" s="344"/>
      <c r="D3423" s="344"/>
      <c r="E3423" s="334"/>
      <c r="F3423" s="104">
        <f>SUM(F3421:F3422)</f>
        <v>268000</v>
      </c>
      <c r="G3423" s="25"/>
      <c r="H3423" s="11"/>
      <c r="I3423" s="21"/>
      <c r="J3423" s="21"/>
      <c r="K3423" s="21"/>
      <c r="L3423" s="21"/>
      <c r="M3423" s="21"/>
      <c r="N3423" s="21"/>
    </row>
    <row r="3424" spans="1:14" ht="15.75" customHeight="1" x14ac:dyDescent="0.25">
      <c r="A3424" s="7"/>
      <c r="B3424" s="343" t="s">
        <v>343</v>
      </c>
      <c r="C3424" s="344"/>
      <c r="D3424" s="344"/>
      <c r="E3424" s="334"/>
      <c r="F3424" s="104">
        <v>29480</v>
      </c>
      <c r="G3424" s="25"/>
      <c r="H3424" s="11"/>
      <c r="I3424" s="21"/>
      <c r="J3424" s="21"/>
      <c r="K3424" s="21"/>
      <c r="L3424" s="21"/>
      <c r="M3424" s="21"/>
      <c r="N3424" s="21"/>
    </row>
    <row r="3425" spans="1:14" ht="15.75" customHeight="1" x14ac:dyDescent="0.25">
      <c r="A3425" s="7"/>
      <c r="B3425" s="345" t="s">
        <v>344</v>
      </c>
      <c r="C3425" s="344"/>
      <c r="D3425" s="344"/>
      <c r="E3425" s="334"/>
      <c r="F3425" s="107">
        <f>SUM(F3423:F3424)</f>
        <v>297480</v>
      </c>
      <c r="G3425" s="25"/>
      <c r="H3425" s="11"/>
      <c r="I3425" s="21"/>
      <c r="J3425" s="21"/>
      <c r="K3425" s="21"/>
      <c r="L3425" s="21"/>
      <c r="M3425" s="21"/>
      <c r="N3425" s="21"/>
    </row>
    <row r="3426" spans="1:14" ht="15.75" customHeight="1" x14ac:dyDescent="0.25">
      <c r="A3426" s="21"/>
      <c r="B3426" s="21"/>
      <c r="C3426" s="11"/>
      <c r="D3426" s="11"/>
      <c r="E3426" s="21"/>
      <c r="F3426" s="21"/>
      <c r="G3426" s="25"/>
      <c r="H3426" s="11"/>
      <c r="I3426" s="21"/>
      <c r="J3426" s="21"/>
      <c r="K3426" s="21"/>
      <c r="L3426" s="21"/>
      <c r="M3426" s="21"/>
      <c r="N3426" s="21"/>
    </row>
    <row r="3427" spans="1:14" ht="15.75" customHeight="1" x14ac:dyDescent="0.25">
      <c r="A3427" s="31" t="s">
        <v>14</v>
      </c>
      <c r="B3427" s="31" t="s">
        <v>234</v>
      </c>
      <c r="C3427" s="31" t="s">
        <v>16</v>
      </c>
      <c r="D3427" s="31" t="s">
        <v>17</v>
      </c>
      <c r="E3427" s="31" t="s">
        <v>235</v>
      </c>
      <c r="F3427" s="31" t="s">
        <v>236</v>
      </c>
      <c r="G3427" s="25"/>
      <c r="H3427" s="11"/>
      <c r="I3427" s="21"/>
      <c r="J3427" s="21"/>
      <c r="K3427" s="21"/>
      <c r="L3427" s="21"/>
      <c r="M3427" s="21"/>
      <c r="N3427" s="21"/>
    </row>
    <row r="3428" spans="1:14" ht="15.75" customHeight="1" x14ac:dyDescent="0.25">
      <c r="A3428" s="7">
        <v>1</v>
      </c>
      <c r="B3428" s="155" t="s">
        <v>1387</v>
      </c>
      <c r="C3428" s="129">
        <v>36</v>
      </c>
      <c r="D3428" s="7" t="s">
        <v>19</v>
      </c>
      <c r="E3428" s="130">
        <v>95000</v>
      </c>
      <c r="F3428" s="130">
        <f>E3428*C3428</f>
        <v>3420000</v>
      </c>
      <c r="G3428" s="25"/>
      <c r="H3428" s="11"/>
      <c r="I3428" s="21"/>
      <c r="J3428" s="21"/>
      <c r="K3428" s="21"/>
      <c r="L3428" s="21"/>
      <c r="M3428" s="21"/>
      <c r="N3428" s="21"/>
    </row>
    <row r="3429" spans="1:14" ht="15.75" customHeight="1" x14ac:dyDescent="0.25">
      <c r="A3429" s="7"/>
      <c r="B3429" s="343" t="s">
        <v>342</v>
      </c>
      <c r="C3429" s="344"/>
      <c r="D3429" s="344"/>
      <c r="E3429" s="334"/>
      <c r="F3429" s="104">
        <f>SUM(F3428)</f>
        <v>3420000</v>
      </c>
      <c r="G3429" s="25"/>
      <c r="H3429" s="11"/>
      <c r="I3429" s="21"/>
      <c r="J3429" s="21"/>
      <c r="K3429" s="21"/>
      <c r="L3429" s="21"/>
      <c r="M3429" s="21"/>
      <c r="N3429" s="21"/>
    </row>
    <row r="3430" spans="1:14" ht="15.75" customHeight="1" x14ac:dyDescent="0.25">
      <c r="A3430" s="7"/>
      <c r="B3430" s="343" t="s">
        <v>343</v>
      </c>
      <c r="C3430" s="344"/>
      <c r="D3430" s="344"/>
      <c r="E3430" s="334"/>
      <c r="F3430" s="104">
        <v>376200</v>
      </c>
      <c r="G3430" s="25"/>
      <c r="H3430" s="11"/>
      <c r="I3430" s="21"/>
      <c r="J3430" s="21"/>
      <c r="K3430" s="21"/>
      <c r="L3430" s="21"/>
      <c r="M3430" s="21"/>
      <c r="N3430" s="21"/>
    </row>
    <row r="3431" spans="1:14" ht="15.75" customHeight="1" x14ac:dyDescent="0.25">
      <c r="A3431" s="7"/>
      <c r="B3431" s="345" t="s">
        <v>344</v>
      </c>
      <c r="C3431" s="344"/>
      <c r="D3431" s="344"/>
      <c r="E3431" s="334"/>
      <c r="F3431" s="107">
        <f>SUM(F3429:F3430)</f>
        <v>3796200</v>
      </c>
      <c r="G3431" s="25"/>
      <c r="H3431" s="11"/>
      <c r="I3431" s="21"/>
      <c r="J3431" s="21"/>
      <c r="K3431" s="21"/>
      <c r="L3431" s="21"/>
      <c r="M3431" s="21"/>
      <c r="N3431" s="21"/>
    </row>
    <row r="3432" spans="1:14" ht="15.75" customHeight="1" x14ac:dyDescent="0.25">
      <c r="A3432" s="21"/>
      <c r="B3432" s="21"/>
      <c r="C3432" s="11"/>
      <c r="D3432" s="11"/>
      <c r="E3432" s="21"/>
      <c r="F3432" s="21"/>
      <c r="G3432" s="25"/>
      <c r="H3432" s="11"/>
      <c r="I3432" s="21"/>
      <c r="J3432" s="21"/>
      <c r="K3432" s="21"/>
      <c r="L3432" s="21"/>
      <c r="M3432" s="21"/>
      <c r="N3432" s="21"/>
    </row>
    <row r="3433" spans="1:14" ht="15.75" customHeight="1" x14ac:dyDescent="0.25">
      <c r="A3433" s="31" t="s">
        <v>351</v>
      </c>
      <c r="B3433" s="31" t="s">
        <v>234</v>
      </c>
      <c r="C3433" s="31" t="s">
        <v>16</v>
      </c>
      <c r="D3433" s="31" t="s">
        <v>17</v>
      </c>
      <c r="E3433" s="31" t="s">
        <v>235</v>
      </c>
      <c r="F3433" s="31" t="s">
        <v>236</v>
      </c>
      <c r="G3433" s="25"/>
      <c r="H3433" s="11"/>
      <c r="I3433" s="21"/>
      <c r="J3433" s="21"/>
      <c r="K3433" s="21"/>
      <c r="L3433" s="21"/>
      <c r="M3433" s="21"/>
      <c r="N3433" s="21"/>
    </row>
    <row r="3434" spans="1:14" ht="15.75" customHeight="1" x14ac:dyDescent="0.25">
      <c r="A3434" s="7">
        <v>1</v>
      </c>
      <c r="B3434" s="41" t="s">
        <v>1388</v>
      </c>
      <c r="C3434" s="7">
        <v>50</v>
      </c>
      <c r="D3434" s="7" t="s">
        <v>19</v>
      </c>
      <c r="E3434" s="104">
        <v>5500</v>
      </c>
      <c r="F3434" s="104">
        <f>E3434*C3434</f>
        <v>275000</v>
      </c>
      <c r="G3434" s="25"/>
      <c r="H3434" s="11"/>
      <c r="I3434" s="21"/>
      <c r="J3434" s="21"/>
      <c r="K3434" s="21"/>
      <c r="L3434" s="21"/>
      <c r="M3434" s="21"/>
      <c r="N3434" s="21"/>
    </row>
    <row r="3435" spans="1:14" ht="15.75" customHeight="1" x14ac:dyDescent="0.25">
      <c r="A3435" s="7">
        <v>2</v>
      </c>
      <c r="B3435" s="41" t="s">
        <v>1389</v>
      </c>
      <c r="C3435" s="7">
        <v>50</v>
      </c>
      <c r="D3435" s="7" t="s">
        <v>19</v>
      </c>
      <c r="E3435" s="104">
        <v>7800</v>
      </c>
      <c r="F3435" s="104">
        <f>E3435*C3435</f>
        <v>390000</v>
      </c>
      <c r="G3435" s="25"/>
      <c r="H3435" s="11"/>
      <c r="I3435" s="21"/>
      <c r="J3435" s="21"/>
      <c r="K3435" s="21"/>
      <c r="L3435" s="21"/>
      <c r="M3435" s="21"/>
      <c r="N3435" s="21"/>
    </row>
    <row r="3436" spans="1:14" ht="15.75" customHeight="1" x14ac:dyDescent="0.25">
      <c r="A3436" s="7"/>
      <c r="B3436" s="343" t="s">
        <v>342</v>
      </c>
      <c r="C3436" s="344"/>
      <c r="D3436" s="344"/>
      <c r="E3436" s="334"/>
      <c r="F3436" s="104">
        <f>SUM(F3434:F3435)</f>
        <v>665000</v>
      </c>
      <c r="G3436" s="25"/>
      <c r="H3436" s="11"/>
      <c r="I3436" s="21"/>
      <c r="J3436" s="21"/>
      <c r="K3436" s="21"/>
      <c r="L3436" s="21"/>
      <c r="M3436" s="21"/>
      <c r="N3436" s="21"/>
    </row>
    <row r="3437" spans="1:14" ht="15.75" customHeight="1" x14ac:dyDescent="0.25">
      <c r="A3437" s="7"/>
      <c r="B3437" s="343" t="s">
        <v>343</v>
      </c>
      <c r="C3437" s="344"/>
      <c r="D3437" s="344"/>
      <c r="E3437" s="334"/>
      <c r="F3437" s="104">
        <v>73150</v>
      </c>
      <c r="G3437" s="25"/>
      <c r="H3437" s="11"/>
      <c r="I3437" s="21"/>
      <c r="J3437" s="21"/>
      <c r="K3437" s="21"/>
      <c r="L3437" s="21"/>
      <c r="M3437" s="21"/>
      <c r="N3437" s="21"/>
    </row>
    <row r="3438" spans="1:14" ht="15.75" customHeight="1" x14ac:dyDescent="0.25">
      <c r="A3438" s="7"/>
      <c r="B3438" s="345" t="s">
        <v>344</v>
      </c>
      <c r="C3438" s="344"/>
      <c r="D3438" s="344"/>
      <c r="E3438" s="334"/>
      <c r="F3438" s="107">
        <f>SUM(F3436:F3437)</f>
        <v>738150</v>
      </c>
      <c r="G3438" s="25"/>
      <c r="H3438" s="11"/>
      <c r="I3438" s="21"/>
      <c r="J3438" s="21"/>
      <c r="K3438" s="21"/>
      <c r="L3438" s="21"/>
      <c r="M3438" s="21"/>
      <c r="N3438" s="21"/>
    </row>
    <row r="3439" spans="1:14" ht="15.75" customHeight="1" x14ac:dyDescent="0.25">
      <c r="A3439" s="21"/>
      <c r="B3439" s="21"/>
      <c r="C3439" s="11"/>
      <c r="D3439" s="11"/>
      <c r="E3439" s="21"/>
      <c r="F3439" s="21"/>
      <c r="G3439" s="25"/>
      <c r="H3439" s="11"/>
      <c r="I3439" s="21"/>
      <c r="J3439" s="21"/>
      <c r="K3439" s="21"/>
      <c r="L3439" s="21"/>
      <c r="M3439" s="21"/>
      <c r="N3439" s="21"/>
    </row>
    <row r="3440" spans="1:14" ht="15.75" customHeight="1" x14ac:dyDescent="0.25">
      <c r="A3440" s="31" t="s">
        <v>14</v>
      </c>
      <c r="B3440" s="31" t="s">
        <v>234</v>
      </c>
      <c r="C3440" s="31" t="s">
        <v>16</v>
      </c>
      <c r="D3440" s="31" t="s">
        <v>17</v>
      </c>
      <c r="E3440" s="31" t="s">
        <v>235</v>
      </c>
      <c r="F3440" s="31" t="s">
        <v>236</v>
      </c>
      <c r="G3440" s="25"/>
      <c r="H3440" s="11"/>
      <c r="I3440" s="21"/>
      <c r="J3440" s="21"/>
      <c r="K3440" s="21"/>
      <c r="L3440" s="21"/>
      <c r="M3440" s="21"/>
      <c r="N3440" s="21"/>
    </row>
    <row r="3441" spans="1:14" ht="15.75" customHeight="1" x14ac:dyDescent="0.25">
      <c r="A3441" s="7">
        <v>1</v>
      </c>
      <c r="B3441" s="155" t="s">
        <v>1390</v>
      </c>
      <c r="C3441" s="129">
        <v>2</v>
      </c>
      <c r="D3441" s="7" t="s">
        <v>363</v>
      </c>
      <c r="E3441" s="130">
        <v>2050000</v>
      </c>
      <c r="F3441" s="130">
        <f>E3441*C3441</f>
        <v>4100000</v>
      </c>
      <c r="G3441" s="25"/>
      <c r="H3441" s="11"/>
      <c r="I3441" s="21"/>
      <c r="J3441" s="21"/>
      <c r="K3441" s="21"/>
      <c r="L3441" s="21"/>
      <c r="M3441" s="21"/>
      <c r="N3441" s="21"/>
    </row>
    <row r="3442" spans="1:14" ht="15.75" customHeight="1" x14ac:dyDescent="0.25">
      <c r="A3442" s="7"/>
      <c r="B3442" s="343" t="s">
        <v>342</v>
      </c>
      <c r="C3442" s="344"/>
      <c r="D3442" s="344"/>
      <c r="E3442" s="334"/>
      <c r="F3442" s="104">
        <f>SUM(F3441)</f>
        <v>4100000</v>
      </c>
      <c r="G3442" s="25"/>
      <c r="H3442" s="11"/>
      <c r="I3442" s="21"/>
      <c r="J3442" s="21"/>
      <c r="K3442" s="21"/>
      <c r="L3442" s="21"/>
      <c r="M3442" s="21"/>
      <c r="N3442" s="21"/>
    </row>
    <row r="3443" spans="1:14" ht="15.75" customHeight="1" x14ac:dyDescent="0.25">
      <c r="A3443" s="7"/>
      <c r="B3443" s="343" t="s">
        <v>343</v>
      </c>
      <c r="C3443" s="344"/>
      <c r="D3443" s="344"/>
      <c r="E3443" s="334"/>
      <c r="F3443" s="104">
        <v>451000</v>
      </c>
      <c r="G3443" s="25"/>
      <c r="H3443" s="11"/>
      <c r="I3443" s="21"/>
      <c r="J3443" s="21"/>
      <c r="K3443" s="21"/>
      <c r="L3443" s="21"/>
      <c r="M3443" s="21"/>
      <c r="N3443" s="21"/>
    </row>
    <row r="3444" spans="1:14" ht="15.75" customHeight="1" x14ac:dyDescent="0.25">
      <c r="A3444" s="7"/>
      <c r="B3444" s="345" t="s">
        <v>344</v>
      </c>
      <c r="C3444" s="344"/>
      <c r="D3444" s="344"/>
      <c r="E3444" s="334"/>
      <c r="F3444" s="107">
        <f>SUM(F3442:F3443)</f>
        <v>4551000</v>
      </c>
      <c r="G3444" s="25"/>
      <c r="H3444" s="11"/>
      <c r="I3444" s="21"/>
      <c r="J3444" s="21"/>
      <c r="K3444" s="21"/>
      <c r="L3444" s="21"/>
      <c r="M3444" s="21"/>
      <c r="N3444" s="21"/>
    </row>
    <row r="3445" spans="1:14" ht="15.75" customHeight="1" x14ac:dyDescent="0.25">
      <c r="A3445" s="21"/>
      <c r="B3445" s="21"/>
      <c r="C3445" s="11"/>
      <c r="D3445" s="11"/>
      <c r="E3445" s="21"/>
      <c r="F3445" s="21"/>
      <c r="G3445" s="25"/>
      <c r="H3445" s="11"/>
      <c r="I3445" s="21"/>
      <c r="J3445" s="21"/>
      <c r="K3445" s="21"/>
      <c r="L3445" s="21"/>
      <c r="M3445" s="21"/>
      <c r="N3445" s="21"/>
    </row>
    <row r="3446" spans="1:14" ht="15.75" customHeight="1" x14ac:dyDescent="0.25">
      <c r="A3446" s="31" t="s">
        <v>14</v>
      </c>
      <c r="B3446" s="31" t="s">
        <v>234</v>
      </c>
      <c r="C3446" s="31" t="s">
        <v>16</v>
      </c>
      <c r="D3446" s="31" t="s">
        <v>17</v>
      </c>
      <c r="E3446" s="31" t="s">
        <v>235</v>
      </c>
      <c r="F3446" s="31" t="s">
        <v>236</v>
      </c>
      <c r="G3446" s="25"/>
      <c r="H3446" s="11"/>
      <c r="I3446" s="21"/>
      <c r="J3446" s="21"/>
      <c r="K3446" s="21"/>
      <c r="L3446" s="21"/>
      <c r="M3446" s="21"/>
      <c r="N3446" s="21"/>
    </row>
    <row r="3447" spans="1:14" ht="15.75" customHeight="1" x14ac:dyDescent="0.25">
      <c r="A3447" s="7">
        <v>1</v>
      </c>
      <c r="B3447" s="156" t="s">
        <v>1391</v>
      </c>
      <c r="C3447" s="158">
        <v>6</v>
      </c>
      <c r="D3447" s="7" t="s">
        <v>406</v>
      </c>
      <c r="E3447" s="104">
        <v>502740</v>
      </c>
      <c r="F3447" s="104">
        <f>E3447*C3447</f>
        <v>3016440</v>
      </c>
      <c r="G3447" s="25"/>
      <c r="H3447" s="11"/>
      <c r="I3447" s="21"/>
      <c r="J3447" s="21"/>
      <c r="K3447" s="21"/>
      <c r="L3447" s="21"/>
      <c r="M3447" s="21"/>
      <c r="N3447" s="21"/>
    </row>
    <row r="3448" spans="1:14" ht="15.75" customHeight="1" x14ac:dyDescent="0.25">
      <c r="A3448" s="7">
        <v>2</v>
      </c>
      <c r="B3448" s="35" t="s">
        <v>1392</v>
      </c>
      <c r="C3448" s="133">
        <v>3</v>
      </c>
      <c r="D3448" s="7" t="s">
        <v>406</v>
      </c>
      <c r="E3448" s="104">
        <v>661500</v>
      </c>
      <c r="F3448" s="104">
        <f>E3448*C3448</f>
        <v>1984500</v>
      </c>
      <c r="G3448" s="25"/>
      <c r="H3448" s="11"/>
      <c r="I3448" s="21"/>
      <c r="J3448" s="21"/>
      <c r="K3448" s="21"/>
      <c r="L3448" s="21"/>
      <c r="M3448" s="21"/>
      <c r="N3448" s="21"/>
    </row>
    <row r="3449" spans="1:14" ht="15.75" customHeight="1" x14ac:dyDescent="0.25">
      <c r="A3449" s="7">
        <v>3</v>
      </c>
      <c r="B3449" s="41" t="s">
        <v>1393</v>
      </c>
      <c r="C3449" s="151">
        <v>6</v>
      </c>
      <c r="D3449" s="133" t="s">
        <v>406</v>
      </c>
      <c r="E3449" s="104">
        <v>171990</v>
      </c>
      <c r="F3449" s="104">
        <f>E3449*C3449</f>
        <v>1031940</v>
      </c>
      <c r="G3449" s="25"/>
      <c r="H3449" s="11"/>
      <c r="I3449" s="21"/>
      <c r="J3449" s="21"/>
      <c r="K3449" s="21"/>
      <c r="L3449" s="21"/>
      <c r="M3449" s="21"/>
      <c r="N3449" s="21"/>
    </row>
    <row r="3450" spans="1:14" ht="15.75" customHeight="1" x14ac:dyDescent="0.25">
      <c r="A3450" s="7"/>
      <c r="B3450" s="343" t="s">
        <v>342</v>
      </c>
      <c r="C3450" s="344"/>
      <c r="D3450" s="344"/>
      <c r="E3450" s="334"/>
      <c r="F3450" s="104">
        <f>SUM(F3447:F3449)</f>
        <v>6032880</v>
      </c>
      <c r="G3450" s="25"/>
      <c r="H3450" s="11"/>
      <c r="I3450" s="21"/>
      <c r="J3450" s="21"/>
      <c r="K3450" s="21"/>
      <c r="L3450" s="21"/>
      <c r="M3450" s="21"/>
      <c r="N3450" s="21"/>
    </row>
    <row r="3451" spans="1:14" ht="15.75" customHeight="1" x14ac:dyDescent="0.25">
      <c r="A3451" s="7"/>
      <c r="B3451" s="343" t="s">
        <v>343</v>
      </c>
      <c r="C3451" s="344"/>
      <c r="D3451" s="344"/>
      <c r="E3451" s="334"/>
      <c r="F3451" s="104">
        <v>663616.80000000005</v>
      </c>
      <c r="G3451" s="25"/>
      <c r="H3451" s="11"/>
      <c r="I3451" s="21"/>
      <c r="J3451" s="21"/>
      <c r="K3451" s="21"/>
      <c r="L3451" s="21"/>
      <c r="M3451" s="21"/>
      <c r="N3451" s="21"/>
    </row>
    <row r="3452" spans="1:14" ht="15.75" customHeight="1" x14ac:dyDescent="0.25">
      <c r="A3452" s="7"/>
      <c r="B3452" s="345" t="s">
        <v>344</v>
      </c>
      <c r="C3452" s="344"/>
      <c r="D3452" s="344"/>
      <c r="E3452" s="334"/>
      <c r="F3452" s="107">
        <f>SUM(F3450:F3451)</f>
        <v>6696496.7999999998</v>
      </c>
      <c r="G3452" s="25"/>
      <c r="H3452" s="11"/>
      <c r="I3452" s="21"/>
      <c r="J3452" s="21"/>
      <c r="K3452" s="21"/>
      <c r="L3452" s="21"/>
      <c r="M3452" s="21"/>
      <c r="N3452" s="21"/>
    </row>
    <row r="3453" spans="1:14" ht="15.75" customHeight="1" x14ac:dyDescent="0.25">
      <c r="A3453" s="21"/>
      <c r="B3453" s="21"/>
      <c r="C3453" s="11"/>
      <c r="D3453" s="11"/>
      <c r="E3453" s="21"/>
      <c r="F3453" s="21"/>
      <c r="G3453" s="25"/>
      <c r="H3453" s="11"/>
      <c r="I3453" s="21"/>
      <c r="J3453" s="21"/>
      <c r="K3453" s="21"/>
      <c r="L3453" s="21"/>
      <c r="M3453" s="21"/>
      <c r="N3453" s="21"/>
    </row>
    <row r="3454" spans="1:14" ht="15.75" customHeight="1" x14ac:dyDescent="0.25">
      <c r="A3454" s="31" t="s">
        <v>351</v>
      </c>
      <c r="B3454" s="31" t="s">
        <v>234</v>
      </c>
      <c r="C3454" s="31" t="s">
        <v>16</v>
      </c>
      <c r="D3454" s="31" t="s">
        <v>17</v>
      </c>
      <c r="E3454" s="31" t="s">
        <v>235</v>
      </c>
      <c r="F3454" s="31" t="s">
        <v>236</v>
      </c>
      <c r="G3454" s="25"/>
      <c r="H3454" s="11"/>
      <c r="I3454" s="21"/>
      <c r="J3454" s="21"/>
      <c r="K3454" s="21"/>
      <c r="L3454" s="21"/>
      <c r="M3454" s="21"/>
      <c r="N3454" s="21"/>
    </row>
    <row r="3455" spans="1:14" ht="15.75" customHeight="1" x14ac:dyDescent="0.25">
      <c r="A3455" s="7">
        <v>1</v>
      </c>
      <c r="B3455" s="41" t="s">
        <v>1394</v>
      </c>
      <c r="C3455" s="7">
        <v>1</v>
      </c>
      <c r="D3455" s="7" t="s">
        <v>412</v>
      </c>
      <c r="E3455" s="104">
        <v>32931500</v>
      </c>
      <c r="F3455" s="104">
        <f>E3455*C3455</f>
        <v>32931500</v>
      </c>
      <c r="G3455" s="25"/>
      <c r="H3455" s="11"/>
      <c r="I3455" s="21"/>
      <c r="J3455" s="21"/>
      <c r="K3455" s="21"/>
      <c r="L3455" s="21"/>
      <c r="M3455" s="21"/>
      <c r="N3455" s="21"/>
    </row>
    <row r="3456" spans="1:14" ht="15.75" customHeight="1" x14ac:dyDescent="0.25">
      <c r="A3456" s="7">
        <v>2</v>
      </c>
      <c r="B3456" s="41" t="s">
        <v>1395</v>
      </c>
      <c r="C3456" s="7">
        <v>1</v>
      </c>
      <c r="D3456" s="7" t="s">
        <v>412</v>
      </c>
      <c r="E3456" s="104">
        <v>4753000</v>
      </c>
      <c r="F3456" s="104">
        <f>E3456*C3456</f>
        <v>4753000</v>
      </c>
      <c r="G3456" s="25"/>
      <c r="H3456" s="11"/>
      <c r="I3456" s="21"/>
      <c r="J3456" s="21"/>
      <c r="K3456" s="21"/>
      <c r="L3456" s="21"/>
      <c r="M3456" s="21"/>
      <c r="N3456" s="21"/>
    </row>
    <row r="3457" spans="1:14" ht="15.75" customHeight="1" x14ac:dyDescent="0.25">
      <c r="A3457" s="7"/>
      <c r="B3457" s="343" t="s">
        <v>342</v>
      </c>
      <c r="C3457" s="344"/>
      <c r="D3457" s="344"/>
      <c r="E3457" s="334"/>
      <c r="F3457" s="104">
        <f>SUM(F3455:F3456)</f>
        <v>37684500</v>
      </c>
      <c r="G3457" s="25"/>
      <c r="H3457" s="11"/>
      <c r="I3457" s="21"/>
      <c r="J3457" s="21"/>
      <c r="K3457" s="21"/>
      <c r="L3457" s="21"/>
      <c r="M3457" s="21"/>
      <c r="N3457" s="21"/>
    </row>
    <row r="3458" spans="1:14" ht="15.75" customHeight="1" x14ac:dyDescent="0.25">
      <c r="A3458" s="7"/>
      <c r="B3458" s="343" t="s">
        <v>343</v>
      </c>
      <c r="C3458" s="344"/>
      <c r="D3458" s="344"/>
      <c r="E3458" s="334"/>
      <c r="F3458" s="104">
        <v>4145295</v>
      </c>
      <c r="G3458" s="25"/>
      <c r="H3458" s="11"/>
      <c r="I3458" s="21"/>
      <c r="J3458" s="21"/>
      <c r="K3458" s="21"/>
      <c r="L3458" s="21"/>
      <c r="M3458" s="21"/>
      <c r="N3458" s="21"/>
    </row>
    <row r="3459" spans="1:14" ht="15.75" customHeight="1" x14ac:dyDescent="0.25">
      <c r="A3459" s="7"/>
      <c r="B3459" s="345" t="s">
        <v>344</v>
      </c>
      <c r="C3459" s="344"/>
      <c r="D3459" s="344"/>
      <c r="E3459" s="334"/>
      <c r="F3459" s="107">
        <f>SUM(F3457:F3458)</f>
        <v>41829795</v>
      </c>
      <c r="G3459" s="25"/>
      <c r="H3459" s="11"/>
      <c r="I3459" s="21"/>
      <c r="J3459" s="21"/>
      <c r="K3459" s="21"/>
      <c r="L3459" s="21"/>
      <c r="M3459" s="21"/>
      <c r="N3459" s="21"/>
    </row>
    <row r="3460" spans="1:14" ht="15.75" customHeight="1" x14ac:dyDescent="0.25">
      <c r="A3460" s="21"/>
      <c r="B3460" s="21"/>
      <c r="C3460" s="11"/>
      <c r="D3460" s="11"/>
      <c r="E3460" s="21"/>
      <c r="F3460" s="21"/>
      <c r="G3460" s="25"/>
      <c r="H3460" s="11"/>
      <c r="I3460" s="21"/>
      <c r="J3460" s="21"/>
      <c r="K3460" s="21"/>
      <c r="L3460" s="21"/>
      <c r="M3460" s="21"/>
      <c r="N3460" s="21"/>
    </row>
    <row r="3461" spans="1:14" ht="15.75" customHeight="1" x14ac:dyDescent="0.25">
      <c r="A3461" s="31" t="s">
        <v>14</v>
      </c>
      <c r="B3461" s="31" t="s">
        <v>234</v>
      </c>
      <c r="C3461" s="31" t="s">
        <v>16</v>
      </c>
      <c r="D3461" s="31" t="s">
        <v>17</v>
      </c>
      <c r="E3461" s="31" t="s">
        <v>235</v>
      </c>
      <c r="F3461" s="31" t="s">
        <v>236</v>
      </c>
      <c r="G3461" s="25"/>
      <c r="H3461" s="11"/>
      <c r="I3461" s="21"/>
      <c r="J3461" s="21"/>
      <c r="K3461" s="21"/>
      <c r="L3461" s="21"/>
      <c r="M3461" s="21"/>
      <c r="N3461" s="21"/>
    </row>
    <row r="3462" spans="1:14" ht="15.75" customHeight="1" x14ac:dyDescent="0.25">
      <c r="A3462" s="7">
        <v>1</v>
      </c>
      <c r="B3462" s="155" t="s">
        <v>1396</v>
      </c>
      <c r="C3462" s="129">
        <v>15</v>
      </c>
      <c r="D3462" s="7" t="s">
        <v>363</v>
      </c>
      <c r="E3462" s="130">
        <v>541500</v>
      </c>
      <c r="F3462" s="130">
        <f>E3462*C3462</f>
        <v>8122500</v>
      </c>
      <c r="G3462" s="25"/>
      <c r="H3462" s="11"/>
      <c r="I3462" s="21"/>
      <c r="J3462" s="21"/>
      <c r="K3462" s="21"/>
      <c r="L3462" s="21"/>
      <c r="M3462" s="21"/>
      <c r="N3462" s="21"/>
    </row>
    <row r="3463" spans="1:14" ht="15.75" customHeight="1" x14ac:dyDescent="0.25">
      <c r="A3463" s="7"/>
      <c r="B3463" s="343" t="s">
        <v>342</v>
      </c>
      <c r="C3463" s="344"/>
      <c r="D3463" s="344"/>
      <c r="E3463" s="334"/>
      <c r="F3463" s="104">
        <f>SUM(F3462)</f>
        <v>8122500</v>
      </c>
      <c r="G3463" s="25"/>
      <c r="H3463" s="11"/>
      <c r="I3463" s="21"/>
      <c r="J3463" s="21"/>
      <c r="K3463" s="21"/>
      <c r="L3463" s="21"/>
      <c r="M3463" s="21"/>
      <c r="N3463" s="21"/>
    </row>
    <row r="3464" spans="1:14" ht="15.75" customHeight="1" x14ac:dyDescent="0.25">
      <c r="A3464" s="7"/>
      <c r="B3464" s="343" t="s">
        <v>343</v>
      </c>
      <c r="C3464" s="344"/>
      <c r="D3464" s="344"/>
      <c r="E3464" s="334"/>
      <c r="F3464" s="104">
        <v>893475</v>
      </c>
      <c r="G3464" s="25"/>
      <c r="H3464" s="11"/>
      <c r="I3464" s="21"/>
      <c r="J3464" s="21"/>
      <c r="K3464" s="21"/>
      <c r="L3464" s="21"/>
      <c r="M3464" s="21"/>
      <c r="N3464" s="21"/>
    </row>
    <row r="3465" spans="1:14" ht="15.75" customHeight="1" x14ac:dyDescent="0.25">
      <c r="A3465" s="7"/>
      <c r="B3465" s="345" t="s">
        <v>344</v>
      </c>
      <c r="C3465" s="344"/>
      <c r="D3465" s="344"/>
      <c r="E3465" s="334"/>
      <c r="F3465" s="107">
        <f>SUM(F3463:F3464)</f>
        <v>9015975</v>
      </c>
      <c r="G3465" s="25"/>
      <c r="H3465" s="11"/>
      <c r="I3465" s="21"/>
      <c r="J3465" s="21"/>
      <c r="K3465" s="21"/>
      <c r="L3465" s="21"/>
      <c r="M3465" s="21"/>
      <c r="N3465" s="21"/>
    </row>
    <row r="3466" spans="1:14" ht="15.75" customHeight="1" x14ac:dyDescent="0.25">
      <c r="A3466" s="21"/>
      <c r="B3466" s="21"/>
      <c r="C3466" s="11"/>
      <c r="D3466" s="11"/>
      <c r="E3466" s="21"/>
      <c r="F3466" s="21"/>
      <c r="G3466" s="25"/>
      <c r="H3466" s="11"/>
      <c r="I3466" s="21"/>
      <c r="J3466" s="21"/>
      <c r="K3466" s="21"/>
      <c r="L3466" s="21"/>
      <c r="M3466" s="21"/>
      <c r="N3466" s="21"/>
    </row>
    <row r="3467" spans="1:14" ht="15.75" customHeight="1" x14ac:dyDescent="0.25">
      <c r="A3467" s="31" t="s">
        <v>14</v>
      </c>
      <c r="B3467" s="31" t="s">
        <v>234</v>
      </c>
      <c r="C3467" s="31" t="s">
        <v>16</v>
      </c>
      <c r="D3467" s="31" t="s">
        <v>17</v>
      </c>
      <c r="E3467" s="31" t="s">
        <v>235</v>
      </c>
      <c r="F3467" s="31" t="s">
        <v>236</v>
      </c>
      <c r="G3467" s="25"/>
      <c r="H3467" s="11"/>
      <c r="I3467" s="21"/>
      <c r="J3467" s="21"/>
      <c r="K3467" s="21"/>
      <c r="L3467" s="21"/>
      <c r="M3467" s="21"/>
      <c r="N3467" s="21"/>
    </row>
    <row r="3468" spans="1:14" ht="15.75" customHeight="1" x14ac:dyDescent="0.25">
      <c r="A3468" s="7">
        <v>1</v>
      </c>
      <c r="B3468" s="155" t="s">
        <v>1396</v>
      </c>
      <c r="C3468" s="129">
        <v>10</v>
      </c>
      <c r="D3468" s="7" t="s">
        <v>363</v>
      </c>
      <c r="E3468" s="130">
        <v>541500</v>
      </c>
      <c r="F3468" s="130">
        <f>E3468*C3468</f>
        <v>5415000</v>
      </c>
      <c r="G3468" s="25"/>
      <c r="H3468" s="11"/>
      <c r="I3468" s="21"/>
      <c r="J3468" s="21"/>
      <c r="K3468" s="21"/>
      <c r="L3468" s="21"/>
      <c r="M3468" s="21"/>
      <c r="N3468" s="21"/>
    </row>
    <row r="3469" spans="1:14" ht="15.75" customHeight="1" x14ac:dyDescent="0.25">
      <c r="A3469" s="7"/>
      <c r="B3469" s="343" t="s">
        <v>342</v>
      </c>
      <c r="C3469" s="344"/>
      <c r="D3469" s="344"/>
      <c r="E3469" s="334"/>
      <c r="F3469" s="104">
        <f>SUM(F3468)</f>
        <v>5415000</v>
      </c>
      <c r="G3469" s="25"/>
      <c r="H3469" s="11"/>
      <c r="I3469" s="21"/>
      <c r="J3469" s="21"/>
      <c r="K3469" s="21"/>
      <c r="L3469" s="21"/>
      <c r="M3469" s="21"/>
      <c r="N3469" s="21"/>
    </row>
    <row r="3470" spans="1:14" ht="15.75" customHeight="1" x14ac:dyDescent="0.25">
      <c r="A3470" s="7"/>
      <c r="B3470" s="343" t="s">
        <v>343</v>
      </c>
      <c r="C3470" s="344"/>
      <c r="D3470" s="344"/>
      <c r="E3470" s="334"/>
      <c r="F3470" s="104">
        <v>595650</v>
      </c>
      <c r="G3470" s="25"/>
      <c r="H3470" s="11"/>
      <c r="I3470" s="21"/>
      <c r="J3470" s="21"/>
      <c r="K3470" s="21"/>
      <c r="L3470" s="21"/>
      <c r="M3470" s="21"/>
      <c r="N3470" s="21"/>
    </row>
    <row r="3471" spans="1:14" ht="15.75" customHeight="1" x14ac:dyDescent="0.25">
      <c r="A3471" s="7"/>
      <c r="B3471" s="345" t="s">
        <v>344</v>
      </c>
      <c r="C3471" s="344"/>
      <c r="D3471" s="344"/>
      <c r="E3471" s="334"/>
      <c r="F3471" s="107">
        <f>SUM(F3469:F3470)</f>
        <v>6010650</v>
      </c>
      <c r="G3471" s="25"/>
      <c r="H3471" s="11"/>
      <c r="I3471" s="21"/>
      <c r="J3471" s="21"/>
      <c r="K3471" s="21"/>
      <c r="L3471" s="21"/>
      <c r="M3471" s="21"/>
      <c r="N3471" s="21"/>
    </row>
    <row r="3472" spans="1:14" ht="15.75" customHeight="1" x14ac:dyDescent="0.25">
      <c r="A3472" s="21"/>
      <c r="B3472" s="21"/>
      <c r="C3472" s="11"/>
      <c r="D3472" s="11"/>
      <c r="E3472" s="21"/>
      <c r="F3472" s="21"/>
      <c r="G3472" s="25"/>
      <c r="H3472" s="11"/>
      <c r="I3472" s="21"/>
      <c r="J3472" s="21"/>
      <c r="K3472" s="21"/>
      <c r="L3472" s="21"/>
      <c r="M3472" s="21"/>
      <c r="N3472" s="21"/>
    </row>
    <row r="3473" spans="1:14" ht="15.75" customHeight="1" x14ac:dyDescent="0.25">
      <c r="A3473" s="31" t="s">
        <v>14</v>
      </c>
      <c r="B3473" s="31" t="s">
        <v>234</v>
      </c>
      <c r="C3473" s="31" t="s">
        <v>16</v>
      </c>
      <c r="D3473" s="31" t="s">
        <v>17</v>
      </c>
      <c r="E3473" s="31" t="s">
        <v>235</v>
      </c>
      <c r="F3473" s="31" t="s">
        <v>236</v>
      </c>
      <c r="G3473" s="25"/>
      <c r="H3473" s="11"/>
      <c r="I3473" s="21"/>
      <c r="J3473" s="21"/>
      <c r="K3473" s="21"/>
      <c r="L3473" s="21"/>
      <c r="M3473" s="21"/>
      <c r="N3473" s="21"/>
    </row>
    <row r="3474" spans="1:14" ht="15.75" customHeight="1" x14ac:dyDescent="0.25">
      <c r="A3474" s="7">
        <v>1</v>
      </c>
      <c r="B3474" s="156" t="s">
        <v>1397</v>
      </c>
      <c r="C3474" s="158">
        <v>1</v>
      </c>
      <c r="D3474" s="7" t="s">
        <v>251</v>
      </c>
      <c r="E3474" s="104">
        <v>6435000</v>
      </c>
      <c r="F3474" s="104">
        <f>E3474*C3474</f>
        <v>6435000</v>
      </c>
      <c r="G3474" s="25"/>
      <c r="H3474" s="11"/>
      <c r="I3474" s="21"/>
      <c r="J3474" s="21"/>
      <c r="K3474" s="21"/>
      <c r="L3474" s="21"/>
      <c r="M3474" s="21"/>
      <c r="N3474" s="21"/>
    </row>
    <row r="3475" spans="1:14" ht="15.75" customHeight="1" x14ac:dyDescent="0.25">
      <c r="A3475" s="7">
        <v>2</v>
      </c>
      <c r="B3475" s="35" t="s">
        <v>1398</v>
      </c>
      <c r="C3475" s="133">
        <v>2</v>
      </c>
      <c r="D3475" s="7" t="s">
        <v>19</v>
      </c>
      <c r="E3475" s="104">
        <v>364500</v>
      </c>
      <c r="F3475" s="104">
        <f>E3475*C3475</f>
        <v>729000</v>
      </c>
      <c r="G3475" s="25"/>
      <c r="H3475" s="11"/>
      <c r="I3475" s="21"/>
      <c r="J3475" s="21"/>
      <c r="K3475" s="21"/>
      <c r="L3475" s="21"/>
      <c r="M3475" s="21"/>
      <c r="N3475" s="21"/>
    </row>
    <row r="3476" spans="1:14" ht="15.75" customHeight="1" x14ac:dyDescent="0.25">
      <c r="A3476" s="7">
        <v>3</v>
      </c>
      <c r="B3476" s="41" t="s">
        <v>1399</v>
      </c>
      <c r="C3476" s="151">
        <v>2</v>
      </c>
      <c r="D3476" s="133" t="s">
        <v>19</v>
      </c>
      <c r="E3476" s="104">
        <v>364500</v>
      </c>
      <c r="F3476" s="104">
        <f>E3476*C3476</f>
        <v>729000</v>
      </c>
      <c r="G3476" s="25"/>
      <c r="H3476" s="11"/>
      <c r="I3476" s="21"/>
      <c r="J3476" s="21"/>
      <c r="K3476" s="21"/>
      <c r="L3476" s="21"/>
      <c r="M3476" s="21"/>
      <c r="N3476" s="21"/>
    </row>
    <row r="3477" spans="1:14" ht="15.75" customHeight="1" x14ac:dyDescent="0.25">
      <c r="A3477" s="7"/>
      <c r="B3477" s="343" t="s">
        <v>342</v>
      </c>
      <c r="C3477" s="344"/>
      <c r="D3477" s="344"/>
      <c r="E3477" s="334"/>
      <c r="F3477" s="104">
        <f>SUM(F3474:F3476)</f>
        <v>7893000</v>
      </c>
      <c r="G3477" s="25"/>
      <c r="H3477" s="11"/>
      <c r="I3477" s="21"/>
      <c r="J3477" s="21"/>
      <c r="K3477" s="21"/>
      <c r="L3477" s="21"/>
      <c r="M3477" s="21"/>
      <c r="N3477" s="21"/>
    </row>
    <row r="3478" spans="1:14" ht="15.75" customHeight="1" x14ac:dyDescent="0.25">
      <c r="A3478" s="7"/>
      <c r="B3478" s="343" t="s">
        <v>343</v>
      </c>
      <c r="C3478" s="344"/>
      <c r="D3478" s="344"/>
      <c r="E3478" s="334"/>
      <c r="F3478" s="104">
        <v>868230</v>
      </c>
      <c r="G3478" s="25"/>
      <c r="H3478" s="11"/>
      <c r="I3478" s="21"/>
      <c r="J3478" s="21"/>
      <c r="K3478" s="21"/>
      <c r="L3478" s="21"/>
      <c r="M3478" s="21"/>
      <c r="N3478" s="21"/>
    </row>
    <row r="3479" spans="1:14" ht="15.75" customHeight="1" x14ac:dyDescent="0.25">
      <c r="A3479" s="7"/>
      <c r="B3479" s="345" t="s">
        <v>344</v>
      </c>
      <c r="C3479" s="344"/>
      <c r="D3479" s="344"/>
      <c r="E3479" s="334"/>
      <c r="F3479" s="107">
        <f>SUM(F3477:F3478)</f>
        <v>8761230</v>
      </c>
      <c r="G3479" s="25"/>
      <c r="H3479" s="11"/>
      <c r="I3479" s="21"/>
      <c r="J3479" s="21"/>
      <c r="K3479" s="21"/>
      <c r="L3479" s="21"/>
      <c r="M3479" s="21"/>
      <c r="N3479" s="21"/>
    </row>
    <row r="3480" spans="1:14" ht="15.75" customHeight="1" x14ac:dyDescent="0.25">
      <c r="A3480" s="21"/>
      <c r="B3480" s="21"/>
      <c r="C3480" s="11"/>
      <c r="D3480" s="11"/>
      <c r="E3480" s="21"/>
      <c r="F3480" s="21"/>
      <c r="G3480" s="25"/>
      <c r="H3480" s="11"/>
      <c r="I3480" s="21"/>
      <c r="J3480" s="21"/>
      <c r="K3480" s="21"/>
      <c r="L3480" s="21"/>
      <c r="M3480" s="21"/>
      <c r="N3480" s="21"/>
    </row>
    <row r="3481" spans="1:14" ht="15.75" customHeight="1" x14ac:dyDescent="0.25">
      <c r="A3481" s="31" t="s">
        <v>14</v>
      </c>
      <c r="B3481" s="31" t="s">
        <v>234</v>
      </c>
      <c r="C3481" s="31" t="s">
        <v>16</v>
      </c>
      <c r="D3481" s="31" t="s">
        <v>17</v>
      </c>
      <c r="E3481" s="31" t="s">
        <v>235</v>
      </c>
      <c r="F3481" s="31" t="s">
        <v>236</v>
      </c>
      <c r="G3481" s="25"/>
      <c r="H3481" s="11"/>
      <c r="I3481" s="21"/>
      <c r="J3481" s="21"/>
      <c r="K3481" s="21"/>
      <c r="L3481" s="21"/>
      <c r="M3481" s="21"/>
      <c r="N3481" s="21"/>
    </row>
    <row r="3482" spans="1:14" ht="15.75" customHeight="1" x14ac:dyDescent="0.25">
      <c r="A3482" s="7">
        <v>1</v>
      </c>
      <c r="B3482" s="155" t="s">
        <v>1400</v>
      </c>
      <c r="C3482" s="129">
        <v>5</v>
      </c>
      <c r="D3482" s="7" t="s">
        <v>363</v>
      </c>
      <c r="E3482" s="130">
        <v>530000</v>
      </c>
      <c r="F3482" s="130">
        <f>E3482*C3482</f>
        <v>2650000</v>
      </c>
      <c r="G3482" s="25"/>
      <c r="H3482" s="11"/>
      <c r="I3482" s="21"/>
      <c r="J3482" s="21"/>
      <c r="K3482" s="21"/>
      <c r="L3482" s="21"/>
      <c r="M3482" s="21"/>
      <c r="N3482" s="21"/>
    </row>
    <row r="3483" spans="1:14" ht="15.75" customHeight="1" x14ac:dyDescent="0.25">
      <c r="A3483" s="7"/>
      <c r="B3483" s="343" t="s">
        <v>342</v>
      </c>
      <c r="C3483" s="344"/>
      <c r="D3483" s="344"/>
      <c r="E3483" s="334"/>
      <c r="F3483" s="104">
        <f>SUM(F3482)</f>
        <v>2650000</v>
      </c>
      <c r="G3483" s="25"/>
      <c r="H3483" s="11"/>
      <c r="I3483" s="21"/>
      <c r="J3483" s="21"/>
      <c r="K3483" s="21"/>
      <c r="L3483" s="21"/>
      <c r="M3483" s="21"/>
      <c r="N3483" s="21"/>
    </row>
    <row r="3484" spans="1:14" ht="15.75" customHeight="1" x14ac:dyDescent="0.25">
      <c r="A3484" s="7"/>
      <c r="B3484" s="343" t="s">
        <v>343</v>
      </c>
      <c r="C3484" s="344"/>
      <c r="D3484" s="344"/>
      <c r="E3484" s="334"/>
      <c r="F3484" s="104">
        <v>291500</v>
      </c>
      <c r="G3484" s="25"/>
      <c r="H3484" s="11"/>
      <c r="I3484" s="21"/>
      <c r="J3484" s="21"/>
      <c r="K3484" s="21"/>
      <c r="L3484" s="21"/>
      <c r="M3484" s="21"/>
      <c r="N3484" s="21"/>
    </row>
    <row r="3485" spans="1:14" ht="15.75" customHeight="1" x14ac:dyDescent="0.25">
      <c r="A3485" s="7"/>
      <c r="B3485" s="345" t="s">
        <v>344</v>
      </c>
      <c r="C3485" s="344"/>
      <c r="D3485" s="344"/>
      <c r="E3485" s="334"/>
      <c r="F3485" s="107">
        <f>SUM(F3483:F3484)</f>
        <v>2941500</v>
      </c>
      <c r="G3485" s="25"/>
      <c r="H3485" s="11"/>
      <c r="I3485" s="21"/>
      <c r="J3485" s="21"/>
      <c r="K3485" s="21"/>
      <c r="L3485" s="21"/>
      <c r="M3485" s="21"/>
      <c r="N3485" s="21"/>
    </row>
    <row r="3486" spans="1:14" ht="15.75" customHeight="1" x14ac:dyDescent="0.25">
      <c r="A3486" s="21"/>
      <c r="B3486" s="21"/>
      <c r="C3486" s="11"/>
      <c r="D3486" s="11"/>
      <c r="E3486" s="21"/>
      <c r="F3486" s="21"/>
      <c r="G3486" s="25"/>
      <c r="H3486" s="11"/>
      <c r="I3486" s="21"/>
      <c r="J3486" s="21"/>
      <c r="K3486" s="21"/>
      <c r="L3486" s="21"/>
      <c r="M3486" s="21"/>
      <c r="N3486" s="21"/>
    </row>
    <row r="3487" spans="1:14" ht="15.75" customHeight="1" x14ac:dyDescent="0.25">
      <c r="A3487" s="31" t="s">
        <v>14</v>
      </c>
      <c r="B3487" s="31" t="s">
        <v>234</v>
      </c>
      <c r="C3487" s="31" t="s">
        <v>16</v>
      </c>
      <c r="D3487" s="31" t="s">
        <v>17</v>
      </c>
      <c r="E3487" s="31" t="s">
        <v>235</v>
      </c>
      <c r="F3487" s="31" t="s">
        <v>236</v>
      </c>
      <c r="G3487" s="25"/>
      <c r="H3487" s="11"/>
      <c r="I3487" s="21"/>
      <c r="J3487" s="21"/>
      <c r="K3487" s="21"/>
      <c r="L3487" s="21"/>
      <c r="M3487" s="21"/>
      <c r="N3487" s="21"/>
    </row>
    <row r="3488" spans="1:14" ht="15.75" customHeight="1" x14ac:dyDescent="0.25">
      <c r="A3488" s="7">
        <v>1</v>
      </c>
      <c r="B3488" s="121" t="s">
        <v>1401</v>
      </c>
      <c r="C3488" s="129">
        <v>20</v>
      </c>
      <c r="D3488" s="7" t="s">
        <v>363</v>
      </c>
      <c r="E3488" s="130">
        <v>10800</v>
      </c>
      <c r="F3488" s="130">
        <f>E3488*C3488</f>
        <v>216000</v>
      </c>
      <c r="G3488" s="25"/>
      <c r="H3488" s="11"/>
      <c r="I3488" s="21"/>
      <c r="J3488" s="21"/>
      <c r="K3488" s="21"/>
      <c r="L3488" s="21"/>
      <c r="M3488" s="21"/>
      <c r="N3488" s="21"/>
    </row>
    <row r="3489" spans="1:14" ht="15.75" customHeight="1" x14ac:dyDescent="0.25">
      <c r="A3489" s="7">
        <v>2</v>
      </c>
      <c r="B3489" s="143" t="s">
        <v>1402</v>
      </c>
      <c r="C3489" s="129">
        <v>20</v>
      </c>
      <c r="D3489" s="7" t="s">
        <v>363</v>
      </c>
      <c r="E3489" s="130">
        <v>16800</v>
      </c>
      <c r="F3489" s="130">
        <f>E3489*C3489</f>
        <v>336000</v>
      </c>
      <c r="G3489" s="25"/>
      <c r="H3489" s="11"/>
      <c r="I3489" s="21"/>
      <c r="J3489" s="21"/>
      <c r="K3489" s="21"/>
      <c r="L3489" s="21"/>
      <c r="M3489" s="21"/>
      <c r="N3489" s="21"/>
    </row>
    <row r="3490" spans="1:14" ht="15.75" customHeight="1" x14ac:dyDescent="0.25">
      <c r="A3490" s="7">
        <v>3</v>
      </c>
      <c r="B3490" s="143" t="s">
        <v>1403</v>
      </c>
      <c r="C3490" s="129">
        <v>20</v>
      </c>
      <c r="D3490" s="7" t="s">
        <v>363</v>
      </c>
      <c r="E3490" s="130">
        <v>18500</v>
      </c>
      <c r="F3490" s="130">
        <f>E3490*C3490</f>
        <v>370000</v>
      </c>
      <c r="G3490" s="25"/>
      <c r="H3490" s="11"/>
      <c r="I3490" s="21"/>
      <c r="J3490" s="21"/>
      <c r="K3490" s="21"/>
      <c r="L3490" s="21"/>
      <c r="M3490" s="21"/>
      <c r="N3490" s="21"/>
    </row>
    <row r="3491" spans="1:14" ht="15.75" customHeight="1" x14ac:dyDescent="0.25">
      <c r="A3491" s="7">
        <v>4</v>
      </c>
      <c r="B3491" s="143" t="s">
        <v>1404</v>
      </c>
      <c r="C3491" s="129">
        <v>20</v>
      </c>
      <c r="D3491" s="7" t="s">
        <v>363</v>
      </c>
      <c r="E3491" s="130">
        <v>20500</v>
      </c>
      <c r="F3491" s="130">
        <f>E3491*C3491</f>
        <v>410000</v>
      </c>
      <c r="G3491" s="25"/>
      <c r="H3491" s="11"/>
      <c r="I3491" s="21"/>
      <c r="J3491" s="21"/>
      <c r="K3491" s="21"/>
      <c r="L3491" s="21"/>
      <c r="M3491" s="21"/>
      <c r="N3491" s="21"/>
    </row>
    <row r="3492" spans="1:14" ht="15.75" customHeight="1" x14ac:dyDescent="0.25">
      <c r="A3492" s="7">
        <v>5</v>
      </c>
      <c r="B3492" s="143" t="s">
        <v>1405</v>
      </c>
      <c r="C3492" s="129">
        <v>10</v>
      </c>
      <c r="D3492" s="7" t="s">
        <v>363</v>
      </c>
      <c r="E3492" s="130">
        <v>8500</v>
      </c>
      <c r="F3492" s="130">
        <f>E3492*C3492</f>
        <v>85000</v>
      </c>
      <c r="G3492" s="25"/>
      <c r="H3492" s="11"/>
      <c r="I3492" s="21"/>
      <c r="J3492" s="21"/>
      <c r="K3492" s="21"/>
      <c r="L3492" s="21"/>
      <c r="M3492" s="21"/>
      <c r="N3492" s="21"/>
    </row>
    <row r="3493" spans="1:14" ht="15.75" customHeight="1" x14ac:dyDescent="0.25">
      <c r="A3493" s="7"/>
      <c r="B3493" s="343" t="s">
        <v>342</v>
      </c>
      <c r="C3493" s="344"/>
      <c r="D3493" s="344"/>
      <c r="E3493" s="334"/>
      <c r="F3493" s="104">
        <f>SUM(F3488:F3492)</f>
        <v>1417000</v>
      </c>
      <c r="G3493" s="25"/>
      <c r="H3493" s="11"/>
      <c r="I3493" s="21"/>
      <c r="J3493" s="21"/>
      <c r="K3493" s="21"/>
      <c r="L3493" s="21"/>
      <c r="M3493" s="21"/>
      <c r="N3493" s="21"/>
    </row>
    <row r="3494" spans="1:14" ht="15.75" customHeight="1" x14ac:dyDescent="0.25">
      <c r="A3494" s="7"/>
      <c r="B3494" s="343" t="s">
        <v>343</v>
      </c>
      <c r="C3494" s="344"/>
      <c r="D3494" s="344"/>
      <c r="E3494" s="334"/>
      <c r="F3494" s="104">
        <v>155870</v>
      </c>
      <c r="G3494" s="25"/>
      <c r="H3494" s="11"/>
      <c r="I3494" s="21"/>
      <c r="J3494" s="21"/>
      <c r="K3494" s="21"/>
      <c r="L3494" s="21"/>
      <c r="M3494" s="21"/>
      <c r="N3494" s="21"/>
    </row>
    <row r="3495" spans="1:14" ht="15.75" customHeight="1" x14ac:dyDescent="0.25">
      <c r="A3495" s="7"/>
      <c r="B3495" s="345" t="s">
        <v>344</v>
      </c>
      <c r="C3495" s="344"/>
      <c r="D3495" s="344"/>
      <c r="E3495" s="334"/>
      <c r="F3495" s="107">
        <f>SUM(F3493:F3494)</f>
        <v>1572870</v>
      </c>
      <c r="G3495" s="25"/>
      <c r="H3495" s="11"/>
      <c r="I3495" s="21"/>
      <c r="J3495" s="21"/>
      <c r="K3495" s="21"/>
      <c r="L3495" s="21"/>
      <c r="M3495" s="21"/>
      <c r="N3495" s="21"/>
    </row>
    <row r="3496" spans="1:14" ht="15.75" customHeight="1" x14ac:dyDescent="0.25">
      <c r="A3496" s="21"/>
      <c r="B3496" s="21"/>
      <c r="C3496" s="11"/>
      <c r="D3496" s="11"/>
      <c r="E3496" s="21"/>
      <c r="F3496" s="21"/>
      <c r="G3496" s="25"/>
      <c r="H3496" s="11"/>
      <c r="I3496" s="21"/>
      <c r="J3496" s="21"/>
      <c r="K3496" s="21"/>
      <c r="L3496" s="21"/>
      <c r="M3496" s="21"/>
      <c r="N3496" s="21"/>
    </row>
    <row r="3497" spans="1:14" ht="15.75" customHeight="1" x14ac:dyDescent="0.25">
      <c r="A3497" s="31" t="s">
        <v>14</v>
      </c>
      <c r="B3497" s="31" t="s">
        <v>234</v>
      </c>
      <c r="C3497" s="31" t="s">
        <v>16</v>
      </c>
      <c r="D3497" s="31" t="s">
        <v>17</v>
      </c>
      <c r="E3497" s="31" t="s">
        <v>235</v>
      </c>
      <c r="F3497" s="31" t="s">
        <v>236</v>
      </c>
      <c r="G3497" s="25"/>
      <c r="H3497" s="11"/>
      <c r="I3497" s="21"/>
      <c r="J3497" s="21"/>
      <c r="K3497" s="21"/>
      <c r="L3497" s="21"/>
      <c r="M3497" s="21"/>
      <c r="N3497" s="21"/>
    </row>
    <row r="3498" spans="1:14" ht="15.75" customHeight="1" x14ac:dyDescent="0.25">
      <c r="A3498" s="10">
        <v>1</v>
      </c>
      <c r="B3498" s="124" t="s">
        <v>1406</v>
      </c>
      <c r="C3498" s="7">
        <v>2</v>
      </c>
      <c r="D3498" s="7" t="s">
        <v>247</v>
      </c>
      <c r="E3498" s="104">
        <v>256800</v>
      </c>
      <c r="F3498" s="104">
        <f t="shared" ref="F3498:F3507" si="38">E3498*C3498</f>
        <v>513600</v>
      </c>
      <c r="G3498" s="25"/>
      <c r="H3498" s="11"/>
      <c r="I3498" s="21"/>
      <c r="J3498" s="21"/>
      <c r="K3498" s="21"/>
      <c r="L3498" s="21"/>
      <c r="M3498" s="21"/>
      <c r="N3498" s="21"/>
    </row>
    <row r="3499" spans="1:14" ht="15.75" customHeight="1" x14ac:dyDescent="0.25">
      <c r="A3499" s="7">
        <v>2</v>
      </c>
      <c r="B3499" s="124" t="s">
        <v>1407</v>
      </c>
      <c r="C3499" s="7">
        <v>2</v>
      </c>
      <c r="D3499" s="7" t="s">
        <v>247</v>
      </c>
      <c r="E3499" s="104">
        <v>460500</v>
      </c>
      <c r="F3499" s="104">
        <f t="shared" si="38"/>
        <v>921000</v>
      </c>
      <c r="G3499" s="25"/>
      <c r="H3499" s="11"/>
      <c r="I3499" s="21"/>
      <c r="J3499" s="21"/>
      <c r="K3499" s="21"/>
      <c r="L3499" s="21"/>
      <c r="M3499" s="21"/>
      <c r="N3499" s="21"/>
    </row>
    <row r="3500" spans="1:14" ht="15.75" customHeight="1" x14ac:dyDescent="0.25">
      <c r="A3500" s="7">
        <v>3</v>
      </c>
      <c r="B3500" s="131" t="s">
        <v>1408</v>
      </c>
      <c r="C3500" s="7">
        <v>1</v>
      </c>
      <c r="D3500" s="7" t="s">
        <v>247</v>
      </c>
      <c r="E3500" s="104">
        <v>289500</v>
      </c>
      <c r="F3500" s="104">
        <f t="shared" si="38"/>
        <v>289500</v>
      </c>
      <c r="G3500" s="25"/>
      <c r="H3500" s="11"/>
      <c r="I3500" s="21"/>
      <c r="J3500" s="21"/>
      <c r="K3500" s="21"/>
      <c r="L3500" s="21"/>
      <c r="M3500" s="21"/>
      <c r="N3500" s="21"/>
    </row>
    <row r="3501" spans="1:14" ht="15.75" customHeight="1" x14ac:dyDescent="0.25">
      <c r="A3501" s="7">
        <v>4</v>
      </c>
      <c r="B3501" s="35" t="s">
        <v>1409</v>
      </c>
      <c r="C3501" s="7">
        <v>1</v>
      </c>
      <c r="D3501" s="7" t="s">
        <v>247</v>
      </c>
      <c r="E3501" s="104">
        <v>1239500</v>
      </c>
      <c r="F3501" s="104">
        <f t="shared" si="38"/>
        <v>1239500</v>
      </c>
      <c r="G3501" s="25"/>
      <c r="H3501" s="11"/>
      <c r="I3501" s="21"/>
      <c r="J3501" s="21"/>
      <c r="K3501" s="21"/>
      <c r="L3501" s="21"/>
      <c r="M3501" s="21"/>
      <c r="N3501" s="21"/>
    </row>
    <row r="3502" spans="1:14" ht="15.75" customHeight="1" x14ac:dyDescent="0.25">
      <c r="A3502" s="7">
        <v>5</v>
      </c>
      <c r="B3502" s="41" t="s">
        <v>1410</v>
      </c>
      <c r="C3502" s="7">
        <v>5</v>
      </c>
      <c r="D3502" s="7" t="s">
        <v>247</v>
      </c>
      <c r="E3502" s="104">
        <v>95000</v>
      </c>
      <c r="F3502" s="104">
        <f t="shared" si="38"/>
        <v>475000</v>
      </c>
      <c r="G3502" s="25"/>
      <c r="H3502" s="11"/>
      <c r="I3502" s="21"/>
      <c r="J3502" s="21"/>
      <c r="K3502" s="21"/>
      <c r="L3502" s="21"/>
      <c r="M3502" s="21"/>
      <c r="N3502" s="21"/>
    </row>
    <row r="3503" spans="1:14" ht="15.75" customHeight="1" x14ac:dyDescent="0.25">
      <c r="A3503" s="7">
        <v>6</v>
      </c>
      <c r="B3503" s="35" t="s">
        <v>1411</v>
      </c>
      <c r="C3503" s="7">
        <v>2</v>
      </c>
      <c r="D3503" s="7" t="s">
        <v>1412</v>
      </c>
      <c r="E3503" s="104">
        <v>36500</v>
      </c>
      <c r="F3503" s="104">
        <f t="shared" si="38"/>
        <v>73000</v>
      </c>
      <c r="G3503" s="25"/>
      <c r="H3503" s="11"/>
      <c r="I3503" s="21"/>
      <c r="J3503" s="21"/>
      <c r="K3503" s="21"/>
      <c r="L3503" s="21"/>
      <c r="M3503" s="21"/>
      <c r="N3503" s="21"/>
    </row>
    <row r="3504" spans="1:14" ht="15.75" customHeight="1" x14ac:dyDescent="0.25">
      <c r="A3504" s="7">
        <v>7</v>
      </c>
      <c r="B3504" s="35" t="s">
        <v>1413</v>
      </c>
      <c r="C3504" s="7">
        <v>5</v>
      </c>
      <c r="D3504" s="7" t="s">
        <v>247</v>
      </c>
      <c r="E3504" s="104">
        <v>146500</v>
      </c>
      <c r="F3504" s="104">
        <f t="shared" si="38"/>
        <v>732500</v>
      </c>
      <c r="G3504" s="25"/>
      <c r="H3504" s="11"/>
      <c r="I3504" s="21"/>
      <c r="J3504" s="21"/>
      <c r="K3504" s="21"/>
      <c r="L3504" s="21"/>
      <c r="M3504" s="21"/>
      <c r="N3504" s="21"/>
    </row>
    <row r="3505" spans="1:14" ht="15.75" customHeight="1" x14ac:dyDescent="0.25">
      <c r="A3505" s="7">
        <v>8</v>
      </c>
      <c r="B3505" s="41" t="s">
        <v>1414</v>
      </c>
      <c r="C3505" s="7">
        <v>2</v>
      </c>
      <c r="D3505" s="7" t="s">
        <v>247</v>
      </c>
      <c r="E3505" s="104">
        <v>48000</v>
      </c>
      <c r="F3505" s="104">
        <f t="shared" si="38"/>
        <v>96000</v>
      </c>
      <c r="G3505" s="25"/>
      <c r="H3505" s="11"/>
      <c r="I3505" s="21"/>
      <c r="J3505" s="21"/>
      <c r="K3505" s="21"/>
      <c r="L3505" s="21"/>
      <c r="M3505" s="21"/>
      <c r="N3505" s="21"/>
    </row>
    <row r="3506" spans="1:14" ht="15.75" customHeight="1" x14ac:dyDescent="0.25">
      <c r="A3506" s="7">
        <v>9</v>
      </c>
      <c r="B3506" s="35" t="s">
        <v>1415</v>
      </c>
      <c r="C3506" s="7">
        <v>30</v>
      </c>
      <c r="D3506" s="7" t="s">
        <v>247</v>
      </c>
      <c r="E3506" s="104">
        <v>280000</v>
      </c>
      <c r="F3506" s="104">
        <f t="shared" si="38"/>
        <v>8400000</v>
      </c>
      <c r="G3506" s="25"/>
      <c r="H3506" s="11"/>
      <c r="I3506" s="21"/>
      <c r="J3506" s="21"/>
      <c r="K3506" s="21"/>
      <c r="L3506" s="21"/>
      <c r="M3506" s="21"/>
      <c r="N3506" s="21"/>
    </row>
    <row r="3507" spans="1:14" ht="15.75" customHeight="1" x14ac:dyDescent="0.25">
      <c r="A3507" s="7">
        <v>10</v>
      </c>
      <c r="B3507" s="143" t="s">
        <v>1416</v>
      </c>
      <c r="C3507" s="129">
        <v>5</v>
      </c>
      <c r="D3507" s="7" t="s">
        <v>1417</v>
      </c>
      <c r="E3507" s="130">
        <v>29619</v>
      </c>
      <c r="F3507" s="130">
        <f t="shared" si="38"/>
        <v>148095</v>
      </c>
      <c r="G3507" s="25"/>
      <c r="H3507" s="11"/>
      <c r="I3507" s="21"/>
      <c r="J3507" s="21"/>
      <c r="K3507" s="21"/>
      <c r="L3507" s="21"/>
      <c r="M3507" s="21"/>
      <c r="N3507" s="21"/>
    </row>
    <row r="3508" spans="1:14" ht="15.75" customHeight="1" x14ac:dyDescent="0.25">
      <c r="A3508" s="7"/>
      <c r="B3508" s="343" t="s">
        <v>342</v>
      </c>
      <c r="C3508" s="344"/>
      <c r="D3508" s="344"/>
      <c r="E3508" s="334"/>
      <c r="F3508" s="104">
        <f>SUM(F3498:F3507)</f>
        <v>12888195</v>
      </c>
      <c r="G3508" s="25"/>
      <c r="H3508" s="11"/>
      <c r="I3508" s="21"/>
      <c r="J3508" s="21"/>
      <c r="K3508" s="21"/>
      <c r="L3508" s="21"/>
      <c r="M3508" s="21"/>
      <c r="N3508" s="21"/>
    </row>
    <row r="3509" spans="1:14" ht="15.75" customHeight="1" x14ac:dyDescent="0.25">
      <c r="A3509" s="7"/>
      <c r="B3509" s="343" t="s">
        <v>343</v>
      </c>
      <c r="C3509" s="344"/>
      <c r="D3509" s="344"/>
      <c r="E3509" s="334"/>
      <c r="F3509" s="104">
        <v>1417701.45</v>
      </c>
      <c r="G3509" s="25"/>
      <c r="H3509" s="11"/>
      <c r="I3509" s="21"/>
      <c r="J3509" s="21"/>
      <c r="K3509" s="21"/>
      <c r="L3509" s="21"/>
      <c r="M3509" s="21"/>
      <c r="N3509" s="21"/>
    </row>
    <row r="3510" spans="1:14" ht="15.75" customHeight="1" x14ac:dyDescent="0.25">
      <c r="A3510" s="7"/>
      <c r="B3510" s="345" t="s">
        <v>344</v>
      </c>
      <c r="C3510" s="344"/>
      <c r="D3510" s="344"/>
      <c r="E3510" s="334"/>
      <c r="F3510" s="107">
        <f>SUM(F3508:F3509)</f>
        <v>14305896.449999999</v>
      </c>
      <c r="G3510" s="25"/>
      <c r="H3510" s="11"/>
      <c r="I3510" s="21"/>
      <c r="J3510" s="21"/>
      <c r="K3510" s="21"/>
      <c r="L3510" s="21"/>
      <c r="M3510" s="21"/>
      <c r="N3510" s="21"/>
    </row>
    <row r="3511" spans="1:14" ht="15.75" customHeight="1" x14ac:dyDescent="0.25">
      <c r="A3511" s="21"/>
      <c r="B3511" s="21"/>
      <c r="C3511" s="11"/>
      <c r="D3511" s="11"/>
      <c r="E3511" s="21"/>
      <c r="F3511" s="21"/>
      <c r="G3511" s="25"/>
      <c r="H3511" s="11"/>
      <c r="I3511" s="21"/>
      <c r="J3511" s="21"/>
      <c r="K3511" s="21"/>
      <c r="L3511" s="21"/>
      <c r="M3511" s="21"/>
      <c r="N3511" s="21"/>
    </row>
    <row r="3512" spans="1:14" ht="15.75" customHeight="1" x14ac:dyDescent="0.25">
      <c r="A3512" s="31" t="s">
        <v>14</v>
      </c>
      <c r="B3512" s="31" t="s">
        <v>234</v>
      </c>
      <c r="C3512" s="31" t="s">
        <v>16</v>
      </c>
      <c r="D3512" s="31" t="s">
        <v>17</v>
      </c>
      <c r="E3512" s="31" t="s">
        <v>235</v>
      </c>
      <c r="F3512" s="31" t="s">
        <v>236</v>
      </c>
      <c r="G3512" s="25"/>
      <c r="H3512" s="11"/>
      <c r="I3512" s="21"/>
      <c r="J3512" s="21"/>
      <c r="K3512" s="21"/>
      <c r="L3512" s="21"/>
      <c r="M3512" s="21"/>
      <c r="N3512" s="21"/>
    </row>
    <row r="3513" spans="1:14" ht="15.75" customHeight="1" x14ac:dyDescent="0.25">
      <c r="A3513" s="7">
        <v>1</v>
      </c>
      <c r="B3513" s="156" t="s">
        <v>1418</v>
      </c>
      <c r="C3513" s="158">
        <v>6</v>
      </c>
      <c r="D3513" s="7" t="s">
        <v>353</v>
      </c>
      <c r="E3513" s="104">
        <v>130500</v>
      </c>
      <c r="F3513" s="104">
        <f>E3513*C3513</f>
        <v>783000</v>
      </c>
      <c r="G3513" s="25"/>
      <c r="H3513" s="11"/>
      <c r="I3513" s="21"/>
      <c r="J3513" s="21"/>
      <c r="K3513" s="21"/>
      <c r="L3513" s="21"/>
      <c r="M3513" s="21"/>
      <c r="N3513" s="21"/>
    </row>
    <row r="3514" spans="1:14" ht="15.75" customHeight="1" x14ac:dyDescent="0.25">
      <c r="A3514" s="7">
        <v>2</v>
      </c>
      <c r="B3514" s="35" t="s">
        <v>1419</v>
      </c>
      <c r="C3514" s="133">
        <v>6</v>
      </c>
      <c r="D3514" s="7" t="s">
        <v>363</v>
      </c>
      <c r="E3514" s="104">
        <v>91500</v>
      </c>
      <c r="F3514" s="104">
        <f>E3514*C3514</f>
        <v>549000</v>
      </c>
      <c r="G3514" s="25"/>
      <c r="H3514" s="11"/>
      <c r="I3514" s="21"/>
      <c r="J3514" s="21"/>
      <c r="K3514" s="21"/>
      <c r="L3514" s="21"/>
      <c r="M3514" s="21"/>
      <c r="N3514" s="21"/>
    </row>
    <row r="3515" spans="1:14" ht="15.75" customHeight="1" x14ac:dyDescent="0.25">
      <c r="A3515" s="7">
        <v>3</v>
      </c>
      <c r="B3515" s="41" t="s">
        <v>1420</v>
      </c>
      <c r="C3515" s="151">
        <v>6</v>
      </c>
      <c r="D3515" s="133" t="s">
        <v>363</v>
      </c>
      <c r="E3515" s="104">
        <v>53800</v>
      </c>
      <c r="F3515" s="104">
        <f>E3515*C3515</f>
        <v>322800</v>
      </c>
      <c r="G3515" s="25"/>
      <c r="H3515" s="11"/>
      <c r="I3515" s="21"/>
      <c r="J3515" s="21"/>
      <c r="K3515" s="21"/>
      <c r="L3515" s="21"/>
      <c r="M3515" s="21"/>
      <c r="N3515" s="21"/>
    </row>
    <row r="3516" spans="1:14" ht="15.75" customHeight="1" x14ac:dyDescent="0.25">
      <c r="A3516" s="7"/>
      <c r="B3516" s="343" t="s">
        <v>342</v>
      </c>
      <c r="C3516" s="344"/>
      <c r="D3516" s="344"/>
      <c r="E3516" s="334"/>
      <c r="F3516" s="104">
        <f>SUM(F3513:F3515)</f>
        <v>1654800</v>
      </c>
      <c r="G3516" s="25"/>
      <c r="H3516" s="11"/>
      <c r="I3516" s="21"/>
      <c r="J3516" s="21"/>
      <c r="K3516" s="21"/>
      <c r="L3516" s="21"/>
      <c r="M3516" s="21"/>
      <c r="N3516" s="21"/>
    </row>
    <row r="3517" spans="1:14" ht="15.75" customHeight="1" x14ac:dyDescent="0.25">
      <c r="A3517" s="7"/>
      <c r="B3517" s="343" t="s">
        <v>986</v>
      </c>
      <c r="C3517" s="344"/>
      <c r="D3517" s="344"/>
      <c r="E3517" s="334"/>
      <c r="F3517" s="104">
        <v>49644</v>
      </c>
      <c r="G3517" s="25"/>
      <c r="H3517" s="11"/>
      <c r="I3517" s="21"/>
      <c r="J3517" s="21"/>
      <c r="K3517" s="21"/>
      <c r="L3517" s="21"/>
      <c r="M3517" s="21"/>
      <c r="N3517" s="21"/>
    </row>
    <row r="3518" spans="1:14" ht="15.75" customHeight="1" x14ac:dyDescent="0.25">
      <c r="A3518" s="7"/>
      <c r="B3518" s="345" t="s">
        <v>342</v>
      </c>
      <c r="C3518" s="344"/>
      <c r="D3518" s="344"/>
      <c r="E3518" s="334"/>
      <c r="F3518" s="107">
        <f>F3516-F3517</f>
        <v>1605156</v>
      </c>
      <c r="G3518" s="25"/>
      <c r="H3518" s="11"/>
      <c r="I3518" s="21"/>
      <c r="J3518" s="21"/>
      <c r="K3518" s="21"/>
      <c r="L3518" s="21"/>
      <c r="M3518" s="21"/>
      <c r="N3518" s="21"/>
    </row>
    <row r="3519" spans="1:14" ht="15.75" customHeight="1" x14ac:dyDescent="0.25">
      <c r="A3519" s="7"/>
      <c r="B3519" s="343" t="s">
        <v>343</v>
      </c>
      <c r="C3519" s="344"/>
      <c r="D3519" s="344"/>
      <c r="E3519" s="334"/>
      <c r="F3519" s="104">
        <v>176567.16</v>
      </c>
      <c r="G3519" s="25"/>
      <c r="H3519" s="11"/>
      <c r="I3519" s="21"/>
      <c r="J3519" s="21"/>
      <c r="K3519" s="21"/>
      <c r="L3519" s="21"/>
      <c r="M3519" s="21"/>
      <c r="N3519" s="21"/>
    </row>
    <row r="3520" spans="1:14" ht="15.75" customHeight="1" x14ac:dyDescent="0.25">
      <c r="A3520" s="7"/>
      <c r="B3520" s="345" t="s">
        <v>344</v>
      </c>
      <c r="C3520" s="344"/>
      <c r="D3520" s="344"/>
      <c r="E3520" s="334"/>
      <c r="F3520" s="107">
        <f>SUM(F3518:F3519)</f>
        <v>1781723.16</v>
      </c>
      <c r="G3520" s="25"/>
      <c r="H3520" s="11"/>
      <c r="I3520" s="21"/>
      <c r="J3520" s="21"/>
      <c r="K3520" s="21"/>
      <c r="L3520" s="21"/>
      <c r="M3520" s="21"/>
      <c r="N3520" s="21"/>
    </row>
    <row r="3521" spans="1:14" ht="15.75" customHeight="1" x14ac:dyDescent="0.25">
      <c r="A3521" s="21"/>
      <c r="B3521" s="21"/>
      <c r="C3521" s="11"/>
      <c r="D3521" s="11"/>
      <c r="E3521" s="21"/>
      <c r="F3521" s="21"/>
      <c r="G3521" s="25"/>
      <c r="H3521" s="11"/>
      <c r="I3521" s="21"/>
      <c r="J3521" s="21"/>
      <c r="K3521" s="21"/>
      <c r="L3521" s="21"/>
      <c r="M3521" s="21"/>
      <c r="N3521" s="21"/>
    </row>
    <row r="3522" spans="1:14" ht="15.75" customHeight="1" x14ac:dyDescent="0.25">
      <c r="A3522" s="31" t="s">
        <v>351</v>
      </c>
      <c r="B3522" s="31" t="s">
        <v>234</v>
      </c>
      <c r="C3522" s="31" t="s">
        <v>16</v>
      </c>
      <c r="D3522" s="31" t="s">
        <v>17</v>
      </c>
      <c r="E3522" s="31" t="s">
        <v>235</v>
      </c>
      <c r="F3522" s="31" t="s">
        <v>236</v>
      </c>
      <c r="G3522" s="25"/>
      <c r="H3522" s="11"/>
      <c r="I3522" s="21"/>
      <c r="J3522" s="21"/>
      <c r="K3522" s="21"/>
      <c r="L3522" s="21"/>
      <c r="M3522" s="21"/>
      <c r="N3522" s="21"/>
    </row>
    <row r="3523" spans="1:14" ht="15.75" customHeight="1" x14ac:dyDescent="0.25">
      <c r="A3523" s="7">
        <v>1</v>
      </c>
      <c r="B3523" s="41" t="s">
        <v>1421</v>
      </c>
      <c r="C3523" s="7">
        <v>10</v>
      </c>
      <c r="D3523" s="7" t="s">
        <v>363</v>
      </c>
      <c r="E3523" s="104">
        <v>12500</v>
      </c>
      <c r="F3523" s="104">
        <f>E3523*C3523</f>
        <v>125000</v>
      </c>
      <c r="G3523" s="25"/>
      <c r="H3523" s="11"/>
      <c r="I3523" s="21"/>
      <c r="J3523" s="21"/>
      <c r="K3523" s="21"/>
      <c r="L3523" s="21"/>
      <c r="M3523" s="21"/>
      <c r="N3523" s="21"/>
    </row>
    <row r="3524" spans="1:14" ht="15.75" customHeight="1" x14ac:dyDescent="0.25">
      <c r="A3524" s="7">
        <v>2</v>
      </c>
      <c r="B3524" s="41" t="s">
        <v>1422</v>
      </c>
      <c r="C3524" s="7">
        <v>10</v>
      </c>
      <c r="D3524" s="7" t="s">
        <v>363</v>
      </c>
      <c r="E3524" s="104">
        <v>10800</v>
      </c>
      <c r="F3524" s="104">
        <f>E3524*C3524</f>
        <v>108000</v>
      </c>
      <c r="G3524" s="25"/>
      <c r="H3524" s="11"/>
      <c r="I3524" s="21"/>
      <c r="J3524" s="21"/>
      <c r="K3524" s="21"/>
      <c r="L3524" s="21"/>
      <c r="M3524" s="21"/>
      <c r="N3524" s="21"/>
    </row>
    <row r="3525" spans="1:14" ht="15.75" customHeight="1" x14ac:dyDescent="0.25">
      <c r="A3525" s="7"/>
      <c r="B3525" s="343" t="s">
        <v>342</v>
      </c>
      <c r="C3525" s="344"/>
      <c r="D3525" s="344"/>
      <c r="E3525" s="334"/>
      <c r="F3525" s="104">
        <f>SUM(F3523:F3524)</f>
        <v>233000</v>
      </c>
      <c r="G3525" s="25"/>
      <c r="H3525" s="11"/>
      <c r="I3525" s="21"/>
      <c r="J3525" s="21"/>
      <c r="K3525" s="21"/>
      <c r="L3525" s="21"/>
      <c r="M3525" s="21"/>
      <c r="N3525" s="21"/>
    </row>
    <row r="3526" spans="1:14" ht="15.75" customHeight="1" x14ac:dyDescent="0.25">
      <c r="A3526" s="7"/>
      <c r="B3526" s="343" t="s">
        <v>343</v>
      </c>
      <c r="C3526" s="344"/>
      <c r="D3526" s="344"/>
      <c r="E3526" s="334"/>
      <c r="F3526" s="104">
        <v>25630</v>
      </c>
      <c r="G3526" s="25"/>
      <c r="H3526" s="11"/>
      <c r="I3526" s="21"/>
      <c r="J3526" s="21"/>
      <c r="K3526" s="21"/>
      <c r="L3526" s="21"/>
      <c r="M3526" s="21"/>
      <c r="N3526" s="21"/>
    </row>
    <row r="3527" spans="1:14" ht="15.75" customHeight="1" x14ac:dyDescent="0.25">
      <c r="A3527" s="7"/>
      <c r="B3527" s="345" t="s">
        <v>344</v>
      </c>
      <c r="C3527" s="344"/>
      <c r="D3527" s="344"/>
      <c r="E3527" s="334"/>
      <c r="F3527" s="107">
        <f>SUM(F3525:F3526)</f>
        <v>258630</v>
      </c>
      <c r="G3527" s="25"/>
      <c r="H3527" s="11"/>
      <c r="I3527" s="21"/>
      <c r="J3527" s="21"/>
      <c r="K3527" s="21"/>
      <c r="L3527" s="21"/>
      <c r="M3527" s="21"/>
      <c r="N3527" s="21"/>
    </row>
    <row r="3528" spans="1:14" ht="15.75" customHeight="1" x14ac:dyDescent="0.25">
      <c r="A3528" s="21"/>
      <c r="B3528" s="21"/>
      <c r="C3528" s="11"/>
      <c r="D3528" s="11"/>
      <c r="E3528" s="21"/>
      <c r="F3528" s="21"/>
      <c r="G3528" s="25"/>
      <c r="H3528" s="11"/>
      <c r="I3528" s="21"/>
      <c r="J3528" s="21"/>
      <c r="K3528" s="21"/>
      <c r="L3528" s="21"/>
      <c r="M3528" s="21"/>
      <c r="N3528" s="21"/>
    </row>
    <row r="3529" spans="1:14" ht="15.75" customHeight="1" x14ac:dyDescent="0.25">
      <c r="A3529" s="31" t="s">
        <v>14</v>
      </c>
      <c r="B3529" s="31" t="s">
        <v>234</v>
      </c>
      <c r="C3529" s="31" t="s">
        <v>16</v>
      </c>
      <c r="D3529" s="31" t="s">
        <v>17</v>
      </c>
      <c r="E3529" s="31" t="s">
        <v>235</v>
      </c>
      <c r="F3529" s="31" t="s">
        <v>236</v>
      </c>
      <c r="G3529" s="25"/>
      <c r="H3529" s="11"/>
      <c r="I3529" s="21"/>
      <c r="J3529" s="21"/>
      <c r="K3529" s="21"/>
      <c r="L3529" s="21"/>
      <c r="M3529" s="21"/>
      <c r="N3529" s="21"/>
    </row>
    <row r="3530" spans="1:14" ht="15.75" customHeight="1" x14ac:dyDescent="0.25">
      <c r="A3530" s="7">
        <v>1</v>
      </c>
      <c r="B3530" s="124" t="s">
        <v>1423</v>
      </c>
      <c r="C3530" s="129">
        <v>3</v>
      </c>
      <c r="D3530" s="7" t="s">
        <v>973</v>
      </c>
      <c r="E3530" s="130">
        <v>15083500</v>
      </c>
      <c r="F3530" s="130">
        <f>E3530*C3530</f>
        <v>45250500</v>
      </c>
      <c r="G3530" s="25"/>
      <c r="H3530" s="11"/>
      <c r="I3530" s="21"/>
      <c r="J3530" s="21"/>
      <c r="K3530" s="21"/>
      <c r="L3530" s="21"/>
      <c r="M3530" s="21"/>
      <c r="N3530" s="21"/>
    </row>
    <row r="3531" spans="1:14" ht="15.75" customHeight="1" x14ac:dyDescent="0.25">
      <c r="A3531" s="7">
        <v>2</v>
      </c>
      <c r="B3531" s="120" t="s">
        <v>1424</v>
      </c>
      <c r="C3531" s="129">
        <v>3</v>
      </c>
      <c r="D3531" s="7" t="s">
        <v>243</v>
      </c>
      <c r="E3531" s="130">
        <v>3234950</v>
      </c>
      <c r="F3531" s="130">
        <f>E3531*C3531</f>
        <v>9704850</v>
      </c>
      <c r="G3531" s="25"/>
      <c r="H3531" s="11"/>
      <c r="I3531" s="21"/>
      <c r="J3531" s="21"/>
      <c r="K3531" s="21"/>
      <c r="L3531" s="21"/>
      <c r="M3531" s="21"/>
      <c r="N3531" s="21"/>
    </row>
    <row r="3532" spans="1:14" ht="15.75" customHeight="1" x14ac:dyDescent="0.25">
      <c r="A3532" s="7">
        <v>3</v>
      </c>
      <c r="B3532" s="131" t="s">
        <v>1425</v>
      </c>
      <c r="C3532" s="129">
        <v>3</v>
      </c>
      <c r="D3532" s="7" t="s">
        <v>243</v>
      </c>
      <c r="E3532" s="130">
        <v>5912150</v>
      </c>
      <c r="F3532" s="130">
        <f>E3532*C3532</f>
        <v>17736450</v>
      </c>
      <c r="G3532" s="25"/>
      <c r="H3532" s="11"/>
      <c r="I3532" s="21"/>
      <c r="J3532" s="21"/>
      <c r="K3532" s="21"/>
      <c r="L3532" s="21"/>
      <c r="M3532" s="21"/>
      <c r="N3532" s="21"/>
    </row>
    <row r="3533" spans="1:14" ht="15.75" customHeight="1" x14ac:dyDescent="0.25">
      <c r="A3533" s="7">
        <v>4</v>
      </c>
      <c r="B3533" s="124" t="s">
        <v>1426</v>
      </c>
      <c r="C3533" s="129">
        <v>20</v>
      </c>
      <c r="D3533" s="7" t="s">
        <v>973</v>
      </c>
      <c r="E3533" s="130">
        <v>773575</v>
      </c>
      <c r="F3533" s="130">
        <f>E3533*C3533</f>
        <v>15471500</v>
      </c>
      <c r="G3533" s="25"/>
      <c r="H3533" s="11"/>
      <c r="I3533" s="21"/>
      <c r="J3533" s="21"/>
      <c r="K3533" s="21"/>
      <c r="L3533" s="21"/>
      <c r="M3533" s="21"/>
      <c r="N3533" s="21"/>
    </row>
    <row r="3534" spans="1:14" ht="15.75" customHeight="1" x14ac:dyDescent="0.25">
      <c r="A3534" s="7">
        <v>5</v>
      </c>
      <c r="B3534" s="124" t="s">
        <v>1427</v>
      </c>
      <c r="C3534" s="129">
        <v>18</v>
      </c>
      <c r="D3534" s="7" t="s">
        <v>973</v>
      </c>
      <c r="E3534" s="130">
        <v>5398050</v>
      </c>
      <c r="F3534" s="130">
        <f>E3534*C3534</f>
        <v>97164900</v>
      </c>
      <c r="G3534" s="25"/>
      <c r="H3534" s="11"/>
      <c r="I3534" s="21"/>
      <c r="J3534" s="21"/>
      <c r="K3534" s="21"/>
      <c r="L3534" s="21"/>
      <c r="M3534" s="21"/>
      <c r="N3534" s="21"/>
    </row>
    <row r="3535" spans="1:14" ht="15.75" customHeight="1" x14ac:dyDescent="0.25">
      <c r="A3535" s="7"/>
      <c r="B3535" s="343" t="s">
        <v>342</v>
      </c>
      <c r="C3535" s="344"/>
      <c r="D3535" s="344"/>
      <c r="E3535" s="334"/>
      <c r="F3535" s="104">
        <f>SUM(F3530:F3534)</f>
        <v>185328200</v>
      </c>
      <c r="G3535" s="25"/>
      <c r="H3535" s="11"/>
      <c r="I3535" s="21"/>
      <c r="J3535" s="21"/>
      <c r="K3535" s="21"/>
      <c r="L3535" s="21"/>
      <c r="M3535" s="21"/>
      <c r="N3535" s="21"/>
    </row>
    <row r="3536" spans="1:14" ht="15.75" customHeight="1" x14ac:dyDescent="0.25">
      <c r="A3536" s="7"/>
      <c r="B3536" s="345" t="s">
        <v>1327</v>
      </c>
      <c r="C3536" s="344"/>
      <c r="D3536" s="344"/>
      <c r="E3536" s="334"/>
      <c r="F3536" s="107">
        <v>18532820</v>
      </c>
      <c r="G3536" s="25"/>
      <c r="H3536" s="11"/>
      <c r="I3536" s="21"/>
      <c r="J3536" s="21"/>
      <c r="K3536" s="21"/>
      <c r="L3536" s="21"/>
      <c r="M3536" s="21"/>
      <c r="N3536" s="21"/>
    </row>
    <row r="3537" spans="1:14" ht="15.75" customHeight="1" x14ac:dyDescent="0.25">
      <c r="A3537" s="7"/>
      <c r="B3537" s="343" t="s">
        <v>343</v>
      </c>
      <c r="C3537" s="344"/>
      <c r="D3537" s="344"/>
      <c r="E3537" s="334"/>
      <c r="F3537" s="104">
        <v>2038610</v>
      </c>
      <c r="G3537" s="25"/>
      <c r="H3537" s="11"/>
      <c r="I3537" s="21"/>
      <c r="J3537" s="21"/>
      <c r="K3537" s="21"/>
      <c r="L3537" s="21"/>
      <c r="M3537" s="21"/>
      <c r="N3537" s="21"/>
    </row>
    <row r="3538" spans="1:14" ht="15.75" customHeight="1" x14ac:dyDescent="0.25">
      <c r="A3538" s="7"/>
      <c r="B3538" s="345" t="s">
        <v>344</v>
      </c>
      <c r="C3538" s="344"/>
      <c r="D3538" s="344"/>
      <c r="E3538" s="334"/>
      <c r="F3538" s="107">
        <f>SUM(F3536:F3537)</f>
        <v>20571430</v>
      </c>
      <c r="G3538" s="25"/>
      <c r="H3538" s="11"/>
      <c r="I3538" s="21"/>
      <c r="J3538" s="21"/>
      <c r="K3538" s="21"/>
      <c r="L3538" s="21"/>
      <c r="M3538" s="21"/>
      <c r="N3538" s="21"/>
    </row>
    <row r="3539" spans="1:14" ht="15.75" customHeight="1" x14ac:dyDescent="0.25">
      <c r="A3539" s="21"/>
      <c r="B3539" s="21"/>
      <c r="C3539" s="11"/>
      <c r="D3539" s="11"/>
      <c r="E3539" s="21"/>
      <c r="F3539" s="21"/>
      <c r="G3539" s="25"/>
      <c r="H3539" s="11"/>
      <c r="I3539" s="21"/>
      <c r="J3539" s="21"/>
      <c r="K3539" s="21"/>
      <c r="L3539" s="21"/>
      <c r="M3539" s="21"/>
      <c r="N3539" s="21"/>
    </row>
    <row r="3540" spans="1:14" ht="15.75" customHeight="1" x14ac:dyDescent="0.25">
      <c r="A3540" s="31" t="s">
        <v>14</v>
      </c>
      <c r="B3540" s="31" t="s">
        <v>234</v>
      </c>
      <c r="C3540" s="31" t="s">
        <v>16</v>
      </c>
      <c r="D3540" s="31" t="s">
        <v>17</v>
      </c>
      <c r="E3540" s="31" t="s">
        <v>235</v>
      </c>
      <c r="F3540" s="31" t="s">
        <v>236</v>
      </c>
      <c r="G3540" s="25"/>
      <c r="H3540" s="11"/>
      <c r="I3540" s="21"/>
      <c r="J3540" s="21"/>
      <c r="K3540" s="21"/>
      <c r="L3540" s="21"/>
      <c r="M3540" s="21"/>
      <c r="N3540" s="21"/>
    </row>
    <row r="3541" spans="1:14" ht="15.75" customHeight="1" x14ac:dyDescent="0.25">
      <c r="A3541" s="7">
        <v>1</v>
      </c>
      <c r="B3541" s="124" t="s">
        <v>1428</v>
      </c>
      <c r="C3541" s="129">
        <v>4</v>
      </c>
      <c r="D3541" s="7" t="s">
        <v>19</v>
      </c>
      <c r="E3541" s="130">
        <v>6416550</v>
      </c>
      <c r="F3541" s="130">
        <f t="shared" ref="F3541:F3546" si="39">E3541*C3541</f>
        <v>25666200</v>
      </c>
      <c r="G3541" s="25"/>
      <c r="H3541" s="11"/>
      <c r="I3541" s="21"/>
      <c r="J3541" s="21"/>
      <c r="K3541" s="21"/>
      <c r="L3541" s="21"/>
      <c r="M3541" s="21"/>
      <c r="N3541" s="21"/>
    </row>
    <row r="3542" spans="1:14" ht="15.75" customHeight="1" x14ac:dyDescent="0.25">
      <c r="A3542" s="7">
        <v>2</v>
      </c>
      <c r="B3542" s="120" t="s">
        <v>1429</v>
      </c>
      <c r="C3542" s="129">
        <v>60</v>
      </c>
      <c r="D3542" s="7" t="s">
        <v>19</v>
      </c>
      <c r="E3542" s="130">
        <v>26966</v>
      </c>
      <c r="F3542" s="130">
        <f t="shared" si="39"/>
        <v>1617960</v>
      </c>
      <c r="G3542" s="25"/>
      <c r="H3542" s="11"/>
      <c r="I3542" s="21"/>
      <c r="J3542" s="21"/>
      <c r="K3542" s="21"/>
      <c r="L3542" s="21"/>
      <c r="M3542" s="21"/>
      <c r="N3542" s="21"/>
    </row>
    <row r="3543" spans="1:14" ht="15.75" customHeight="1" x14ac:dyDescent="0.25">
      <c r="A3543" s="7">
        <v>3</v>
      </c>
      <c r="B3543" s="131" t="s">
        <v>1430</v>
      </c>
      <c r="C3543" s="129">
        <v>1</v>
      </c>
      <c r="D3543" s="7" t="s">
        <v>973</v>
      </c>
      <c r="E3543" s="130">
        <v>73235</v>
      </c>
      <c r="F3543" s="130">
        <f t="shared" si="39"/>
        <v>73235</v>
      </c>
      <c r="G3543" s="25"/>
      <c r="H3543" s="11"/>
      <c r="I3543" s="21"/>
      <c r="J3543" s="21"/>
      <c r="K3543" s="21"/>
      <c r="L3543" s="21"/>
      <c r="M3543" s="21"/>
      <c r="N3543" s="21"/>
    </row>
    <row r="3544" spans="1:14" ht="15.75" customHeight="1" x14ac:dyDescent="0.25">
      <c r="A3544" s="7">
        <v>4</v>
      </c>
      <c r="B3544" s="124" t="s">
        <v>1431</v>
      </c>
      <c r="C3544" s="129">
        <v>1</v>
      </c>
      <c r="D3544" s="7" t="s">
        <v>243</v>
      </c>
      <c r="E3544" s="130">
        <v>120280</v>
      </c>
      <c r="F3544" s="130">
        <f t="shared" si="39"/>
        <v>120280</v>
      </c>
      <c r="G3544" s="25"/>
      <c r="H3544" s="11"/>
      <c r="I3544" s="21"/>
      <c r="J3544" s="21"/>
      <c r="K3544" s="21"/>
      <c r="L3544" s="21"/>
      <c r="M3544" s="21"/>
      <c r="N3544" s="21"/>
    </row>
    <row r="3545" spans="1:14" ht="15.75" customHeight="1" x14ac:dyDescent="0.25">
      <c r="A3545" s="7">
        <v>5</v>
      </c>
      <c r="B3545" s="124" t="s">
        <v>1432</v>
      </c>
      <c r="C3545" s="129">
        <v>4</v>
      </c>
      <c r="D3545" s="7" t="s">
        <v>19</v>
      </c>
      <c r="E3545" s="130">
        <v>33950</v>
      </c>
      <c r="F3545" s="130">
        <f t="shared" si="39"/>
        <v>135800</v>
      </c>
      <c r="G3545" s="25"/>
      <c r="H3545" s="11"/>
      <c r="I3545" s="21"/>
      <c r="J3545" s="21"/>
      <c r="K3545" s="21"/>
      <c r="L3545" s="21"/>
      <c r="M3545" s="21"/>
      <c r="N3545" s="21"/>
    </row>
    <row r="3546" spans="1:14" ht="15.75" customHeight="1" x14ac:dyDescent="0.25">
      <c r="A3546" s="7">
        <v>6</v>
      </c>
      <c r="B3546" s="124" t="s">
        <v>1433</v>
      </c>
      <c r="C3546" s="129">
        <v>8</v>
      </c>
      <c r="D3546" s="7" t="s">
        <v>19</v>
      </c>
      <c r="E3546" s="130">
        <v>43650</v>
      </c>
      <c r="F3546" s="130">
        <f t="shared" si="39"/>
        <v>349200</v>
      </c>
      <c r="G3546" s="25"/>
      <c r="H3546" s="11"/>
      <c r="I3546" s="21"/>
      <c r="J3546" s="21"/>
      <c r="K3546" s="21"/>
      <c r="L3546" s="21"/>
      <c r="M3546" s="21"/>
      <c r="N3546" s="21"/>
    </row>
    <row r="3547" spans="1:14" ht="15.75" customHeight="1" x14ac:dyDescent="0.25">
      <c r="A3547" s="7"/>
      <c r="B3547" s="343" t="s">
        <v>342</v>
      </c>
      <c r="C3547" s="344"/>
      <c r="D3547" s="344"/>
      <c r="E3547" s="334"/>
      <c r="F3547" s="104">
        <f>SUM(F3541:F3546)</f>
        <v>27962675</v>
      </c>
      <c r="G3547" s="25"/>
      <c r="H3547" s="11"/>
      <c r="I3547" s="21"/>
      <c r="J3547" s="21"/>
      <c r="K3547" s="21"/>
      <c r="L3547" s="21"/>
      <c r="M3547" s="21"/>
      <c r="N3547" s="21"/>
    </row>
    <row r="3548" spans="1:14" ht="15.75" customHeight="1" x14ac:dyDescent="0.25">
      <c r="A3548" s="7"/>
      <c r="B3548" s="345" t="s">
        <v>1327</v>
      </c>
      <c r="C3548" s="344"/>
      <c r="D3548" s="344"/>
      <c r="E3548" s="334"/>
      <c r="F3548" s="107">
        <v>2796267.5</v>
      </c>
      <c r="G3548" s="25"/>
      <c r="H3548" s="11"/>
      <c r="I3548" s="21"/>
      <c r="J3548" s="21"/>
      <c r="K3548" s="21"/>
      <c r="L3548" s="21"/>
      <c r="M3548" s="21"/>
      <c r="N3548" s="21"/>
    </row>
    <row r="3549" spans="1:14" ht="15.75" customHeight="1" x14ac:dyDescent="0.25">
      <c r="A3549" s="7"/>
      <c r="B3549" s="343" t="s">
        <v>343</v>
      </c>
      <c r="C3549" s="344"/>
      <c r="D3549" s="344"/>
      <c r="E3549" s="334"/>
      <c r="F3549" s="104">
        <v>307589.48</v>
      </c>
      <c r="G3549" s="25"/>
      <c r="H3549" s="11"/>
      <c r="I3549" s="21"/>
      <c r="J3549" s="21"/>
      <c r="K3549" s="21"/>
      <c r="L3549" s="21"/>
      <c r="M3549" s="21"/>
      <c r="N3549" s="21"/>
    </row>
    <row r="3550" spans="1:14" ht="15.75" customHeight="1" x14ac:dyDescent="0.25">
      <c r="A3550" s="7"/>
      <c r="B3550" s="345" t="s">
        <v>344</v>
      </c>
      <c r="C3550" s="344"/>
      <c r="D3550" s="344"/>
      <c r="E3550" s="334"/>
      <c r="F3550" s="107">
        <f>SUM(F3548:F3549)</f>
        <v>3103856.98</v>
      </c>
      <c r="G3550" s="25"/>
      <c r="H3550" s="11"/>
      <c r="I3550" s="21"/>
      <c r="J3550" s="21"/>
      <c r="K3550" s="21"/>
      <c r="L3550" s="21"/>
      <c r="M3550" s="21"/>
      <c r="N3550" s="21"/>
    </row>
    <row r="3551" spans="1:14" ht="15.75" customHeight="1" x14ac:dyDescent="0.25">
      <c r="A3551" s="21"/>
      <c r="B3551" s="21"/>
      <c r="C3551" s="11"/>
      <c r="D3551" s="11"/>
      <c r="E3551" s="21"/>
      <c r="F3551" s="21"/>
      <c r="G3551" s="25"/>
      <c r="H3551" s="11"/>
      <c r="I3551" s="21"/>
      <c r="J3551" s="21"/>
      <c r="K3551" s="21"/>
      <c r="L3551" s="21"/>
      <c r="M3551" s="21"/>
      <c r="N3551" s="21"/>
    </row>
    <row r="3552" spans="1:14" ht="15.75" customHeight="1" x14ac:dyDescent="0.25">
      <c r="A3552" s="31" t="s">
        <v>14</v>
      </c>
      <c r="B3552" s="31" t="s">
        <v>234</v>
      </c>
      <c r="C3552" s="31" t="s">
        <v>16</v>
      </c>
      <c r="D3552" s="31" t="s">
        <v>17</v>
      </c>
      <c r="E3552" s="31" t="s">
        <v>235</v>
      </c>
      <c r="F3552" s="31" t="s">
        <v>236</v>
      </c>
      <c r="G3552" s="25"/>
      <c r="H3552" s="11"/>
      <c r="I3552" s="21"/>
      <c r="J3552" s="21"/>
      <c r="K3552" s="21"/>
      <c r="L3552" s="21"/>
      <c r="M3552" s="21"/>
      <c r="N3552" s="21"/>
    </row>
    <row r="3553" spans="1:14" ht="15.75" customHeight="1" x14ac:dyDescent="0.25">
      <c r="A3553" s="7">
        <v>1</v>
      </c>
      <c r="B3553" s="41" t="s">
        <v>1434</v>
      </c>
      <c r="C3553" s="129">
        <v>3</v>
      </c>
      <c r="D3553" s="7" t="s">
        <v>363</v>
      </c>
      <c r="E3553" s="130">
        <v>128500</v>
      </c>
      <c r="F3553" s="130">
        <f>E3553*C3553</f>
        <v>385500</v>
      </c>
      <c r="G3553" s="25"/>
      <c r="H3553" s="11"/>
      <c r="I3553" s="21"/>
      <c r="J3553" s="21"/>
      <c r="K3553" s="21"/>
      <c r="L3553" s="21"/>
      <c r="M3553" s="21"/>
      <c r="N3553" s="21"/>
    </row>
    <row r="3554" spans="1:14" ht="15.75" customHeight="1" x14ac:dyDescent="0.25">
      <c r="A3554" s="7">
        <v>2</v>
      </c>
      <c r="B3554" s="41" t="s">
        <v>1435</v>
      </c>
      <c r="C3554" s="129">
        <v>3</v>
      </c>
      <c r="D3554" s="7" t="s">
        <v>353</v>
      </c>
      <c r="E3554" s="130">
        <v>335500</v>
      </c>
      <c r="F3554" s="130">
        <f>E3554*C3554</f>
        <v>1006500</v>
      </c>
      <c r="G3554" s="25"/>
      <c r="H3554" s="11"/>
      <c r="I3554" s="21"/>
      <c r="J3554" s="21"/>
      <c r="K3554" s="21"/>
      <c r="L3554" s="21"/>
      <c r="M3554" s="21"/>
      <c r="N3554" s="21"/>
    </row>
    <row r="3555" spans="1:14" ht="15.75" customHeight="1" x14ac:dyDescent="0.25">
      <c r="A3555" s="7">
        <v>3</v>
      </c>
      <c r="B3555" s="41" t="s">
        <v>1436</v>
      </c>
      <c r="C3555" s="129">
        <v>2</v>
      </c>
      <c r="D3555" s="7" t="s">
        <v>363</v>
      </c>
      <c r="E3555" s="130">
        <v>225500</v>
      </c>
      <c r="F3555" s="130">
        <f>E3555*C3555</f>
        <v>451000</v>
      </c>
      <c r="G3555" s="25"/>
      <c r="H3555" s="11"/>
      <c r="I3555" s="21"/>
      <c r="J3555" s="21"/>
      <c r="K3555" s="21"/>
      <c r="L3555" s="21"/>
      <c r="M3555" s="21"/>
      <c r="N3555" s="21"/>
    </row>
    <row r="3556" spans="1:14" ht="15.75" customHeight="1" x14ac:dyDescent="0.25">
      <c r="A3556" s="7">
        <v>4</v>
      </c>
      <c r="B3556" s="41" t="s">
        <v>1437</v>
      </c>
      <c r="C3556" s="129">
        <v>2</v>
      </c>
      <c r="D3556" s="7" t="s">
        <v>363</v>
      </c>
      <c r="E3556" s="130">
        <v>198800</v>
      </c>
      <c r="F3556" s="130">
        <f>E3556*C3556</f>
        <v>397600</v>
      </c>
      <c r="G3556" s="25"/>
      <c r="H3556" s="11"/>
      <c r="I3556" s="21"/>
      <c r="J3556" s="21"/>
      <c r="K3556" s="21"/>
      <c r="L3556" s="21"/>
      <c r="M3556" s="21"/>
      <c r="N3556" s="21"/>
    </row>
    <row r="3557" spans="1:14" ht="15.75" customHeight="1" x14ac:dyDescent="0.25">
      <c r="A3557" s="7"/>
      <c r="B3557" s="343" t="s">
        <v>342</v>
      </c>
      <c r="C3557" s="344"/>
      <c r="D3557" s="344"/>
      <c r="E3557" s="334"/>
      <c r="F3557" s="104">
        <f>SUM(F3553:F3556)</f>
        <v>2240600</v>
      </c>
      <c r="G3557" s="25"/>
      <c r="H3557" s="11"/>
      <c r="I3557" s="21"/>
      <c r="J3557" s="21"/>
      <c r="K3557" s="21"/>
      <c r="L3557" s="21"/>
      <c r="M3557" s="21"/>
      <c r="N3557" s="21"/>
    </row>
    <row r="3558" spans="1:14" ht="15.75" customHeight="1" x14ac:dyDescent="0.25">
      <c r="A3558" s="7"/>
      <c r="B3558" s="343" t="s">
        <v>343</v>
      </c>
      <c r="C3558" s="344"/>
      <c r="D3558" s="344"/>
      <c r="E3558" s="334"/>
      <c r="F3558" s="104">
        <v>246466</v>
      </c>
      <c r="G3558" s="25"/>
      <c r="H3558" s="11"/>
      <c r="I3558" s="21"/>
      <c r="J3558" s="21"/>
      <c r="K3558" s="21"/>
      <c r="L3558" s="21"/>
      <c r="M3558" s="21"/>
      <c r="N3558" s="21"/>
    </row>
    <row r="3559" spans="1:14" ht="15.75" customHeight="1" x14ac:dyDescent="0.25">
      <c r="A3559" s="7"/>
      <c r="B3559" s="345" t="s">
        <v>344</v>
      </c>
      <c r="C3559" s="344"/>
      <c r="D3559" s="344"/>
      <c r="E3559" s="334"/>
      <c r="F3559" s="107">
        <f>SUM(F3557:F3558)</f>
        <v>2487066</v>
      </c>
      <c r="G3559" s="25"/>
      <c r="H3559" s="11"/>
      <c r="I3559" s="21"/>
      <c r="J3559" s="21"/>
      <c r="K3559" s="21"/>
      <c r="L3559" s="21"/>
      <c r="M3559" s="21"/>
      <c r="N3559" s="21"/>
    </row>
    <row r="3560" spans="1:14" ht="15.75" customHeight="1" x14ac:dyDescent="0.25">
      <c r="A3560" s="21"/>
      <c r="B3560" s="21"/>
      <c r="C3560" s="11"/>
      <c r="D3560" s="11"/>
      <c r="E3560" s="21"/>
      <c r="F3560" s="21"/>
      <c r="G3560" s="25"/>
      <c r="H3560" s="11"/>
      <c r="I3560" s="21"/>
      <c r="J3560" s="21"/>
      <c r="K3560" s="21"/>
      <c r="L3560" s="21"/>
      <c r="M3560" s="21"/>
      <c r="N3560" s="21"/>
    </row>
    <row r="3561" spans="1:14" ht="15.75" customHeight="1" x14ac:dyDescent="0.25">
      <c r="A3561" s="31" t="s">
        <v>14</v>
      </c>
      <c r="B3561" s="31" t="s">
        <v>234</v>
      </c>
      <c r="C3561" s="31" t="s">
        <v>16</v>
      </c>
      <c r="D3561" s="31" t="s">
        <v>17</v>
      </c>
      <c r="E3561" s="31" t="s">
        <v>235</v>
      </c>
      <c r="F3561" s="31" t="s">
        <v>236</v>
      </c>
      <c r="G3561" s="25"/>
      <c r="H3561" s="11"/>
      <c r="I3561" s="21"/>
      <c r="J3561" s="21"/>
      <c r="K3561" s="21"/>
      <c r="L3561" s="21"/>
      <c r="M3561" s="21"/>
      <c r="N3561" s="21"/>
    </row>
    <row r="3562" spans="1:14" ht="15.75" customHeight="1" x14ac:dyDescent="0.25">
      <c r="A3562" s="7">
        <v>1</v>
      </c>
      <c r="B3562" s="155" t="s">
        <v>1438</v>
      </c>
      <c r="C3562" s="129">
        <v>2</v>
      </c>
      <c r="D3562" s="7" t="s">
        <v>19</v>
      </c>
      <c r="E3562" s="130">
        <v>28665</v>
      </c>
      <c r="F3562" s="130">
        <f>E3562*C3562</f>
        <v>57330</v>
      </c>
      <c r="G3562" s="25"/>
      <c r="H3562" s="11"/>
      <c r="I3562" s="21"/>
      <c r="J3562" s="21"/>
      <c r="K3562" s="21"/>
      <c r="L3562" s="21"/>
      <c r="M3562" s="21"/>
      <c r="N3562" s="21"/>
    </row>
    <row r="3563" spans="1:14" ht="15.75" customHeight="1" x14ac:dyDescent="0.25">
      <c r="A3563" s="7"/>
      <c r="B3563" s="343" t="s">
        <v>342</v>
      </c>
      <c r="C3563" s="344"/>
      <c r="D3563" s="344"/>
      <c r="E3563" s="334"/>
      <c r="F3563" s="104">
        <f>SUM(F3562)</f>
        <v>57330</v>
      </c>
      <c r="G3563" s="25"/>
      <c r="H3563" s="11"/>
      <c r="I3563" s="21"/>
      <c r="J3563" s="21"/>
      <c r="K3563" s="21"/>
      <c r="L3563" s="21"/>
      <c r="M3563" s="21"/>
      <c r="N3563" s="21"/>
    </row>
    <row r="3564" spans="1:14" ht="15.75" customHeight="1" x14ac:dyDescent="0.25">
      <c r="A3564" s="7"/>
      <c r="B3564" s="343" t="s">
        <v>343</v>
      </c>
      <c r="C3564" s="344"/>
      <c r="D3564" s="344"/>
      <c r="E3564" s="334"/>
      <c r="F3564" s="104">
        <v>6306</v>
      </c>
      <c r="G3564" s="25"/>
      <c r="H3564" s="11"/>
      <c r="I3564" s="21"/>
      <c r="J3564" s="21"/>
      <c r="K3564" s="21"/>
      <c r="L3564" s="21"/>
      <c r="M3564" s="21"/>
      <c r="N3564" s="21"/>
    </row>
    <row r="3565" spans="1:14" ht="15.75" customHeight="1" x14ac:dyDescent="0.25">
      <c r="A3565" s="7"/>
      <c r="B3565" s="345" t="s">
        <v>344</v>
      </c>
      <c r="C3565" s="344"/>
      <c r="D3565" s="344"/>
      <c r="E3565" s="334"/>
      <c r="F3565" s="107">
        <f>SUM(F3563:F3564)</f>
        <v>63636</v>
      </c>
      <c r="G3565" s="25"/>
      <c r="H3565" s="11"/>
      <c r="I3565" s="21"/>
      <c r="J3565" s="21"/>
      <c r="K3565" s="21"/>
      <c r="L3565" s="21"/>
      <c r="M3565" s="21"/>
      <c r="N3565" s="21"/>
    </row>
    <row r="3566" spans="1:14" ht="15.75" customHeight="1" x14ac:dyDescent="0.25">
      <c r="A3566" s="21"/>
      <c r="B3566" s="21"/>
      <c r="C3566" s="11"/>
      <c r="D3566" s="11"/>
      <c r="E3566" s="21"/>
      <c r="F3566" s="21"/>
      <c r="G3566" s="25"/>
      <c r="H3566" s="11"/>
      <c r="I3566" s="21"/>
      <c r="J3566" s="21"/>
      <c r="K3566" s="21"/>
      <c r="L3566" s="21"/>
      <c r="M3566" s="21"/>
      <c r="N3566" s="21"/>
    </row>
    <row r="3567" spans="1:14" ht="15.75" customHeight="1" x14ac:dyDescent="0.25">
      <c r="A3567" s="31" t="s">
        <v>14</v>
      </c>
      <c r="B3567" s="31" t="s">
        <v>234</v>
      </c>
      <c r="C3567" s="31" t="s">
        <v>16</v>
      </c>
      <c r="D3567" s="31" t="s">
        <v>17</v>
      </c>
      <c r="E3567" s="31" t="s">
        <v>235</v>
      </c>
      <c r="F3567" s="31" t="s">
        <v>236</v>
      </c>
      <c r="G3567" s="25"/>
      <c r="H3567" s="11"/>
      <c r="I3567" s="21"/>
      <c r="J3567" s="21"/>
      <c r="K3567" s="21"/>
      <c r="L3567" s="21"/>
      <c r="M3567" s="21"/>
      <c r="N3567" s="21"/>
    </row>
    <row r="3568" spans="1:14" ht="15.75" customHeight="1" x14ac:dyDescent="0.25">
      <c r="A3568" s="7">
        <v>1</v>
      </c>
      <c r="B3568" s="155" t="s">
        <v>1439</v>
      </c>
      <c r="C3568" s="129">
        <v>10</v>
      </c>
      <c r="D3568" s="7" t="s">
        <v>243</v>
      </c>
      <c r="E3568" s="130">
        <v>795625</v>
      </c>
      <c r="F3568" s="130">
        <f>E3568*C3568</f>
        <v>7956250</v>
      </c>
      <c r="G3568" s="25"/>
      <c r="H3568" s="11"/>
      <c r="I3568" s="21"/>
      <c r="J3568" s="21"/>
      <c r="K3568" s="21"/>
      <c r="L3568" s="21"/>
      <c r="M3568" s="21"/>
      <c r="N3568" s="21"/>
    </row>
    <row r="3569" spans="1:14" ht="15.75" customHeight="1" x14ac:dyDescent="0.25">
      <c r="A3569" s="7"/>
      <c r="B3569" s="343" t="s">
        <v>342</v>
      </c>
      <c r="C3569" s="344"/>
      <c r="D3569" s="344"/>
      <c r="E3569" s="334"/>
      <c r="F3569" s="104">
        <f>SUM(F3568)</f>
        <v>7956250</v>
      </c>
      <c r="G3569" s="25"/>
      <c r="H3569" s="11"/>
      <c r="I3569" s="21"/>
      <c r="J3569" s="21"/>
      <c r="K3569" s="21"/>
      <c r="L3569" s="21"/>
      <c r="M3569" s="21"/>
      <c r="N3569" s="21"/>
    </row>
    <row r="3570" spans="1:14" ht="15.75" customHeight="1" x14ac:dyDescent="0.25">
      <c r="A3570" s="7"/>
      <c r="B3570" s="343" t="s">
        <v>343</v>
      </c>
      <c r="C3570" s="344"/>
      <c r="D3570" s="344"/>
      <c r="E3570" s="334"/>
      <c r="F3570" s="104">
        <v>875187.5</v>
      </c>
      <c r="G3570" s="25"/>
      <c r="H3570" s="11"/>
      <c r="I3570" s="21"/>
      <c r="J3570" s="21"/>
      <c r="K3570" s="21"/>
      <c r="L3570" s="21"/>
      <c r="M3570" s="21"/>
      <c r="N3570" s="21"/>
    </row>
    <row r="3571" spans="1:14" ht="15.75" customHeight="1" x14ac:dyDescent="0.25">
      <c r="A3571" s="7"/>
      <c r="B3571" s="345" t="s">
        <v>344</v>
      </c>
      <c r="C3571" s="344"/>
      <c r="D3571" s="344"/>
      <c r="E3571" s="334"/>
      <c r="F3571" s="107">
        <f>SUM(F3569:F3570)</f>
        <v>8831437.5</v>
      </c>
      <c r="G3571" s="25"/>
      <c r="H3571" s="11"/>
      <c r="I3571" s="21"/>
      <c r="J3571" s="21"/>
      <c r="K3571" s="21"/>
      <c r="L3571" s="21"/>
      <c r="M3571" s="21"/>
      <c r="N3571" s="21"/>
    </row>
    <row r="3572" spans="1:14" ht="15.75" customHeight="1" x14ac:dyDescent="0.25">
      <c r="A3572" s="21"/>
      <c r="B3572" s="21"/>
      <c r="C3572" s="11"/>
      <c r="D3572" s="11"/>
      <c r="E3572" s="21"/>
      <c r="F3572" s="21"/>
      <c r="G3572" s="25"/>
      <c r="H3572" s="11"/>
      <c r="I3572" s="21"/>
      <c r="J3572" s="21"/>
      <c r="K3572" s="21"/>
      <c r="L3572" s="21"/>
      <c r="M3572" s="21"/>
      <c r="N3572" s="21"/>
    </row>
    <row r="3573" spans="1:14" ht="15.75" customHeight="1" x14ac:dyDescent="0.25">
      <c r="A3573" s="31" t="s">
        <v>14</v>
      </c>
      <c r="B3573" s="31" t="s">
        <v>234</v>
      </c>
      <c r="C3573" s="31" t="s">
        <v>16</v>
      </c>
      <c r="D3573" s="31" t="s">
        <v>17</v>
      </c>
      <c r="E3573" s="31" t="s">
        <v>235</v>
      </c>
      <c r="F3573" s="31" t="s">
        <v>236</v>
      </c>
      <c r="G3573" s="25"/>
      <c r="H3573" s="11"/>
      <c r="I3573" s="21"/>
      <c r="J3573" s="21"/>
      <c r="K3573" s="21"/>
      <c r="L3573" s="21"/>
      <c r="M3573" s="21"/>
      <c r="N3573" s="21"/>
    </row>
    <row r="3574" spans="1:14" ht="15.75" customHeight="1" x14ac:dyDescent="0.25">
      <c r="A3574" s="7">
        <v>1</v>
      </c>
      <c r="B3574" s="156" t="s">
        <v>763</v>
      </c>
      <c r="C3574" s="158">
        <v>2</v>
      </c>
      <c r="D3574" s="7" t="s">
        <v>247</v>
      </c>
      <c r="E3574" s="104">
        <v>19500</v>
      </c>
      <c r="F3574" s="104">
        <f>E3574*C3574</f>
        <v>39000</v>
      </c>
      <c r="G3574" s="25"/>
      <c r="H3574" s="11"/>
      <c r="I3574" s="21"/>
      <c r="J3574" s="21"/>
      <c r="K3574" s="21"/>
      <c r="L3574" s="21"/>
      <c r="M3574" s="21"/>
      <c r="N3574" s="21"/>
    </row>
    <row r="3575" spans="1:14" ht="15.75" customHeight="1" x14ac:dyDescent="0.25">
      <c r="A3575" s="7">
        <v>2</v>
      </c>
      <c r="B3575" s="35" t="s">
        <v>763</v>
      </c>
      <c r="C3575" s="133">
        <v>2</v>
      </c>
      <c r="D3575" s="7" t="s">
        <v>247</v>
      </c>
      <c r="E3575" s="104">
        <v>19500</v>
      </c>
      <c r="F3575" s="104">
        <f>E3575*C3575</f>
        <v>39000</v>
      </c>
      <c r="G3575" s="25"/>
      <c r="H3575" s="11"/>
      <c r="I3575" s="21"/>
      <c r="J3575" s="21"/>
      <c r="K3575" s="21"/>
      <c r="L3575" s="21"/>
      <c r="M3575" s="21"/>
      <c r="N3575" s="21"/>
    </row>
    <row r="3576" spans="1:14" ht="15.75" customHeight="1" x14ac:dyDescent="0.25">
      <c r="A3576" s="7">
        <v>3</v>
      </c>
      <c r="B3576" s="41" t="s">
        <v>760</v>
      </c>
      <c r="C3576" s="151">
        <v>1</v>
      </c>
      <c r="D3576" s="133" t="s">
        <v>247</v>
      </c>
      <c r="E3576" s="104">
        <v>1741095</v>
      </c>
      <c r="F3576" s="104">
        <f>E3576*C3576</f>
        <v>1741095</v>
      </c>
      <c r="G3576" s="25"/>
      <c r="H3576" s="11"/>
      <c r="I3576" s="21"/>
      <c r="J3576" s="21"/>
      <c r="K3576" s="21"/>
      <c r="L3576" s="21"/>
      <c r="M3576" s="21"/>
      <c r="N3576" s="21"/>
    </row>
    <row r="3577" spans="1:14" ht="15.75" customHeight="1" x14ac:dyDescent="0.25">
      <c r="A3577" s="7"/>
      <c r="B3577" s="343" t="s">
        <v>342</v>
      </c>
      <c r="C3577" s="344"/>
      <c r="D3577" s="344"/>
      <c r="E3577" s="334"/>
      <c r="F3577" s="104">
        <f>SUM(F3574:F3576)</f>
        <v>1819095</v>
      </c>
      <c r="G3577" s="25"/>
      <c r="H3577" s="11"/>
      <c r="I3577" s="21"/>
      <c r="J3577" s="21"/>
      <c r="K3577" s="21"/>
      <c r="L3577" s="21"/>
      <c r="M3577" s="21"/>
      <c r="N3577" s="21"/>
    </row>
    <row r="3578" spans="1:14" ht="15.75" customHeight="1" x14ac:dyDescent="0.25">
      <c r="A3578" s="7"/>
      <c r="B3578" s="343" t="s">
        <v>343</v>
      </c>
      <c r="C3578" s="344"/>
      <c r="D3578" s="344"/>
      <c r="E3578" s="334"/>
      <c r="F3578" s="104">
        <v>200100</v>
      </c>
      <c r="G3578" s="25"/>
      <c r="H3578" s="11"/>
      <c r="I3578" s="21"/>
      <c r="J3578" s="21"/>
      <c r="K3578" s="21"/>
      <c r="L3578" s="21"/>
      <c r="M3578" s="21"/>
      <c r="N3578" s="21"/>
    </row>
    <row r="3579" spans="1:14" ht="15.75" customHeight="1" x14ac:dyDescent="0.25">
      <c r="A3579" s="7"/>
      <c r="B3579" s="345" t="s">
        <v>344</v>
      </c>
      <c r="C3579" s="344"/>
      <c r="D3579" s="344"/>
      <c r="E3579" s="334"/>
      <c r="F3579" s="107">
        <f>SUM(F3577:F3578)</f>
        <v>2019195</v>
      </c>
      <c r="G3579" s="25"/>
      <c r="H3579" s="11"/>
      <c r="I3579" s="21"/>
      <c r="J3579" s="21"/>
      <c r="K3579" s="21"/>
      <c r="L3579" s="21"/>
      <c r="M3579" s="21"/>
      <c r="N3579" s="21"/>
    </row>
    <row r="3580" spans="1:14" ht="15.75" customHeight="1" x14ac:dyDescent="0.25">
      <c r="A3580" s="21"/>
      <c r="B3580" s="21"/>
      <c r="C3580" s="11"/>
      <c r="D3580" s="11"/>
      <c r="E3580" s="21"/>
      <c r="F3580" s="21"/>
      <c r="G3580" s="25"/>
      <c r="H3580" s="11"/>
      <c r="I3580" s="21"/>
      <c r="J3580" s="21"/>
      <c r="K3580" s="21"/>
      <c r="L3580" s="21"/>
      <c r="M3580" s="21"/>
      <c r="N3580" s="21"/>
    </row>
    <row r="3581" spans="1:14" ht="15.75" customHeight="1" x14ac:dyDescent="0.25">
      <c r="A3581" s="31" t="s">
        <v>351</v>
      </c>
      <c r="B3581" s="31" t="s">
        <v>234</v>
      </c>
      <c r="C3581" s="31" t="s">
        <v>16</v>
      </c>
      <c r="D3581" s="31" t="s">
        <v>17</v>
      </c>
      <c r="E3581" s="31" t="s">
        <v>235</v>
      </c>
      <c r="F3581" s="31" t="s">
        <v>236</v>
      </c>
      <c r="G3581" s="25"/>
      <c r="H3581" s="11"/>
      <c r="I3581" s="21"/>
      <c r="J3581" s="21"/>
      <c r="K3581" s="21"/>
      <c r="L3581" s="21"/>
      <c r="M3581" s="21"/>
      <c r="N3581" s="21"/>
    </row>
    <row r="3582" spans="1:14" ht="15.75" customHeight="1" x14ac:dyDescent="0.25">
      <c r="A3582" s="7">
        <v>1</v>
      </c>
      <c r="B3582" s="41" t="s">
        <v>1440</v>
      </c>
      <c r="C3582" s="7">
        <v>60</v>
      </c>
      <c r="D3582" s="7" t="s">
        <v>363</v>
      </c>
      <c r="E3582" s="104">
        <v>15000</v>
      </c>
      <c r="F3582" s="104">
        <f>E3582*C3582</f>
        <v>900000</v>
      </c>
      <c r="G3582" s="25"/>
      <c r="H3582" s="11"/>
      <c r="I3582" s="21"/>
      <c r="J3582" s="21"/>
      <c r="K3582" s="21"/>
      <c r="L3582" s="21"/>
      <c r="M3582" s="21"/>
      <c r="N3582" s="21"/>
    </row>
    <row r="3583" spans="1:14" ht="15.75" customHeight="1" x14ac:dyDescent="0.25">
      <c r="A3583" s="7">
        <v>2</v>
      </c>
      <c r="B3583" s="41" t="s">
        <v>1441</v>
      </c>
      <c r="C3583" s="7">
        <v>3</v>
      </c>
      <c r="D3583" s="7" t="s">
        <v>363</v>
      </c>
      <c r="E3583" s="104">
        <v>200500</v>
      </c>
      <c r="F3583" s="104">
        <f>E3583*C3583</f>
        <v>601500</v>
      </c>
      <c r="G3583" s="25"/>
      <c r="H3583" s="11"/>
      <c r="I3583" s="21"/>
      <c r="J3583" s="21"/>
      <c r="K3583" s="21"/>
      <c r="L3583" s="21"/>
      <c r="M3583" s="21"/>
      <c r="N3583" s="21"/>
    </row>
    <row r="3584" spans="1:14" ht="15.75" customHeight="1" x14ac:dyDescent="0.25">
      <c r="A3584" s="7"/>
      <c r="B3584" s="343" t="s">
        <v>342</v>
      </c>
      <c r="C3584" s="344"/>
      <c r="D3584" s="344"/>
      <c r="E3584" s="334"/>
      <c r="F3584" s="104">
        <f>SUM(F3582:F3583)</f>
        <v>1501500</v>
      </c>
      <c r="G3584" s="25"/>
      <c r="H3584" s="11"/>
      <c r="I3584" s="21"/>
      <c r="J3584" s="21"/>
      <c r="K3584" s="21"/>
      <c r="L3584" s="21"/>
      <c r="M3584" s="21"/>
      <c r="N3584" s="21"/>
    </row>
    <row r="3585" spans="1:14" ht="15.75" customHeight="1" x14ac:dyDescent="0.25">
      <c r="A3585" s="7"/>
      <c r="B3585" s="343" t="s">
        <v>343</v>
      </c>
      <c r="C3585" s="344"/>
      <c r="D3585" s="344"/>
      <c r="E3585" s="334"/>
      <c r="F3585" s="104">
        <v>66165</v>
      </c>
      <c r="G3585" s="25"/>
      <c r="H3585" s="11"/>
      <c r="I3585" s="21"/>
      <c r="J3585" s="21"/>
      <c r="K3585" s="21"/>
      <c r="L3585" s="21"/>
      <c r="M3585" s="21"/>
      <c r="N3585" s="21"/>
    </row>
    <row r="3586" spans="1:14" ht="15.75" customHeight="1" x14ac:dyDescent="0.25">
      <c r="A3586" s="7"/>
      <c r="B3586" s="345" t="s">
        <v>344</v>
      </c>
      <c r="C3586" s="344"/>
      <c r="D3586" s="344"/>
      <c r="E3586" s="334"/>
      <c r="F3586" s="107">
        <f>SUM(F3584:F3585)</f>
        <v>1567665</v>
      </c>
      <c r="G3586" s="25"/>
      <c r="H3586" s="11"/>
      <c r="I3586" s="21"/>
      <c r="J3586" s="21"/>
      <c r="K3586" s="21"/>
      <c r="L3586" s="21"/>
      <c r="M3586" s="21"/>
      <c r="N3586" s="21"/>
    </row>
    <row r="3587" spans="1:14" ht="15.75" customHeight="1" x14ac:dyDescent="0.25">
      <c r="A3587" s="21"/>
      <c r="B3587" s="21"/>
      <c r="C3587" s="11"/>
      <c r="D3587" s="11"/>
      <c r="E3587" s="21"/>
      <c r="F3587" s="21"/>
      <c r="G3587" s="25"/>
      <c r="H3587" s="11"/>
      <c r="I3587" s="21"/>
      <c r="J3587" s="21"/>
      <c r="K3587" s="21"/>
      <c r="L3587" s="21"/>
      <c r="M3587" s="21"/>
      <c r="N3587" s="21"/>
    </row>
    <row r="3588" spans="1:14" ht="15.75" customHeight="1" x14ac:dyDescent="0.25">
      <c r="A3588" s="31" t="s">
        <v>14</v>
      </c>
      <c r="B3588" s="31" t="s">
        <v>234</v>
      </c>
      <c r="C3588" s="31" t="s">
        <v>16</v>
      </c>
      <c r="D3588" s="31" t="s">
        <v>17</v>
      </c>
      <c r="E3588" s="31" t="s">
        <v>235</v>
      </c>
      <c r="F3588" s="31" t="s">
        <v>236</v>
      </c>
      <c r="G3588" s="25"/>
      <c r="H3588" s="11"/>
      <c r="I3588" s="21"/>
      <c r="J3588" s="21"/>
      <c r="K3588" s="21"/>
      <c r="L3588" s="21"/>
      <c r="M3588" s="21"/>
      <c r="N3588" s="21"/>
    </row>
    <row r="3589" spans="1:14" ht="15.75" customHeight="1" x14ac:dyDescent="0.25">
      <c r="A3589" s="7">
        <v>1</v>
      </c>
      <c r="B3589" s="124" t="s">
        <v>1442</v>
      </c>
      <c r="C3589" s="158">
        <v>30</v>
      </c>
      <c r="D3589" s="7" t="s">
        <v>539</v>
      </c>
      <c r="E3589" s="104">
        <v>170000</v>
      </c>
      <c r="F3589" s="104">
        <f>E3589*C3589</f>
        <v>5100000</v>
      </c>
      <c r="G3589" s="25"/>
      <c r="H3589" s="11"/>
      <c r="I3589" s="21"/>
      <c r="J3589" s="21"/>
      <c r="K3589" s="21"/>
      <c r="L3589" s="21"/>
      <c r="M3589" s="21"/>
      <c r="N3589" s="21"/>
    </row>
    <row r="3590" spans="1:14" ht="15.75" customHeight="1" x14ac:dyDescent="0.25">
      <c r="A3590" s="7">
        <v>2</v>
      </c>
      <c r="B3590" s="124" t="s">
        <v>1443</v>
      </c>
      <c r="C3590" s="133">
        <v>30</v>
      </c>
      <c r="D3590" s="7" t="s">
        <v>539</v>
      </c>
      <c r="E3590" s="104">
        <v>221160</v>
      </c>
      <c r="F3590" s="104">
        <f>E3590*C3590</f>
        <v>6634800</v>
      </c>
      <c r="G3590" s="25"/>
      <c r="H3590" s="11"/>
      <c r="I3590" s="21"/>
      <c r="J3590" s="21"/>
      <c r="K3590" s="21"/>
      <c r="L3590" s="21"/>
      <c r="M3590" s="21"/>
      <c r="N3590" s="21"/>
    </row>
    <row r="3591" spans="1:14" ht="15.75" customHeight="1" x14ac:dyDescent="0.25">
      <c r="A3591" s="7">
        <v>3</v>
      </c>
      <c r="B3591" s="124" t="s">
        <v>994</v>
      </c>
      <c r="C3591" s="151">
        <v>1</v>
      </c>
      <c r="D3591" s="133" t="s">
        <v>19</v>
      </c>
      <c r="E3591" s="104">
        <v>1204255</v>
      </c>
      <c r="F3591" s="104">
        <f>E3591*C3591</f>
        <v>1204255</v>
      </c>
      <c r="G3591" s="25"/>
      <c r="H3591" s="11"/>
      <c r="I3591" s="21"/>
      <c r="J3591" s="21"/>
      <c r="K3591" s="21"/>
      <c r="L3591" s="21"/>
      <c r="M3591" s="21"/>
      <c r="N3591" s="21"/>
    </row>
    <row r="3592" spans="1:14" ht="15.75" customHeight="1" x14ac:dyDescent="0.25">
      <c r="A3592" s="7"/>
      <c r="B3592" s="343" t="s">
        <v>342</v>
      </c>
      <c r="C3592" s="344"/>
      <c r="D3592" s="344"/>
      <c r="E3592" s="334"/>
      <c r="F3592" s="104">
        <f>SUM(F3589:F3591)</f>
        <v>12939055</v>
      </c>
      <c r="G3592" s="25"/>
      <c r="H3592" s="11"/>
      <c r="I3592" s="21"/>
      <c r="J3592" s="21"/>
      <c r="K3592" s="21"/>
      <c r="L3592" s="21"/>
      <c r="M3592" s="21"/>
      <c r="N3592" s="21"/>
    </row>
    <row r="3593" spans="1:14" ht="15.75" customHeight="1" x14ac:dyDescent="0.25">
      <c r="A3593" s="7"/>
      <c r="B3593" s="343" t="s">
        <v>343</v>
      </c>
      <c r="C3593" s="344"/>
      <c r="D3593" s="344"/>
      <c r="E3593" s="334"/>
      <c r="F3593" s="108">
        <v>1423296.05</v>
      </c>
      <c r="G3593" s="25"/>
      <c r="H3593" s="11"/>
      <c r="I3593" s="21"/>
      <c r="J3593" s="21"/>
      <c r="K3593" s="21"/>
      <c r="L3593" s="21"/>
      <c r="M3593" s="21"/>
      <c r="N3593" s="21"/>
    </row>
    <row r="3594" spans="1:14" ht="15.75" customHeight="1" x14ac:dyDescent="0.25">
      <c r="A3594" s="7"/>
      <c r="B3594" s="345" t="s">
        <v>344</v>
      </c>
      <c r="C3594" s="344"/>
      <c r="D3594" s="344"/>
      <c r="E3594" s="334"/>
      <c r="F3594" s="109">
        <f>SUM(F3592:F3593)</f>
        <v>14362351.050000001</v>
      </c>
      <c r="G3594" s="25"/>
      <c r="H3594" s="11"/>
      <c r="I3594" s="21"/>
      <c r="J3594" s="21"/>
      <c r="K3594" s="21"/>
      <c r="L3594" s="21"/>
      <c r="M3594" s="21"/>
      <c r="N3594" s="21"/>
    </row>
    <row r="3595" spans="1:14" ht="15.75" customHeight="1" x14ac:dyDescent="0.25">
      <c r="A3595" s="21"/>
      <c r="B3595" s="21"/>
      <c r="C3595" s="11"/>
      <c r="D3595" s="11"/>
      <c r="E3595" s="21"/>
      <c r="F3595" s="21"/>
      <c r="G3595" s="25"/>
      <c r="H3595" s="11"/>
      <c r="I3595" s="21"/>
      <c r="J3595" s="21"/>
      <c r="K3595" s="21"/>
      <c r="L3595" s="21"/>
      <c r="M3595" s="21"/>
      <c r="N3595" s="21"/>
    </row>
    <row r="3596" spans="1:14" ht="15.75" customHeight="1" x14ac:dyDescent="0.25">
      <c r="A3596" s="31" t="s">
        <v>14</v>
      </c>
      <c r="B3596" s="31" t="s">
        <v>234</v>
      </c>
      <c r="C3596" s="31" t="s">
        <v>16</v>
      </c>
      <c r="D3596" s="31" t="s">
        <v>17</v>
      </c>
      <c r="E3596" s="31" t="s">
        <v>235</v>
      </c>
      <c r="F3596" s="31" t="s">
        <v>236</v>
      </c>
      <c r="G3596" s="25"/>
      <c r="H3596" s="11"/>
      <c r="I3596" s="21"/>
      <c r="J3596" s="21"/>
      <c r="K3596" s="21"/>
      <c r="L3596" s="21"/>
      <c r="M3596" s="21"/>
      <c r="N3596" s="21"/>
    </row>
    <row r="3597" spans="1:14" ht="15.75" customHeight="1" x14ac:dyDescent="0.25">
      <c r="A3597" s="7">
        <v>1</v>
      </c>
      <c r="B3597" s="155" t="s">
        <v>1444</v>
      </c>
      <c r="C3597" s="129">
        <v>1</v>
      </c>
      <c r="D3597" s="7" t="s">
        <v>243</v>
      </c>
      <c r="E3597" s="130">
        <v>1801290</v>
      </c>
      <c r="F3597" s="130">
        <f>C3597*E3597</f>
        <v>1801290</v>
      </c>
      <c r="G3597" s="25"/>
      <c r="H3597" s="11"/>
      <c r="I3597" s="21"/>
      <c r="J3597" s="21"/>
      <c r="K3597" s="21"/>
      <c r="L3597" s="21"/>
      <c r="M3597" s="21"/>
      <c r="N3597" s="21"/>
    </row>
    <row r="3598" spans="1:14" ht="15.75" customHeight="1" x14ac:dyDescent="0.25">
      <c r="A3598" s="7"/>
      <c r="B3598" s="343" t="s">
        <v>342</v>
      </c>
      <c r="C3598" s="344"/>
      <c r="D3598" s="344"/>
      <c r="E3598" s="334"/>
      <c r="F3598" s="104">
        <f>SUM(F3597)</f>
        <v>1801290</v>
      </c>
      <c r="G3598" s="25"/>
      <c r="H3598" s="11"/>
      <c r="I3598" s="21"/>
      <c r="J3598" s="21"/>
      <c r="K3598" s="21"/>
      <c r="L3598" s="21"/>
      <c r="M3598" s="21"/>
      <c r="N3598" s="21"/>
    </row>
    <row r="3599" spans="1:14" ht="15.75" customHeight="1" x14ac:dyDescent="0.25">
      <c r="A3599" s="7"/>
      <c r="B3599" s="343" t="s">
        <v>343</v>
      </c>
      <c r="C3599" s="344"/>
      <c r="D3599" s="344"/>
      <c r="E3599" s="334"/>
      <c r="F3599" s="108">
        <v>198141.9</v>
      </c>
      <c r="G3599" s="25"/>
      <c r="H3599" s="11"/>
      <c r="I3599" s="21"/>
      <c r="J3599" s="21"/>
      <c r="K3599" s="21"/>
      <c r="L3599" s="21"/>
      <c r="M3599" s="21"/>
      <c r="N3599" s="21"/>
    </row>
    <row r="3600" spans="1:14" ht="15.75" customHeight="1" x14ac:dyDescent="0.25">
      <c r="A3600" s="7"/>
      <c r="B3600" s="345" t="s">
        <v>344</v>
      </c>
      <c r="C3600" s="344"/>
      <c r="D3600" s="344"/>
      <c r="E3600" s="334"/>
      <c r="F3600" s="109">
        <f>SUM(F3598:F3599)</f>
        <v>1999431.9</v>
      </c>
      <c r="G3600" s="25"/>
      <c r="H3600" s="11"/>
      <c r="I3600" s="21"/>
      <c r="J3600" s="21"/>
      <c r="K3600" s="21"/>
      <c r="L3600" s="21"/>
      <c r="M3600" s="21"/>
      <c r="N3600" s="21"/>
    </row>
    <row r="3601" spans="1:14" ht="15.75" customHeight="1" x14ac:dyDescent="0.25">
      <c r="A3601" s="21"/>
      <c r="B3601" s="21"/>
      <c r="C3601" s="11"/>
      <c r="D3601" s="11"/>
      <c r="E3601" s="21"/>
      <c r="F3601" s="21"/>
      <c r="G3601" s="25"/>
      <c r="H3601" s="11"/>
      <c r="I3601" s="21"/>
      <c r="J3601" s="21"/>
      <c r="K3601" s="21"/>
      <c r="L3601" s="21"/>
      <c r="M3601" s="21"/>
      <c r="N3601" s="21"/>
    </row>
    <row r="3602" spans="1:14" ht="15.75" customHeight="1" x14ac:dyDescent="0.25">
      <c r="A3602" s="31" t="s">
        <v>14</v>
      </c>
      <c r="B3602" s="31" t="s">
        <v>234</v>
      </c>
      <c r="C3602" s="31" t="s">
        <v>16</v>
      </c>
      <c r="D3602" s="31" t="s">
        <v>17</v>
      </c>
      <c r="E3602" s="31" t="s">
        <v>235</v>
      </c>
      <c r="F3602" s="31" t="s">
        <v>236</v>
      </c>
      <c r="G3602" s="25"/>
      <c r="H3602" s="11"/>
      <c r="I3602" s="21"/>
      <c r="J3602" s="21"/>
      <c r="K3602" s="21"/>
      <c r="L3602" s="21"/>
      <c r="M3602" s="21"/>
      <c r="N3602" s="21"/>
    </row>
    <row r="3603" spans="1:14" ht="15.75" customHeight="1" x14ac:dyDescent="0.25">
      <c r="A3603" s="7">
        <v>1</v>
      </c>
      <c r="B3603" s="155" t="s">
        <v>1445</v>
      </c>
      <c r="C3603" s="129">
        <v>2</v>
      </c>
      <c r="D3603" s="7" t="s">
        <v>363</v>
      </c>
      <c r="E3603" s="130">
        <v>864500</v>
      </c>
      <c r="F3603" s="130">
        <f>E3603*C3603</f>
        <v>1729000</v>
      </c>
      <c r="G3603" s="25"/>
      <c r="H3603" s="11"/>
      <c r="I3603" s="21"/>
      <c r="J3603" s="21"/>
      <c r="K3603" s="21"/>
      <c r="L3603" s="21"/>
      <c r="M3603" s="21"/>
      <c r="N3603" s="21"/>
    </row>
    <row r="3604" spans="1:14" ht="15.75" customHeight="1" x14ac:dyDescent="0.25">
      <c r="A3604" s="7"/>
      <c r="B3604" s="343" t="s">
        <v>342</v>
      </c>
      <c r="C3604" s="344"/>
      <c r="D3604" s="344"/>
      <c r="E3604" s="334"/>
      <c r="F3604" s="104">
        <f>SUM(F3603)</f>
        <v>1729000</v>
      </c>
      <c r="G3604" s="25"/>
      <c r="H3604" s="11"/>
      <c r="I3604" s="21"/>
      <c r="J3604" s="21"/>
      <c r="K3604" s="21"/>
      <c r="L3604" s="21"/>
      <c r="M3604" s="21"/>
      <c r="N3604" s="21"/>
    </row>
    <row r="3605" spans="1:14" ht="15.75" customHeight="1" x14ac:dyDescent="0.25">
      <c r="A3605" s="7"/>
      <c r="B3605" s="343" t="s">
        <v>343</v>
      </c>
      <c r="C3605" s="344"/>
      <c r="D3605" s="344"/>
      <c r="E3605" s="334"/>
      <c r="F3605" s="104">
        <v>190190</v>
      </c>
      <c r="G3605" s="25"/>
      <c r="H3605" s="11"/>
      <c r="I3605" s="21"/>
      <c r="J3605" s="21"/>
      <c r="K3605" s="21"/>
      <c r="L3605" s="21"/>
      <c r="M3605" s="21"/>
      <c r="N3605" s="21"/>
    </row>
    <row r="3606" spans="1:14" ht="15.75" customHeight="1" x14ac:dyDescent="0.25">
      <c r="A3606" s="7"/>
      <c r="B3606" s="345" t="s">
        <v>344</v>
      </c>
      <c r="C3606" s="344"/>
      <c r="D3606" s="344"/>
      <c r="E3606" s="334"/>
      <c r="F3606" s="107">
        <f>SUM(F3604:F3605)</f>
        <v>1919190</v>
      </c>
      <c r="G3606" s="25"/>
      <c r="H3606" s="11"/>
      <c r="I3606" s="21"/>
      <c r="J3606" s="21"/>
      <c r="K3606" s="21"/>
      <c r="L3606" s="21"/>
      <c r="M3606" s="21"/>
      <c r="N3606" s="21"/>
    </row>
    <row r="3607" spans="1:14" ht="15.75" customHeight="1" x14ac:dyDescent="0.25">
      <c r="A3607" s="21"/>
      <c r="B3607" s="21"/>
      <c r="C3607" s="11"/>
      <c r="D3607" s="11"/>
      <c r="E3607" s="21"/>
      <c r="F3607" s="21"/>
      <c r="G3607" s="25"/>
      <c r="H3607" s="11"/>
      <c r="I3607" s="21"/>
      <c r="J3607" s="21"/>
      <c r="K3607" s="21"/>
      <c r="L3607" s="21"/>
      <c r="M3607" s="21"/>
      <c r="N3607" s="21"/>
    </row>
    <row r="3608" spans="1:14" ht="15.75" customHeight="1" x14ac:dyDescent="0.25">
      <c r="A3608" s="31" t="s">
        <v>14</v>
      </c>
      <c r="B3608" s="31" t="s">
        <v>234</v>
      </c>
      <c r="C3608" s="31" t="s">
        <v>16</v>
      </c>
      <c r="D3608" s="31" t="s">
        <v>17</v>
      </c>
      <c r="E3608" s="31" t="s">
        <v>235</v>
      </c>
      <c r="F3608" s="31" t="s">
        <v>236</v>
      </c>
      <c r="G3608" s="25"/>
      <c r="H3608" s="11"/>
      <c r="I3608" s="21"/>
      <c r="J3608" s="21"/>
      <c r="K3608" s="21"/>
      <c r="L3608" s="21"/>
      <c r="M3608" s="21"/>
      <c r="N3608" s="21"/>
    </row>
    <row r="3609" spans="1:14" ht="15.75" customHeight="1" x14ac:dyDescent="0.25">
      <c r="A3609" s="7">
        <v>1</v>
      </c>
      <c r="B3609" s="41" t="s">
        <v>1446</v>
      </c>
      <c r="C3609" s="158">
        <v>2</v>
      </c>
      <c r="D3609" s="7" t="s">
        <v>19</v>
      </c>
      <c r="E3609" s="104">
        <v>980000</v>
      </c>
      <c r="F3609" s="104">
        <f>E3609*C3609</f>
        <v>1960000</v>
      </c>
      <c r="G3609" s="25"/>
      <c r="H3609" s="11"/>
      <c r="I3609" s="21"/>
      <c r="J3609" s="21"/>
      <c r="K3609" s="21"/>
      <c r="L3609" s="21"/>
      <c r="M3609" s="21"/>
      <c r="N3609" s="21"/>
    </row>
    <row r="3610" spans="1:14" ht="15.75" customHeight="1" x14ac:dyDescent="0.25">
      <c r="A3610" s="7">
        <v>2</v>
      </c>
      <c r="B3610" s="41" t="s">
        <v>1447</v>
      </c>
      <c r="C3610" s="133">
        <v>1</v>
      </c>
      <c r="D3610" s="7" t="s">
        <v>19</v>
      </c>
      <c r="E3610" s="104">
        <v>1687500</v>
      </c>
      <c r="F3610" s="104">
        <f>E3610*C3610</f>
        <v>1687500</v>
      </c>
      <c r="G3610" s="25"/>
      <c r="H3610" s="11"/>
      <c r="I3610" s="21"/>
      <c r="J3610" s="21"/>
      <c r="K3610" s="21"/>
      <c r="L3610" s="21"/>
      <c r="M3610" s="21"/>
      <c r="N3610" s="21"/>
    </row>
    <row r="3611" spans="1:14" ht="15.75" customHeight="1" x14ac:dyDescent="0.25">
      <c r="A3611" s="7">
        <v>3</v>
      </c>
      <c r="B3611" s="41" t="s">
        <v>1448</v>
      </c>
      <c r="C3611" s="151">
        <v>2</v>
      </c>
      <c r="D3611" s="133" t="s">
        <v>19</v>
      </c>
      <c r="E3611" s="104">
        <v>9836800</v>
      </c>
      <c r="F3611" s="104">
        <f>E3611*C3611</f>
        <v>19673600</v>
      </c>
      <c r="G3611" s="25"/>
      <c r="H3611" s="11"/>
      <c r="I3611" s="21"/>
      <c r="J3611" s="21"/>
      <c r="K3611" s="21"/>
      <c r="L3611" s="21"/>
      <c r="M3611" s="21"/>
      <c r="N3611" s="21"/>
    </row>
    <row r="3612" spans="1:14" ht="15.75" customHeight="1" x14ac:dyDescent="0.25">
      <c r="A3612" s="7"/>
      <c r="B3612" s="343" t="s">
        <v>342</v>
      </c>
      <c r="C3612" s="344"/>
      <c r="D3612" s="344"/>
      <c r="E3612" s="334"/>
      <c r="F3612" s="104">
        <f>SUM(F3609:F3611)</f>
        <v>23321100</v>
      </c>
      <c r="G3612" s="25"/>
      <c r="H3612" s="11"/>
      <c r="I3612" s="21"/>
      <c r="J3612" s="21"/>
      <c r="K3612" s="21"/>
      <c r="L3612" s="21"/>
      <c r="M3612" s="21"/>
      <c r="N3612" s="21"/>
    </row>
    <row r="3613" spans="1:14" ht="15.75" customHeight="1" x14ac:dyDescent="0.25">
      <c r="A3613" s="7"/>
      <c r="B3613" s="343" t="s">
        <v>986</v>
      </c>
      <c r="C3613" s="344"/>
      <c r="D3613" s="344"/>
      <c r="E3613" s="334"/>
      <c r="F3613" s="104">
        <v>699633</v>
      </c>
      <c r="G3613" s="25"/>
      <c r="H3613" s="11"/>
      <c r="I3613" s="21"/>
      <c r="J3613" s="21"/>
      <c r="K3613" s="21"/>
      <c r="L3613" s="21"/>
      <c r="M3613" s="21"/>
      <c r="N3613" s="21"/>
    </row>
    <row r="3614" spans="1:14" ht="15.75" customHeight="1" x14ac:dyDescent="0.25">
      <c r="A3614" s="7"/>
      <c r="B3614" s="345" t="s">
        <v>342</v>
      </c>
      <c r="C3614" s="344"/>
      <c r="D3614" s="344"/>
      <c r="E3614" s="334"/>
      <c r="F3614" s="107">
        <f>F3612-F3613</f>
        <v>22621467</v>
      </c>
      <c r="G3614" s="25"/>
      <c r="H3614" s="11"/>
      <c r="I3614" s="21"/>
      <c r="J3614" s="21"/>
      <c r="K3614" s="21"/>
      <c r="L3614" s="21"/>
      <c r="M3614" s="21"/>
      <c r="N3614" s="21"/>
    </row>
    <row r="3615" spans="1:14" ht="15.75" customHeight="1" x14ac:dyDescent="0.25">
      <c r="A3615" s="7"/>
      <c r="B3615" s="343" t="s">
        <v>343</v>
      </c>
      <c r="C3615" s="344"/>
      <c r="D3615" s="344"/>
      <c r="E3615" s="334"/>
      <c r="F3615" s="104">
        <v>2488361.37</v>
      </c>
      <c r="G3615" s="25"/>
      <c r="H3615" s="11"/>
      <c r="I3615" s="21"/>
      <c r="J3615" s="21"/>
      <c r="K3615" s="21"/>
      <c r="L3615" s="21"/>
      <c r="M3615" s="21"/>
      <c r="N3615" s="21"/>
    </row>
    <row r="3616" spans="1:14" ht="15.75" customHeight="1" x14ac:dyDescent="0.25">
      <c r="A3616" s="7"/>
      <c r="B3616" s="345" t="s">
        <v>344</v>
      </c>
      <c r="C3616" s="344"/>
      <c r="D3616" s="344"/>
      <c r="E3616" s="334"/>
      <c r="F3616" s="107">
        <f>SUM(F3614:F3615)</f>
        <v>25109828.370000001</v>
      </c>
      <c r="G3616" s="25"/>
      <c r="H3616" s="11"/>
      <c r="I3616" s="21"/>
      <c r="J3616" s="21"/>
      <c r="K3616" s="21"/>
      <c r="L3616" s="21"/>
      <c r="M3616" s="21"/>
      <c r="N3616" s="21"/>
    </row>
    <row r="3617" spans="1:14" ht="15.75" customHeight="1" x14ac:dyDescent="0.25">
      <c r="A3617" s="21"/>
      <c r="B3617" s="21"/>
      <c r="C3617" s="11"/>
      <c r="D3617" s="11"/>
      <c r="E3617" s="21"/>
      <c r="F3617" s="21"/>
      <c r="G3617" s="25"/>
      <c r="H3617" s="11"/>
      <c r="I3617" s="21"/>
      <c r="J3617" s="21"/>
      <c r="K3617" s="21"/>
      <c r="L3617" s="21"/>
      <c r="M3617" s="21"/>
      <c r="N3617" s="21"/>
    </row>
    <row r="3618" spans="1:14" ht="15.75" customHeight="1" x14ac:dyDescent="0.25">
      <c r="A3618" s="31" t="s">
        <v>14</v>
      </c>
      <c r="B3618" s="31" t="s">
        <v>234</v>
      </c>
      <c r="C3618" s="31" t="s">
        <v>16</v>
      </c>
      <c r="D3618" s="31" t="s">
        <v>17</v>
      </c>
      <c r="E3618" s="31" t="s">
        <v>235</v>
      </c>
      <c r="F3618" s="31" t="s">
        <v>236</v>
      </c>
      <c r="G3618" s="25"/>
      <c r="H3618" s="11"/>
      <c r="I3618" s="21"/>
      <c r="J3618" s="21"/>
      <c r="K3618" s="21"/>
      <c r="L3618" s="21"/>
      <c r="M3618" s="21"/>
      <c r="N3618" s="21"/>
    </row>
    <row r="3619" spans="1:14" ht="15.75" customHeight="1" x14ac:dyDescent="0.25">
      <c r="A3619" s="7">
        <v>1</v>
      </c>
      <c r="B3619" s="155" t="s">
        <v>1449</v>
      </c>
      <c r="C3619" s="129">
        <v>1</v>
      </c>
      <c r="D3619" s="7" t="s">
        <v>247</v>
      </c>
      <c r="E3619" s="130">
        <v>2476000</v>
      </c>
      <c r="F3619" s="130">
        <f>E3619*C3619</f>
        <v>2476000</v>
      </c>
      <c r="G3619" s="25"/>
      <c r="H3619" s="11"/>
      <c r="I3619" s="21"/>
      <c r="J3619" s="21"/>
      <c r="K3619" s="21"/>
      <c r="L3619" s="21"/>
      <c r="M3619" s="21"/>
      <c r="N3619" s="21"/>
    </row>
    <row r="3620" spans="1:14" ht="15.75" customHeight="1" x14ac:dyDescent="0.25">
      <c r="A3620" s="7"/>
      <c r="B3620" s="343" t="s">
        <v>342</v>
      </c>
      <c r="C3620" s="344"/>
      <c r="D3620" s="344"/>
      <c r="E3620" s="334"/>
      <c r="F3620" s="104">
        <f>SUM(F3619)</f>
        <v>2476000</v>
      </c>
      <c r="G3620" s="25"/>
      <c r="H3620" s="11"/>
      <c r="I3620" s="21"/>
      <c r="J3620" s="21"/>
      <c r="K3620" s="21"/>
      <c r="L3620" s="21"/>
      <c r="M3620" s="21"/>
      <c r="N3620" s="21"/>
    </row>
    <row r="3621" spans="1:14" ht="15.75" customHeight="1" x14ac:dyDescent="0.25">
      <c r="A3621" s="7"/>
      <c r="B3621" s="343" t="s">
        <v>343</v>
      </c>
      <c r="C3621" s="344"/>
      <c r="D3621" s="344"/>
      <c r="E3621" s="334"/>
      <c r="F3621" s="104">
        <v>272360</v>
      </c>
      <c r="G3621" s="25"/>
      <c r="H3621" s="11"/>
      <c r="I3621" s="21"/>
      <c r="J3621" s="21"/>
      <c r="K3621" s="21"/>
      <c r="L3621" s="21"/>
      <c r="M3621" s="21"/>
      <c r="N3621" s="21"/>
    </row>
    <row r="3622" spans="1:14" ht="15.75" customHeight="1" x14ac:dyDescent="0.25">
      <c r="A3622" s="7"/>
      <c r="B3622" s="345" t="s">
        <v>344</v>
      </c>
      <c r="C3622" s="344"/>
      <c r="D3622" s="344"/>
      <c r="E3622" s="334"/>
      <c r="F3622" s="107">
        <f>SUM(F3620:F3621)</f>
        <v>2748360</v>
      </c>
      <c r="G3622" s="25"/>
      <c r="H3622" s="11"/>
      <c r="I3622" s="21"/>
      <c r="J3622" s="21"/>
      <c r="K3622" s="21"/>
      <c r="L3622" s="21"/>
      <c r="M3622" s="21"/>
      <c r="N3622" s="21"/>
    </row>
    <row r="3623" spans="1:14" ht="15.75" customHeight="1" x14ac:dyDescent="0.25">
      <c r="A3623" s="21"/>
      <c r="B3623" s="21"/>
      <c r="C3623" s="11"/>
      <c r="D3623" s="11"/>
      <c r="E3623" s="21"/>
      <c r="F3623" s="21"/>
      <c r="G3623" s="25"/>
      <c r="H3623" s="11"/>
      <c r="I3623" s="21"/>
      <c r="J3623" s="21"/>
      <c r="K3623" s="21"/>
      <c r="L3623" s="21"/>
      <c r="M3623" s="21"/>
      <c r="N3623" s="21"/>
    </row>
    <row r="3624" spans="1:14" ht="15.75" customHeight="1" x14ac:dyDescent="0.25">
      <c r="A3624" s="31" t="s">
        <v>14</v>
      </c>
      <c r="B3624" s="31" t="s">
        <v>234</v>
      </c>
      <c r="C3624" s="31" t="s">
        <v>16</v>
      </c>
      <c r="D3624" s="31" t="s">
        <v>17</v>
      </c>
      <c r="E3624" s="31" t="s">
        <v>235</v>
      </c>
      <c r="F3624" s="31" t="s">
        <v>236</v>
      </c>
      <c r="G3624" s="25"/>
      <c r="H3624" s="11"/>
      <c r="I3624" s="21"/>
      <c r="J3624" s="21"/>
      <c r="K3624" s="21"/>
      <c r="L3624" s="21"/>
      <c r="M3624" s="21"/>
      <c r="N3624" s="21"/>
    </row>
    <row r="3625" spans="1:14" ht="15.75" customHeight="1" x14ac:dyDescent="0.25">
      <c r="A3625" s="7">
        <v>1</v>
      </c>
      <c r="B3625" s="155" t="s">
        <v>1450</v>
      </c>
      <c r="C3625" s="129">
        <v>20</v>
      </c>
      <c r="D3625" s="7" t="s">
        <v>426</v>
      </c>
      <c r="E3625" s="130">
        <v>71250</v>
      </c>
      <c r="F3625" s="130">
        <f>E3625*C3625</f>
        <v>1425000</v>
      </c>
      <c r="G3625" s="25"/>
      <c r="H3625" s="11"/>
      <c r="I3625" s="21"/>
      <c r="J3625" s="21"/>
      <c r="K3625" s="21"/>
      <c r="L3625" s="21"/>
      <c r="M3625" s="21"/>
      <c r="N3625" s="21"/>
    </row>
    <row r="3626" spans="1:14" ht="15.75" customHeight="1" x14ac:dyDescent="0.25">
      <c r="A3626" s="7"/>
      <c r="B3626" s="343" t="s">
        <v>342</v>
      </c>
      <c r="C3626" s="344"/>
      <c r="D3626" s="344"/>
      <c r="E3626" s="334"/>
      <c r="F3626" s="104">
        <f>SUM(F3625)</f>
        <v>1425000</v>
      </c>
      <c r="G3626" s="25"/>
      <c r="H3626" s="11"/>
      <c r="I3626" s="21"/>
      <c r="J3626" s="21"/>
      <c r="K3626" s="21"/>
      <c r="L3626" s="21"/>
      <c r="M3626" s="21"/>
      <c r="N3626" s="21"/>
    </row>
    <row r="3627" spans="1:14" ht="15.75" customHeight="1" x14ac:dyDescent="0.25">
      <c r="A3627" s="7"/>
      <c r="B3627" s="343" t="s">
        <v>343</v>
      </c>
      <c r="C3627" s="344"/>
      <c r="D3627" s="344"/>
      <c r="E3627" s="334"/>
      <c r="F3627" s="104">
        <v>156750</v>
      </c>
      <c r="G3627" s="25"/>
      <c r="H3627" s="11"/>
      <c r="I3627" s="21"/>
      <c r="J3627" s="21"/>
      <c r="K3627" s="21"/>
      <c r="L3627" s="21"/>
      <c r="M3627" s="21"/>
      <c r="N3627" s="21"/>
    </row>
    <row r="3628" spans="1:14" ht="15.75" customHeight="1" x14ac:dyDescent="0.25">
      <c r="A3628" s="7"/>
      <c r="B3628" s="345" t="s">
        <v>344</v>
      </c>
      <c r="C3628" s="344"/>
      <c r="D3628" s="344"/>
      <c r="E3628" s="334"/>
      <c r="F3628" s="107">
        <f>SUM(F3626:F3627)</f>
        <v>1581750</v>
      </c>
      <c r="G3628" s="25"/>
      <c r="H3628" s="11"/>
      <c r="I3628" s="21"/>
      <c r="J3628" s="21"/>
      <c r="K3628" s="21"/>
      <c r="L3628" s="21"/>
      <c r="M3628" s="21"/>
      <c r="N3628" s="21"/>
    </row>
    <row r="3629" spans="1:14" ht="15.75" customHeight="1" x14ac:dyDescent="0.25">
      <c r="A3629" s="21"/>
      <c r="B3629" s="21"/>
      <c r="C3629" s="11"/>
      <c r="D3629" s="11"/>
      <c r="E3629" s="21"/>
      <c r="F3629" s="21"/>
      <c r="G3629" s="25"/>
      <c r="H3629" s="11"/>
      <c r="I3629" s="21"/>
      <c r="J3629" s="21"/>
      <c r="K3629" s="21"/>
      <c r="L3629" s="21"/>
      <c r="M3629" s="21"/>
      <c r="N3629" s="21"/>
    </row>
    <row r="3630" spans="1:14" ht="15.75" customHeight="1" x14ac:dyDescent="0.25">
      <c r="A3630" s="31" t="s">
        <v>351</v>
      </c>
      <c r="B3630" s="31" t="s">
        <v>234</v>
      </c>
      <c r="C3630" s="31" t="s">
        <v>16</v>
      </c>
      <c r="D3630" s="31" t="s">
        <v>17</v>
      </c>
      <c r="E3630" s="31" t="s">
        <v>235</v>
      </c>
      <c r="F3630" s="31" t="s">
        <v>236</v>
      </c>
      <c r="G3630" s="25"/>
      <c r="H3630" s="11"/>
      <c r="I3630" s="21"/>
      <c r="J3630" s="21"/>
      <c r="K3630" s="21"/>
      <c r="L3630" s="21"/>
      <c r="M3630" s="21"/>
      <c r="N3630" s="21"/>
    </row>
    <row r="3631" spans="1:14" ht="15.75" customHeight="1" x14ac:dyDescent="0.25">
      <c r="A3631" s="7">
        <v>1</v>
      </c>
      <c r="B3631" s="41" t="s">
        <v>1451</v>
      </c>
      <c r="C3631" s="7">
        <v>8</v>
      </c>
      <c r="D3631" s="7" t="s">
        <v>363</v>
      </c>
      <c r="E3631" s="104">
        <v>90250</v>
      </c>
      <c r="F3631" s="104">
        <f>E3631*C3631</f>
        <v>722000</v>
      </c>
      <c r="G3631" s="25"/>
      <c r="H3631" s="11"/>
      <c r="I3631" s="21"/>
      <c r="J3631" s="21"/>
      <c r="K3631" s="21"/>
      <c r="L3631" s="21"/>
      <c r="M3631" s="21"/>
      <c r="N3631" s="21"/>
    </row>
    <row r="3632" spans="1:14" ht="15.75" customHeight="1" x14ac:dyDescent="0.25">
      <c r="A3632" s="7">
        <v>2</v>
      </c>
      <c r="B3632" s="41" t="s">
        <v>1452</v>
      </c>
      <c r="C3632" s="7">
        <v>8</v>
      </c>
      <c r="D3632" s="7" t="s">
        <v>363</v>
      </c>
      <c r="E3632" s="104">
        <v>45000</v>
      </c>
      <c r="F3632" s="104">
        <f>E3632*C3632</f>
        <v>360000</v>
      </c>
      <c r="G3632" s="25"/>
      <c r="H3632" s="11"/>
      <c r="I3632" s="21"/>
      <c r="J3632" s="21"/>
      <c r="K3632" s="21"/>
      <c r="L3632" s="21"/>
      <c r="M3632" s="21"/>
      <c r="N3632" s="21"/>
    </row>
    <row r="3633" spans="1:14" ht="15.75" customHeight="1" x14ac:dyDescent="0.25">
      <c r="A3633" s="7"/>
      <c r="B3633" s="343" t="s">
        <v>342</v>
      </c>
      <c r="C3633" s="344"/>
      <c r="D3633" s="344"/>
      <c r="E3633" s="334"/>
      <c r="F3633" s="104">
        <f>SUM(F3631:F3632)</f>
        <v>1082000</v>
      </c>
      <c r="G3633" s="25"/>
      <c r="H3633" s="11"/>
      <c r="I3633" s="21"/>
      <c r="J3633" s="21"/>
      <c r="K3633" s="21"/>
      <c r="L3633" s="21"/>
      <c r="M3633" s="21"/>
      <c r="N3633" s="21"/>
    </row>
    <row r="3634" spans="1:14" ht="15.75" customHeight="1" x14ac:dyDescent="0.25">
      <c r="A3634" s="7"/>
      <c r="B3634" s="343" t="s">
        <v>343</v>
      </c>
      <c r="C3634" s="344"/>
      <c r="D3634" s="344"/>
      <c r="E3634" s="334"/>
      <c r="F3634" s="104">
        <v>119020</v>
      </c>
      <c r="G3634" s="25"/>
      <c r="H3634" s="11"/>
      <c r="I3634" s="21"/>
      <c r="J3634" s="21"/>
      <c r="K3634" s="21"/>
      <c r="L3634" s="21"/>
      <c r="M3634" s="21"/>
      <c r="N3634" s="21"/>
    </row>
    <row r="3635" spans="1:14" ht="15.75" customHeight="1" x14ac:dyDescent="0.25">
      <c r="A3635" s="7"/>
      <c r="B3635" s="345" t="s">
        <v>344</v>
      </c>
      <c r="C3635" s="344"/>
      <c r="D3635" s="344"/>
      <c r="E3635" s="334"/>
      <c r="F3635" s="107">
        <f>SUM(F3633:F3634)</f>
        <v>1201020</v>
      </c>
      <c r="G3635" s="25"/>
      <c r="H3635" s="11"/>
      <c r="I3635" s="21"/>
      <c r="J3635" s="21"/>
      <c r="K3635" s="21"/>
      <c r="L3635" s="21"/>
      <c r="M3635" s="21"/>
      <c r="N3635" s="21"/>
    </row>
    <row r="3636" spans="1:14" ht="15.75" customHeight="1" x14ac:dyDescent="0.25">
      <c r="A3636" s="21"/>
      <c r="B3636" s="21"/>
      <c r="C3636" s="11"/>
      <c r="D3636" s="11"/>
      <c r="E3636" s="21"/>
      <c r="F3636" s="21"/>
      <c r="G3636" s="25"/>
      <c r="H3636" s="11"/>
      <c r="I3636" s="21"/>
      <c r="J3636" s="21"/>
      <c r="K3636" s="21"/>
      <c r="L3636" s="21"/>
      <c r="M3636" s="21"/>
      <c r="N3636" s="21"/>
    </row>
    <row r="3637" spans="1:14" ht="15.75" customHeight="1" x14ac:dyDescent="0.25">
      <c r="A3637" s="31" t="s">
        <v>14</v>
      </c>
      <c r="B3637" s="31" t="s">
        <v>234</v>
      </c>
      <c r="C3637" s="31" t="s">
        <v>16</v>
      </c>
      <c r="D3637" s="31" t="s">
        <v>17</v>
      </c>
      <c r="E3637" s="31" t="s">
        <v>235</v>
      </c>
      <c r="F3637" s="31" t="s">
        <v>236</v>
      </c>
      <c r="G3637" s="25"/>
      <c r="H3637" s="11"/>
      <c r="I3637" s="21"/>
      <c r="J3637" s="21"/>
      <c r="K3637" s="21"/>
      <c r="L3637" s="21"/>
      <c r="M3637" s="21"/>
      <c r="N3637" s="21"/>
    </row>
    <row r="3638" spans="1:14" ht="15.75" customHeight="1" x14ac:dyDescent="0.25">
      <c r="A3638" s="7">
        <v>1</v>
      </c>
      <c r="B3638" s="121" t="s">
        <v>1453</v>
      </c>
      <c r="C3638" s="129">
        <v>4</v>
      </c>
      <c r="D3638" s="7" t="s">
        <v>347</v>
      </c>
      <c r="E3638" s="163">
        <v>118247.85</v>
      </c>
      <c r="F3638" s="163">
        <f>E3638*C3638</f>
        <v>472991.4</v>
      </c>
      <c r="G3638" s="25"/>
      <c r="H3638" s="11"/>
      <c r="I3638" s="21"/>
      <c r="J3638" s="21"/>
      <c r="K3638" s="21"/>
      <c r="L3638" s="21"/>
      <c r="M3638" s="21"/>
      <c r="N3638" s="21"/>
    </row>
    <row r="3639" spans="1:14" ht="15.75" customHeight="1" x14ac:dyDescent="0.25">
      <c r="A3639" s="7">
        <v>2</v>
      </c>
      <c r="B3639" s="143" t="s">
        <v>1454</v>
      </c>
      <c r="C3639" s="129">
        <v>10</v>
      </c>
      <c r="D3639" s="7" t="s">
        <v>19</v>
      </c>
      <c r="E3639" s="163">
        <v>222615</v>
      </c>
      <c r="F3639" s="163">
        <f>E3639*C3639</f>
        <v>2226150</v>
      </c>
      <c r="G3639" s="25"/>
      <c r="H3639" s="11"/>
      <c r="I3639" s="21"/>
      <c r="J3639" s="21"/>
      <c r="K3639" s="21"/>
      <c r="L3639" s="21"/>
      <c r="M3639" s="21"/>
      <c r="N3639" s="21"/>
    </row>
    <row r="3640" spans="1:14" ht="15.75" customHeight="1" x14ac:dyDescent="0.25">
      <c r="A3640" s="7">
        <v>3</v>
      </c>
      <c r="B3640" s="143" t="s">
        <v>1455</v>
      </c>
      <c r="C3640" s="129">
        <v>10</v>
      </c>
      <c r="D3640" s="7" t="s">
        <v>19</v>
      </c>
      <c r="E3640" s="163">
        <v>33950</v>
      </c>
      <c r="F3640" s="163">
        <f>E3640*C3640</f>
        <v>339500</v>
      </c>
      <c r="G3640" s="25"/>
      <c r="H3640" s="11"/>
      <c r="I3640" s="21"/>
      <c r="J3640" s="21"/>
      <c r="K3640" s="21"/>
      <c r="L3640" s="21"/>
      <c r="M3640" s="21"/>
      <c r="N3640" s="21"/>
    </row>
    <row r="3641" spans="1:14" ht="15.75" customHeight="1" x14ac:dyDescent="0.25">
      <c r="A3641" s="7">
        <v>4</v>
      </c>
      <c r="B3641" s="143" t="s">
        <v>1456</v>
      </c>
      <c r="C3641" s="129">
        <v>10</v>
      </c>
      <c r="D3641" s="7" t="s">
        <v>19</v>
      </c>
      <c r="E3641" s="163">
        <v>12000</v>
      </c>
      <c r="F3641" s="163">
        <f>E3641*C3641</f>
        <v>120000</v>
      </c>
      <c r="G3641" s="25"/>
      <c r="H3641" s="11"/>
      <c r="I3641" s="21"/>
      <c r="J3641" s="21"/>
      <c r="K3641" s="21"/>
      <c r="L3641" s="21"/>
      <c r="M3641" s="21"/>
      <c r="N3641" s="21"/>
    </row>
    <row r="3642" spans="1:14" ht="15.75" customHeight="1" x14ac:dyDescent="0.25">
      <c r="A3642" s="7">
        <v>5</v>
      </c>
      <c r="B3642" s="143" t="s">
        <v>1457</v>
      </c>
      <c r="C3642" s="129">
        <v>1</v>
      </c>
      <c r="D3642" s="7" t="s">
        <v>1458</v>
      </c>
      <c r="E3642" s="163">
        <v>75000</v>
      </c>
      <c r="F3642" s="163">
        <f>E3642*C3642</f>
        <v>75000</v>
      </c>
      <c r="G3642" s="25"/>
      <c r="H3642" s="11"/>
      <c r="I3642" s="21"/>
      <c r="J3642" s="21"/>
      <c r="K3642" s="21"/>
      <c r="L3642" s="21"/>
      <c r="M3642" s="21"/>
      <c r="N3642" s="21"/>
    </row>
    <row r="3643" spans="1:14" ht="15.75" customHeight="1" x14ac:dyDescent="0.25">
      <c r="A3643" s="7"/>
      <c r="B3643" s="343" t="s">
        <v>342</v>
      </c>
      <c r="C3643" s="344"/>
      <c r="D3643" s="344"/>
      <c r="E3643" s="334"/>
      <c r="F3643" s="108">
        <f>SUM(F3638:F3642)</f>
        <v>3233641.4</v>
      </c>
      <c r="G3643" s="25"/>
      <c r="H3643" s="11"/>
      <c r="I3643" s="21"/>
      <c r="J3643" s="21"/>
      <c r="K3643" s="21"/>
      <c r="L3643" s="21"/>
      <c r="M3643" s="21"/>
      <c r="N3643" s="21"/>
    </row>
    <row r="3644" spans="1:14" ht="15.75" customHeight="1" x14ac:dyDescent="0.25">
      <c r="A3644" s="7"/>
      <c r="B3644" s="343" t="s">
        <v>343</v>
      </c>
      <c r="C3644" s="344"/>
      <c r="D3644" s="344"/>
      <c r="E3644" s="334"/>
      <c r="F3644" s="108">
        <v>355700.55</v>
      </c>
      <c r="G3644" s="25"/>
      <c r="H3644" s="11"/>
      <c r="I3644" s="21"/>
      <c r="J3644" s="21"/>
      <c r="K3644" s="21"/>
      <c r="L3644" s="21"/>
      <c r="M3644" s="21"/>
      <c r="N3644" s="21"/>
    </row>
    <row r="3645" spans="1:14" ht="15.75" customHeight="1" x14ac:dyDescent="0.25">
      <c r="A3645" s="7"/>
      <c r="B3645" s="345" t="s">
        <v>344</v>
      </c>
      <c r="C3645" s="344"/>
      <c r="D3645" s="344"/>
      <c r="E3645" s="334"/>
      <c r="F3645" s="109">
        <f>SUM(F3643:F3644)</f>
        <v>3589341.9499999997</v>
      </c>
      <c r="G3645" s="25"/>
      <c r="H3645" s="11"/>
      <c r="I3645" s="21"/>
      <c r="J3645" s="21"/>
      <c r="K3645" s="21"/>
      <c r="L3645" s="21"/>
      <c r="M3645" s="21"/>
      <c r="N3645" s="21"/>
    </row>
    <row r="3646" spans="1:14" ht="15.75" customHeight="1" x14ac:dyDescent="0.25">
      <c r="A3646" s="21"/>
      <c r="B3646" s="21"/>
      <c r="C3646" s="11"/>
      <c r="D3646" s="11"/>
      <c r="E3646" s="21"/>
      <c r="F3646" s="21"/>
      <c r="G3646" s="25"/>
      <c r="H3646" s="11"/>
      <c r="I3646" s="21"/>
      <c r="J3646" s="21"/>
      <c r="K3646" s="21"/>
      <c r="L3646" s="21"/>
      <c r="M3646" s="21"/>
      <c r="N3646" s="21"/>
    </row>
    <row r="3647" spans="1:14" ht="15.75" customHeight="1" x14ac:dyDescent="0.25">
      <c r="A3647" s="31" t="s">
        <v>14</v>
      </c>
      <c r="B3647" s="31" t="s">
        <v>234</v>
      </c>
      <c r="C3647" s="31" t="s">
        <v>16</v>
      </c>
      <c r="D3647" s="31" t="s">
        <v>17</v>
      </c>
      <c r="E3647" s="31" t="s">
        <v>235</v>
      </c>
      <c r="F3647" s="31" t="s">
        <v>236</v>
      </c>
      <c r="G3647" s="25"/>
      <c r="H3647" s="11"/>
      <c r="I3647" s="21"/>
      <c r="J3647" s="21"/>
      <c r="K3647" s="21"/>
      <c r="L3647" s="21"/>
      <c r="M3647" s="21"/>
      <c r="N3647" s="21"/>
    </row>
    <row r="3648" spans="1:14" ht="15.75" customHeight="1" x14ac:dyDescent="0.25">
      <c r="A3648" s="7">
        <v>1</v>
      </c>
      <c r="B3648" s="155" t="s">
        <v>1459</v>
      </c>
      <c r="C3648" s="129">
        <v>6</v>
      </c>
      <c r="D3648" s="7" t="s">
        <v>1417</v>
      </c>
      <c r="E3648" s="130">
        <v>141120</v>
      </c>
      <c r="F3648" s="130">
        <f>E3648*C3648</f>
        <v>846720</v>
      </c>
      <c r="G3648" s="25"/>
      <c r="H3648" s="11"/>
      <c r="I3648" s="21"/>
      <c r="J3648" s="21"/>
      <c r="K3648" s="21"/>
      <c r="L3648" s="21"/>
      <c r="M3648" s="21"/>
      <c r="N3648" s="21"/>
    </row>
    <row r="3649" spans="1:14" ht="15.75" customHeight="1" x14ac:dyDescent="0.25">
      <c r="A3649" s="7"/>
      <c r="B3649" s="343" t="s">
        <v>342</v>
      </c>
      <c r="C3649" s="344"/>
      <c r="D3649" s="344"/>
      <c r="E3649" s="334"/>
      <c r="F3649" s="104">
        <f>SUM(F3648)</f>
        <v>846720</v>
      </c>
      <c r="G3649" s="25"/>
      <c r="H3649" s="11"/>
      <c r="I3649" s="21"/>
      <c r="J3649" s="21"/>
      <c r="K3649" s="21"/>
      <c r="L3649" s="21"/>
      <c r="M3649" s="21"/>
      <c r="N3649" s="21"/>
    </row>
    <row r="3650" spans="1:14" ht="15.75" customHeight="1" x14ac:dyDescent="0.25">
      <c r="A3650" s="7"/>
      <c r="B3650" s="343" t="s">
        <v>343</v>
      </c>
      <c r="C3650" s="344"/>
      <c r="D3650" s="344"/>
      <c r="E3650" s="334"/>
      <c r="F3650" s="104">
        <v>93139</v>
      </c>
      <c r="G3650" s="25"/>
      <c r="H3650" s="11"/>
      <c r="I3650" s="21"/>
      <c r="J3650" s="21"/>
      <c r="K3650" s="21"/>
      <c r="L3650" s="21"/>
      <c r="M3650" s="21"/>
      <c r="N3650" s="21"/>
    </row>
    <row r="3651" spans="1:14" ht="15.75" customHeight="1" x14ac:dyDescent="0.25">
      <c r="A3651" s="7"/>
      <c r="B3651" s="345" t="s">
        <v>344</v>
      </c>
      <c r="C3651" s="344"/>
      <c r="D3651" s="344"/>
      <c r="E3651" s="334"/>
      <c r="F3651" s="107">
        <f>SUM(F3649:F3650)</f>
        <v>939859</v>
      </c>
      <c r="G3651" s="25"/>
      <c r="H3651" s="11"/>
      <c r="I3651" s="21"/>
      <c r="J3651" s="21"/>
      <c r="K3651" s="21"/>
      <c r="L3651" s="21"/>
      <c r="M3651" s="21"/>
      <c r="N3651" s="21"/>
    </row>
    <row r="3652" spans="1:14" ht="15.75" customHeight="1" x14ac:dyDescent="0.25">
      <c r="A3652" s="21"/>
      <c r="B3652" s="21"/>
      <c r="C3652" s="11"/>
      <c r="D3652" s="11"/>
      <c r="E3652" s="21"/>
      <c r="F3652" s="21"/>
      <c r="G3652" s="25"/>
      <c r="H3652" s="11"/>
      <c r="I3652" s="21"/>
      <c r="J3652" s="21"/>
      <c r="K3652" s="21"/>
      <c r="L3652" s="21"/>
      <c r="M3652" s="21"/>
      <c r="N3652" s="21"/>
    </row>
    <row r="3653" spans="1:14" ht="15.75" customHeight="1" x14ac:dyDescent="0.25">
      <c r="A3653" s="31" t="s">
        <v>14</v>
      </c>
      <c r="B3653" s="31" t="s">
        <v>234</v>
      </c>
      <c r="C3653" s="31" t="s">
        <v>16</v>
      </c>
      <c r="D3653" s="31" t="s">
        <v>17</v>
      </c>
      <c r="E3653" s="31" t="s">
        <v>235</v>
      </c>
      <c r="F3653" s="31" t="s">
        <v>236</v>
      </c>
      <c r="G3653" s="25"/>
      <c r="H3653" s="11"/>
      <c r="I3653" s="21"/>
      <c r="J3653" s="21"/>
      <c r="K3653" s="21"/>
      <c r="L3653" s="21"/>
      <c r="M3653" s="21"/>
      <c r="N3653" s="21"/>
    </row>
    <row r="3654" spans="1:14" ht="15.75" customHeight="1" x14ac:dyDescent="0.25">
      <c r="A3654" s="7">
        <v>1</v>
      </c>
      <c r="B3654" s="41" t="s">
        <v>1460</v>
      </c>
      <c r="C3654" s="129">
        <v>10</v>
      </c>
      <c r="D3654" s="7" t="s">
        <v>406</v>
      </c>
      <c r="E3654" s="130">
        <v>142100</v>
      </c>
      <c r="F3654" s="130">
        <f>E3654*C3654</f>
        <v>1421000</v>
      </c>
      <c r="G3654" s="25"/>
      <c r="H3654" s="11"/>
      <c r="I3654" s="21"/>
      <c r="J3654" s="21"/>
      <c r="K3654" s="21"/>
      <c r="L3654" s="21"/>
      <c r="M3654" s="21"/>
      <c r="N3654" s="21"/>
    </row>
    <row r="3655" spans="1:14" ht="15.75" customHeight="1" x14ac:dyDescent="0.25">
      <c r="A3655" s="7">
        <v>2</v>
      </c>
      <c r="B3655" s="41" t="s">
        <v>1461</v>
      </c>
      <c r="C3655" s="129">
        <v>8</v>
      </c>
      <c r="D3655" s="7" t="s">
        <v>353</v>
      </c>
      <c r="E3655" s="130">
        <v>13230</v>
      </c>
      <c r="F3655" s="130">
        <f>E3655*C3655</f>
        <v>105840</v>
      </c>
      <c r="G3655" s="25"/>
      <c r="H3655" s="11"/>
      <c r="I3655" s="21"/>
      <c r="J3655" s="21"/>
      <c r="K3655" s="21"/>
      <c r="L3655" s="21"/>
      <c r="M3655" s="21"/>
      <c r="N3655" s="21"/>
    </row>
    <row r="3656" spans="1:14" ht="15.75" customHeight="1" x14ac:dyDescent="0.25">
      <c r="A3656" s="7">
        <v>3</v>
      </c>
      <c r="B3656" s="41" t="s">
        <v>1462</v>
      </c>
      <c r="C3656" s="129">
        <v>30</v>
      </c>
      <c r="D3656" s="7" t="s">
        <v>406</v>
      </c>
      <c r="E3656" s="130">
        <v>85554</v>
      </c>
      <c r="F3656" s="130">
        <f>E3656*C3656</f>
        <v>2566620</v>
      </c>
      <c r="G3656" s="25"/>
      <c r="H3656" s="11"/>
      <c r="I3656" s="21"/>
      <c r="J3656" s="21"/>
      <c r="K3656" s="21"/>
      <c r="L3656" s="21"/>
      <c r="M3656" s="21"/>
      <c r="N3656" s="21"/>
    </row>
    <row r="3657" spans="1:14" ht="15.75" customHeight="1" x14ac:dyDescent="0.25">
      <c r="A3657" s="7">
        <v>4</v>
      </c>
      <c r="B3657" s="41" t="s">
        <v>1463</v>
      </c>
      <c r="C3657" s="129">
        <v>3</v>
      </c>
      <c r="D3657" s="7" t="s">
        <v>550</v>
      </c>
      <c r="E3657" s="130">
        <v>70364</v>
      </c>
      <c r="F3657" s="130">
        <f>E3657*C3657</f>
        <v>211092</v>
      </c>
      <c r="G3657" s="25"/>
      <c r="H3657" s="11"/>
      <c r="I3657" s="21"/>
      <c r="J3657" s="21"/>
      <c r="K3657" s="21"/>
      <c r="L3657" s="21"/>
      <c r="M3657" s="21"/>
      <c r="N3657" s="21"/>
    </row>
    <row r="3658" spans="1:14" ht="15.75" customHeight="1" x14ac:dyDescent="0.25">
      <c r="A3658" s="7"/>
      <c r="B3658" s="343" t="s">
        <v>342</v>
      </c>
      <c r="C3658" s="344"/>
      <c r="D3658" s="344"/>
      <c r="E3658" s="334"/>
      <c r="F3658" s="104">
        <f>SUM(F3654:F3657)</f>
        <v>4304552</v>
      </c>
      <c r="G3658" s="25"/>
      <c r="H3658" s="11"/>
      <c r="I3658" s="21"/>
      <c r="J3658" s="21"/>
      <c r="K3658" s="21"/>
      <c r="L3658" s="21"/>
      <c r="M3658" s="21"/>
      <c r="N3658" s="21"/>
    </row>
    <row r="3659" spans="1:14" ht="15.75" customHeight="1" x14ac:dyDescent="0.25">
      <c r="A3659" s="7"/>
      <c r="B3659" s="343" t="s">
        <v>343</v>
      </c>
      <c r="C3659" s="344"/>
      <c r="D3659" s="344"/>
      <c r="E3659" s="334"/>
      <c r="F3659" s="104">
        <v>473500.72</v>
      </c>
      <c r="G3659" s="25"/>
      <c r="H3659" s="11"/>
      <c r="I3659" s="21"/>
      <c r="J3659" s="21"/>
      <c r="K3659" s="21"/>
      <c r="L3659" s="21"/>
      <c r="M3659" s="21"/>
      <c r="N3659" s="21"/>
    </row>
    <row r="3660" spans="1:14" ht="15.75" customHeight="1" x14ac:dyDescent="0.25">
      <c r="A3660" s="7"/>
      <c r="B3660" s="345" t="s">
        <v>344</v>
      </c>
      <c r="C3660" s="344"/>
      <c r="D3660" s="344"/>
      <c r="E3660" s="334"/>
      <c r="F3660" s="107">
        <f>SUM(F3658:F3659)</f>
        <v>4778052.72</v>
      </c>
      <c r="G3660" s="25"/>
      <c r="H3660" s="11"/>
      <c r="I3660" s="21"/>
      <c r="J3660" s="21"/>
      <c r="K3660" s="21"/>
      <c r="L3660" s="21"/>
      <c r="M3660" s="21"/>
      <c r="N3660" s="21"/>
    </row>
    <row r="3661" spans="1:14" ht="15.75" customHeight="1" x14ac:dyDescent="0.25">
      <c r="A3661" s="21"/>
      <c r="B3661" s="21"/>
      <c r="C3661" s="11"/>
      <c r="D3661" s="11"/>
      <c r="E3661" s="21"/>
      <c r="F3661" s="21"/>
      <c r="G3661" s="25"/>
      <c r="H3661" s="11"/>
      <c r="I3661" s="21"/>
      <c r="J3661" s="21"/>
      <c r="K3661" s="21"/>
      <c r="L3661" s="21"/>
      <c r="M3661" s="21"/>
      <c r="N3661" s="21"/>
    </row>
    <row r="3662" spans="1:14" ht="15.75" customHeight="1" x14ac:dyDescent="0.25">
      <c r="A3662" s="31" t="s">
        <v>351</v>
      </c>
      <c r="B3662" s="31" t="s">
        <v>234</v>
      </c>
      <c r="C3662" s="31" t="s">
        <v>16</v>
      </c>
      <c r="D3662" s="31" t="s">
        <v>17</v>
      </c>
      <c r="E3662" s="31" t="s">
        <v>235</v>
      </c>
      <c r="F3662" s="31" t="s">
        <v>236</v>
      </c>
      <c r="G3662" s="25"/>
      <c r="H3662" s="11"/>
      <c r="I3662" s="21"/>
      <c r="J3662" s="21"/>
      <c r="K3662" s="21"/>
      <c r="L3662" s="21"/>
      <c r="M3662" s="21"/>
      <c r="N3662" s="21"/>
    </row>
    <row r="3663" spans="1:14" ht="15.75" customHeight="1" x14ac:dyDescent="0.25">
      <c r="A3663" s="7">
        <v>1</v>
      </c>
      <c r="B3663" s="41" t="s">
        <v>1464</v>
      </c>
      <c r="C3663" s="7">
        <v>20</v>
      </c>
      <c r="D3663" s="7" t="s">
        <v>539</v>
      </c>
      <c r="E3663" s="104">
        <v>43610</v>
      </c>
      <c r="F3663" s="104">
        <f>E3663*C3663</f>
        <v>872200</v>
      </c>
      <c r="G3663" s="25"/>
      <c r="H3663" s="11"/>
      <c r="I3663" s="21"/>
      <c r="J3663" s="21"/>
      <c r="K3663" s="21"/>
      <c r="L3663" s="21"/>
      <c r="M3663" s="21"/>
      <c r="N3663" s="21"/>
    </row>
    <row r="3664" spans="1:14" ht="15.75" customHeight="1" x14ac:dyDescent="0.25">
      <c r="A3664" s="7">
        <v>2</v>
      </c>
      <c r="B3664" s="41" t="s">
        <v>1465</v>
      </c>
      <c r="C3664" s="7">
        <v>20</v>
      </c>
      <c r="D3664" s="7" t="s">
        <v>539</v>
      </c>
      <c r="E3664" s="104">
        <v>159600</v>
      </c>
      <c r="F3664" s="104">
        <f>E3664*C3664</f>
        <v>3192000</v>
      </c>
      <c r="G3664" s="25"/>
      <c r="H3664" s="11"/>
      <c r="I3664" s="21"/>
      <c r="J3664" s="21"/>
      <c r="K3664" s="21"/>
      <c r="L3664" s="21"/>
      <c r="M3664" s="21"/>
      <c r="N3664" s="21"/>
    </row>
    <row r="3665" spans="1:14" ht="15.75" customHeight="1" x14ac:dyDescent="0.25">
      <c r="A3665" s="7"/>
      <c r="B3665" s="343" t="s">
        <v>342</v>
      </c>
      <c r="C3665" s="344"/>
      <c r="D3665" s="344"/>
      <c r="E3665" s="334"/>
      <c r="F3665" s="104">
        <f>SUM(F3663:F3664)</f>
        <v>4064200</v>
      </c>
      <c r="G3665" s="25"/>
      <c r="H3665" s="11"/>
      <c r="I3665" s="21"/>
      <c r="J3665" s="21"/>
      <c r="K3665" s="21"/>
      <c r="L3665" s="21"/>
      <c r="M3665" s="21"/>
      <c r="N3665" s="21"/>
    </row>
    <row r="3666" spans="1:14" ht="15.75" customHeight="1" x14ac:dyDescent="0.25">
      <c r="A3666" s="7"/>
      <c r="B3666" s="343" t="s">
        <v>343</v>
      </c>
      <c r="C3666" s="344"/>
      <c r="D3666" s="344"/>
      <c r="E3666" s="334"/>
      <c r="F3666" s="104">
        <v>447062</v>
      </c>
      <c r="G3666" s="25"/>
      <c r="H3666" s="11"/>
      <c r="I3666" s="21"/>
      <c r="J3666" s="21"/>
      <c r="K3666" s="21"/>
      <c r="L3666" s="21"/>
      <c r="M3666" s="21"/>
      <c r="N3666" s="21"/>
    </row>
    <row r="3667" spans="1:14" ht="15.75" customHeight="1" x14ac:dyDescent="0.25">
      <c r="A3667" s="7"/>
      <c r="B3667" s="345" t="s">
        <v>344</v>
      </c>
      <c r="C3667" s="344"/>
      <c r="D3667" s="344"/>
      <c r="E3667" s="334"/>
      <c r="F3667" s="107">
        <f>SUM(F3665:F3666)</f>
        <v>4511262</v>
      </c>
      <c r="G3667" s="25"/>
      <c r="H3667" s="11"/>
      <c r="I3667" s="21"/>
      <c r="J3667" s="21"/>
      <c r="K3667" s="21"/>
      <c r="L3667" s="21"/>
      <c r="M3667" s="21"/>
      <c r="N3667" s="21"/>
    </row>
    <row r="3668" spans="1:14" ht="15.75" customHeight="1" x14ac:dyDescent="0.25">
      <c r="A3668" s="21"/>
      <c r="B3668" s="21"/>
      <c r="C3668" s="11"/>
      <c r="D3668" s="11"/>
      <c r="E3668" s="21"/>
      <c r="F3668" s="21"/>
      <c r="G3668" s="25"/>
      <c r="H3668" s="11"/>
      <c r="I3668" s="21"/>
      <c r="J3668" s="21"/>
      <c r="K3668" s="21"/>
      <c r="L3668" s="21"/>
      <c r="M3668" s="21"/>
      <c r="N3668" s="21"/>
    </row>
    <row r="3669" spans="1:14" ht="15.75" customHeight="1" x14ac:dyDescent="0.25">
      <c r="A3669" s="31" t="s">
        <v>14</v>
      </c>
      <c r="B3669" s="31" t="s">
        <v>234</v>
      </c>
      <c r="C3669" s="31" t="s">
        <v>16</v>
      </c>
      <c r="D3669" s="31" t="s">
        <v>17</v>
      </c>
      <c r="E3669" s="31" t="s">
        <v>235</v>
      </c>
      <c r="F3669" s="31" t="s">
        <v>236</v>
      </c>
      <c r="G3669" s="25"/>
      <c r="H3669" s="11"/>
      <c r="I3669" s="21"/>
      <c r="J3669" s="21"/>
      <c r="K3669" s="21"/>
      <c r="L3669" s="21"/>
      <c r="M3669" s="21"/>
      <c r="N3669" s="21"/>
    </row>
    <row r="3670" spans="1:14" ht="15.75" customHeight="1" x14ac:dyDescent="0.25">
      <c r="A3670" s="7">
        <v>1</v>
      </c>
      <c r="B3670" s="155" t="s">
        <v>1056</v>
      </c>
      <c r="C3670" s="129">
        <v>6</v>
      </c>
      <c r="D3670" s="7" t="s">
        <v>363</v>
      </c>
      <c r="E3670" s="130">
        <v>33950</v>
      </c>
      <c r="F3670" s="130">
        <f>E3670*C3670</f>
        <v>203700</v>
      </c>
      <c r="G3670" s="25"/>
      <c r="H3670" s="11"/>
      <c r="I3670" s="21"/>
      <c r="J3670" s="21"/>
      <c r="K3670" s="21"/>
      <c r="L3670" s="21"/>
      <c r="M3670" s="21"/>
      <c r="N3670" s="21"/>
    </row>
    <row r="3671" spans="1:14" ht="15.75" customHeight="1" x14ac:dyDescent="0.25">
      <c r="A3671" s="7"/>
      <c r="B3671" s="343" t="s">
        <v>342</v>
      </c>
      <c r="C3671" s="344"/>
      <c r="D3671" s="344"/>
      <c r="E3671" s="334"/>
      <c r="F3671" s="104">
        <f>SUM(F3670)</f>
        <v>203700</v>
      </c>
      <c r="G3671" s="25"/>
      <c r="H3671" s="11"/>
      <c r="I3671" s="21"/>
      <c r="J3671" s="21"/>
      <c r="K3671" s="21"/>
      <c r="L3671" s="21"/>
      <c r="M3671" s="21"/>
      <c r="N3671" s="21"/>
    </row>
    <row r="3672" spans="1:14" ht="15.75" customHeight="1" x14ac:dyDescent="0.25">
      <c r="A3672" s="7"/>
      <c r="B3672" s="343" t="s">
        <v>343</v>
      </c>
      <c r="C3672" s="344"/>
      <c r="D3672" s="344"/>
      <c r="E3672" s="334"/>
      <c r="F3672" s="104">
        <v>22407</v>
      </c>
      <c r="G3672" s="25"/>
      <c r="H3672" s="11"/>
      <c r="I3672" s="21"/>
      <c r="J3672" s="21"/>
      <c r="K3672" s="21"/>
      <c r="L3672" s="21"/>
      <c r="M3672" s="21"/>
      <c r="N3672" s="21"/>
    </row>
    <row r="3673" spans="1:14" ht="15.75" customHeight="1" x14ac:dyDescent="0.25">
      <c r="A3673" s="7"/>
      <c r="B3673" s="345" t="s">
        <v>344</v>
      </c>
      <c r="C3673" s="344"/>
      <c r="D3673" s="344"/>
      <c r="E3673" s="334"/>
      <c r="F3673" s="107">
        <f>SUM(F3671:F3672)</f>
        <v>226107</v>
      </c>
      <c r="G3673" s="25"/>
      <c r="H3673" s="11"/>
      <c r="I3673" s="21"/>
      <c r="J3673" s="21"/>
      <c r="K3673" s="21"/>
      <c r="L3673" s="21"/>
      <c r="M3673" s="21"/>
      <c r="N3673" s="21"/>
    </row>
    <row r="3674" spans="1:14" ht="15.75" customHeight="1" x14ac:dyDescent="0.25">
      <c r="A3674" s="21"/>
      <c r="B3674" s="21"/>
      <c r="C3674" s="11"/>
      <c r="D3674" s="11"/>
      <c r="E3674" s="21"/>
      <c r="F3674" s="21"/>
      <c r="G3674" s="25"/>
      <c r="H3674" s="11"/>
      <c r="I3674" s="21"/>
      <c r="J3674" s="21"/>
      <c r="K3674" s="21"/>
      <c r="L3674" s="21"/>
      <c r="M3674" s="21"/>
      <c r="N3674" s="21"/>
    </row>
    <row r="3675" spans="1:14" ht="15.75" customHeight="1" x14ac:dyDescent="0.25">
      <c r="A3675" s="31" t="s">
        <v>14</v>
      </c>
      <c r="B3675" s="31" t="s">
        <v>234</v>
      </c>
      <c r="C3675" s="31" t="s">
        <v>16</v>
      </c>
      <c r="D3675" s="31" t="s">
        <v>17</v>
      </c>
      <c r="E3675" s="31" t="s">
        <v>235</v>
      </c>
      <c r="F3675" s="31" t="s">
        <v>236</v>
      </c>
      <c r="G3675" s="25"/>
      <c r="H3675" s="11"/>
      <c r="I3675" s="21"/>
      <c r="J3675" s="21"/>
      <c r="K3675" s="21"/>
      <c r="L3675" s="21"/>
      <c r="M3675" s="21"/>
      <c r="N3675" s="21"/>
    </row>
    <row r="3676" spans="1:14" ht="15.75" customHeight="1" x14ac:dyDescent="0.25">
      <c r="A3676" s="7">
        <v>1</v>
      </c>
      <c r="B3676" s="155" t="s">
        <v>1466</v>
      </c>
      <c r="C3676" s="129">
        <v>2</v>
      </c>
      <c r="D3676" s="7" t="s">
        <v>347</v>
      </c>
      <c r="E3676" s="130">
        <v>6511400</v>
      </c>
      <c r="F3676" s="130">
        <f>E3676*C3676</f>
        <v>13022800</v>
      </c>
      <c r="G3676" s="25"/>
      <c r="H3676" s="11"/>
      <c r="I3676" s="21"/>
      <c r="J3676" s="21"/>
      <c r="K3676" s="21"/>
      <c r="L3676" s="21"/>
      <c r="M3676" s="21"/>
      <c r="N3676" s="21"/>
    </row>
    <row r="3677" spans="1:14" ht="15.75" customHeight="1" x14ac:dyDescent="0.25">
      <c r="A3677" s="7"/>
      <c r="B3677" s="343" t="s">
        <v>342</v>
      </c>
      <c r="C3677" s="344"/>
      <c r="D3677" s="344"/>
      <c r="E3677" s="334"/>
      <c r="F3677" s="104">
        <f>SUM(F3676)</f>
        <v>13022800</v>
      </c>
      <c r="G3677" s="25"/>
      <c r="H3677" s="11"/>
      <c r="I3677" s="21"/>
      <c r="J3677" s="21"/>
      <c r="K3677" s="21"/>
      <c r="L3677" s="21"/>
      <c r="M3677" s="21"/>
      <c r="N3677" s="21"/>
    </row>
    <row r="3678" spans="1:14" ht="15.75" customHeight="1" x14ac:dyDescent="0.25">
      <c r="A3678" s="7"/>
      <c r="B3678" s="343" t="s">
        <v>343</v>
      </c>
      <c r="C3678" s="344"/>
      <c r="D3678" s="344"/>
      <c r="E3678" s="334"/>
      <c r="F3678" s="104">
        <v>1432508</v>
      </c>
      <c r="G3678" s="25"/>
      <c r="H3678" s="11"/>
      <c r="I3678" s="21"/>
      <c r="J3678" s="21"/>
      <c r="K3678" s="21"/>
      <c r="L3678" s="21"/>
      <c r="M3678" s="21"/>
      <c r="N3678" s="21"/>
    </row>
    <row r="3679" spans="1:14" ht="15.75" customHeight="1" x14ac:dyDescent="0.25">
      <c r="A3679" s="7"/>
      <c r="B3679" s="345" t="s">
        <v>344</v>
      </c>
      <c r="C3679" s="344"/>
      <c r="D3679" s="344"/>
      <c r="E3679" s="334"/>
      <c r="F3679" s="107">
        <f>SUM(F3677:F3678)</f>
        <v>14455308</v>
      </c>
      <c r="G3679" s="25"/>
      <c r="H3679" s="11"/>
      <c r="I3679" s="21"/>
      <c r="J3679" s="21"/>
      <c r="K3679" s="21"/>
      <c r="L3679" s="21"/>
      <c r="M3679" s="21"/>
      <c r="N3679" s="21"/>
    </row>
    <row r="3680" spans="1:14" ht="15.75" customHeight="1" x14ac:dyDescent="0.25">
      <c r="A3680" s="21"/>
      <c r="B3680" s="21"/>
      <c r="C3680" s="11"/>
      <c r="D3680" s="11"/>
      <c r="E3680" s="21"/>
      <c r="F3680" s="21"/>
      <c r="G3680" s="25"/>
      <c r="H3680" s="11"/>
      <c r="I3680" s="21"/>
      <c r="J3680" s="21"/>
      <c r="K3680" s="21"/>
      <c r="L3680" s="21"/>
      <c r="M3680" s="21"/>
      <c r="N3680" s="21"/>
    </row>
    <row r="3681" spans="1:14" ht="15.75" customHeight="1" x14ac:dyDescent="0.25">
      <c r="A3681" s="31" t="s">
        <v>14</v>
      </c>
      <c r="B3681" s="31" t="s">
        <v>234</v>
      </c>
      <c r="C3681" s="31" t="s">
        <v>16</v>
      </c>
      <c r="D3681" s="31" t="s">
        <v>17</v>
      </c>
      <c r="E3681" s="31" t="s">
        <v>235</v>
      </c>
      <c r="F3681" s="31" t="s">
        <v>236</v>
      </c>
      <c r="G3681" s="25"/>
      <c r="H3681" s="11"/>
      <c r="I3681" s="21"/>
      <c r="J3681" s="21"/>
      <c r="K3681" s="21"/>
      <c r="L3681" s="21"/>
      <c r="M3681" s="21"/>
      <c r="N3681" s="21"/>
    </row>
    <row r="3682" spans="1:14" ht="15.75" customHeight="1" x14ac:dyDescent="0.25">
      <c r="A3682" s="7">
        <v>1</v>
      </c>
      <c r="B3682" s="124" t="s">
        <v>1467</v>
      </c>
      <c r="C3682" s="151">
        <v>2</v>
      </c>
      <c r="D3682" s="7" t="s">
        <v>251</v>
      </c>
      <c r="E3682" s="130">
        <v>116375</v>
      </c>
      <c r="F3682" s="130">
        <f>E3682*C3682</f>
        <v>232750</v>
      </c>
      <c r="G3682" s="25"/>
      <c r="H3682" s="11"/>
      <c r="I3682" s="21"/>
      <c r="J3682" s="21"/>
      <c r="K3682" s="21"/>
      <c r="L3682" s="21"/>
      <c r="M3682" s="21"/>
      <c r="N3682" s="21"/>
    </row>
    <row r="3683" spans="1:14" ht="15.75" customHeight="1" x14ac:dyDescent="0.25">
      <c r="A3683" s="7">
        <v>2</v>
      </c>
      <c r="B3683" s="124" t="s">
        <v>1468</v>
      </c>
      <c r="C3683" s="151">
        <v>2</v>
      </c>
      <c r="D3683" s="7" t="s">
        <v>251</v>
      </c>
      <c r="E3683" s="130">
        <v>128725</v>
      </c>
      <c r="F3683" s="130">
        <f>E3683*C3683</f>
        <v>257450</v>
      </c>
      <c r="G3683" s="25"/>
      <c r="H3683" s="11"/>
      <c r="I3683" s="21"/>
      <c r="J3683" s="21"/>
      <c r="K3683" s="21"/>
      <c r="L3683" s="21"/>
      <c r="M3683" s="21"/>
      <c r="N3683" s="21"/>
    </row>
    <row r="3684" spans="1:14" ht="15.75" customHeight="1" x14ac:dyDescent="0.25">
      <c r="A3684" s="7">
        <v>3</v>
      </c>
      <c r="B3684" s="124" t="s">
        <v>1469</v>
      </c>
      <c r="C3684" s="151">
        <v>6</v>
      </c>
      <c r="D3684" s="7" t="s">
        <v>363</v>
      </c>
      <c r="E3684" s="130">
        <v>118275</v>
      </c>
      <c r="F3684" s="130">
        <f>E3684*C3684</f>
        <v>709650</v>
      </c>
      <c r="G3684" s="25"/>
      <c r="H3684" s="11"/>
      <c r="I3684" s="21"/>
      <c r="J3684" s="21"/>
      <c r="K3684" s="21"/>
      <c r="L3684" s="21"/>
      <c r="M3684" s="21"/>
      <c r="N3684" s="21"/>
    </row>
    <row r="3685" spans="1:14" ht="15.75" customHeight="1" x14ac:dyDescent="0.25">
      <c r="A3685" s="7">
        <v>4</v>
      </c>
      <c r="B3685" s="124" t="s">
        <v>1470</v>
      </c>
      <c r="C3685" s="151">
        <v>1</v>
      </c>
      <c r="D3685" s="7" t="s">
        <v>363</v>
      </c>
      <c r="E3685" s="130">
        <v>4500000</v>
      </c>
      <c r="F3685" s="130">
        <f>E3685*C3685</f>
        <v>4500000</v>
      </c>
      <c r="G3685" s="25"/>
      <c r="H3685" s="11"/>
      <c r="I3685" s="21"/>
      <c r="J3685" s="21"/>
      <c r="K3685" s="21"/>
      <c r="L3685" s="21"/>
      <c r="M3685" s="21"/>
      <c r="N3685" s="21"/>
    </row>
    <row r="3686" spans="1:14" ht="15.75" customHeight="1" x14ac:dyDescent="0.25">
      <c r="A3686" s="7"/>
      <c r="B3686" s="346" t="s">
        <v>342</v>
      </c>
      <c r="C3686" s="347"/>
      <c r="D3686" s="347"/>
      <c r="E3686" s="348"/>
      <c r="F3686" s="104">
        <f>SUM(F3682:F3685)</f>
        <v>5699850</v>
      </c>
      <c r="G3686" s="25"/>
      <c r="H3686" s="11"/>
      <c r="I3686" s="21"/>
      <c r="J3686" s="21"/>
      <c r="K3686" s="21"/>
      <c r="L3686" s="21"/>
      <c r="M3686" s="21"/>
      <c r="N3686" s="21"/>
    </row>
    <row r="3687" spans="1:14" ht="15.75" customHeight="1" x14ac:dyDescent="0.25">
      <c r="A3687" s="7"/>
      <c r="B3687" s="343" t="s">
        <v>343</v>
      </c>
      <c r="C3687" s="344"/>
      <c r="D3687" s="344"/>
      <c r="E3687" s="334"/>
      <c r="F3687" s="104">
        <v>626983.5</v>
      </c>
      <c r="G3687" s="25"/>
      <c r="H3687" s="11"/>
      <c r="I3687" s="21"/>
      <c r="J3687" s="21"/>
      <c r="K3687" s="21"/>
      <c r="L3687" s="21"/>
      <c r="M3687" s="21"/>
      <c r="N3687" s="21"/>
    </row>
    <row r="3688" spans="1:14" ht="15.75" customHeight="1" x14ac:dyDescent="0.25">
      <c r="A3688" s="7"/>
      <c r="B3688" s="345" t="s">
        <v>344</v>
      </c>
      <c r="C3688" s="344"/>
      <c r="D3688" s="344"/>
      <c r="E3688" s="334"/>
      <c r="F3688" s="107">
        <f>SUM(F3686:F3687)</f>
        <v>6326833.5</v>
      </c>
      <c r="G3688" s="25"/>
      <c r="H3688" s="11"/>
      <c r="I3688" s="21"/>
      <c r="J3688" s="21"/>
      <c r="K3688" s="21"/>
      <c r="L3688" s="21"/>
      <c r="M3688" s="21"/>
      <c r="N3688" s="21"/>
    </row>
    <row r="3689" spans="1:14" ht="15.75" customHeight="1" x14ac:dyDescent="0.25">
      <c r="A3689" s="21"/>
      <c r="B3689" s="21"/>
      <c r="C3689" s="11"/>
      <c r="D3689" s="11"/>
      <c r="E3689" s="21"/>
      <c r="F3689" s="21"/>
      <c r="G3689" s="25"/>
      <c r="H3689" s="11"/>
      <c r="I3689" s="21"/>
      <c r="J3689" s="21"/>
      <c r="K3689" s="21"/>
      <c r="L3689" s="21"/>
      <c r="M3689" s="21"/>
      <c r="N3689" s="21"/>
    </row>
    <row r="3690" spans="1:14" ht="15.75" customHeight="1" x14ac:dyDescent="0.25">
      <c r="A3690" s="31" t="s">
        <v>351</v>
      </c>
      <c r="B3690" s="31" t="s">
        <v>234</v>
      </c>
      <c r="C3690" s="31" t="s">
        <v>16</v>
      </c>
      <c r="D3690" s="31" t="s">
        <v>17</v>
      </c>
      <c r="E3690" s="31" t="s">
        <v>235</v>
      </c>
      <c r="F3690" s="31" t="s">
        <v>236</v>
      </c>
      <c r="G3690" s="25"/>
      <c r="H3690" s="11"/>
      <c r="I3690" s="21"/>
      <c r="J3690" s="21"/>
      <c r="K3690" s="21"/>
      <c r="L3690" s="21"/>
      <c r="M3690" s="21"/>
      <c r="N3690" s="21"/>
    </row>
    <row r="3691" spans="1:14" ht="15.75" customHeight="1" x14ac:dyDescent="0.25">
      <c r="A3691" s="7">
        <v>1</v>
      </c>
      <c r="B3691" s="41" t="s">
        <v>1471</v>
      </c>
      <c r="C3691" s="7">
        <v>200</v>
      </c>
      <c r="D3691" s="7" t="s">
        <v>19</v>
      </c>
      <c r="E3691" s="104">
        <v>9200</v>
      </c>
      <c r="F3691" s="104">
        <f>E3691*C3691</f>
        <v>1840000</v>
      </c>
      <c r="G3691" s="25"/>
      <c r="H3691" s="11"/>
      <c r="I3691" s="21"/>
      <c r="J3691" s="21"/>
      <c r="K3691" s="21"/>
      <c r="L3691" s="21"/>
      <c r="M3691" s="21"/>
      <c r="N3691" s="21"/>
    </row>
    <row r="3692" spans="1:14" ht="15.75" customHeight="1" x14ac:dyDescent="0.25">
      <c r="A3692" s="7">
        <v>2</v>
      </c>
      <c r="B3692" s="41" t="s">
        <v>1472</v>
      </c>
      <c r="C3692" s="7">
        <v>200</v>
      </c>
      <c r="D3692" s="7" t="s">
        <v>19</v>
      </c>
      <c r="E3692" s="104">
        <v>6500</v>
      </c>
      <c r="F3692" s="104">
        <f>E3692*C3692</f>
        <v>1300000</v>
      </c>
      <c r="G3692" s="25"/>
      <c r="H3692" s="11"/>
      <c r="I3692" s="21"/>
      <c r="J3692" s="21"/>
      <c r="K3692" s="21"/>
      <c r="L3692" s="21"/>
      <c r="M3692" s="21"/>
      <c r="N3692" s="21"/>
    </row>
    <row r="3693" spans="1:14" ht="15.75" customHeight="1" x14ac:dyDescent="0.25">
      <c r="A3693" s="7"/>
      <c r="B3693" s="343" t="s">
        <v>342</v>
      </c>
      <c r="C3693" s="344"/>
      <c r="D3693" s="344"/>
      <c r="E3693" s="334"/>
      <c r="F3693" s="104">
        <f>SUM(F3691:F3692)</f>
        <v>3140000</v>
      </c>
      <c r="G3693" s="25"/>
      <c r="H3693" s="11"/>
      <c r="I3693" s="21"/>
      <c r="J3693" s="21"/>
      <c r="K3693" s="21"/>
      <c r="L3693" s="21"/>
      <c r="M3693" s="21"/>
      <c r="N3693" s="21"/>
    </row>
    <row r="3694" spans="1:14" ht="15.75" customHeight="1" x14ac:dyDescent="0.25">
      <c r="A3694" s="7"/>
      <c r="B3694" s="343" t="s">
        <v>343</v>
      </c>
      <c r="C3694" s="344"/>
      <c r="D3694" s="344"/>
      <c r="E3694" s="334"/>
      <c r="F3694" s="104">
        <v>345400</v>
      </c>
      <c r="G3694" s="25"/>
      <c r="H3694" s="11"/>
      <c r="I3694" s="21"/>
      <c r="J3694" s="21"/>
      <c r="K3694" s="21"/>
      <c r="L3694" s="21"/>
      <c r="M3694" s="21"/>
      <c r="N3694" s="21"/>
    </row>
    <row r="3695" spans="1:14" ht="15.75" customHeight="1" x14ac:dyDescent="0.25">
      <c r="A3695" s="7"/>
      <c r="B3695" s="345" t="s">
        <v>344</v>
      </c>
      <c r="C3695" s="344"/>
      <c r="D3695" s="344"/>
      <c r="E3695" s="334"/>
      <c r="F3695" s="107">
        <f>SUM(F3693:F3694)</f>
        <v>3485400</v>
      </c>
      <c r="G3695" s="25"/>
      <c r="H3695" s="11"/>
      <c r="I3695" s="21"/>
      <c r="J3695" s="21"/>
      <c r="K3695" s="21"/>
      <c r="L3695" s="21"/>
      <c r="M3695" s="21"/>
      <c r="N3695" s="21"/>
    </row>
    <row r="3696" spans="1:14" ht="15.75" customHeight="1" x14ac:dyDescent="0.25">
      <c r="A3696" s="21"/>
      <c r="B3696" s="21"/>
      <c r="C3696" s="11"/>
      <c r="D3696" s="11"/>
      <c r="E3696" s="21"/>
      <c r="F3696" s="21"/>
      <c r="G3696" s="25"/>
      <c r="H3696" s="11"/>
      <c r="I3696" s="21"/>
      <c r="J3696" s="21"/>
      <c r="K3696" s="21"/>
      <c r="L3696" s="21"/>
      <c r="M3696" s="21"/>
      <c r="N3696" s="21"/>
    </row>
    <row r="3697" spans="1:14" ht="15.75" customHeight="1" x14ac:dyDescent="0.25">
      <c r="A3697" s="31" t="s">
        <v>351</v>
      </c>
      <c r="B3697" s="31" t="s">
        <v>234</v>
      </c>
      <c r="C3697" s="31" t="s">
        <v>16</v>
      </c>
      <c r="D3697" s="31" t="s">
        <v>17</v>
      </c>
      <c r="E3697" s="31" t="s">
        <v>235</v>
      </c>
      <c r="F3697" s="31" t="s">
        <v>236</v>
      </c>
      <c r="G3697" s="25"/>
      <c r="H3697" s="11"/>
      <c r="I3697" s="21"/>
      <c r="J3697" s="21"/>
      <c r="K3697" s="21"/>
      <c r="L3697" s="21"/>
      <c r="M3697" s="21"/>
      <c r="N3697" s="21"/>
    </row>
    <row r="3698" spans="1:14" ht="15.75" customHeight="1" x14ac:dyDescent="0.25">
      <c r="A3698" s="7">
        <v>1</v>
      </c>
      <c r="B3698" s="41" t="s">
        <v>1473</v>
      </c>
      <c r="C3698" s="7">
        <v>10</v>
      </c>
      <c r="D3698" s="7" t="s">
        <v>1458</v>
      </c>
      <c r="E3698" s="104">
        <v>288150</v>
      </c>
      <c r="F3698" s="104">
        <f>E3698*C3698</f>
        <v>2881500</v>
      </c>
      <c r="G3698" s="25"/>
      <c r="H3698" s="11"/>
      <c r="I3698" s="21"/>
      <c r="J3698" s="21"/>
      <c r="K3698" s="21"/>
      <c r="L3698" s="21"/>
      <c r="M3698" s="21"/>
      <c r="N3698" s="21"/>
    </row>
    <row r="3699" spans="1:14" ht="15.75" customHeight="1" x14ac:dyDescent="0.25">
      <c r="A3699" s="7">
        <v>2</v>
      </c>
      <c r="B3699" s="41" t="s">
        <v>1474</v>
      </c>
      <c r="C3699" s="7">
        <v>10</v>
      </c>
      <c r="D3699" s="7" t="s">
        <v>1458</v>
      </c>
      <c r="E3699" s="104">
        <v>86615</v>
      </c>
      <c r="F3699" s="104">
        <f>E3699*C3699</f>
        <v>866150</v>
      </c>
      <c r="G3699" s="25"/>
      <c r="H3699" s="11"/>
      <c r="I3699" s="21"/>
      <c r="J3699" s="21"/>
      <c r="K3699" s="21"/>
      <c r="L3699" s="21"/>
      <c r="M3699" s="21"/>
      <c r="N3699" s="21"/>
    </row>
    <row r="3700" spans="1:14" ht="15.75" customHeight="1" x14ac:dyDescent="0.25">
      <c r="A3700" s="7"/>
      <c r="B3700" s="343" t="s">
        <v>342</v>
      </c>
      <c r="C3700" s="344"/>
      <c r="D3700" s="344"/>
      <c r="E3700" s="334"/>
      <c r="F3700" s="104">
        <f>SUM(F3698:F3699)</f>
        <v>3747650</v>
      </c>
      <c r="G3700" s="25"/>
      <c r="H3700" s="11"/>
      <c r="I3700" s="21"/>
      <c r="J3700" s="21"/>
      <c r="K3700" s="21"/>
      <c r="L3700" s="21"/>
      <c r="M3700" s="21"/>
      <c r="N3700" s="21"/>
    </row>
    <row r="3701" spans="1:14" ht="15.75" customHeight="1" x14ac:dyDescent="0.25">
      <c r="A3701" s="7"/>
      <c r="B3701" s="343" t="s">
        <v>343</v>
      </c>
      <c r="C3701" s="344"/>
      <c r="D3701" s="344"/>
      <c r="E3701" s="334"/>
      <c r="F3701" s="108">
        <v>412241.5</v>
      </c>
      <c r="G3701" s="25"/>
      <c r="H3701" s="11"/>
      <c r="I3701" s="21"/>
      <c r="J3701" s="21"/>
      <c r="K3701" s="21"/>
      <c r="L3701" s="21"/>
      <c r="M3701" s="21"/>
      <c r="N3701" s="21"/>
    </row>
    <row r="3702" spans="1:14" ht="15.75" customHeight="1" x14ac:dyDescent="0.25">
      <c r="A3702" s="7"/>
      <c r="B3702" s="345" t="s">
        <v>344</v>
      </c>
      <c r="C3702" s="344"/>
      <c r="D3702" s="344"/>
      <c r="E3702" s="334"/>
      <c r="F3702" s="109">
        <f>SUM(F3700:F3701)</f>
        <v>4159891.5</v>
      </c>
      <c r="G3702" s="25"/>
      <c r="H3702" s="11"/>
      <c r="I3702" s="21"/>
      <c r="J3702" s="21"/>
      <c r="K3702" s="21"/>
      <c r="L3702" s="21"/>
      <c r="M3702" s="21"/>
      <c r="N3702" s="21"/>
    </row>
    <row r="3703" spans="1:14" ht="15.75" customHeight="1" x14ac:dyDescent="0.25">
      <c r="A3703" s="21"/>
      <c r="B3703" s="21"/>
      <c r="C3703" s="11"/>
      <c r="D3703" s="11"/>
      <c r="E3703" s="21"/>
      <c r="F3703" s="21"/>
      <c r="G3703" s="25"/>
      <c r="H3703" s="11"/>
      <c r="I3703" s="21"/>
      <c r="J3703" s="21"/>
      <c r="K3703" s="21"/>
      <c r="L3703" s="21"/>
      <c r="M3703" s="21"/>
      <c r="N3703" s="21"/>
    </row>
    <row r="3704" spans="1:14" ht="15.75" customHeight="1" x14ac:dyDescent="0.25">
      <c r="A3704" s="31" t="s">
        <v>14</v>
      </c>
      <c r="B3704" s="31" t="s">
        <v>234</v>
      </c>
      <c r="C3704" s="31" t="s">
        <v>16</v>
      </c>
      <c r="D3704" s="31" t="s">
        <v>17</v>
      </c>
      <c r="E3704" s="31" t="s">
        <v>235</v>
      </c>
      <c r="F3704" s="31" t="s">
        <v>236</v>
      </c>
      <c r="G3704" s="25"/>
      <c r="H3704" s="11"/>
      <c r="I3704" s="21"/>
      <c r="J3704" s="21"/>
      <c r="K3704" s="21"/>
      <c r="L3704" s="21"/>
      <c r="M3704" s="21"/>
      <c r="N3704" s="21"/>
    </row>
    <row r="3705" spans="1:14" ht="15.75" customHeight="1" x14ac:dyDescent="0.25">
      <c r="A3705" s="7">
        <v>1</v>
      </c>
      <c r="B3705" s="155" t="s">
        <v>1475</v>
      </c>
      <c r="C3705" s="129">
        <v>5</v>
      </c>
      <c r="D3705" s="7" t="s">
        <v>19</v>
      </c>
      <c r="E3705" s="130">
        <v>127555</v>
      </c>
      <c r="F3705" s="130">
        <f>E3705*C3705</f>
        <v>637775</v>
      </c>
      <c r="G3705" s="25"/>
      <c r="H3705" s="11"/>
      <c r="I3705" s="21"/>
      <c r="J3705" s="21"/>
      <c r="K3705" s="21"/>
      <c r="L3705" s="21"/>
      <c r="M3705" s="21"/>
      <c r="N3705" s="21"/>
    </row>
    <row r="3706" spans="1:14" ht="15.75" customHeight="1" x14ac:dyDescent="0.25">
      <c r="A3706" s="7"/>
      <c r="B3706" s="343" t="s">
        <v>342</v>
      </c>
      <c r="C3706" s="344"/>
      <c r="D3706" s="344"/>
      <c r="E3706" s="334"/>
      <c r="F3706" s="104">
        <f>SUM(F3705)</f>
        <v>637775</v>
      </c>
      <c r="G3706" s="25"/>
      <c r="H3706" s="11"/>
      <c r="I3706" s="21"/>
      <c r="J3706" s="21"/>
      <c r="K3706" s="21"/>
      <c r="L3706" s="21"/>
      <c r="M3706" s="21"/>
      <c r="N3706" s="21"/>
    </row>
    <row r="3707" spans="1:14" ht="15.75" customHeight="1" x14ac:dyDescent="0.25">
      <c r="A3707" s="7"/>
      <c r="B3707" s="343" t="s">
        <v>343</v>
      </c>
      <c r="C3707" s="344"/>
      <c r="D3707" s="344"/>
      <c r="E3707" s="334"/>
      <c r="F3707" s="108">
        <v>70155.25</v>
      </c>
      <c r="G3707" s="25"/>
      <c r="H3707" s="11"/>
      <c r="I3707" s="21"/>
      <c r="J3707" s="21"/>
      <c r="K3707" s="21"/>
      <c r="L3707" s="21"/>
      <c r="M3707" s="21"/>
      <c r="N3707" s="21"/>
    </row>
    <row r="3708" spans="1:14" ht="15.75" customHeight="1" x14ac:dyDescent="0.25">
      <c r="A3708" s="7"/>
      <c r="B3708" s="345" t="s">
        <v>344</v>
      </c>
      <c r="C3708" s="344"/>
      <c r="D3708" s="344"/>
      <c r="E3708" s="334"/>
      <c r="F3708" s="109">
        <f>SUM(F3706:F3707)</f>
        <v>707930.25</v>
      </c>
      <c r="G3708" s="25"/>
      <c r="H3708" s="11"/>
      <c r="I3708" s="21"/>
      <c r="J3708" s="21"/>
      <c r="K3708" s="21"/>
      <c r="L3708" s="21"/>
      <c r="M3708" s="21"/>
      <c r="N3708" s="21"/>
    </row>
    <row r="3709" spans="1:14" ht="15.75" customHeight="1" x14ac:dyDescent="0.25">
      <c r="A3709" s="21"/>
      <c r="B3709" s="21"/>
      <c r="C3709" s="11"/>
      <c r="D3709" s="11"/>
      <c r="E3709" s="21"/>
      <c r="F3709" s="21"/>
      <c r="G3709" s="25"/>
      <c r="H3709" s="11"/>
      <c r="I3709" s="21"/>
      <c r="J3709" s="21"/>
      <c r="K3709" s="21"/>
      <c r="L3709" s="21"/>
      <c r="M3709" s="21"/>
      <c r="N3709" s="21"/>
    </row>
    <row r="3710" spans="1:14" ht="15.75" customHeight="1" x14ac:dyDescent="0.25">
      <c r="A3710" s="31" t="s">
        <v>14</v>
      </c>
      <c r="B3710" s="31" t="s">
        <v>234</v>
      </c>
      <c r="C3710" s="31" t="s">
        <v>16</v>
      </c>
      <c r="D3710" s="31" t="s">
        <v>17</v>
      </c>
      <c r="E3710" s="31" t="s">
        <v>235</v>
      </c>
      <c r="F3710" s="31" t="s">
        <v>236</v>
      </c>
      <c r="G3710" s="25"/>
      <c r="H3710" s="11"/>
      <c r="I3710" s="21"/>
      <c r="J3710" s="21"/>
      <c r="K3710" s="21"/>
      <c r="L3710" s="21"/>
      <c r="M3710" s="21"/>
      <c r="N3710" s="21"/>
    </row>
    <row r="3711" spans="1:14" ht="15.75" customHeight="1" x14ac:dyDescent="0.25">
      <c r="A3711" s="7">
        <v>1</v>
      </c>
      <c r="B3711" s="41" t="s">
        <v>1476</v>
      </c>
      <c r="C3711" s="158">
        <v>10</v>
      </c>
      <c r="D3711" s="7" t="s">
        <v>363</v>
      </c>
      <c r="E3711" s="104">
        <v>6500</v>
      </c>
      <c r="F3711" s="104">
        <f>E3711*C3711</f>
        <v>65000</v>
      </c>
      <c r="G3711" s="25"/>
      <c r="H3711" s="11"/>
      <c r="I3711" s="21"/>
      <c r="J3711" s="21"/>
      <c r="K3711" s="21"/>
      <c r="L3711" s="21"/>
      <c r="M3711" s="21"/>
      <c r="N3711" s="21"/>
    </row>
    <row r="3712" spans="1:14" ht="15.75" customHeight="1" x14ac:dyDescent="0.25">
      <c r="A3712" s="7">
        <v>2</v>
      </c>
      <c r="B3712" s="41" t="s">
        <v>1477</v>
      </c>
      <c r="C3712" s="133">
        <v>5</v>
      </c>
      <c r="D3712" s="7" t="s">
        <v>363</v>
      </c>
      <c r="E3712" s="104">
        <v>6500</v>
      </c>
      <c r="F3712" s="104">
        <f>E3712*C3712</f>
        <v>32500</v>
      </c>
      <c r="G3712" s="25"/>
      <c r="H3712" s="11"/>
      <c r="I3712" s="21"/>
      <c r="J3712" s="21"/>
      <c r="K3712" s="21"/>
      <c r="L3712" s="21"/>
      <c r="M3712" s="21"/>
      <c r="N3712" s="21"/>
    </row>
    <row r="3713" spans="1:14" ht="15.75" customHeight="1" x14ac:dyDescent="0.25">
      <c r="A3713" s="7">
        <v>3</v>
      </c>
      <c r="B3713" s="41" t="s">
        <v>1478</v>
      </c>
      <c r="C3713" s="151">
        <v>5</v>
      </c>
      <c r="D3713" s="133" t="s">
        <v>363</v>
      </c>
      <c r="E3713" s="104">
        <v>6500</v>
      </c>
      <c r="F3713" s="104">
        <f>E3713*C3713</f>
        <v>32500</v>
      </c>
      <c r="G3713" s="25"/>
      <c r="H3713" s="11"/>
      <c r="I3713" s="21"/>
      <c r="J3713" s="21"/>
      <c r="K3713" s="21"/>
      <c r="L3713" s="21"/>
      <c r="M3713" s="21"/>
      <c r="N3713" s="21"/>
    </row>
    <row r="3714" spans="1:14" ht="15.75" customHeight="1" x14ac:dyDescent="0.25">
      <c r="A3714" s="7"/>
      <c r="B3714" s="343" t="s">
        <v>342</v>
      </c>
      <c r="C3714" s="344"/>
      <c r="D3714" s="344"/>
      <c r="E3714" s="334"/>
      <c r="F3714" s="104">
        <f>SUM(F3711:F3713)</f>
        <v>130000</v>
      </c>
      <c r="G3714" s="25"/>
      <c r="H3714" s="11"/>
      <c r="I3714" s="21"/>
      <c r="J3714" s="21"/>
      <c r="K3714" s="21"/>
      <c r="L3714" s="21"/>
      <c r="M3714" s="21"/>
      <c r="N3714" s="21"/>
    </row>
    <row r="3715" spans="1:14" ht="15.75" customHeight="1" x14ac:dyDescent="0.25">
      <c r="A3715" s="7"/>
      <c r="B3715" s="343" t="s">
        <v>343</v>
      </c>
      <c r="C3715" s="344"/>
      <c r="D3715" s="344"/>
      <c r="E3715" s="334"/>
      <c r="F3715" s="104">
        <v>14300</v>
      </c>
      <c r="G3715" s="25"/>
      <c r="H3715" s="11"/>
      <c r="I3715" s="21"/>
      <c r="J3715" s="21"/>
      <c r="K3715" s="21"/>
      <c r="L3715" s="21"/>
      <c r="M3715" s="21"/>
      <c r="N3715" s="21"/>
    </row>
    <row r="3716" spans="1:14" ht="15.75" customHeight="1" x14ac:dyDescent="0.25">
      <c r="A3716" s="7"/>
      <c r="B3716" s="345" t="s">
        <v>344</v>
      </c>
      <c r="C3716" s="344"/>
      <c r="D3716" s="344"/>
      <c r="E3716" s="334"/>
      <c r="F3716" s="107">
        <f>SUM(F3714:F3715)</f>
        <v>144300</v>
      </c>
      <c r="G3716" s="25"/>
      <c r="H3716" s="11"/>
      <c r="I3716" s="21"/>
      <c r="J3716" s="21"/>
      <c r="K3716" s="21"/>
      <c r="L3716" s="21"/>
      <c r="M3716" s="21"/>
      <c r="N3716" s="21"/>
    </row>
    <row r="3717" spans="1:14" ht="15.75" customHeight="1" x14ac:dyDescent="0.25">
      <c r="A3717" s="21"/>
      <c r="B3717" s="21"/>
      <c r="C3717" s="11"/>
      <c r="D3717" s="11"/>
      <c r="E3717" s="21"/>
      <c r="F3717" s="21"/>
      <c r="G3717" s="25"/>
      <c r="H3717" s="11"/>
      <c r="I3717" s="21"/>
      <c r="J3717" s="21"/>
      <c r="K3717" s="21"/>
      <c r="L3717" s="21"/>
      <c r="M3717" s="21"/>
      <c r="N3717" s="21"/>
    </row>
    <row r="3718" spans="1:14" ht="15.75" customHeight="1" x14ac:dyDescent="0.25">
      <c r="A3718" s="31" t="s">
        <v>14</v>
      </c>
      <c r="B3718" s="31" t="s">
        <v>234</v>
      </c>
      <c r="C3718" s="31" t="s">
        <v>16</v>
      </c>
      <c r="D3718" s="31" t="s">
        <v>17</v>
      </c>
      <c r="E3718" s="31" t="s">
        <v>235</v>
      </c>
      <c r="F3718" s="31" t="s">
        <v>236</v>
      </c>
      <c r="G3718" s="25"/>
      <c r="H3718" s="11"/>
      <c r="I3718" s="21"/>
      <c r="J3718" s="21"/>
      <c r="K3718" s="21"/>
      <c r="L3718" s="21"/>
      <c r="M3718" s="21"/>
      <c r="N3718" s="21"/>
    </row>
    <row r="3719" spans="1:14" ht="15.75" customHeight="1" x14ac:dyDescent="0.25">
      <c r="A3719" s="7">
        <v>1</v>
      </c>
      <c r="B3719" s="41" t="s">
        <v>1479</v>
      </c>
      <c r="C3719" s="129">
        <v>20</v>
      </c>
      <c r="D3719" s="7" t="s">
        <v>19</v>
      </c>
      <c r="E3719" s="130">
        <v>6650</v>
      </c>
      <c r="F3719" s="130">
        <f>E3719*C3719</f>
        <v>133000</v>
      </c>
      <c r="G3719" s="25"/>
      <c r="H3719" s="11"/>
      <c r="I3719" s="21"/>
      <c r="J3719" s="21"/>
      <c r="K3719" s="21"/>
      <c r="L3719" s="21"/>
      <c r="M3719" s="21"/>
      <c r="N3719" s="21"/>
    </row>
    <row r="3720" spans="1:14" ht="15.75" customHeight="1" x14ac:dyDescent="0.25">
      <c r="A3720" s="7"/>
      <c r="B3720" s="343" t="s">
        <v>342</v>
      </c>
      <c r="C3720" s="344"/>
      <c r="D3720" s="344"/>
      <c r="E3720" s="334"/>
      <c r="F3720" s="104">
        <f>SUM(F3719)</f>
        <v>133000</v>
      </c>
      <c r="G3720" s="25"/>
      <c r="H3720" s="11"/>
      <c r="I3720" s="21"/>
      <c r="J3720" s="21"/>
      <c r="K3720" s="21"/>
      <c r="L3720" s="21"/>
      <c r="M3720" s="21"/>
      <c r="N3720" s="21"/>
    </row>
    <row r="3721" spans="1:14" ht="15.75" customHeight="1" x14ac:dyDescent="0.25">
      <c r="A3721" s="7"/>
      <c r="B3721" s="343" t="s">
        <v>343</v>
      </c>
      <c r="C3721" s="344"/>
      <c r="D3721" s="344"/>
      <c r="E3721" s="334"/>
      <c r="F3721" s="104">
        <v>14630</v>
      </c>
      <c r="G3721" s="25"/>
      <c r="H3721" s="11"/>
      <c r="I3721" s="21"/>
      <c r="J3721" s="21"/>
      <c r="K3721" s="21"/>
      <c r="L3721" s="21"/>
      <c r="M3721" s="21"/>
      <c r="N3721" s="21"/>
    </row>
    <row r="3722" spans="1:14" ht="15.75" customHeight="1" x14ac:dyDescent="0.25">
      <c r="A3722" s="7"/>
      <c r="B3722" s="345" t="s">
        <v>344</v>
      </c>
      <c r="C3722" s="344"/>
      <c r="D3722" s="344"/>
      <c r="E3722" s="334"/>
      <c r="F3722" s="107">
        <f>SUM(F3720:F3721)</f>
        <v>147630</v>
      </c>
      <c r="G3722" s="25"/>
      <c r="H3722" s="11"/>
      <c r="I3722" s="21"/>
      <c r="J3722" s="21"/>
      <c r="K3722" s="21"/>
      <c r="L3722" s="21"/>
      <c r="M3722" s="21"/>
      <c r="N3722" s="21"/>
    </row>
    <row r="3723" spans="1:14" ht="15.75" customHeight="1" x14ac:dyDescent="0.25">
      <c r="A3723" s="21"/>
      <c r="B3723" s="21"/>
      <c r="C3723" s="11"/>
      <c r="D3723" s="11"/>
      <c r="E3723" s="21"/>
      <c r="F3723" s="21"/>
      <c r="G3723" s="25"/>
      <c r="H3723" s="11"/>
      <c r="I3723" s="21"/>
      <c r="J3723" s="21"/>
      <c r="K3723" s="21"/>
      <c r="L3723" s="21"/>
      <c r="M3723" s="21"/>
      <c r="N3723" s="21"/>
    </row>
    <row r="3724" spans="1:14" ht="15.75" customHeight="1" x14ac:dyDescent="0.25">
      <c r="A3724" s="31" t="s">
        <v>14</v>
      </c>
      <c r="B3724" s="31" t="s">
        <v>234</v>
      </c>
      <c r="C3724" s="31" t="s">
        <v>16</v>
      </c>
      <c r="D3724" s="31" t="s">
        <v>17</v>
      </c>
      <c r="E3724" s="31" t="s">
        <v>235</v>
      </c>
      <c r="F3724" s="31" t="s">
        <v>236</v>
      </c>
      <c r="G3724" s="25"/>
      <c r="H3724" s="11"/>
      <c r="I3724" s="21"/>
      <c r="J3724" s="21"/>
      <c r="K3724" s="21"/>
      <c r="L3724" s="21"/>
      <c r="M3724" s="21"/>
      <c r="N3724" s="21"/>
    </row>
    <row r="3725" spans="1:14" ht="15.75" customHeight="1" x14ac:dyDescent="0.25">
      <c r="A3725" s="7">
        <v>1</v>
      </c>
      <c r="B3725" s="41" t="s">
        <v>1480</v>
      </c>
      <c r="C3725" s="158">
        <v>20</v>
      </c>
      <c r="D3725" s="7" t="s">
        <v>19</v>
      </c>
      <c r="E3725" s="104">
        <v>44135</v>
      </c>
      <c r="F3725" s="104">
        <f>E3725*C3725</f>
        <v>882700</v>
      </c>
      <c r="G3725" s="25"/>
      <c r="H3725" s="11"/>
      <c r="I3725" s="21"/>
      <c r="J3725" s="21"/>
      <c r="K3725" s="21"/>
      <c r="L3725" s="21"/>
      <c r="M3725" s="21"/>
      <c r="N3725" s="21"/>
    </row>
    <row r="3726" spans="1:14" ht="15.75" customHeight="1" x14ac:dyDescent="0.25">
      <c r="A3726" s="7">
        <v>2</v>
      </c>
      <c r="B3726" s="41" t="s">
        <v>1481</v>
      </c>
      <c r="C3726" s="133">
        <v>3</v>
      </c>
      <c r="D3726" s="7" t="s">
        <v>19</v>
      </c>
      <c r="E3726" s="104">
        <v>382956</v>
      </c>
      <c r="F3726" s="104">
        <f>E3726*C3726</f>
        <v>1148868</v>
      </c>
      <c r="G3726" s="25"/>
      <c r="H3726" s="11"/>
      <c r="I3726" s="21"/>
      <c r="J3726" s="21"/>
      <c r="K3726" s="21"/>
      <c r="L3726" s="21"/>
      <c r="M3726" s="21"/>
      <c r="N3726" s="21"/>
    </row>
    <row r="3727" spans="1:14" ht="15.75" customHeight="1" x14ac:dyDescent="0.25">
      <c r="A3727" s="7">
        <v>3</v>
      </c>
      <c r="B3727" s="41" t="s">
        <v>1482</v>
      </c>
      <c r="C3727" s="151">
        <v>6</v>
      </c>
      <c r="D3727" s="133" t="s">
        <v>19</v>
      </c>
      <c r="E3727" s="104">
        <v>82450</v>
      </c>
      <c r="F3727" s="104">
        <f>E3727*C3727</f>
        <v>494700</v>
      </c>
      <c r="G3727" s="25"/>
      <c r="H3727" s="11"/>
      <c r="I3727" s="21"/>
      <c r="J3727" s="21"/>
      <c r="K3727" s="21"/>
      <c r="L3727" s="21"/>
      <c r="M3727" s="21"/>
      <c r="N3727" s="21"/>
    </row>
    <row r="3728" spans="1:14" ht="15.75" customHeight="1" x14ac:dyDescent="0.25">
      <c r="A3728" s="7"/>
      <c r="B3728" s="343" t="s">
        <v>342</v>
      </c>
      <c r="C3728" s="344"/>
      <c r="D3728" s="344"/>
      <c r="E3728" s="334"/>
      <c r="F3728" s="104">
        <f>SUM(F3725:F3727)</f>
        <v>2526268</v>
      </c>
      <c r="G3728" s="25"/>
      <c r="H3728" s="11"/>
      <c r="I3728" s="21"/>
      <c r="J3728" s="21"/>
      <c r="K3728" s="21"/>
      <c r="L3728" s="21"/>
      <c r="M3728" s="21"/>
      <c r="N3728" s="21"/>
    </row>
    <row r="3729" spans="1:14" ht="15.75" customHeight="1" x14ac:dyDescent="0.25">
      <c r="A3729" s="7"/>
      <c r="B3729" s="343" t="s">
        <v>343</v>
      </c>
      <c r="C3729" s="344"/>
      <c r="D3729" s="344"/>
      <c r="E3729" s="334"/>
      <c r="F3729" s="108">
        <v>277889.48</v>
      </c>
      <c r="G3729" s="25"/>
      <c r="H3729" s="11"/>
      <c r="I3729" s="21"/>
      <c r="J3729" s="21"/>
      <c r="K3729" s="21"/>
      <c r="L3729" s="21"/>
      <c r="M3729" s="21"/>
      <c r="N3729" s="21"/>
    </row>
    <row r="3730" spans="1:14" ht="15.75" customHeight="1" x14ac:dyDescent="0.25">
      <c r="A3730" s="7"/>
      <c r="B3730" s="345" t="s">
        <v>344</v>
      </c>
      <c r="C3730" s="344"/>
      <c r="D3730" s="344"/>
      <c r="E3730" s="334"/>
      <c r="F3730" s="109">
        <f>SUM(F3728:F3729)</f>
        <v>2804157.48</v>
      </c>
      <c r="G3730" s="25"/>
      <c r="H3730" s="11"/>
      <c r="I3730" s="21"/>
      <c r="J3730" s="21"/>
      <c r="K3730" s="21"/>
      <c r="L3730" s="21"/>
      <c r="M3730" s="21"/>
      <c r="N3730" s="21"/>
    </row>
    <row r="3731" spans="1:14" ht="15.75" customHeight="1" x14ac:dyDescent="0.25">
      <c r="A3731" s="21"/>
      <c r="B3731" s="21"/>
      <c r="C3731" s="11"/>
      <c r="D3731" s="11"/>
      <c r="E3731" s="21"/>
      <c r="F3731" s="21"/>
      <c r="G3731" s="25"/>
      <c r="H3731" s="11"/>
      <c r="I3731" s="21"/>
      <c r="J3731" s="21"/>
      <c r="K3731" s="21"/>
      <c r="L3731" s="21"/>
      <c r="M3731" s="21"/>
      <c r="N3731" s="21"/>
    </row>
    <row r="3732" spans="1:14" ht="15.75" customHeight="1" x14ac:dyDescent="0.25">
      <c r="A3732" s="31" t="s">
        <v>14</v>
      </c>
      <c r="B3732" s="31" t="s">
        <v>234</v>
      </c>
      <c r="C3732" s="31" t="s">
        <v>16</v>
      </c>
      <c r="D3732" s="31" t="s">
        <v>17</v>
      </c>
      <c r="E3732" s="31" t="s">
        <v>235</v>
      </c>
      <c r="F3732" s="31" t="s">
        <v>236</v>
      </c>
      <c r="G3732" s="25"/>
      <c r="H3732" s="11"/>
      <c r="I3732" s="21"/>
      <c r="J3732" s="21"/>
      <c r="K3732" s="21"/>
      <c r="L3732" s="21"/>
      <c r="M3732" s="21"/>
      <c r="N3732" s="21"/>
    </row>
    <row r="3733" spans="1:14" ht="15.75" customHeight="1" x14ac:dyDescent="0.25">
      <c r="A3733" s="7">
        <v>1</v>
      </c>
      <c r="B3733" s="41" t="s">
        <v>1483</v>
      </c>
      <c r="C3733" s="129">
        <v>1</v>
      </c>
      <c r="D3733" s="7" t="s">
        <v>329</v>
      </c>
      <c r="E3733" s="130">
        <v>205000</v>
      </c>
      <c r="F3733" s="130">
        <f>E3733*C3733</f>
        <v>205000</v>
      </c>
      <c r="G3733" s="25"/>
      <c r="H3733" s="11"/>
      <c r="I3733" s="21"/>
      <c r="J3733" s="21"/>
      <c r="K3733" s="21"/>
      <c r="L3733" s="21"/>
      <c r="M3733" s="21"/>
      <c r="N3733" s="21"/>
    </row>
    <row r="3734" spans="1:14" ht="15.75" customHeight="1" x14ac:dyDescent="0.25">
      <c r="A3734" s="7"/>
      <c r="B3734" s="343" t="s">
        <v>342</v>
      </c>
      <c r="C3734" s="344"/>
      <c r="D3734" s="344"/>
      <c r="E3734" s="334"/>
      <c r="F3734" s="104">
        <f>SUM(F3733)</f>
        <v>205000</v>
      </c>
      <c r="G3734" s="25"/>
      <c r="H3734" s="11"/>
      <c r="I3734" s="21"/>
      <c r="J3734" s="21"/>
      <c r="K3734" s="21"/>
      <c r="L3734" s="21"/>
      <c r="M3734" s="21"/>
      <c r="N3734" s="21"/>
    </row>
    <row r="3735" spans="1:14" ht="15.75" customHeight="1" x14ac:dyDescent="0.25">
      <c r="A3735" s="7"/>
      <c r="B3735" s="343" t="s">
        <v>343</v>
      </c>
      <c r="C3735" s="344"/>
      <c r="D3735" s="344"/>
      <c r="E3735" s="334"/>
      <c r="F3735" s="104">
        <v>22550</v>
      </c>
      <c r="G3735" s="25"/>
      <c r="H3735" s="11"/>
      <c r="I3735" s="21"/>
      <c r="J3735" s="21"/>
      <c r="K3735" s="21"/>
      <c r="L3735" s="21"/>
      <c r="M3735" s="21"/>
      <c r="N3735" s="21"/>
    </row>
    <row r="3736" spans="1:14" ht="15.75" customHeight="1" x14ac:dyDescent="0.25">
      <c r="A3736" s="7"/>
      <c r="B3736" s="345" t="s">
        <v>344</v>
      </c>
      <c r="C3736" s="344"/>
      <c r="D3736" s="344"/>
      <c r="E3736" s="334"/>
      <c r="F3736" s="107">
        <f>SUM(F3734:F3735)</f>
        <v>227550</v>
      </c>
      <c r="G3736" s="25"/>
      <c r="H3736" s="11"/>
      <c r="I3736" s="21"/>
      <c r="J3736" s="21"/>
      <c r="K3736" s="21"/>
      <c r="L3736" s="21"/>
      <c r="M3736" s="21"/>
      <c r="N3736" s="21"/>
    </row>
    <row r="3737" spans="1:14" ht="15.75" customHeight="1" x14ac:dyDescent="0.25">
      <c r="A3737" s="21"/>
      <c r="B3737" s="21"/>
      <c r="C3737" s="11"/>
      <c r="D3737" s="11"/>
      <c r="E3737" s="21"/>
      <c r="F3737" s="21"/>
      <c r="G3737" s="25"/>
      <c r="H3737" s="11"/>
      <c r="I3737" s="21"/>
      <c r="J3737" s="21"/>
      <c r="K3737" s="21"/>
      <c r="L3737" s="21"/>
      <c r="M3737" s="21"/>
      <c r="N3737" s="21"/>
    </row>
    <row r="3738" spans="1:14" ht="15.75" customHeight="1" x14ac:dyDescent="0.25">
      <c r="A3738" s="31" t="s">
        <v>351</v>
      </c>
      <c r="B3738" s="31" t="s">
        <v>234</v>
      </c>
      <c r="C3738" s="31" t="s">
        <v>16</v>
      </c>
      <c r="D3738" s="31" t="s">
        <v>17</v>
      </c>
      <c r="E3738" s="31" t="s">
        <v>235</v>
      </c>
      <c r="F3738" s="31" t="s">
        <v>236</v>
      </c>
      <c r="G3738" s="25"/>
      <c r="H3738" s="11"/>
      <c r="I3738" s="21"/>
      <c r="J3738" s="21"/>
      <c r="K3738" s="21"/>
      <c r="L3738" s="21"/>
      <c r="M3738" s="21"/>
      <c r="N3738" s="21"/>
    </row>
    <row r="3739" spans="1:14" ht="15.75" customHeight="1" x14ac:dyDescent="0.25">
      <c r="A3739" s="7">
        <v>1</v>
      </c>
      <c r="B3739" s="41" t="s">
        <v>1484</v>
      </c>
      <c r="C3739" s="7">
        <v>50</v>
      </c>
      <c r="D3739" s="7" t="s">
        <v>370</v>
      </c>
      <c r="E3739" s="104">
        <v>216900</v>
      </c>
      <c r="F3739" s="104">
        <f>E3739*C3739</f>
        <v>10845000</v>
      </c>
      <c r="G3739" s="25"/>
      <c r="H3739" s="11"/>
      <c r="I3739" s="21"/>
      <c r="J3739" s="21"/>
      <c r="K3739" s="21"/>
      <c r="L3739" s="21"/>
      <c r="M3739" s="21"/>
      <c r="N3739" s="21"/>
    </row>
    <row r="3740" spans="1:14" ht="15.75" customHeight="1" x14ac:dyDescent="0.25">
      <c r="A3740" s="7">
        <v>2</v>
      </c>
      <c r="B3740" s="41" t="s">
        <v>1485</v>
      </c>
      <c r="C3740" s="7">
        <v>6</v>
      </c>
      <c r="D3740" s="7" t="s">
        <v>19</v>
      </c>
      <c r="E3740" s="104">
        <v>855000</v>
      </c>
      <c r="F3740" s="104">
        <f>E3740*C3740</f>
        <v>5130000</v>
      </c>
      <c r="G3740" s="25"/>
      <c r="H3740" s="11"/>
      <c r="I3740" s="21"/>
      <c r="J3740" s="21"/>
      <c r="K3740" s="21"/>
      <c r="L3740" s="21"/>
      <c r="M3740" s="21"/>
      <c r="N3740" s="21"/>
    </row>
    <row r="3741" spans="1:14" ht="15.75" customHeight="1" x14ac:dyDescent="0.25">
      <c r="A3741" s="7"/>
      <c r="B3741" s="343" t="s">
        <v>342</v>
      </c>
      <c r="C3741" s="344"/>
      <c r="D3741" s="344"/>
      <c r="E3741" s="334"/>
      <c r="F3741" s="104">
        <f>SUM(F3739:F3740)</f>
        <v>15975000</v>
      </c>
      <c r="G3741" s="25"/>
      <c r="H3741" s="11"/>
      <c r="I3741" s="21"/>
      <c r="J3741" s="21"/>
      <c r="K3741" s="21"/>
      <c r="L3741" s="21"/>
      <c r="M3741" s="21"/>
      <c r="N3741" s="21"/>
    </row>
    <row r="3742" spans="1:14" ht="15.75" customHeight="1" x14ac:dyDescent="0.25">
      <c r="A3742" s="7"/>
      <c r="B3742" s="343" t="s">
        <v>343</v>
      </c>
      <c r="C3742" s="344"/>
      <c r="D3742" s="344"/>
      <c r="E3742" s="334"/>
      <c r="F3742" s="104">
        <v>1757250</v>
      </c>
      <c r="G3742" s="25"/>
      <c r="H3742" s="11"/>
      <c r="I3742" s="21"/>
      <c r="J3742" s="21"/>
      <c r="K3742" s="21"/>
      <c r="L3742" s="21"/>
      <c r="M3742" s="21"/>
      <c r="N3742" s="21"/>
    </row>
    <row r="3743" spans="1:14" ht="15.75" customHeight="1" x14ac:dyDescent="0.25">
      <c r="A3743" s="7"/>
      <c r="B3743" s="345" t="s">
        <v>344</v>
      </c>
      <c r="C3743" s="344"/>
      <c r="D3743" s="344"/>
      <c r="E3743" s="334"/>
      <c r="F3743" s="107">
        <f>SUM(F3741:F3742)</f>
        <v>17732250</v>
      </c>
      <c r="G3743" s="25"/>
      <c r="H3743" s="11"/>
      <c r="I3743" s="21"/>
      <c r="J3743" s="21"/>
      <c r="K3743" s="21"/>
      <c r="L3743" s="21"/>
      <c r="M3743" s="21"/>
      <c r="N3743" s="21"/>
    </row>
    <row r="3744" spans="1:14" ht="15.75" customHeight="1" x14ac:dyDescent="0.25">
      <c r="A3744" s="21"/>
      <c r="B3744" s="21"/>
      <c r="C3744" s="11"/>
      <c r="D3744" s="11"/>
      <c r="E3744" s="21"/>
      <c r="F3744" s="21"/>
      <c r="G3744" s="25"/>
      <c r="H3744" s="11"/>
      <c r="I3744" s="21"/>
      <c r="J3744" s="21"/>
      <c r="K3744" s="21"/>
      <c r="L3744" s="21"/>
      <c r="M3744" s="21"/>
      <c r="N3744" s="21"/>
    </row>
    <row r="3745" spans="1:14" ht="15.75" customHeight="1" x14ac:dyDescent="0.25">
      <c r="A3745" s="31" t="s">
        <v>14</v>
      </c>
      <c r="B3745" s="31" t="s">
        <v>234</v>
      </c>
      <c r="C3745" s="31" t="s">
        <v>16</v>
      </c>
      <c r="D3745" s="31" t="s">
        <v>17</v>
      </c>
      <c r="E3745" s="31" t="s">
        <v>235</v>
      </c>
      <c r="F3745" s="31" t="s">
        <v>236</v>
      </c>
      <c r="G3745" s="25"/>
      <c r="H3745" s="11"/>
      <c r="I3745" s="21"/>
      <c r="J3745" s="21"/>
      <c r="K3745" s="21"/>
      <c r="L3745" s="21"/>
      <c r="M3745" s="21"/>
      <c r="N3745" s="21"/>
    </row>
    <row r="3746" spans="1:14" ht="15.75" customHeight="1" x14ac:dyDescent="0.25">
      <c r="A3746" s="7">
        <v>1</v>
      </c>
      <c r="B3746" s="41" t="s">
        <v>1486</v>
      </c>
      <c r="C3746" s="129">
        <v>50</v>
      </c>
      <c r="D3746" s="7" t="s">
        <v>370</v>
      </c>
      <c r="E3746" s="130">
        <v>216900</v>
      </c>
      <c r="F3746" s="130">
        <f>E3746*C3746</f>
        <v>10845000</v>
      </c>
      <c r="G3746" s="25"/>
      <c r="H3746" s="11"/>
      <c r="I3746" s="21"/>
      <c r="J3746" s="21"/>
      <c r="K3746" s="21"/>
      <c r="L3746" s="21"/>
      <c r="M3746" s="21"/>
      <c r="N3746" s="21"/>
    </row>
    <row r="3747" spans="1:14" ht="15.75" customHeight="1" x14ac:dyDescent="0.25">
      <c r="A3747" s="7"/>
      <c r="B3747" s="343" t="s">
        <v>342</v>
      </c>
      <c r="C3747" s="344"/>
      <c r="D3747" s="344"/>
      <c r="E3747" s="334"/>
      <c r="F3747" s="104">
        <f>SUM(F3746)</f>
        <v>10845000</v>
      </c>
      <c r="G3747" s="25"/>
      <c r="H3747" s="11"/>
      <c r="I3747" s="21"/>
      <c r="J3747" s="21"/>
      <c r="K3747" s="21"/>
      <c r="L3747" s="21"/>
      <c r="M3747" s="21"/>
      <c r="N3747" s="21"/>
    </row>
    <row r="3748" spans="1:14" ht="15.75" customHeight="1" x14ac:dyDescent="0.25">
      <c r="A3748" s="7"/>
      <c r="B3748" s="343" t="s">
        <v>343</v>
      </c>
      <c r="C3748" s="344"/>
      <c r="D3748" s="344"/>
      <c r="E3748" s="334"/>
      <c r="F3748" s="104">
        <v>1192950</v>
      </c>
      <c r="G3748" s="25"/>
      <c r="H3748" s="11"/>
      <c r="I3748" s="21"/>
      <c r="J3748" s="21"/>
      <c r="K3748" s="21"/>
      <c r="L3748" s="21"/>
      <c r="M3748" s="21"/>
      <c r="N3748" s="21"/>
    </row>
    <row r="3749" spans="1:14" ht="15.75" customHeight="1" x14ac:dyDescent="0.25">
      <c r="A3749" s="7"/>
      <c r="B3749" s="345" t="s">
        <v>344</v>
      </c>
      <c r="C3749" s="344"/>
      <c r="D3749" s="344"/>
      <c r="E3749" s="334"/>
      <c r="F3749" s="107">
        <f>SUM(F3747:F3748)</f>
        <v>12037950</v>
      </c>
      <c r="G3749" s="25"/>
      <c r="H3749" s="11"/>
      <c r="I3749" s="21"/>
      <c r="J3749" s="21"/>
      <c r="K3749" s="21"/>
      <c r="L3749" s="21"/>
      <c r="M3749" s="21"/>
      <c r="N3749" s="21"/>
    </row>
    <row r="3750" spans="1:14" ht="15.75" customHeight="1" x14ac:dyDescent="0.25">
      <c r="A3750" s="21"/>
      <c r="B3750" s="21"/>
      <c r="C3750" s="11"/>
      <c r="D3750" s="11"/>
      <c r="E3750" s="21"/>
      <c r="F3750" s="21"/>
      <c r="G3750" s="25"/>
      <c r="H3750" s="11"/>
      <c r="I3750" s="21"/>
      <c r="J3750" s="21"/>
      <c r="K3750" s="21"/>
      <c r="L3750" s="21"/>
      <c r="M3750" s="21"/>
      <c r="N3750" s="21"/>
    </row>
    <row r="3751" spans="1:14" ht="15.75" customHeight="1" x14ac:dyDescent="0.25">
      <c r="A3751" s="31" t="s">
        <v>14</v>
      </c>
      <c r="B3751" s="31" t="s">
        <v>234</v>
      </c>
      <c r="C3751" s="31" t="s">
        <v>16</v>
      </c>
      <c r="D3751" s="31" t="s">
        <v>17</v>
      </c>
      <c r="E3751" s="31" t="s">
        <v>235</v>
      </c>
      <c r="F3751" s="31" t="s">
        <v>236</v>
      </c>
      <c r="G3751" s="25"/>
      <c r="H3751" s="11"/>
      <c r="I3751" s="21"/>
      <c r="J3751" s="21"/>
      <c r="K3751" s="21"/>
      <c r="L3751" s="21"/>
      <c r="M3751" s="21"/>
      <c r="N3751" s="21"/>
    </row>
    <row r="3752" spans="1:14" ht="15.75" customHeight="1" x14ac:dyDescent="0.25">
      <c r="A3752" s="7">
        <v>1</v>
      </c>
      <c r="B3752" s="124" t="s">
        <v>1328</v>
      </c>
      <c r="C3752" s="129">
        <v>100</v>
      </c>
      <c r="D3752" s="7" t="s">
        <v>973</v>
      </c>
      <c r="E3752" s="130">
        <v>2973050</v>
      </c>
      <c r="F3752" s="130">
        <f>E3752*C3752</f>
        <v>297305000</v>
      </c>
      <c r="G3752" s="25"/>
      <c r="H3752" s="11"/>
      <c r="I3752" s="21"/>
      <c r="J3752" s="21"/>
      <c r="K3752" s="21"/>
      <c r="L3752" s="21"/>
      <c r="M3752" s="21"/>
      <c r="N3752" s="21"/>
    </row>
    <row r="3753" spans="1:14" ht="15.75" customHeight="1" x14ac:dyDescent="0.25">
      <c r="A3753" s="7">
        <v>2</v>
      </c>
      <c r="B3753" s="120" t="s">
        <v>1329</v>
      </c>
      <c r="C3753" s="129">
        <v>350</v>
      </c>
      <c r="D3753" s="7" t="s">
        <v>243</v>
      </c>
      <c r="E3753" s="130">
        <v>5626</v>
      </c>
      <c r="F3753" s="130">
        <f>E3753*C3753</f>
        <v>1969100</v>
      </c>
      <c r="G3753" s="25"/>
      <c r="H3753" s="11"/>
      <c r="I3753" s="21"/>
      <c r="J3753" s="21"/>
      <c r="K3753" s="21"/>
      <c r="L3753" s="21"/>
      <c r="M3753" s="21"/>
      <c r="N3753" s="21"/>
    </row>
    <row r="3754" spans="1:14" ht="15.75" customHeight="1" x14ac:dyDescent="0.25">
      <c r="A3754" s="7">
        <v>3</v>
      </c>
      <c r="B3754" s="142" t="s">
        <v>1487</v>
      </c>
      <c r="C3754" s="129">
        <v>12</v>
      </c>
      <c r="D3754" s="7" t="s">
        <v>973</v>
      </c>
      <c r="E3754" s="130">
        <v>5262250</v>
      </c>
      <c r="F3754" s="130">
        <f>E3754*C3754</f>
        <v>63147000</v>
      </c>
      <c r="G3754" s="25"/>
      <c r="H3754" s="11"/>
      <c r="I3754" s="21"/>
      <c r="J3754" s="21"/>
      <c r="K3754" s="21"/>
      <c r="L3754" s="21"/>
      <c r="M3754" s="21"/>
      <c r="N3754" s="21"/>
    </row>
    <row r="3755" spans="1:14" ht="15.75" customHeight="1" x14ac:dyDescent="0.25">
      <c r="A3755" s="7"/>
      <c r="B3755" s="343" t="s">
        <v>342</v>
      </c>
      <c r="C3755" s="344"/>
      <c r="D3755" s="344"/>
      <c r="E3755" s="334"/>
      <c r="F3755" s="104">
        <f>SUM(F3752:F3754)</f>
        <v>362421100</v>
      </c>
      <c r="G3755" s="25"/>
      <c r="H3755" s="11"/>
      <c r="I3755" s="21"/>
      <c r="J3755" s="21"/>
      <c r="K3755" s="21"/>
      <c r="L3755" s="21"/>
      <c r="M3755" s="21"/>
      <c r="N3755" s="21"/>
    </row>
    <row r="3756" spans="1:14" ht="15.75" customHeight="1" x14ac:dyDescent="0.25">
      <c r="A3756" s="7"/>
      <c r="B3756" s="345" t="s">
        <v>1365</v>
      </c>
      <c r="C3756" s="344"/>
      <c r="D3756" s="344"/>
      <c r="E3756" s="334"/>
      <c r="F3756" s="107">
        <v>50976410</v>
      </c>
      <c r="G3756" s="25"/>
      <c r="H3756" s="11"/>
      <c r="I3756" s="21"/>
      <c r="J3756" s="21"/>
      <c r="K3756" s="21"/>
      <c r="L3756" s="21"/>
      <c r="M3756" s="21"/>
      <c r="N3756" s="21"/>
    </row>
    <row r="3757" spans="1:14" ht="15.75" customHeight="1" x14ac:dyDescent="0.25">
      <c r="A3757" s="7"/>
      <c r="B3757" s="343" t="s">
        <v>343</v>
      </c>
      <c r="C3757" s="344"/>
      <c r="D3757" s="344"/>
      <c r="E3757" s="334"/>
      <c r="F3757" s="104"/>
      <c r="G3757" s="25"/>
      <c r="H3757" s="11"/>
      <c r="I3757" s="21"/>
      <c r="J3757" s="21"/>
      <c r="K3757" s="21"/>
      <c r="L3757" s="21"/>
      <c r="M3757" s="21"/>
      <c r="N3757" s="21"/>
    </row>
    <row r="3758" spans="1:14" ht="15.75" customHeight="1" x14ac:dyDescent="0.25">
      <c r="A3758" s="7"/>
      <c r="B3758" s="345" t="s">
        <v>344</v>
      </c>
      <c r="C3758" s="344"/>
      <c r="D3758" s="344"/>
      <c r="E3758" s="334"/>
      <c r="F3758" s="107">
        <f>SUM(F3756:F3757)</f>
        <v>50976410</v>
      </c>
      <c r="G3758" s="25"/>
      <c r="H3758" s="11"/>
      <c r="I3758" s="21"/>
      <c r="J3758" s="21"/>
      <c r="K3758" s="21"/>
      <c r="L3758" s="21"/>
      <c r="M3758" s="21"/>
      <c r="N3758" s="21"/>
    </row>
    <row r="3759" spans="1:14" ht="15.75" customHeight="1" x14ac:dyDescent="0.25">
      <c r="A3759" s="21"/>
      <c r="B3759" s="21"/>
      <c r="C3759" s="11"/>
      <c r="D3759" s="11"/>
      <c r="E3759" s="21"/>
      <c r="F3759" s="21"/>
      <c r="G3759" s="25"/>
      <c r="H3759" s="11"/>
      <c r="I3759" s="21"/>
      <c r="J3759" s="21"/>
      <c r="K3759" s="21"/>
      <c r="L3759" s="21"/>
      <c r="M3759" s="21"/>
      <c r="N3759" s="21"/>
    </row>
    <row r="3760" spans="1:14" ht="15.75" customHeight="1" x14ac:dyDescent="0.25">
      <c r="A3760" s="31" t="s">
        <v>14</v>
      </c>
      <c r="B3760" s="31" t="s">
        <v>234</v>
      </c>
      <c r="C3760" s="31" t="s">
        <v>16</v>
      </c>
      <c r="D3760" s="31" t="s">
        <v>17</v>
      </c>
      <c r="E3760" s="31" t="s">
        <v>235</v>
      </c>
      <c r="F3760" s="31" t="s">
        <v>236</v>
      </c>
      <c r="G3760" s="25"/>
      <c r="H3760" s="11"/>
      <c r="I3760" s="21"/>
      <c r="J3760" s="21"/>
      <c r="K3760" s="21"/>
      <c r="L3760" s="21"/>
      <c r="M3760" s="21"/>
      <c r="N3760" s="21"/>
    </row>
    <row r="3761" spans="1:14" ht="15.75" customHeight="1" x14ac:dyDescent="0.25">
      <c r="A3761" s="7">
        <v>1</v>
      </c>
      <c r="B3761" s="124" t="s">
        <v>1423</v>
      </c>
      <c r="C3761" s="129">
        <v>3</v>
      </c>
      <c r="D3761" s="7" t="s">
        <v>973</v>
      </c>
      <c r="E3761" s="130">
        <v>15083500</v>
      </c>
      <c r="F3761" s="130">
        <f>E3761*C3761</f>
        <v>45250500</v>
      </c>
      <c r="G3761" s="25"/>
      <c r="H3761" s="11"/>
      <c r="I3761" s="21"/>
      <c r="J3761" s="21"/>
      <c r="K3761" s="21"/>
      <c r="L3761" s="21"/>
      <c r="M3761" s="21"/>
      <c r="N3761" s="21"/>
    </row>
    <row r="3762" spans="1:14" ht="15.75" customHeight="1" x14ac:dyDescent="0.25">
      <c r="A3762" s="7">
        <v>2</v>
      </c>
      <c r="B3762" s="120" t="s">
        <v>1424</v>
      </c>
      <c r="C3762" s="129">
        <v>3</v>
      </c>
      <c r="D3762" s="7" t="s">
        <v>243</v>
      </c>
      <c r="E3762" s="130">
        <v>3234950</v>
      </c>
      <c r="F3762" s="130">
        <f>E3762*C3762</f>
        <v>9704850</v>
      </c>
      <c r="G3762" s="25"/>
      <c r="H3762" s="11"/>
      <c r="I3762" s="21"/>
      <c r="J3762" s="21"/>
      <c r="K3762" s="21"/>
      <c r="L3762" s="21"/>
      <c r="M3762" s="21"/>
      <c r="N3762" s="21"/>
    </row>
    <row r="3763" spans="1:14" ht="15.75" customHeight="1" x14ac:dyDescent="0.25">
      <c r="A3763" s="7">
        <v>3</v>
      </c>
      <c r="B3763" s="131" t="s">
        <v>1425</v>
      </c>
      <c r="C3763" s="129">
        <v>3</v>
      </c>
      <c r="D3763" s="7" t="s">
        <v>243</v>
      </c>
      <c r="E3763" s="130">
        <v>5912150</v>
      </c>
      <c r="F3763" s="130">
        <f>E3763*C3763</f>
        <v>17736450</v>
      </c>
      <c r="G3763" s="25"/>
      <c r="H3763" s="11"/>
      <c r="I3763" s="21"/>
      <c r="J3763" s="21"/>
      <c r="K3763" s="21"/>
      <c r="L3763" s="21"/>
      <c r="M3763" s="21"/>
      <c r="N3763" s="21"/>
    </row>
    <row r="3764" spans="1:14" ht="15.75" customHeight="1" x14ac:dyDescent="0.25">
      <c r="A3764" s="7">
        <v>4</v>
      </c>
      <c r="B3764" s="124" t="s">
        <v>1426</v>
      </c>
      <c r="C3764" s="129">
        <v>20</v>
      </c>
      <c r="D3764" s="7" t="s">
        <v>973</v>
      </c>
      <c r="E3764" s="130">
        <v>773575</v>
      </c>
      <c r="F3764" s="130">
        <f>E3764*C3764</f>
        <v>15471500</v>
      </c>
      <c r="G3764" s="25"/>
      <c r="H3764" s="11"/>
      <c r="I3764" s="21"/>
      <c r="J3764" s="21"/>
      <c r="K3764" s="21"/>
      <c r="L3764" s="21"/>
      <c r="M3764" s="21"/>
      <c r="N3764" s="21"/>
    </row>
    <row r="3765" spans="1:14" ht="15.75" customHeight="1" x14ac:dyDescent="0.25">
      <c r="A3765" s="7">
        <v>5</v>
      </c>
      <c r="B3765" s="124" t="s">
        <v>1427</v>
      </c>
      <c r="C3765" s="129">
        <v>18</v>
      </c>
      <c r="D3765" s="7" t="s">
        <v>973</v>
      </c>
      <c r="E3765" s="130">
        <v>5398050</v>
      </c>
      <c r="F3765" s="130">
        <f>E3765*C3765</f>
        <v>97164900</v>
      </c>
      <c r="G3765" s="25"/>
      <c r="H3765" s="11"/>
      <c r="I3765" s="21"/>
      <c r="J3765" s="21"/>
      <c r="K3765" s="21"/>
      <c r="L3765" s="21"/>
      <c r="M3765" s="21"/>
      <c r="N3765" s="21"/>
    </row>
    <row r="3766" spans="1:14" ht="15.75" customHeight="1" x14ac:dyDescent="0.25">
      <c r="A3766" s="7"/>
      <c r="B3766" s="343" t="s">
        <v>342</v>
      </c>
      <c r="C3766" s="344"/>
      <c r="D3766" s="344"/>
      <c r="E3766" s="334"/>
      <c r="F3766" s="104">
        <f>SUM(F3761:F3765)</f>
        <v>185328200</v>
      </c>
      <c r="G3766" s="25"/>
      <c r="H3766" s="11"/>
      <c r="I3766" s="21"/>
      <c r="J3766" s="21"/>
      <c r="K3766" s="21"/>
      <c r="L3766" s="21"/>
      <c r="M3766" s="21"/>
      <c r="N3766" s="21"/>
    </row>
    <row r="3767" spans="1:14" ht="15.75" customHeight="1" x14ac:dyDescent="0.25">
      <c r="A3767" s="7"/>
      <c r="B3767" s="345" t="s">
        <v>1365</v>
      </c>
      <c r="C3767" s="344"/>
      <c r="D3767" s="344"/>
      <c r="E3767" s="334"/>
      <c r="F3767" s="107">
        <v>166795380</v>
      </c>
      <c r="G3767" s="25"/>
      <c r="H3767" s="11"/>
      <c r="I3767" s="21"/>
      <c r="J3767" s="21"/>
      <c r="K3767" s="21"/>
      <c r="L3767" s="21"/>
      <c r="M3767" s="21"/>
      <c r="N3767" s="21"/>
    </row>
    <row r="3768" spans="1:14" ht="15.75" customHeight="1" x14ac:dyDescent="0.25">
      <c r="A3768" s="7"/>
      <c r="B3768" s="343" t="s">
        <v>343</v>
      </c>
      <c r="C3768" s="344"/>
      <c r="D3768" s="344"/>
      <c r="E3768" s="334"/>
      <c r="F3768" s="104">
        <v>18347491.800000001</v>
      </c>
      <c r="G3768" s="25"/>
      <c r="H3768" s="11"/>
      <c r="I3768" s="21"/>
      <c r="J3768" s="21"/>
      <c r="K3768" s="21"/>
      <c r="L3768" s="21"/>
      <c r="M3768" s="21"/>
      <c r="N3768" s="21"/>
    </row>
    <row r="3769" spans="1:14" ht="15.75" customHeight="1" x14ac:dyDescent="0.25">
      <c r="A3769" s="7"/>
      <c r="B3769" s="345" t="s">
        <v>344</v>
      </c>
      <c r="C3769" s="344"/>
      <c r="D3769" s="344"/>
      <c r="E3769" s="334"/>
      <c r="F3769" s="107">
        <f>SUM(F3767:F3768)</f>
        <v>185142871.80000001</v>
      </c>
      <c r="G3769" s="25"/>
      <c r="H3769" s="11"/>
      <c r="I3769" s="21"/>
      <c r="J3769" s="21"/>
      <c r="K3769" s="21"/>
      <c r="L3769" s="21"/>
      <c r="M3769" s="21"/>
      <c r="N3769" s="21"/>
    </row>
    <row r="3770" spans="1:14" ht="15.75" customHeight="1" x14ac:dyDescent="0.25">
      <c r="A3770" s="21"/>
      <c r="B3770" s="21"/>
      <c r="C3770" s="11"/>
      <c r="D3770" s="11"/>
      <c r="E3770" s="21"/>
      <c r="F3770" s="21"/>
      <c r="G3770" s="25"/>
      <c r="H3770" s="11"/>
      <c r="I3770" s="21"/>
      <c r="J3770" s="21"/>
      <c r="K3770" s="21"/>
      <c r="L3770" s="21"/>
      <c r="M3770" s="21"/>
      <c r="N3770" s="21"/>
    </row>
    <row r="3771" spans="1:14" ht="15.75" customHeight="1" x14ac:dyDescent="0.25">
      <c r="A3771" s="31" t="s">
        <v>14</v>
      </c>
      <c r="B3771" s="31" t="s">
        <v>234</v>
      </c>
      <c r="C3771" s="31" t="s">
        <v>16</v>
      </c>
      <c r="D3771" s="31" t="s">
        <v>17</v>
      </c>
      <c r="E3771" s="31" t="s">
        <v>235</v>
      </c>
      <c r="F3771" s="31" t="s">
        <v>236</v>
      </c>
      <c r="G3771" s="25"/>
      <c r="H3771" s="11"/>
      <c r="I3771" s="21"/>
      <c r="J3771" s="21"/>
      <c r="K3771" s="21"/>
      <c r="L3771" s="21"/>
      <c r="M3771" s="21"/>
      <c r="N3771" s="21"/>
    </row>
    <row r="3772" spans="1:14" ht="15.75" customHeight="1" x14ac:dyDescent="0.25">
      <c r="A3772" s="7">
        <v>1</v>
      </c>
      <c r="B3772" s="124" t="s">
        <v>1428</v>
      </c>
      <c r="C3772" s="129">
        <v>4</v>
      </c>
      <c r="D3772" s="7" t="s">
        <v>19</v>
      </c>
      <c r="E3772" s="130">
        <v>6416550</v>
      </c>
      <c r="F3772" s="130">
        <f t="shared" ref="F3772:F3777" si="40">E3772*C3772</f>
        <v>25666200</v>
      </c>
      <c r="G3772" s="25"/>
      <c r="H3772" s="11"/>
      <c r="I3772" s="21"/>
      <c r="J3772" s="21"/>
      <c r="K3772" s="21"/>
      <c r="L3772" s="21"/>
      <c r="M3772" s="21"/>
      <c r="N3772" s="21"/>
    </row>
    <row r="3773" spans="1:14" ht="15.75" customHeight="1" x14ac:dyDescent="0.25">
      <c r="A3773" s="7">
        <v>2</v>
      </c>
      <c r="B3773" s="120" t="s">
        <v>1429</v>
      </c>
      <c r="C3773" s="129">
        <v>60</v>
      </c>
      <c r="D3773" s="7" t="s">
        <v>19</v>
      </c>
      <c r="E3773" s="130">
        <v>26966</v>
      </c>
      <c r="F3773" s="130">
        <f t="shared" si="40"/>
        <v>1617960</v>
      </c>
      <c r="G3773" s="25"/>
      <c r="H3773" s="11"/>
      <c r="I3773" s="21"/>
      <c r="J3773" s="21"/>
      <c r="K3773" s="21"/>
      <c r="L3773" s="21"/>
      <c r="M3773" s="21"/>
      <c r="N3773" s="21"/>
    </row>
    <row r="3774" spans="1:14" ht="15.75" customHeight="1" x14ac:dyDescent="0.25">
      <c r="A3774" s="7">
        <v>3</v>
      </c>
      <c r="B3774" s="131" t="s">
        <v>1430</v>
      </c>
      <c r="C3774" s="129">
        <v>1</v>
      </c>
      <c r="D3774" s="7" t="s">
        <v>973</v>
      </c>
      <c r="E3774" s="130">
        <v>73235</v>
      </c>
      <c r="F3774" s="130">
        <f t="shared" si="40"/>
        <v>73235</v>
      </c>
      <c r="G3774" s="25"/>
      <c r="H3774" s="11"/>
      <c r="I3774" s="21"/>
      <c r="J3774" s="21"/>
      <c r="K3774" s="21"/>
      <c r="L3774" s="21"/>
      <c r="M3774" s="21"/>
      <c r="N3774" s="21"/>
    </row>
    <row r="3775" spans="1:14" ht="15.75" customHeight="1" x14ac:dyDescent="0.25">
      <c r="A3775" s="7">
        <v>4</v>
      </c>
      <c r="B3775" s="124" t="s">
        <v>1431</v>
      </c>
      <c r="C3775" s="129">
        <v>1</v>
      </c>
      <c r="D3775" s="7" t="s">
        <v>243</v>
      </c>
      <c r="E3775" s="130">
        <v>120280</v>
      </c>
      <c r="F3775" s="130">
        <f t="shared" si="40"/>
        <v>120280</v>
      </c>
      <c r="G3775" s="25"/>
      <c r="H3775" s="11"/>
      <c r="I3775" s="21"/>
      <c r="J3775" s="21"/>
      <c r="K3775" s="21"/>
      <c r="L3775" s="21"/>
      <c r="M3775" s="21"/>
      <c r="N3775" s="21"/>
    </row>
    <row r="3776" spans="1:14" ht="15.75" customHeight="1" x14ac:dyDescent="0.25">
      <c r="A3776" s="7">
        <v>5</v>
      </c>
      <c r="B3776" s="124" t="s">
        <v>1432</v>
      </c>
      <c r="C3776" s="129">
        <v>4</v>
      </c>
      <c r="D3776" s="7" t="s">
        <v>19</v>
      </c>
      <c r="E3776" s="130">
        <v>33950</v>
      </c>
      <c r="F3776" s="130">
        <f t="shared" si="40"/>
        <v>135800</v>
      </c>
      <c r="G3776" s="25"/>
      <c r="H3776" s="11"/>
      <c r="I3776" s="21"/>
      <c r="J3776" s="21"/>
      <c r="K3776" s="21"/>
      <c r="L3776" s="21"/>
      <c r="M3776" s="21"/>
      <c r="N3776" s="21"/>
    </row>
    <row r="3777" spans="1:14" ht="15.75" customHeight="1" x14ac:dyDescent="0.25">
      <c r="A3777" s="7">
        <v>6</v>
      </c>
      <c r="B3777" s="124" t="s">
        <v>1433</v>
      </c>
      <c r="C3777" s="129">
        <v>8</v>
      </c>
      <c r="D3777" s="7" t="s">
        <v>19</v>
      </c>
      <c r="E3777" s="130">
        <v>43650</v>
      </c>
      <c r="F3777" s="130">
        <f t="shared" si="40"/>
        <v>349200</v>
      </c>
      <c r="G3777" s="25"/>
      <c r="H3777" s="11"/>
      <c r="I3777" s="21"/>
      <c r="J3777" s="21"/>
      <c r="K3777" s="21"/>
      <c r="L3777" s="21"/>
      <c r="M3777" s="21"/>
      <c r="N3777" s="21"/>
    </row>
    <row r="3778" spans="1:14" ht="15.75" customHeight="1" x14ac:dyDescent="0.25">
      <c r="A3778" s="7"/>
      <c r="B3778" s="343" t="s">
        <v>342</v>
      </c>
      <c r="C3778" s="344"/>
      <c r="D3778" s="344"/>
      <c r="E3778" s="334"/>
      <c r="F3778" s="104">
        <f>SUM(F3772:F3777)</f>
        <v>27962675</v>
      </c>
      <c r="G3778" s="25"/>
      <c r="H3778" s="11"/>
      <c r="I3778" s="21"/>
      <c r="J3778" s="21"/>
      <c r="K3778" s="21"/>
      <c r="L3778" s="21"/>
      <c r="M3778" s="21"/>
      <c r="N3778" s="21"/>
    </row>
    <row r="3779" spans="1:14" ht="15.75" customHeight="1" x14ac:dyDescent="0.25">
      <c r="A3779" s="7"/>
      <c r="B3779" s="345" t="s">
        <v>1365</v>
      </c>
      <c r="C3779" s="344"/>
      <c r="D3779" s="344"/>
      <c r="E3779" s="334"/>
      <c r="F3779" s="107">
        <v>25166407.5</v>
      </c>
      <c r="G3779" s="25"/>
      <c r="H3779" s="11"/>
      <c r="I3779" s="21"/>
      <c r="J3779" s="21"/>
      <c r="K3779" s="21"/>
      <c r="L3779" s="21"/>
      <c r="M3779" s="21"/>
      <c r="N3779" s="21"/>
    </row>
    <row r="3780" spans="1:14" ht="15.75" customHeight="1" x14ac:dyDescent="0.25">
      <c r="A3780" s="7"/>
      <c r="B3780" s="343" t="s">
        <v>343</v>
      </c>
      <c r="C3780" s="344"/>
      <c r="D3780" s="344"/>
      <c r="E3780" s="334"/>
      <c r="F3780" s="104">
        <v>2768304.88</v>
      </c>
      <c r="G3780" s="25"/>
      <c r="H3780" s="11"/>
      <c r="I3780" s="21"/>
      <c r="J3780" s="21"/>
      <c r="K3780" s="21"/>
      <c r="L3780" s="21"/>
      <c r="M3780" s="21"/>
      <c r="N3780" s="21"/>
    </row>
    <row r="3781" spans="1:14" ht="15.75" customHeight="1" x14ac:dyDescent="0.25">
      <c r="A3781" s="7"/>
      <c r="B3781" s="345" t="s">
        <v>344</v>
      </c>
      <c r="C3781" s="344"/>
      <c r="D3781" s="344"/>
      <c r="E3781" s="334"/>
      <c r="F3781" s="107">
        <f>SUM(F3779:F3780)</f>
        <v>27934712.379999999</v>
      </c>
      <c r="G3781" s="25"/>
      <c r="H3781" s="11"/>
      <c r="I3781" s="21"/>
      <c r="J3781" s="21"/>
      <c r="K3781" s="21"/>
      <c r="L3781" s="21"/>
      <c r="M3781" s="21"/>
      <c r="N3781" s="21"/>
    </row>
    <row r="3782" spans="1:14" ht="15.75" customHeight="1" x14ac:dyDescent="0.25">
      <c r="A3782" s="21"/>
      <c r="B3782" s="21"/>
      <c r="C3782" s="11"/>
      <c r="D3782" s="11"/>
      <c r="E3782" s="21"/>
      <c r="F3782" s="21"/>
      <c r="G3782" s="25"/>
      <c r="H3782" s="11"/>
      <c r="I3782" s="21"/>
      <c r="J3782" s="21"/>
      <c r="K3782" s="21"/>
      <c r="L3782" s="21"/>
      <c r="M3782" s="21"/>
      <c r="N3782" s="21"/>
    </row>
    <row r="3783" spans="1:14" ht="15.75" customHeight="1" x14ac:dyDescent="0.25">
      <c r="A3783" s="31" t="s">
        <v>14</v>
      </c>
      <c r="B3783" s="31" t="s">
        <v>234</v>
      </c>
      <c r="C3783" s="31" t="s">
        <v>16</v>
      </c>
      <c r="D3783" s="31" t="s">
        <v>17</v>
      </c>
      <c r="E3783" s="31" t="s">
        <v>235</v>
      </c>
      <c r="F3783" s="31" t="s">
        <v>236</v>
      </c>
      <c r="G3783" s="25"/>
      <c r="H3783" s="11"/>
      <c r="I3783" s="21"/>
      <c r="J3783" s="21"/>
      <c r="K3783" s="21"/>
      <c r="L3783" s="21"/>
      <c r="M3783" s="21"/>
      <c r="N3783" s="21"/>
    </row>
    <row r="3784" spans="1:14" ht="15.75" customHeight="1" x14ac:dyDescent="0.25">
      <c r="A3784" s="7">
        <v>1</v>
      </c>
      <c r="B3784" s="41" t="s">
        <v>1488</v>
      </c>
      <c r="C3784" s="129">
        <v>3</v>
      </c>
      <c r="D3784" s="7" t="s">
        <v>550</v>
      </c>
      <c r="E3784" s="130">
        <v>315250</v>
      </c>
      <c r="F3784" s="130">
        <f>E3784*C3784</f>
        <v>945750</v>
      </c>
      <c r="G3784" s="25"/>
      <c r="H3784" s="11"/>
      <c r="I3784" s="21"/>
      <c r="J3784" s="21"/>
      <c r="K3784" s="21"/>
      <c r="L3784" s="21"/>
      <c r="M3784" s="21"/>
      <c r="N3784" s="21"/>
    </row>
    <row r="3785" spans="1:14" ht="15.75" customHeight="1" x14ac:dyDescent="0.25">
      <c r="A3785" s="7"/>
      <c r="B3785" s="343" t="s">
        <v>342</v>
      </c>
      <c r="C3785" s="344"/>
      <c r="D3785" s="344"/>
      <c r="E3785" s="334"/>
      <c r="F3785" s="104">
        <f>SUM(F3784)</f>
        <v>945750</v>
      </c>
      <c r="G3785" s="25"/>
      <c r="H3785" s="11"/>
      <c r="I3785" s="21"/>
      <c r="J3785" s="21"/>
      <c r="K3785" s="21"/>
      <c r="L3785" s="21"/>
      <c r="M3785" s="21"/>
      <c r="N3785" s="21"/>
    </row>
    <row r="3786" spans="1:14" ht="15.75" customHeight="1" x14ac:dyDescent="0.25">
      <c r="A3786" s="7"/>
      <c r="B3786" s="343" t="s">
        <v>343</v>
      </c>
      <c r="C3786" s="344"/>
      <c r="D3786" s="344"/>
      <c r="E3786" s="334"/>
      <c r="F3786" s="108">
        <v>104032.5</v>
      </c>
      <c r="G3786" s="25"/>
      <c r="H3786" s="11"/>
      <c r="I3786" s="21"/>
      <c r="J3786" s="21"/>
      <c r="K3786" s="21"/>
      <c r="L3786" s="21"/>
      <c r="M3786" s="21"/>
      <c r="N3786" s="21"/>
    </row>
    <row r="3787" spans="1:14" ht="15.75" customHeight="1" x14ac:dyDescent="0.25">
      <c r="A3787" s="7"/>
      <c r="B3787" s="345" t="s">
        <v>344</v>
      </c>
      <c r="C3787" s="344"/>
      <c r="D3787" s="344"/>
      <c r="E3787" s="334"/>
      <c r="F3787" s="109">
        <f>SUM(F3785:F3786)</f>
        <v>1049782.5</v>
      </c>
      <c r="G3787" s="25"/>
      <c r="H3787" s="11"/>
      <c r="I3787" s="21"/>
      <c r="J3787" s="21"/>
      <c r="K3787" s="21"/>
      <c r="L3787" s="21"/>
      <c r="M3787" s="21"/>
      <c r="N3787" s="21"/>
    </row>
    <row r="3788" spans="1:14" ht="15.75" customHeight="1" x14ac:dyDescent="0.25">
      <c r="A3788" s="21"/>
      <c r="B3788" s="21"/>
      <c r="C3788" s="11"/>
      <c r="D3788" s="11"/>
      <c r="E3788" s="21"/>
      <c r="F3788" s="21"/>
      <c r="G3788" s="25"/>
      <c r="H3788" s="11"/>
      <c r="I3788" s="21"/>
      <c r="J3788" s="21"/>
      <c r="K3788" s="21"/>
      <c r="L3788" s="21"/>
      <c r="M3788" s="21"/>
      <c r="N3788" s="21"/>
    </row>
    <row r="3789" spans="1:14" ht="15.75" customHeight="1" x14ac:dyDescent="0.25">
      <c r="A3789" s="31" t="s">
        <v>14</v>
      </c>
      <c r="B3789" s="31" t="s">
        <v>234</v>
      </c>
      <c r="C3789" s="31" t="s">
        <v>16</v>
      </c>
      <c r="D3789" s="31" t="s">
        <v>17</v>
      </c>
      <c r="E3789" s="31" t="s">
        <v>235</v>
      </c>
      <c r="F3789" s="31" t="s">
        <v>236</v>
      </c>
      <c r="G3789" s="25"/>
      <c r="H3789" s="11"/>
      <c r="I3789" s="21"/>
      <c r="J3789" s="21"/>
      <c r="K3789" s="21"/>
      <c r="L3789" s="21"/>
      <c r="M3789" s="21"/>
      <c r="N3789" s="21"/>
    </row>
    <row r="3790" spans="1:14" ht="15.75" customHeight="1" x14ac:dyDescent="0.25">
      <c r="A3790" s="7">
        <v>1</v>
      </c>
      <c r="B3790" s="41" t="s">
        <v>613</v>
      </c>
      <c r="C3790" s="129">
        <v>2</v>
      </c>
      <c r="D3790" s="7" t="s">
        <v>363</v>
      </c>
      <c r="E3790" s="130">
        <v>2050000</v>
      </c>
      <c r="F3790" s="130">
        <f>E3790*C3790</f>
        <v>4100000</v>
      </c>
      <c r="G3790" s="25"/>
      <c r="H3790" s="11"/>
      <c r="I3790" s="21"/>
      <c r="J3790" s="21"/>
      <c r="K3790" s="21"/>
      <c r="L3790" s="21"/>
      <c r="M3790" s="21"/>
      <c r="N3790" s="21"/>
    </row>
    <row r="3791" spans="1:14" ht="15.75" customHeight="1" x14ac:dyDescent="0.25">
      <c r="A3791" s="7"/>
      <c r="B3791" s="343" t="s">
        <v>342</v>
      </c>
      <c r="C3791" s="344"/>
      <c r="D3791" s="344"/>
      <c r="E3791" s="334"/>
      <c r="F3791" s="104">
        <f>SUM(F3790)</f>
        <v>4100000</v>
      </c>
      <c r="G3791" s="25"/>
      <c r="H3791" s="11"/>
      <c r="I3791" s="21"/>
      <c r="J3791" s="21"/>
      <c r="K3791" s="21"/>
      <c r="L3791" s="21"/>
      <c r="M3791" s="21"/>
      <c r="N3791" s="21"/>
    </row>
    <row r="3792" spans="1:14" ht="15.75" customHeight="1" x14ac:dyDescent="0.25">
      <c r="A3792" s="7"/>
      <c r="B3792" s="343" t="s">
        <v>343</v>
      </c>
      <c r="C3792" s="344"/>
      <c r="D3792" s="344"/>
      <c r="E3792" s="334"/>
      <c r="F3792" s="104">
        <v>451000</v>
      </c>
      <c r="G3792" s="25"/>
      <c r="H3792" s="11"/>
      <c r="I3792" s="21"/>
      <c r="J3792" s="21"/>
      <c r="K3792" s="21"/>
      <c r="L3792" s="21"/>
      <c r="M3792" s="21"/>
      <c r="N3792" s="21"/>
    </row>
    <row r="3793" spans="1:14" ht="15.75" customHeight="1" x14ac:dyDescent="0.25">
      <c r="A3793" s="7"/>
      <c r="B3793" s="345" t="s">
        <v>344</v>
      </c>
      <c r="C3793" s="344"/>
      <c r="D3793" s="344"/>
      <c r="E3793" s="334"/>
      <c r="F3793" s="107">
        <f>SUM(F3791:F3792)</f>
        <v>4551000</v>
      </c>
      <c r="G3793" s="25"/>
      <c r="H3793" s="11"/>
      <c r="I3793" s="21"/>
      <c r="J3793" s="21"/>
      <c r="K3793" s="21"/>
      <c r="L3793" s="21"/>
      <c r="M3793" s="21"/>
      <c r="N3793" s="21"/>
    </row>
    <row r="3794" spans="1:14" ht="15.75" customHeight="1" x14ac:dyDescent="0.25">
      <c r="A3794" s="21"/>
      <c r="B3794" s="21"/>
      <c r="C3794" s="11"/>
      <c r="D3794" s="11"/>
      <c r="E3794" s="21"/>
      <c r="F3794" s="21"/>
      <c r="G3794" s="25"/>
      <c r="H3794" s="11"/>
      <c r="I3794" s="21"/>
      <c r="J3794" s="21"/>
      <c r="K3794" s="21"/>
      <c r="L3794" s="21"/>
      <c r="M3794" s="21"/>
      <c r="N3794" s="21"/>
    </row>
    <row r="3795" spans="1:14" ht="15.75" customHeight="1" x14ac:dyDescent="0.25">
      <c r="A3795" s="31" t="s">
        <v>14</v>
      </c>
      <c r="B3795" s="31" t="s">
        <v>234</v>
      </c>
      <c r="C3795" s="31" t="s">
        <v>16</v>
      </c>
      <c r="D3795" s="31" t="s">
        <v>17</v>
      </c>
      <c r="E3795" s="31" t="s">
        <v>235</v>
      </c>
      <c r="F3795" s="31" t="s">
        <v>236</v>
      </c>
      <c r="G3795" s="25"/>
      <c r="H3795" s="11"/>
      <c r="I3795" s="21"/>
      <c r="J3795" s="21"/>
      <c r="K3795" s="21"/>
      <c r="L3795" s="21"/>
      <c r="M3795" s="21"/>
      <c r="N3795" s="21"/>
    </row>
    <row r="3796" spans="1:14" ht="15.75" customHeight="1" x14ac:dyDescent="0.25">
      <c r="A3796" s="7">
        <v>1</v>
      </c>
      <c r="B3796" s="41" t="s">
        <v>1489</v>
      </c>
      <c r="C3796" s="158">
        <v>3</v>
      </c>
      <c r="D3796" s="7" t="s">
        <v>372</v>
      </c>
      <c r="E3796" s="104">
        <v>74205</v>
      </c>
      <c r="F3796" s="104">
        <f>E3796*C3796</f>
        <v>222615</v>
      </c>
      <c r="G3796" s="25"/>
      <c r="H3796" s="11"/>
      <c r="I3796" s="21"/>
      <c r="J3796" s="21"/>
      <c r="K3796" s="21"/>
      <c r="L3796" s="21"/>
      <c r="M3796" s="21"/>
      <c r="N3796" s="21"/>
    </row>
    <row r="3797" spans="1:14" ht="15.75" customHeight="1" x14ac:dyDescent="0.25">
      <c r="A3797" s="7">
        <v>2</v>
      </c>
      <c r="B3797" s="41" t="s">
        <v>1490</v>
      </c>
      <c r="C3797" s="133">
        <v>3</v>
      </c>
      <c r="D3797" s="7" t="s">
        <v>347</v>
      </c>
      <c r="E3797" s="104">
        <v>13580</v>
      </c>
      <c r="F3797" s="104">
        <f>E3797*C3797</f>
        <v>40740</v>
      </c>
      <c r="G3797" s="25"/>
      <c r="H3797" s="11"/>
      <c r="I3797" s="21"/>
      <c r="J3797" s="21"/>
      <c r="K3797" s="21"/>
      <c r="L3797" s="21"/>
      <c r="M3797" s="21"/>
      <c r="N3797" s="21"/>
    </row>
    <row r="3798" spans="1:14" ht="15.75" customHeight="1" x14ac:dyDescent="0.25">
      <c r="A3798" s="7">
        <v>3</v>
      </c>
      <c r="B3798" s="41" t="s">
        <v>1491</v>
      </c>
      <c r="C3798" s="151">
        <v>1</v>
      </c>
      <c r="D3798" s="133" t="s">
        <v>19</v>
      </c>
      <c r="E3798" s="104">
        <v>79540</v>
      </c>
      <c r="F3798" s="104">
        <f>E3798*C3798</f>
        <v>79540</v>
      </c>
      <c r="G3798" s="25"/>
      <c r="H3798" s="11"/>
      <c r="I3798" s="21"/>
      <c r="J3798" s="21"/>
      <c r="K3798" s="21"/>
      <c r="L3798" s="21"/>
      <c r="M3798" s="21"/>
      <c r="N3798" s="21"/>
    </row>
    <row r="3799" spans="1:14" ht="15.75" customHeight="1" x14ac:dyDescent="0.25">
      <c r="A3799" s="7"/>
      <c r="B3799" s="343" t="s">
        <v>342</v>
      </c>
      <c r="C3799" s="344"/>
      <c r="D3799" s="344"/>
      <c r="E3799" s="334"/>
      <c r="F3799" s="104">
        <f>SUM(F3796:F3798)</f>
        <v>342895</v>
      </c>
      <c r="G3799" s="25"/>
      <c r="H3799" s="11"/>
      <c r="I3799" s="21"/>
      <c r="J3799" s="21"/>
      <c r="K3799" s="21"/>
      <c r="L3799" s="21"/>
      <c r="M3799" s="21"/>
      <c r="N3799" s="21"/>
    </row>
    <row r="3800" spans="1:14" ht="15.75" customHeight="1" x14ac:dyDescent="0.25">
      <c r="A3800" s="7"/>
      <c r="B3800" s="343" t="s">
        <v>343</v>
      </c>
      <c r="C3800" s="344"/>
      <c r="D3800" s="344"/>
      <c r="E3800" s="334"/>
      <c r="F3800" s="108">
        <v>37718.449999999997</v>
      </c>
      <c r="G3800" s="25"/>
      <c r="H3800" s="11"/>
      <c r="I3800" s="21"/>
      <c r="J3800" s="21"/>
      <c r="K3800" s="21"/>
      <c r="L3800" s="21"/>
      <c r="M3800" s="21"/>
      <c r="N3800" s="21"/>
    </row>
    <row r="3801" spans="1:14" ht="15.75" customHeight="1" x14ac:dyDescent="0.25">
      <c r="A3801" s="7"/>
      <c r="B3801" s="345" t="s">
        <v>344</v>
      </c>
      <c r="C3801" s="344"/>
      <c r="D3801" s="344"/>
      <c r="E3801" s="334"/>
      <c r="F3801" s="109">
        <f>SUM(F3799:F3800)</f>
        <v>380613.45</v>
      </c>
      <c r="G3801" s="25"/>
      <c r="H3801" s="11"/>
      <c r="I3801" s="21"/>
      <c r="J3801" s="21"/>
      <c r="K3801" s="21"/>
      <c r="L3801" s="21"/>
      <c r="M3801" s="21"/>
      <c r="N3801" s="21"/>
    </row>
    <row r="3802" spans="1:14" ht="15.75" customHeight="1" x14ac:dyDescent="0.25">
      <c r="A3802" s="21"/>
      <c r="B3802" s="21"/>
      <c r="C3802" s="11"/>
      <c r="D3802" s="11"/>
      <c r="E3802" s="21"/>
      <c r="F3802" s="21"/>
      <c r="G3802" s="25"/>
      <c r="H3802" s="11"/>
      <c r="I3802" s="21"/>
      <c r="J3802" s="21"/>
      <c r="K3802" s="21"/>
      <c r="L3802" s="21"/>
      <c r="M3802" s="21"/>
      <c r="N3802" s="21"/>
    </row>
    <row r="3803" spans="1:14" ht="15.75" customHeight="1" x14ac:dyDescent="0.25">
      <c r="A3803" s="31" t="s">
        <v>351</v>
      </c>
      <c r="B3803" s="31" t="s">
        <v>234</v>
      </c>
      <c r="C3803" s="31" t="s">
        <v>16</v>
      </c>
      <c r="D3803" s="31" t="s">
        <v>17</v>
      </c>
      <c r="E3803" s="31" t="s">
        <v>235</v>
      </c>
      <c r="F3803" s="31" t="s">
        <v>236</v>
      </c>
      <c r="G3803" s="25"/>
      <c r="H3803" s="11"/>
      <c r="I3803" s="21"/>
      <c r="J3803" s="21"/>
      <c r="K3803" s="21"/>
      <c r="L3803" s="21"/>
      <c r="M3803" s="21"/>
      <c r="N3803" s="21"/>
    </row>
    <row r="3804" spans="1:14" ht="15.75" customHeight="1" x14ac:dyDescent="0.25">
      <c r="A3804" s="7">
        <v>1</v>
      </c>
      <c r="B3804" s="41" t="s">
        <v>1492</v>
      </c>
      <c r="C3804" s="7">
        <v>100</v>
      </c>
      <c r="D3804" s="7" t="s">
        <v>19</v>
      </c>
      <c r="E3804" s="104">
        <v>1900</v>
      </c>
      <c r="F3804" s="104">
        <f>E3804*C3804</f>
        <v>190000</v>
      </c>
      <c r="G3804" s="25"/>
      <c r="H3804" s="11"/>
      <c r="I3804" s="21"/>
      <c r="J3804" s="21"/>
      <c r="K3804" s="21"/>
      <c r="L3804" s="21"/>
      <c r="M3804" s="21"/>
      <c r="N3804" s="21"/>
    </row>
    <row r="3805" spans="1:14" ht="15.75" customHeight="1" x14ac:dyDescent="0.25">
      <c r="A3805" s="7">
        <v>2</v>
      </c>
      <c r="B3805" s="41" t="s">
        <v>1493</v>
      </c>
      <c r="C3805" s="7">
        <v>100</v>
      </c>
      <c r="D3805" s="7" t="s">
        <v>19</v>
      </c>
      <c r="E3805" s="104">
        <v>513</v>
      </c>
      <c r="F3805" s="104">
        <f>E3805*C3805</f>
        <v>51300</v>
      </c>
      <c r="G3805" s="25"/>
      <c r="H3805" s="11"/>
      <c r="I3805" s="21"/>
      <c r="J3805" s="21"/>
      <c r="K3805" s="21"/>
      <c r="L3805" s="21"/>
      <c r="M3805" s="21"/>
      <c r="N3805" s="21"/>
    </row>
    <row r="3806" spans="1:14" ht="15.75" customHeight="1" x14ac:dyDescent="0.25">
      <c r="A3806" s="7"/>
      <c r="B3806" s="343" t="s">
        <v>342</v>
      </c>
      <c r="C3806" s="344"/>
      <c r="D3806" s="344"/>
      <c r="E3806" s="334"/>
      <c r="F3806" s="104">
        <f>SUM(F3804:F3805)</f>
        <v>241300</v>
      </c>
      <c r="G3806" s="25"/>
      <c r="H3806" s="11"/>
      <c r="I3806" s="21"/>
      <c r="J3806" s="21"/>
      <c r="K3806" s="21"/>
      <c r="L3806" s="21"/>
      <c r="M3806" s="21"/>
      <c r="N3806" s="21"/>
    </row>
    <row r="3807" spans="1:14" ht="15.75" customHeight="1" x14ac:dyDescent="0.25">
      <c r="A3807" s="7"/>
      <c r="B3807" s="343" t="s">
        <v>343</v>
      </c>
      <c r="C3807" s="344"/>
      <c r="D3807" s="344"/>
      <c r="E3807" s="334"/>
      <c r="F3807" s="104">
        <v>26543</v>
      </c>
      <c r="G3807" s="25"/>
      <c r="H3807" s="11"/>
      <c r="I3807" s="21"/>
      <c r="J3807" s="21"/>
      <c r="K3807" s="21"/>
      <c r="L3807" s="21"/>
      <c r="M3807" s="21"/>
      <c r="N3807" s="21"/>
    </row>
    <row r="3808" spans="1:14" ht="15.75" customHeight="1" x14ac:dyDescent="0.25">
      <c r="A3808" s="7"/>
      <c r="B3808" s="345" t="s">
        <v>344</v>
      </c>
      <c r="C3808" s="344"/>
      <c r="D3808" s="344"/>
      <c r="E3808" s="334"/>
      <c r="F3808" s="107">
        <f>SUM(F3806:F3807)</f>
        <v>267843</v>
      </c>
      <c r="G3808" s="25"/>
      <c r="H3808" s="11"/>
      <c r="I3808" s="21"/>
      <c r="J3808" s="21"/>
      <c r="K3808" s="21"/>
      <c r="L3808" s="21"/>
      <c r="M3808" s="21"/>
      <c r="N3808" s="21"/>
    </row>
    <row r="3809" spans="1:14" ht="15.75" customHeight="1" x14ac:dyDescent="0.25">
      <c r="A3809" s="21"/>
      <c r="B3809" s="21"/>
      <c r="C3809" s="11"/>
      <c r="D3809" s="11"/>
      <c r="E3809" s="21"/>
      <c r="F3809" s="21"/>
      <c r="G3809" s="25"/>
      <c r="H3809" s="11"/>
      <c r="I3809" s="21"/>
      <c r="J3809" s="21"/>
      <c r="K3809" s="21"/>
      <c r="L3809" s="21"/>
      <c r="M3809" s="21"/>
      <c r="N3809" s="21"/>
    </row>
    <row r="3810" spans="1:14" ht="15.75" customHeight="1" x14ac:dyDescent="0.25">
      <c r="A3810" s="31" t="s">
        <v>14</v>
      </c>
      <c r="B3810" s="31" t="s">
        <v>234</v>
      </c>
      <c r="C3810" s="31" t="s">
        <v>16</v>
      </c>
      <c r="D3810" s="31" t="s">
        <v>17</v>
      </c>
      <c r="E3810" s="31" t="s">
        <v>235</v>
      </c>
      <c r="F3810" s="31" t="s">
        <v>236</v>
      </c>
      <c r="G3810" s="25"/>
      <c r="H3810" s="11"/>
      <c r="I3810" s="21"/>
      <c r="J3810" s="21"/>
      <c r="K3810" s="21"/>
      <c r="L3810" s="21"/>
      <c r="M3810" s="21"/>
      <c r="N3810" s="21"/>
    </row>
    <row r="3811" spans="1:14" ht="15.75" customHeight="1" x14ac:dyDescent="0.25">
      <c r="A3811" s="7">
        <v>1</v>
      </c>
      <c r="B3811" s="41" t="s">
        <v>1494</v>
      </c>
      <c r="C3811" s="129">
        <v>5</v>
      </c>
      <c r="D3811" s="7" t="s">
        <v>372</v>
      </c>
      <c r="E3811" s="130">
        <v>18430</v>
      </c>
      <c r="F3811" s="130">
        <f>E3811*C3811</f>
        <v>92150</v>
      </c>
      <c r="G3811" s="25"/>
      <c r="H3811" s="11"/>
      <c r="I3811" s="21"/>
      <c r="J3811" s="21"/>
      <c r="K3811" s="21"/>
      <c r="L3811" s="21"/>
      <c r="M3811" s="21"/>
      <c r="N3811" s="21"/>
    </row>
    <row r="3812" spans="1:14" ht="15.75" customHeight="1" x14ac:dyDescent="0.25">
      <c r="A3812" s="7"/>
      <c r="B3812" s="343" t="s">
        <v>342</v>
      </c>
      <c r="C3812" s="344"/>
      <c r="D3812" s="344"/>
      <c r="E3812" s="334"/>
      <c r="F3812" s="104">
        <f>SUM(F3811)</f>
        <v>92150</v>
      </c>
      <c r="G3812" s="25"/>
      <c r="H3812" s="11"/>
      <c r="I3812" s="21"/>
      <c r="J3812" s="21"/>
      <c r="K3812" s="21"/>
      <c r="L3812" s="21"/>
      <c r="M3812" s="21"/>
      <c r="N3812" s="21"/>
    </row>
    <row r="3813" spans="1:14" ht="15.75" customHeight="1" x14ac:dyDescent="0.25">
      <c r="A3813" s="7"/>
      <c r="B3813" s="343" t="s">
        <v>343</v>
      </c>
      <c r="C3813" s="344"/>
      <c r="D3813" s="344"/>
      <c r="E3813" s="334"/>
      <c r="F3813" s="108">
        <v>10136.5</v>
      </c>
      <c r="G3813" s="25"/>
      <c r="H3813" s="11"/>
      <c r="I3813" s="21"/>
      <c r="J3813" s="21"/>
      <c r="K3813" s="21"/>
      <c r="L3813" s="21"/>
      <c r="M3813" s="21"/>
      <c r="N3813" s="21"/>
    </row>
    <row r="3814" spans="1:14" ht="15.75" customHeight="1" x14ac:dyDescent="0.25">
      <c r="A3814" s="7"/>
      <c r="B3814" s="345" t="s">
        <v>344</v>
      </c>
      <c r="C3814" s="344"/>
      <c r="D3814" s="344"/>
      <c r="E3814" s="334"/>
      <c r="F3814" s="109">
        <f>SUM(F3812:F3813)</f>
        <v>102286.5</v>
      </c>
      <c r="G3814" s="25"/>
      <c r="H3814" s="11"/>
      <c r="I3814" s="21"/>
      <c r="J3814" s="21"/>
      <c r="K3814" s="21"/>
      <c r="L3814" s="21"/>
      <c r="M3814" s="21"/>
      <c r="N3814" s="21"/>
    </row>
    <row r="3815" spans="1:14" ht="15.75" customHeight="1" x14ac:dyDescent="0.25">
      <c r="A3815" s="21"/>
      <c r="B3815" s="21"/>
      <c r="C3815" s="11"/>
      <c r="D3815" s="11"/>
      <c r="E3815" s="21"/>
      <c r="F3815" s="21"/>
      <c r="G3815" s="25"/>
      <c r="H3815" s="11"/>
      <c r="I3815" s="21"/>
      <c r="J3815" s="21"/>
      <c r="K3815" s="21"/>
      <c r="L3815" s="21"/>
      <c r="M3815" s="21"/>
      <c r="N3815" s="21"/>
    </row>
    <row r="3816" spans="1:14" ht="15.75" customHeight="1" x14ac:dyDescent="0.25">
      <c r="A3816" s="31" t="s">
        <v>14</v>
      </c>
      <c r="B3816" s="31" t="s">
        <v>234</v>
      </c>
      <c r="C3816" s="31" t="s">
        <v>16</v>
      </c>
      <c r="D3816" s="31" t="s">
        <v>17</v>
      </c>
      <c r="E3816" s="31" t="s">
        <v>235</v>
      </c>
      <c r="F3816" s="31" t="s">
        <v>236</v>
      </c>
      <c r="G3816" s="25"/>
      <c r="H3816" s="11"/>
      <c r="I3816" s="21"/>
      <c r="J3816" s="21"/>
      <c r="K3816" s="21"/>
      <c r="L3816" s="21"/>
      <c r="M3816" s="21"/>
      <c r="N3816" s="21"/>
    </row>
    <row r="3817" spans="1:14" ht="15.75" customHeight="1" x14ac:dyDescent="0.25">
      <c r="A3817" s="7">
        <v>1</v>
      </c>
      <c r="B3817" s="41" t="s">
        <v>1495</v>
      </c>
      <c r="C3817" s="129">
        <v>1</v>
      </c>
      <c r="D3817" s="7" t="s">
        <v>19</v>
      </c>
      <c r="E3817" s="130">
        <v>5000000</v>
      </c>
      <c r="F3817" s="130">
        <f>E3817*C3817</f>
        <v>5000000</v>
      </c>
      <c r="G3817" s="25"/>
      <c r="H3817" s="11"/>
      <c r="I3817" s="21"/>
      <c r="J3817" s="21"/>
      <c r="K3817" s="21"/>
      <c r="L3817" s="21"/>
      <c r="M3817" s="21"/>
      <c r="N3817" s="21"/>
    </row>
    <row r="3818" spans="1:14" ht="15.75" customHeight="1" x14ac:dyDescent="0.25">
      <c r="A3818" s="7"/>
      <c r="B3818" s="343" t="s">
        <v>342</v>
      </c>
      <c r="C3818" s="344"/>
      <c r="D3818" s="344"/>
      <c r="E3818" s="334"/>
      <c r="F3818" s="104">
        <f>SUM(F3817)</f>
        <v>5000000</v>
      </c>
      <c r="G3818" s="25"/>
      <c r="H3818" s="11"/>
      <c r="I3818" s="21"/>
      <c r="J3818" s="21"/>
      <c r="K3818" s="21"/>
      <c r="L3818" s="21"/>
      <c r="M3818" s="21"/>
      <c r="N3818" s="21"/>
    </row>
    <row r="3819" spans="1:14" ht="15.75" customHeight="1" x14ac:dyDescent="0.25">
      <c r="A3819" s="7"/>
      <c r="B3819" s="343" t="s">
        <v>343</v>
      </c>
      <c r="C3819" s="344"/>
      <c r="D3819" s="344"/>
      <c r="E3819" s="334"/>
      <c r="F3819" s="104">
        <v>550000</v>
      </c>
      <c r="G3819" s="25"/>
      <c r="H3819" s="11"/>
      <c r="I3819" s="21"/>
      <c r="J3819" s="21"/>
      <c r="K3819" s="21"/>
      <c r="L3819" s="21"/>
      <c r="M3819" s="21"/>
      <c r="N3819" s="21"/>
    </row>
    <row r="3820" spans="1:14" ht="15.75" customHeight="1" x14ac:dyDescent="0.25">
      <c r="A3820" s="7"/>
      <c r="B3820" s="345" t="s">
        <v>344</v>
      </c>
      <c r="C3820" s="344"/>
      <c r="D3820" s="344"/>
      <c r="E3820" s="334"/>
      <c r="F3820" s="107">
        <f>SUM(F3818:F3819)</f>
        <v>5550000</v>
      </c>
      <c r="G3820" s="25"/>
      <c r="H3820" s="11"/>
      <c r="I3820" s="21"/>
      <c r="J3820" s="21"/>
      <c r="K3820" s="21"/>
      <c r="L3820" s="21"/>
      <c r="M3820" s="21"/>
      <c r="N3820" s="21"/>
    </row>
    <row r="3821" spans="1:14" ht="15.75" customHeight="1" x14ac:dyDescent="0.25">
      <c r="A3821" s="21"/>
      <c r="B3821" s="21"/>
      <c r="C3821" s="11"/>
      <c r="D3821" s="11"/>
      <c r="E3821" s="21"/>
      <c r="F3821" s="21"/>
      <c r="G3821" s="25"/>
      <c r="H3821" s="11"/>
      <c r="I3821" s="21"/>
      <c r="J3821" s="21"/>
      <c r="K3821" s="21"/>
      <c r="L3821" s="21"/>
      <c r="M3821" s="21"/>
      <c r="N3821" s="21"/>
    </row>
    <row r="3822" spans="1:14" ht="15.75" customHeight="1" x14ac:dyDescent="0.25">
      <c r="A3822" s="31" t="s">
        <v>14</v>
      </c>
      <c r="B3822" s="31" t="s">
        <v>234</v>
      </c>
      <c r="C3822" s="31" t="s">
        <v>16</v>
      </c>
      <c r="D3822" s="31" t="s">
        <v>17</v>
      </c>
      <c r="E3822" s="31" t="s">
        <v>235</v>
      </c>
      <c r="F3822" s="31" t="s">
        <v>236</v>
      </c>
      <c r="G3822" s="25"/>
      <c r="H3822" s="11"/>
      <c r="I3822" s="21"/>
      <c r="J3822" s="21"/>
      <c r="K3822" s="21"/>
      <c r="L3822" s="21"/>
      <c r="M3822" s="21"/>
      <c r="N3822" s="21"/>
    </row>
    <row r="3823" spans="1:14" ht="15.75" customHeight="1" x14ac:dyDescent="0.25">
      <c r="A3823" s="7">
        <v>1</v>
      </c>
      <c r="B3823" s="41" t="s">
        <v>1496</v>
      </c>
      <c r="C3823" s="129">
        <v>1</v>
      </c>
      <c r="D3823" s="7" t="s">
        <v>363</v>
      </c>
      <c r="E3823" s="130">
        <v>4300000</v>
      </c>
      <c r="F3823" s="130">
        <f>E3823*C3823</f>
        <v>4300000</v>
      </c>
      <c r="G3823" s="25"/>
      <c r="H3823" s="11"/>
      <c r="I3823" s="21"/>
      <c r="J3823" s="21"/>
      <c r="K3823" s="21"/>
      <c r="L3823" s="21"/>
      <c r="M3823" s="21"/>
      <c r="N3823" s="21"/>
    </row>
    <row r="3824" spans="1:14" ht="15.75" customHeight="1" x14ac:dyDescent="0.25">
      <c r="A3824" s="7"/>
      <c r="B3824" s="343" t="s">
        <v>342</v>
      </c>
      <c r="C3824" s="344"/>
      <c r="D3824" s="344"/>
      <c r="E3824" s="334"/>
      <c r="F3824" s="104">
        <f>SUM(F3823)</f>
        <v>4300000</v>
      </c>
      <c r="G3824" s="25"/>
      <c r="H3824" s="11"/>
      <c r="I3824" s="21"/>
      <c r="J3824" s="21"/>
      <c r="K3824" s="21"/>
      <c r="L3824" s="21"/>
      <c r="M3824" s="21"/>
      <c r="N3824" s="21"/>
    </row>
    <row r="3825" spans="1:14" ht="15.75" customHeight="1" x14ac:dyDescent="0.25">
      <c r="A3825" s="7"/>
      <c r="B3825" s="343" t="s">
        <v>343</v>
      </c>
      <c r="C3825" s="344"/>
      <c r="D3825" s="344"/>
      <c r="E3825" s="334"/>
      <c r="F3825" s="104">
        <v>473000</v>
      </c>
      <c r="G3825" s="25"/>
      <c r="H3825" s="11"/>
      <c r="I3825" s="21"/>
      <c r="J3825" s="21"/>
      <c r="K3825" s="21"/>
      <c r="L3825" s="21"/>
      <c r="M3825" s="21"/>
      <c r="N3825" s="21"/>
    </row>
    <row r="3826" spans="1:14" ht="15.75" customHeight="1" x14ac:dyDescent="0.25">
      <c r="A3826" s="7"/>
      <c r="B3826" s="345" t="s">
        <v>344</v>
      </c>
      <c r="C3826" s="344"/>
      <c r="D3826" s="344"/>
      <c r="E3826" s="334"/>
      <c r="F3826" s="107">
        <f>SUM(F3824:F3825)</f>
        <v>4773000</v>
      </c>
      <c r="G3826" s="25"/>
      <c r="H3826" s="11"/>
      <c r="I3826" s="21"/>
      <c r="J3826" s="21"/>
      <c r="K3826" s="21"/>
      <c r="L3826" s="21"/>
      <c r="M3826" s="21"/>
      <c r="N3826" s="21"/>
    </row>
    <row r="3827" spans="1:14" ht="15.75" customHeight="1" x14ac:dyDescent="0.25">
      <c r="A3827" s="21"/>
      <c r="B3827" s="21"/>
      <c r="C3827" s="11"/>
      <c r="D3827" s="11"/>
      <c r="E3827" s="21"/>
      <c r="F3827" s="21"/>
      <c r="G3827" s="25"/>
      <c r="H3827" s="11"/>
      <c r="I3827" s="21"/>
      <c r="J3827" s="21"/>
      <c r="K3827" s="21"/>
      <c r="L3827" s="21"/>
      <c r="M3827" s="21"/>
      <c r="N3827" s="21"/>
    </row>
    <row r="3828" spans="1:14" ht="15.75" customHeight="1" x14ac:dyDescent="0.25">
      <c r="A3828" s="31" t="s">
        <v>14</v>
      </c>
      <c r="B3828" s="31" t="s">
        <v>234</v>
      </c>
      <c r="C3828" s="31" t="s">
        <v>16</v>
      </c>
      <c r="D3828" s="31" t="s">
        <v>17</v>
      </c>
      <c r="E3828" s="31" t="s">
        <v>235</v>
      </c>
      <c r="F3828" s="31" t="s">
        <v>236</v>
      </c>
      <c r="G3828" s="25"/>
      <c r="H3828" s="11"/>
      <c r="I3828" s="21"/>
      <c r="J3828" s="21"/>
      <c r="K3828" s="21"/>
      <c r="L3828" s="21"/>
      <c r="M3828" s="21"/>
      <c r="N3828" s="21"/>
    </row>
    <row r="3829" spans="1:14" ht="15.75" customHeight="1" x14ac:dyDescent="0.25">
      <c r="A3829" s="7">
        <v>1</v>
      </c>
      <c r="B3829" s="41" t="s">
        <v>1497</v>
      </c>
      <c r="C3829" s="158">
        <v>5</v>
      </c>
      <c r="D3829" s="7" t="s">
        <v>19</v>
      </c>
      <c r="E3829" s="104">
        <v>10670</v>
      </c>
      <c r="F3829" s="104">
        <f>E3829*C3829</f>
        <v>53350</v>
      </c>
      <c r="G3829" s="25"/>
      <c r="H3829" s="11"/>
      <c r="I3829" s="21"/>
      <c r="J3829" s="21"/>
      <c r="K3829" s="21"/>
      <c r="L3829" s="21"/>
      <c r="M3829" s="21"/>
      <c r="N3829" s="21"/>
    </row>
    <row r="3830" spans="1:14" ht="15.75" customHeight="1" x14ac:dyDescent="0.25">
      <c r="A3830" s="7">
        <v>2</v>
      </c>
      <c r="B3830" s="41" t="s">
        <v>1498</v>
      </c>
      <c r="C3830" s="133">
        <v>6</v>
      </c>
      <c r="D3830" s="7" t="s">
        <v>243</v>
      </c>
      <c r="E3830" s="104">
        <v>7760</v>
      </c>
      <c r="F3830" s="104">
        <f>E3830*C3830</f>
        <v>46560</v>
      </c>
      <c r="G3830" s="25"/>
      <c r="H3830" s="11"/>
      <c r="I3830" s="21"/>
      <c r="J3830" s="21"/>
      <c r="K3830" s="21"/>
      <c r="L3830" s="21"/>
      <c r="M3830" s="21"/>
      <c r="N3830" s="21"/>
    </row>
    <row r="3831" spans="1:14" ht="15.75" customHeight="1" x14ac:dyDescent="0.25">
      <c r="A3831" s="7">
        <v>3</v>
      </c>
      <c r="B3831" s="41" t="s">
        <v>1499</v>
      </c>
      <c r="C3831" s="151">
        <v>4</v>
      </c>
      <c r="D3831" s="133" t="s">
        <v>243</v>
      </c>
      <c r="E3831" s="104">
        <v>10000</v>
      </c>
      <c r="F3831" s="104">
        <f>E3831*C3831</f>
        <v>40000</v>
      </c>
      <c r="G3831" s="25"/>
      <c r="H3831" s="11"/>
      <c r="I3831" s="21"/>
      <c r="J3831" s="21"/>
      <c r="K3831" s="21"/>
      <c r="L3831" s="21"/>
      <c r="M3831" s="21"/>
      <c r="N3831" s="21"/>
    </row>
    <row r="3832" spans="1:14" ht="15.75" customHeight="1" x14ac:dyDescent="0.25">
      <c r="A3832" s="7"/>
      <c r="B3832" s="343" t="s">
        <v>342</v>
      </c>
      <c r="C3832" s="344"/>
      <c r="D3832" s="344"/>
      <c r="E3832" s="334"/>
      <c r="F3832" s="104">
        <f>SUM(F3829:F3831)</f>
        <v>139910</v>
      </c>
      <c r="G3832" s="25"/>
      <c r="H3832" s="11"/>
      <c r="I3832" s="21"/>
      <c r="J3832" s="21"/>
      <c r="K3832" s="21"/>
      <c r="L3832" s="21"/>
      <c r="M3832" s="21"/>
      <c r="N3832" s="21"/>
    </row>
    <row r="3833" spans="1:14" ht="15.75" customHeight="1" x14ac:dyDescent="0.25">
      <c r="A3833" s="7"/>
      <c r="B3833" s="343" t="s">
        <v>343</v>
      </c>
      <c r="C3833" s="344"/>
      <c r="D3833" s="344"/>
      <c r="E3833" s="334"/>
      <c r="F3833" s="108">
        <v>15390.1</v>
      </c>
      <c r="G3833" s="25"/>
      <c r="H3833" s="11"/>
      <c r="I3833" s="21"/>
      <c r="J3833" s="21"/>
      <c r="K3833" s="21"/>
      <c r="L3833" s="21"/>
      <c r="M3833" s="21"/>
      <c r="N3833" s="21"/>
    </row>
    <row r="3834" spans="1:14" ht="15.75" customHeight="1" x14ac:dyDescent="0.25">
      <c r="A3834" s="7"/>
      <c r="B3834" s="345" t="s">
        <v>344</v>
      </c>
      <c r="C3834" s="344"/>
      <c r="D3834" s="344"/>
      <c r="E3834" s="334"/>
      <c r="F3834" s="109">
        <f>SUM(F3832:F3833)</f>
        <v>155300.1</v>
      </c>
      <c r="G3834" s="25"/>
      <c r="H3834" s="11"/>
      <c r="I3834" s="21"/>
      <c r="J3834" s="21"/>
      <c r="K3834" s="21"/>
      <c r="L3834" s="21"/>
      <c r="M3834" s="21"/>
      <c r="N3834" s="21"/>
    </row>
    <row r="3835" spans="1:14" ht="15.75" customHeight="1" x14ac:dyDescent="0.25">
      <c r="A3835" s="21"/>
      <c r="B3835" s="21"/>
      <c r="C3835" s="11"/>
      <c r="D3835" s="11"/>
      <c r="E3835" s="21"/>
      <c r="F3835" s="21"/>
      <c r="G3835" s="25"/>
      <c r="H3835" s="11"/>
      <c r="I3835" s="21"/>
      <c r="J3835" s="21"/>
      <c r="K3835" s="21"/>
      <c r="L3835" s="21"/>
      <c r="M3835" s="21"/>
      <c r="N3835" s="21"/>
    </row>
    <row r="3836" spans="1:14" ht="15.75" customHeight="1" x14ac:dyDescent="0.25">
      <c r="A3836" s="31" t="s">
        <v>14</v>
      </c>
      <c r="B3836" s="31" t="s">
        <v>234</v>
      </c>
      <c r="C3836" s="31" t="s">
        <v>16</v>
      </c>
      <c r="D3836" s="31" t="s">
        <v>17</v>
      </c>
      <c r="E3836" s="31" t="s">
        <v>235</v>
      </c>
      <c r="F3836" s="31" t="s">
        <v>236</v>
      </c>
      <c r="G3836" s="25"/>
      <c r="H3836" s="11"/>
      <c r="I3836" s="21"/>
      <c r="J3836" s="21"/>
      <c r="K3836" s="21"/>
      <c r="L3836" s="21"/>
      <c r="M3836" s="21"/>
      <c r="N3836" s="21"/>
    </row>
    <row r="3837" spans="1:14" ht="15.75" customHeight="1" x14ac:dyDescent="0.25">
      <c r="A3837" s="7">
        <v>1</v>
      </c>
      <c r="B3837" s="141" t="s">
        <v>1500</v>
      </c>
      <c r="C3837" s="129">
        <v>50</v>
      </c>
      <c r="D3837" s="7" t="s">
        <v>251</v>
      </c>
      <c r="E3837" s="130">
        <v>14500</v>
      </c>
      <c r="F3837" s="130">
        <f>E3837*C3837</f>
        <v>725000</v>
      </c>
      <c r="G3837" s="25"/>
      <c r="H3837" s="11"/>
      <c r="I3837" s="21"/>
      <c r="J3837" s="21"/>
      <c r="K3837" s="21"/>
      <c r="L3837" s="21"/>
      <c r="M3837" s="21"/>
      <c r="N3837" s="21"/>
    </row>
    <row r="3838" spans="1:14" ht="15.75" customHeight="1" x14ac:dyDescent="0.25">
      <c r="A3838" s="7"/>
      <c r="B3838" s="343" t="s">
        <v>342</v>
      </c>
      <c r="C3838" s="344"/>
      <c r="D3838" s="344"/>
      <c r="E3838" s="334"/>
      <c r="F3838" s="104">
        <f>SUM(F3837)</f>
        <v>725000</v>
      </c>
      <c r="G3838" s="25"/>
      <c r="H3838" s="11"/>
      <c r="I3838" s="21"/>
      <c r="J3838" s="21"/>
      <c r="K3838" s="21"/>
      <c r="L3838" s="21"/>
      <c r="M3838" s="21"/>
      <c r="N3838" s="21"/>
    </row>
    <row r="3839" spans="1:14" ht="15.75" customHeight="1" x14ac:dyDescent="0.25">
      <c r="A3839" s="7"/>
      <c r="B3839" s="343" t="s">
        <v>343</v>
      </c>
      <c r="C3839" s="344"/>
      <c r="D3839" s="344"/>
      <c r="E3839" s="334"/>
      <c r="F3839" s="104">
        <v>79750</v>
      </c>
      <c r="G3839" s="25"/>
      <c r="H3839" s="11"/>
      <c r="I3839" s="21"/>
      <c r="J3839" s="21"/>
      <c r="K3839" s="21"/>
      <c r="L3839" s="21"/>
      <c r="M3839" s="21"/>
      <c r="N3839" s="21"/>
    </row>
    <row r="3840" spans="1:14" ht="15.75" customHeight="1" x14ac:dyDescent="0.25">
      <c r="A3840" s="7"/>
      <c r="B3840" s="345" t="s">
        <v>344</v>
      </c>
      <c r="C3840" s="344"/>
      <c r="D3840" s="344"/>
      <c r="E3840" s="334"/>
      <c r="F3840" s="107">
        <f>SUM(F3838:F3839)</f>
        <v>804750</v>
      </c>
      <c r="G3840" s="25"/>
      <c r="H3840" s="11"/>
      <c r="I3840" s="21"/>
      <c r="J3840" s="21"/>
      <c r="K3840" s="21"/>
      <c r="L3840" s="21"/>
      <c r="M3840" s="21"/>
      <c r="N3840" s="21"/>
    </row>
    <row r="3841" spans="1:14" ht="15.75" customHeight="1" x14ac:dyDescent="0.25">
      <c r="A3841" s="21"/>
      <c r="B3841" s="21"/>
      <c r="C3841" s="11"/>
      <c r="D3841" s="11"/>
      <c r="E3841" s="21"/>
      <c r="F3841" s="21"/>
      <c r="G3841" s="25"/>
      <c r="H3841" s="11"/>
      <c r="I3841" s="21"/>
      <c r="J3841" s="21"/>
      <c r="K3841" s="21"/>
      <c r="L3841" s="21"/>
      <c r="M3841" s="21"/>
      <c r="N3841" s="21"/>
    </row>
    <row r="3842" spans="1:14" ht="15.75" customHeight="1" x14ac:dyDescent="0.25">
      <c r="A3842" s="31" t="s">
        <v>14</v>
      </c>
      <c r="B3842" s="31" t="s">
        <v>234</v>
      </c>
      <c r="C3842" s="31" t="s">
        <v>16</v>
      </c>
      <c r="D3842" s="31" t="s">
        <v>17</v>
      </c>
      <c r="E3842" s="31" t="s">
        <v>235</v>
      </c>
      <c r="F3842" s="31" t="s">
        <v>236</v>
      </c>
      <c r="G3842" s="25"/>
      <c r="H3842" s="11"/>
      <c r="I3842" s="21"/>
      <c r="J3842" s="21"/>
      <c r="K3842" s="21"/>
      <c r="L3842" s="21"/>
      <c r="M3842" s="21"/>
      <c r="N3842" s="21"/>
    </row>
    <row r="3843" spans="1:14" ht="15.75" customHeight="1" x14ac:dyDescent="0.25">
      <c r="A3843" s="7">
        <v>1</v>
      </c>
      <c r="B3843" s="141" t="s">
        <v>1501</v>
      </c>
      <c r="C3843" s="129">
        <v>2</v>
      </c>
      <c r="D3843" s="7" t="s">
        <v>285</v>
      </c>
      <c r="E3843" s="130">
        <v>34088</v>
      </c>
      <c r="F3843" s="130">
        <f>E3843*C3843</f>
        <v>68176</v>
      </c>
      <c r="G3843" s="25"/>
      <c r="H3843" s="11"/>
      <c r="I3843" s="21"/>
      <c r="J3843" s="21"/>
      <c r="K3843" s="21"/>
      <c r="L3843" s="21"/>
      <c r="M3843" s="21"/>
      <c r="N3843" s="21"/>
    </row>
    <row r="3844" spans="1:14" ht="15.75" customHeight="1" x14ac:dyDescent="0.25">
      <c r="A3844" s="7"/>
      <c r="B3844" s="343" t="s">
        <v>342</v>
      </c>
      <c r="C3844" s="344"/>
      <c r="D3844" s="344"/>
      <c r="E3844" s="334"/>
      <c r="F3844" s="104">
        <f>SUM(F3843)</f>
        <v>68176</v>
      </c>
      <c r="G3844" s="25"/>
      <c r="H3844" s="11"/>
      <c r="I3844" s="21"/>
      <c r="J3844" s="21"/>
      <c r="K3844" s="21"/>
      <c r="L3844" s="21"/>
      <c r="M3844" s="21"/>
      <c r="N3844" s="21"/>
    </row>
    <row r="3845" spans="1:14" ht="15.75" customHeight="1" x14ac:dyDescent="0.25">
      <c r="A3845" s="7"/>
      <c r="B3845" s="343" t="s">
        <v>343</v>
      </c>
      <c r="C3845" s="344"/>
      <c r="D3845" s="344"/>
      <c r="E3845" s="334"/>
      <c r="F3845" s="108">
        <v>7499.36</v>
      </c>
      <c r="G3845" s="25"/>
      <c r="H3845" s="11"/>
      <c r="I3845" s="21"/>
      <c r="J3845" s="21"/>
      <c r="K3845" s="21"/>
      <c r="L3845" s="21"/>
      <c r="M3845" s="21"/>
      <c r="N3845" s="21"/>
    </row>
    <row r="3846" spans="1:14" ht="15.75" customHeight="1" x14ac:dyDescent="0.25">
      <c r="A3846" s="7"/>
      <c r="B3846" s="345" t="s">
        <v>344</v>
      </c>
      <c r="C3846" s="344"/>
      <c r="D3846" s="344"/>
      <c r="E3846" s="334"/>
      <c r="F3846" s="109">
        <f>SUM(F3844:F3845)</f>
        <v>75675.360000000001</v>
      </c>
      <c r="G3846" s="25"/>
      <c r="H3846" s="11"/>
      <c r="I3846" s="21"/>
      <c r="J3846" s="21"/>
      <c r="K3846" s="21"/>
      <c r="L3846" s="21"/>
      <c r="M3846" s="21"/>
      <c r="N3846" s="21"/>
    </row>
    <row r="3847" spans="1:14" ht="15.75" customHeight="1" x14ac:dyDescent="0.25">
      <c r="A3847" s="21"/>
      <c r="B3847" s="21"/>
      <c r="C3847" s="11"/>
      <c r="D3847" s="11"/>
      <c r="E3847" s="21"/>
      <c r="F3847" s="21"/>
      <c r="G3847" s="25"/>
      <c r="H3847" s="11"/>
      <c r="I3847" s="21"/>
      <c r="J3847" s="21"/>
      <c r="K3847" s="21"/>
      <c r="L3847" s="21"/>
      <c r="M3847" s="21"/>
      <c r="N3847" s="21"/>
    </row>
    <row r="3848" spans="1:14" ht="15.75" customHeight="1" x14ac:dyDescent="0.25">
      <c r="A3848" s="31" t="s">
        <v>14</v>
      </c>
      <c r="B3848" s="31" t="s">
        <v>234</v>
      </c>
      <c r="C3848" s="31" t="s">
        <v>16</v>
      </c>
      <c r="D3848" s="31" t="s">
        <v>17</v>
      </c>
      <c r="E3848" s="31" t="s">
        <v>235</v>
      </c>
      <c r="F3848" s="31" t="s">
        <v>236</v>
      </c>
      <c r="G3848" s="25"/>
      <c r="H3848" s="11"/>
      <c r="I3848" s="21"/>
      <c r="J3848" s="21"/>
      <c r="K3848" s="21"/>
      <c r="L3848" s="21"/>
      <c r="M3848" s="21"/>
      <c r="N3848" s="21"/>
    </row>
    <row r="3849" spans="1:14" ht="15.75" customHeight="1" x14ac:dyDescent="0.25">
      <c r="A3849" s="7">
        <v>1</v>
      </c>
      <c r="B3849" s="120" t="s">
        <v>1502</v>
      </c>
      <c r="C3849" s="129">
        <v>3</v>
      </c>
      <c r="D3849" s="7" t="s">
        <v>347</v>
      </c>
      <c r="E3849" s="130">
        <v>697500</v>
      </c>
      <c r="F3849" s="130">
        <f>E3849*C3849</f>
        <v>2092500</v>
      </c>
      <c r="G3849" s="25"/>
      <c r="H3849" s="11"/>
      <c r="I3849" s="21"/>
      <c r="J3849" s="21"/>
      <c r="K3849" s="21"/>
      <c r="L3849" s="21"/>
      <c r="M3849" s="21"/>
      <c r="N3849" s="21"/>
    </row>
    <row r="3850" spans="1:14" ht="15.75" customHeight="1" x14ac:dyDescent="0.25">
      <c r="A3850" s="7"/>
      <c r="B3850" s="343" t="s">
        <v>342</v>
      </c>
      <c r="C3850" s="344"/>
      <c r="D3850" s="344"/>
      <c r="E3850" s="334"/>
      <c r="F3850" s="104">
        <f>SUM(F3849)</f>
        <v>2092500</v>
      </c>
      <c r="G3850" s="25"/>
      <c r="H3850" s="11"/>
      <c r="I3850" s="21"/>
      <c r="J3850" s="21"/>
      <c r="K3850" s="21"/>
      <c r="L3850" s="21"/>
      <c r="M3850" s="21"/>
      <c r="N3850" s="21"/>
    </row>
    <row r="3851" spans="1:14" ht="15.75" customHeight="1" x14ac:dyDescent="0.25">
      <c r="A3851" s="7"/>
      <c r="B3851" s="343" t="s">
        <v>343</v>
      </c>
      <c r="C3851" s="344"/>
      <c r="D3851" s="344"/>
      <c r="E3851" s="334"/>
      <c r="F3851" s="104">
        <v>230175</v>
      </c>
      <c r="G3851" s="25"/>
      <c r="H3851" s="11"/>
      <c r="I3851" s="21"/>
      <c r="J3851" s="21"/>
      <c r="K3851" s="21"/>
      <c r="L3851" s="21"/>
      <c r="M3851" s="21"/>
      <c r="N3851" s="21"/>
    </row>
    <row r="3852" spans="1:14" ht="15.75" customHeight="1" x14ac:dyDescent="0.25">
      <c r="A3852" s="7"/>
      <c r="B3852" s="345" t="s">
        <v>344</v>
      </c>
      <c r="C3852" s="344"/>
      <c r="D3852" s="344"/>
      <c r="E3852" s="334"/>
      <c r="F3852" s="107">
        <f>SUM(F3850:F3851)</f>
        <v>2322675</v>
      </c>
      <c r="G3852" s="25"/>
      <c r="H3852" s="11"/>
      <c r="I3852" s="21"/>
      <c r="J3852" s="21"/>
      <c r="K3852" s="21"/>
      <c r="L3852" s="21"/>
      <c r="M3852" s="21"/>
      <c r="N3852" s="21"/>
    </row>
    <row r="3853" spans="1:14" ht="15.75" customHeight="1" x14ac:dyDescent="0.25">
      <c r="A3853" s="21"/>
      <c r="B3853" s="21"/>
      <c r="C3853" s="11"/>
      <c r="D3853" s="11"/>
      <c r="E3853" s="21"/>
      <c r="F3853" s="21"/>
      <c r="G3853" s="25"/>
      <c r="H3853" s="11"/>
      <c r="I3853" s="21"/>
      <c r="J3853" s="21"/>
      <c r="K3853" s="21"/>
      <c r="L3853" s="21"/>
      <c r="M3853" s="21"/>
      <c r="N3853" s="21"/>
    </row>
    <row r="3854" spans="1:14" ht="15.75" customHeight="1" x14ac:dyDescent="0.25">
      <c r="A3854" s="31" t="s">
        <v>14</v>
      </c>
      <c r="B3854" s="31" t="s">
        <v>234</v>
      </c>
      <c r="C3854" s="31" t="s">
        <v>16</v>
      </c>
      <c r="D3854" s="31" t="s">
        <v>17</v>
      </c>
      <c r="E3854" s="31" t="s">
        <v>235</v>
      </c>
      <c r="F3854" s="31" t="s">
        <v>236</v>
      </c>
      <c r="G3854" s="25"/>
      <c r="H3854" s="11"/>
      <c r="I3854" s="21"/>
      <c r="J3854" s="21"/>
      <c r="K3854" s="21"/>
      <c r="L3854" s="21"/>
      <c r="M3854" s="21"/>
      <c r="N3854" s="21"/>
    </row>
    <row r="3855" spans="1:14" ht="15.75" customHeight="1" x14ac:dyDescent="0.25">
      <c r="A3855" s="7">
        <v>1</v>
      </c>
      <c r="B3855" s="120" t="s">
        <v>1503</v>
      </c>
      <c r="C3855" s="129">
        <v>10</v>
      </c>
      <c r="D3855" s="7" t="s">
        <v>19</v>
      </c>
      <c r="E3855" s="130">
        <v>287500</v>
      </c>
      <c r="F3855" s="130">
        <f>E3855*C3855</f>
        <v>2875000</v>
      </c>
      <c r="G3855" s="25"/>
      <c r="H3855" s="11"/>
      <c r="I3855" s="21"/>
      <c r="J3855" s="21"/>
      <c r="K3855" s="21"/>
      <c r="L3855" s="21"/>
      <c r="M3855" s="21"/>
      <c r="N3855" s="21"/>
    </row>
    <row r="3856" spans="1:14" ht="15.75" customHeight="1" x14ac:dyDescent="0.25">
      <c r="A3856" s="7"/>
      <c r="B3856" s="343" t="s">
        <v>342</v>
      </c>
      <c r="C3856" s="344"/>
      <c r="D3856" s="344"/>
      <c r="E3856" s="334"/>
      <c r="F3856" s="104">
        <f>SUM(F3855)</f>
        <v>2875000</v>
      </c>
      <c r="G3856" s="25"/>
      <c r="H3856" s="11"/>
      <c r="I3856" s="21"/>
      <c r="J3856" s="21"/>
      <c r="K3856" s="21"/>
      <c r="L3856" s="21"/>
      <c r="M3856" s="21"/>
      <c r="N3856" s="21"/>
    </row>
    <row r="3857" spans="1:14" ht="15.75" customHeight="1" x14ac:dyDescent="0.25">
      <c r="A3857" s="7"/>
      <c r="B3857" s="343" t="s">
        <v>343</v>
      </c>
      <c r="C3857" s="344"/>
      <c r="D3857" s="344"/>
      <c r="E3857" s="334"/>
      <c r="F3857" s="104">
        <v>316250</v>
      </c>
      <c r="G3857" s="25"/>
      <c r="H3857" s="11"/>
      <c r="I3857" s="21"/>
      <c r="J3857" s="21"/>
      <c r="K3857" s="21"/>
      <c r="L3857" s="21"/>
      <c r="M3857" s="21"/>
      <c r="N3857" s="21"/>
    </row>
    <row r="3858" spans="1:14" ht="15.75" customHeight="1" x14ac:dyDescent="0.25">
      <c r="A3858" s="7"/>
      <c r="B3858" s="345" t="s">
        <v>344</v>
      </c>
      <c r="C3858" s="344"/>
      <c r="D3858" s="344"/>
      <c r="E3858" s="334"/>
      <c r="F3858" s="107">
        <f>SUM(F3856:F3857)</f>
        <v>3191250</v>
      </c>
      <c r="G3858" s="25"/>
      <c r="H3858" s="11"/>
      <c r="I3858" s="21"/>
      <c r="J3858" s="21"/>
      <c r="K3858" s="21"/>
      <c r="L3858" s="21"/>
      <c r="M3858" s="21"/>
      <c r="N3858" s="21"/>
    </row>
    <row r="3859" spans="1:14" ht="15.75" customHeight="1" x14ac:dyDescent="0.25">
      <c r="A3859" s="21"/>
      <c r="B3859" s="21"/>
      <c r="C3859" s="11"/>
      <c r="D3859" s="11"/>
      <c r="E3859" s="21"/>
      <c r="F3859" s="21"/>
      <c r="G3859" s="25"/>
      <c r="H3859" s="11"/>
      <c r="I3859" s="21"/>
      <c r="J3859" s="21"/>
      <c r="K3859" s="21"/>
      <c r="L3859" s="21"/>
      <c r="M3859" s="21"/>
      <c r="N3859" s="21"/>
    </row>
    <row r="3860" spans="1:14" ht="15.75" customHeight="1" x14ac:dyDescent="0.25">
      <c r="A3860" s="31" t="s">
        <v>351</v>
      </c>
      <c r="B3860" s="31" t="s">
        <v>234</v>
      </c>
      <c r="C3860" s="31" t="s">
        <v>16</v>
      </c>
      <c r="D3860" s="31" t="s">
        <v>17</v>
      </c>
      <c r="E3860" s="31" t="s">
        <v>235</v>
      </c>
      <c r="F3860" s="31" t="s">
        <v>236</v>
      </c>
      <c r="G3860" s="25"/>
      <c r="H3860" s="11"/>
      <c r="I3860" s="21"/>
      <c r="J3860" s="21"/>
      <c r="K3860" s="21"/>
      <c r="L3860" s="21"/>
      <c r="M3860" s="21"/>
      <c r="N3860" s="21"/>
    </row>
    <row r="3861" spans="1:14" ht="15.75" customHeight="1" x14ac:dyDescent="0.25">
      <c r="A3861" s="7">
        <v>1</v>
      </c>
      <c r="B3861" s="41" t="s">
        <v>991</v>
      </c>
      <c r="C3861" s="7">
        <v>20</v>
      </c>
      <c r="D3861" s="7" t="s">
        <v>19</v>
      </c>
      <c r="E3861" s="104">
        <v>2910</v>
      </c>
      <c r="F3861" s="104">
        <f>E3861*C3861</f>
        <v>58200</v>
      </c>
      <c r="G3861" s="25"/>
      <c r="H3861" s="11"/>
      <c r="I3861" s="21"/>
      <c r="J3861" s="21"/>
      <c r="K3861" s="21"/>
      <c r="L3861" s="21"/>
      <c r="M3861" s="21"/>
      <c r="N3861" s="21"/>
    </row>
    <row r="3862" spans="1:14" ht="15.75" customHeight="1" x14ac:dyDescent="0.25">
      <c r="A3862" s="7">
        <v>2</v>
      </c>
      <c r="B3862" s="41" t="s">
        <v>1504</v>
      </c>
      <c r="C3862" s="7">
        <v>50</v>
      </c>
      <c r="D3862" s="7" t="s">
        <v>19</v>
      </c>
      <c r="E3862" s="104">
        <v>5335</v>
      </c>
      <c r="F3862" s="104">
        <f>E3862*C3862</f>
        <v>266750</v>
      </c>
      <c r="G3862" s="25"/>
      <c r="H3862" s="11"/>
      <c r="I3862" s="21"/>
      <c r="J3862" s="21"/>
      <c r="K3862" s="21"/>
      <c r="L3862" s="21"/>
      <c r="M3862" s="21"/>
      <c r="N3862" s="21"/>
    </row>
    <row r="3863" spans="1:14" ht="15.75" customHeight="1" x14ac:dyDescent="0.25">
      <c r="A3863" s="7"/>
      <c r="B3863" s="343" t="s">
        <v>342</v>
      </c>
      <c r="C3863" s="344"/>
      <c r="D3863" s="344"/>
      <c r="E3863" s="334"/>
      <c r="F3863" s="104">
        <f>SUM(F3861:F3862)</f>
        <v>324950</v>
      </c>
      <c r="G3863" s="25"/>
      <c r="H3863" s="11"/>
      <c r="I3863" s="21"/>
      <c r="J3863" s="21"/>
      <c r="K3863" s="21"/>
      <c r="L3863" s="21"/>
      <c r="M3863" s="21"/>
      <c r="N3863" s="21"/>
    </row>
    <row r="3864" spans="1:14" ht="15.75" customHeight="1" x14ac:dyDescent="0.25">
      <c r="A3864" s="7"/>
      <c r="B3864" s="343" t="s">
        <v>343</v>
      </c>
      <c r="C3864" s="344"/>
      <c r="D3864" s="344"/>
      <c r="E3864" s="334"/>
      <c r="F3864" s="108">
        <v>35744.5</v>
      </c>
      <c r="G3864" s="25"/>
      <c r="H3864" s="11"/>
      <c r="I3864" s="21"/>
      <c r="J3864" s="21"/>
      <c r="K3864" s="21"/>
      <c r="L3864" s="21"/>
      <c r="M3864" s="21"/>
      <c r="N3864" s="21"/>
    </row>
    <row r="3865" spans="1:14" ht="15.75" customHeight="1" x14ac:dyDescent="0.25">
      <c r="A3865" s="7"/>
      <c r="B3865" s="345" t="s">
        <v>344</v>
      </c>
      <c r="C3865" s="344"/>
      <c r="D3865" s="344"/>
      <c r="E3865" s="334"/>
      <c r="F3865" s="109">
        <f>SUM(F3863:F3864)</f>
        <v>360694.5</v>
      </c>
      <c r="G3865" s="25"/>
      <c r="H3865" s="11"/>
      <c r="I3865" s="21"/>
      <c r="J3865" s="21"/>
      <c r="K3865" s="21"/>
      <c r="L3865" s="21"/>
      <c r="M3865" s="21"/>
      <c r="N3865" s="21"/>
    </row>
    <row r="3866" spans="1:14" ht="15.75" customHeight="1" x14ac:dyDescent="0.25">
      <c r="A3866" s="21"/>
      <c r="B3866" s="21"/>
      <c r="C3866" s="11"/>
      <c r="D3866" s="11"/>
      <c r="E3866" s="21"/>
      <c r="F3866" s="21"/>
      <c r="G3866" s="25"/>
      <c r="H3866" s="11"/>
      <c r="I3866" s="21"/>
      <c r="J3866" s="21"/>
      <c r="K3866" s="21"/>
      <c r="L3866" s="21"/>
      <c r="M3866" s="21"/>
      <c r="N3866" s="21"/>
    </row>
    <row r="3867" spans="1:14" ht="15.75" customHeight="1" x14ac:dyDescent="0.25">
      <c r="A3867" s="31" t="s">
        <v>14</v>
      </c>
      <c r="B3867" s="31" t="s">
        <v>234</v>
      </c>
      <c r="C3867" s="31" t="s">
        <v>16</v>
      </c>
      <c r="D3867" s="31" t="s">
        <v>17</v>
      </c>
      <c r="E3867" s="31" t="s">
        <v>235</v>
      </c>
      <c r="F3867" s="31" t="s">
        <v>236</v>
      </c>
      <c r="G3867" s="25"/>
      <c r="H3867" s="11"/>
      <c r="I3867" s="21"/>
      <c r="J3867" s="21"/>
      <c r="K3867" s="21"/>
      <c r="L3867" s="21"/>
      <c r="M3867" s="21"/>
      <c r="N3867" s="21"/>
    </row>
    <row r="3868" spans="1:14" ht="15.75" customHeight="1" x14ac:dyDescent="0.25">
      <c r="A3868" s="7">
        <v>1</v>
      </c>
      <c r="B3868" s="41" t="s">
        <v>1505</v>
      </c>
      <c r="C3868" s="158">
        <v>10</v>
      </c>
      <c r="D3868" s="7" t="s">
        <v>19</v>
      </c>
      <c r="E3868" s="104">
        <v>18000</v>
      </c>
      <c r="F3868" s="104">
        <f>E3868*C3868</f>
        <v>180000</v>
      </c>
      <c r="G3868" s="25"/>
      <c r="H3868" s="11"/>
      <c r="I3868" s="21"/>
      <c r="J3868" s="21"/>
      <c r="K3868" s="21"/>
      <c r="L3868" s="21"/>
      <c r="M3868" s="21"/>
      <c r="N3868" s="21"/>
    </row>
    <row r="3869" spans="1:14" ht="15.75" customHeight="1" x14ac:dyDescent="0.25">
      <c r="A3869" s="7">
        <v>2</v>
      </c>
      <c r="B3869" s="41" t="s">
        <v>1506</v>
      </c>
      <c r="C3869" s="133">
        <v>10</v>
      </c>
      <c r="D3869" s="7" t="s">
        <v>19</v>
      </c>
      <c r="E3869" s="104">
        <v>12000</v>
      </c>
      <c r="F3869" s="104">
        <f>E3869*C3869</f>
        <v>120000</v>
      </c>
      <c r="G3869" s="25"/>
      <c r="H3869" s="11"/>
      <c r="I3869" s="21"/>
      <c r="J3869" s="21"/>
      <c r="K3869" s="21"/>
      <c r="L3869" s="21"/>
      <c r="M3869" s="21"/>
      <c r="N3869" s="21"/>
    </row>
    <row r="3870" spans="1:14" ht="15.75" customHeight="1" x14ac:dyDescent="0.25">
      <c r="A3870" s="7">
        <v>3</v>
      </c>
      <c r="B3870" s="41" t="s">
        <v>1507</v>
      </c>
      <c r="C3870" s="151">
        <v>10</v>
      </c>
      <c r="D3870" s="133" t="s">
        <v>19</v>
      </c>
      <c r="E3870" s="104">
        <v>22000</v>
      </c>
      <c r="F3870" s="104">
        <f>E3870*C3870</f>
        <v>220000</v>
      </c>
      <c r="G3870" s="25"/>
      <c r="H3870" s="11"/>
      <c r="I3870" s="21"/>
      <c r="J3870" s="21"/>
      <c r="K3870" s="21"/>
      <c r="L3870" s="21"/>
      <c r="M3870" s="21"/>
      <c r="N3870" s="21"/>
    </row>
    <row r="3871" spans="1:14" ht="15.75" customHeight="1" x14ac:dyDescent="0.25">
      <c r="A3871" s="7"/>
      <c r="B3871" s="343" t="s">
        <v>342</v>
      </c>
      <c r="C3871" s="344"/>
      <c r="D3871" s="344"/>
      <c r="E3871" s="334"/>
      <c r="F3871" s="104">
        <f>SUM(F3868:F3870)</f>
        <v>520000</v>
      </c>
      <c r="G3871" s="25"/>
      <c r="H3871" s="11"/>
      <c r="I3871" s="21"/>
      <c r="J3871" s="21"/>
      <c r="K3871" s="21"/>
      <c r="L3871" s="21"/>
      <c r="M3871" s="21"/>
      <c r="N3871" s="21"/>
    </row>
    <row r="3872" spans="1:14" ht="15.75" customHeight="1" x14ac:dyDescent="0.25">
      <c r="A3872" s="7"/>
      <c r="B3872" s="343" t="s">
        <v>343</v>
      </c>
      <c r="C3872" s="344"/>
      <c r="D3872" s="344"/>
      <c r="E3872" s="334"/>
      <c r="F3872" s="104">
        <v>57200</v>
      </c>
      <c r="G3872" s="25"/>
      <c r="H3872" s="11"/>
      <c r="I3872" s="21"/>
      <c r="J3872" s="21"/>
      <c r="K3872" s="21"/>
      <c r="L3872" s="21"/>
      <c r="M3872" s="21"/>
      <c r="N3872" s="21"/>
    </row>
    <row r="3873" spans="1:14" ht="15.75" customHeight="1" x14ac:dyDescent="0.25">
      <c r="A3873" s="7"/>
      <c r="B3873" s="345" t="s">
        <v>344</v>
      </c>
      <c r="C3873" s="344"/>
      <c r="D3873" s="344"/>
      <c r="E3873" s="334"/>
      <c r="F3873" s="107">
        <f>SUM(F3871:F3872)</f>
        <v>577200</v>
      </c>
      <c r="G3873" s="25"/>
      <c r="H3873" s="11"/>
      <c r="I3873" s="21"/>
      <c r="J3873" s="21"/>
      <c r="K3873" s="21"/>
      <c r="L3873" s="21"/>
      <c r="M3873" s="21"/>
      <c r="N3873" s="21"/>
    </row>
    <row r="3874" spans="1:14" ht="15.75" customHeight="1" x14ac:dyDescent="0.25">
      <c r="A3874" s="21"/>
      <c r="B3874" s="21"/>
      <c r="C3874" s="11"/>
      <c r="D3874" s="11"/>
      <c r="E3874" s="21"/>
      <c r="F3874" s="21"/>
      <c r="G3874" s="25"/>
      <c r="H3874" s="11"/>
      <c r="I3874" s="21"/>
      <c r="J3874" s="21"/>
      <c r="K3874" s="21"/>
      <c r="L3874" s="21"/>
      <c r="M3874" s="21"/>
      <c r="N3874" s="21"/>
    </row>
    <row r="3875" spans="1:14" ht="15.75" customHeight="1" x14ac:dyDescent="0.25">
      <c r="A3875" s="31" t="s">
        <v>14</v>
      </c>
      <c r="B3875" s="31" t="s">
        <v>234</v>
      </c>
      <c r="C3875" s="31" t="s">
        <v>16</v>
      </c>
      <c r="D3875" s="31" t="s">
        <v>17</v>
      </c>
      <c r="E3875" s="31" t="s">
        <v>235</v>
      </c>
      <c r="F3875" s="31" t="s">
        <v>236</v>
      </c>
      <c r="G3875" s="25"/>
      <c r="H3875" s="11"/>
      <c r="I3875" s="21"/>
      <c r="J3875" s="21"/>
      <c r="K3875" s="21"/>
      <c r="L3875" s="21"/>
      <c r="M3875" s="21"/>
      <c r="N3875" s="21"/>
    </row>
    <row r="3876" spans="1:14" ht="15.75" customHeight="1" x14ac:dyDescent="0.25">
      <c r="A3876" s="7">
        <v>1</v>
      </c>
      <c r="B3876" s="120" t="s">
        <v>1508</v>
      </c>
      <c r="C3876" s="158">
        <v>1</v>
      </c>
      <c r="D3876" s="7" t="s">
        <v>243</v>
      </c>
      <c r="E3876" s="104">
        <v>843800</v>
      </c>
      <c r="F3876" s="104">
        <f>E3876*C3876</f>
        <v>843800</v>
      </c>
      <c r="G3876" s="25"/>
      <c r="H3876" s="11"/>
      <c r="I3876" s="21"/>
      <c r="J3876" s="21"/>
      <c r="K3876" s="21"/>
      <c r="L3876" s="21"/>
      <c r="M3876" s="21"/>
      <c r="N3876" s="21"/>
    </row>
    <row r="3877" spans="1:14" ht="15.75" customHeight="1" x14ac:dyDescent="0.25">
      <c r="A3877" s="7">
        <v>2</v>
      </c>
      <c r="B3877" s="35" t="s">
        <v>1509</v>
      </c>
      <c r="C3877" s="133">
        <v>2</v>
      </c>
      <c r="D3877" s="7" t="s">
        <v>19</v>
      </c>
      <c r="E3877" s="104">
        <v>62000</v>
      </c>
      <c r="F3877" s="104">
        <f>E3877*C3877</f>
        <v>124000</v>
      </c>
      <c r="G3877" s="25"/>
      <c r="H3877" s="11"/>
      <c r="I3877" s="21"/>
      <c r="J3877" s="21"/>
      <c r="K3877" s="21"/>
      <c r="L3877" s="21"/>
      <c r="M3877" s="21"/>
      <c r="N3877" s="21"/>
    </row>
    <row r="3878" spans="1:14" ht="15.75" customHeight="1" x14ac:dyDescent="0.25">
      <c r="A3878" s="7">
        <v>3</v>
      </c>
      <c r="B3878" s="41" t="s">
        <v>1510</v>
      </c>
      <c r="C3878" s="151">
        <v>2</v>
      </c>
      <c r="D3878" s="133" t="s">
        <v>19</v>
      </c>
      <c r="E3878" s="104">
        <v>55000</v>
      </c>
      <c r="F3878" s="104">
        <f>E3878*C3878</f>
        <v>110000</v>
      </c>
      <c r="G3878" s="25"/>
      <c r="H3878" s="11"/>
      <c r="I3878" s="21"/>
      <c r="J3878" s="21"/>
      <c r="K3878" s="21"/>
      <c r="L3878" s="21"/>
      <c r="M3878" s="21"/>
      <c r="N3878" s="21"/>
    </row>
    <row r="3879" spans="1:14" ht="15.75" customHeight="1" x14ac:dyDescent="0.25">
      <c r="A3879" s="7"/>
      <c r="B3879" s="343" t="s">
        <v>342</v>
      </c>
      <c r="C3879" s="344"/>
      <c r="D3879" s="344"/>
      <c r="E3879" s="334"/>
      <c r="F3879" s="104">
        <f>SUM(F3876:F3878)</f>
        <v>1077800</v>
      </c>
      <c r="G3879" s="25"/>
      <c r="H3879" s="11"/>
      <c r="I3879" s="21"/>
      <c r="J3879" s="21"/>
      <c r="K3879" s="21"/>
      <c r="L3879" s="21"/>
      <c r="M3879" s="21"/>
      <c r="N3879" s="21"/>
    </row>
    <row r="3880" spans="1:14" ht="15.75" customHeight="1" x14ac:dyDescent="0.25">
      <c r="A3880" s="7"/>
      <c r="B3880" s="343" t="s">
        <v>343</v>
      </c>
      <c r="C3880" s="344"/>
      <c r="D3880" s="344"/>
      <c r="E3880" s="334"/>
      <c r="F3880" s="104">
        <v>118558</v>
      </c>
      <c r="G3880" s="25"/>
      <c r="H3880" s="11"/>
      <c r="I3880" s="21"/>
      <c r="J3880" s="21"/>
      <c r="K3880" s="21"/>
      <c r="L3880" s="21"/>
      <c r="M3880" s="21"/>
      <c r="N3880" s="21"/>
    </row>
    <row r="3881" spans="1:14" ht="15.75" customHeight="1" x14ac:dyDescent="0.25">
      <c r="A3881" s="7"/>
      <c r="B3881" s="345" t="s">
        <v>344</v>
      </c>
      <c r="C3881" s="344"/>
      <c r="D3881" s="344"/>
      <c r="E3881" s="334"/>
      <c r="F3881" s="107">
        <f>SUM(F3879:F3880)</f>
        <v>1196358</v>
      </c>
      <c r="G3881" s="25"/>
      <c r="H3881" s="11"/>
      <c r="I3881" s="21"/>
      <c r="J3881" s="21"/>
      <c r="K3881" s="21"/>
      <c r="L3881" s="21"/>
      <c r="M3881" s="21"/>
      <c r="N3881" s="21"/>
    </row>
    <row r="3882" spans="1:14" ht="15.75" customHeight="1" x14ac:dyDescent="0.25">
      <c r="A3882" s="21"/>
      <c r="B3882" s="21"/>
      <c r="C3882" s="11"/>
      <c r="D3882" s="11"/>
      <c r="E3882" s="21"/>
      <c r="F3882" s="21"/>
      <c r="G3882" s="25"/>
      <c r="H3882" s="11"/>
      <c r="I3882" s="21"/>
      <c r="J3882" s="21"/>
      <c r="K3882" s="21"/>
      <c r="L3882" s="21"/>
      <c r="M3882" s="21"/>
      <c r="N3882" s="21"/>
    </row>
    <row r="3883" spans="1:14" ht="15.75" customHeight="1" x14ac:dyDescent="0.25">
      <c r="A3883" s="31" t="s">
        <v>14</v>
      </c>
      <c r="B3883" s="31" t="s">
        <v>234</v>
      </c>
      <c r="C3883" s="31" t="s">
        <v>16</v>
      </c>
      <c r="D3883" s="31" t="s">
        <v>17</v>
      </c>
      <c r="E3883" s="31" t="s">
        <v>235</v>
      </c>
      <c r="F3883" s="31" t="s">
        <v>236</v>
      </c>
      <c r="G3883" s="25"/>
      <c r="H3883" s="11"/>
      <c r="I3883" s="21"/>
      <c r="J3883" s="21"/>
      <c r="K3883" s="21"/>
      <c r="L3883" s="21"/>
      <c r="M3883" s="21"/>
      <c r="N3883" s="21"/>
    </row>
    <row r="3884" spans="1:14" ht="15.75" customHeight="1" x14ac:dyDescent="0.25">
      <c r="A3884" s="7">
        <v>1</v>
      </c>
      <c r="B3884" s="120" t="s">
        <v>1511</v>
      </c>
      <c r="C3884" s="129">
        <v>12</v>
      </c>
      <c r="D3884" s="7" t="s">
        <v>19</v>
      </c>
      <c r="E3884" s="130">
        <v>74000</v>
      </c>
      <c r="F3884" s="130">
        <f>E3884*C3884</f>
        <v>888000</v>
      </c>
      <c r="G3884" s="25"/>
      <c r="H3884" s="11"/>
      <c r="I3884" s="21"/>
      <c r="J3884" s="21"/>
      <c r="K3884" s="21"/>
      <c r="L3884" s="21"/>
      <c r="M3884" s="21"/>
      <c r="N3884" s="21"/>
    </row>
    <row r="3885" spans="1:14" ht="15.75" customHeight="1" x14ac:dyDescent="0.25">
      <c r="A3885" s="7"/>
      <c r="B3885" s="343" t="s">
        <v>342</v>
      </c>
      <c r="C3885" s="344"/>
      <c r="D3885" s="344"/>
      <c r="E3885" s="334"/>
      <c r="F3885" s="104">
        <f>SUM(F3884)</f>
        <v>888000</v>
      </c>
      <c r="G3885" s="25"/>
      <c r="H3885" s="11"/>
      <c r="I3885" s="21"/>
      <c r="J3885" s="21"/>
      <c r="K3885" s="21"/>
      <c r="L3885" s="21"/>
      <c r="M3885" s="21"/>
      <c r="N3885" s="21"/>
    </row>
    <row r="3886" spans="1:14" ht="15.75" customHeight="1" x14ac:dyDescent="0.25">
      <c r="A3886" s="7"/>
      <c r="B3886" s="343" t="s">
        <v>343</v>
      </c>
      <c r="C3886" s="344"/>
      <c r="D3886" s="344"/>
      <c r="E3886" s="334"/>
      <c r="F3886" s="104">
        <v>97680</v>
      </c>
      <c r="G3886" s="25"/>
      <c r="H3886" s="11"/>
      <c r="I3886" s="21"/>
      <c r="J3886" s="21"/>
      <c r="K3886" s="21"/>
      <c r="L3886" s="21"/>
      <c r="M3886" s="21"/>
      <c r="N3886" s="21"/>
    </row>
    <row r="3887" spans="1:14" ht="15.75" customHeight="1" x14ac:dyDescent="0.25">
      <c r="A3887" s="7"/>
      <c r="B3887" s="345" t="s">
        <v>344</v>
      </c>
      <c r="C3887" s="344"/>
      <c r="D3887" s="344"/>
      <c r="E3887" s="334"/>
      <c r="F3887" s="107">
        <f>SUM(F3885:F3886)</f>
        <v>985680</v>
      </c>
      <c r="G3887" s="25"/>
      <c r="H3887" s="11"/>
      <c r="I3887" s="21"/>
      <c r="J3887" s="21"/>
      <c r="K3887" s="21"/>
      <c r="L3887" s="21"/>
      <c r="M3887" s="21"/>
      <c r="N3887" s="21"/>
    </row>
    <row r="3888" spans="1:14" ht="15.75" customHeight="1" x14ac:dyDescent="0.25">
      <c r="A3888" s="21"/>
      <c r="B3888" s="21"/>
      <c r="C3888" s="11"/>
      <c r="D3888" s="11"/>
      <c r="E3888" s="21"/>
      <c r="F3888" s="21"/>
      <c r="G3888" s="25"/>
      <c r="H3888" s="11"/>
      <c r="I3888" s="21"/>
      <c r="J3888" s="21"/>
      <c r="K3888" s="21"/>
      <c r="L3888" s="21"/>
      <c r="M3888" s="21"/>
      <c r="N3888" s="21"/>
    </row>
    <row r="3889" spans="1:14" ht="15.75" customHeight="1" x14ac:dyDescent="0.25">
      <c r="A3889" s="31" t="s">
        <v>14</v>
      </c>
      <c r="B3889" s="31" t="s">
        <v>234</v>
      </c>
      <c r="C3889" s="31" t="s">
        <v>16</v>
      </c>
      <c r="D3889" s="31" t="s">
        <v>17</v>
      </c>
      <c r="E3889" s="31" t="s">
        <v>235</v>
      </c>
      <c r="F3889" s="31" t="s">
        <v>236</v>
      </c>
      <c r="G3889" s="25"/>
      <c r="H3889" s="11"/>
      <c r="I3889" s="21"/>
      <c r="J3889" s="21"/>
      <c r="K3889" s="21"/>
      <c r="L3889" s="21"/>
      <c r="M3889" s="21"/>
      <c r="N3889" s="21"/>
    </row>
    <row r="3890" spans="1:14" ht="15.75" customHeight="1" x14ac:dyDescent="0.25">
      <c r="A3890" s="7">
        <v>1</v>
      </c>
      <c r="B3890" s="120" t="s">
        <v>1451</v>
      </c>
      <c r="C3890" s="129">
        <v>8</v>
      </c>
      <c r="D3890" s="7" t="s">
        <v>363</v>
      </c>
      <c r="E3890" s="130">
        <v>72750</v>
      </c>
      <c r="F3890" s="130">
        <f>E3890*C3890</f>
        <v>582000</v>
      </c>
      <c r="G3890" s="25"/>
      <c r="H3890" s="11"/>
      <c r="I3890" s="21"/>
      <c r="J3890" s="21"/>
      <c r="K3890" s="21"/>
      <c r="L3890" s="21"/>
      <c r="M3890" s="21"/>
      <c r="N3890" s="21"/>
    </row>
    <row r="3891" spans="1:14" ht="15.75" customHeight="1" x14ac:dyDescent="0.25">
      <c r="A3891" s="7"/>
      <c r="B3891" s="343" t="s">
        <v>342</v>
      </c>
      <c r="C3891" s="344"/>
      <c r="D3891" s="344"/>
      <c r="E3891" s="334"/>
      <c r="F3891" s="104">
        <f>SUM(F3890)</f>
        <v>582000</v>
      </c>
      <c r="G3891" s="25"/>
      <c r="H3891" s="11"/>
      <c r="I3891" s="21"/>
      <c r="J3891" s="21"/>
      <c r="K3891" s="21"/>
      <c r="L3891" s="21"/>
      <c r="M3891" s="21"/>
      <c r="N3891" s="21"/>
    </row>
    <row r="3892" spans="1:14" ht="15.75" customHeight="1" x14ac:dyDescent="0.25">
      <c r="A3892" s="7"/>
      <c r="B3892" s="343" t="s">
        <v>343</v>
      </c>
      <c r="C3892" s="344"/>
      <c r="D3892" s="344"/>
      <c r="E3892" s="334"/>
      <c r="F3892" s="104">
        <v>64020</v>
      </c>
      <c r="G3892" s="25"/>
      <c r="H3892" s="11"/>
      <c r="I3892" s="21"/>
      <c r="J3892" s="21"/>
      <c r="K3892" s="21"/>
      <c r="L3892" s="21"/>
      <c r="M3892" s="21"/>
      <c r="N3892" s="21"/>
    </row>
    <row r="3893" spans="1:14" ht="15.75" customHeight="1" x14ac:dyDescent="0.25">
      <c r="A3893" s="7"/>
      <c r="B3893" s="345" t="s">
        <v>344</v>
      </c>
      <c r="C3893" s="344"/>
      <c r="D3893" s="344"/>
      <c r="E3893" s="334"/>
      <c r="F3893" s="107">
        <f>SUM(F3891:F3892)</f>
        <v>646020</v>
      </c>
      <c r="G3893" s="25"/>
      <c r="H3893" s="11"/>
      <c r="I3893" s="21"/>
      <c r="J3893" s="21"/>
      <c r="K3893" s="21"/>
      <c r="L3893" s="21"/>
      <c r="M3893" s="21"/>
      <c r="N3893" s="21"/>
    </row>
    <row r="3894" spans="1:14" ht="15.75" customHeight="1" x14ac:dyDescent="0.25">
      <c r="A3894" s="21"/>
      <c r="B3894" s="21"/>
      <c r="C3894" s="11"/>
      <c r="D3894" s="11"/>
      <c r="E3894" s="21"/>
      <c r="F3894" s="21"/>
      <c r="G3894" s="25"/>
      <c r="H3894" s="11"/>
      <c r="I3894" s="21"/>
      <c r="J3894" s="21"/>
      <c r="K3894" s="21"/>
      <c r="L3894" s="21"/>
      <c r="M3894" s="21"/>
      <c r="N3894" s="21"/>
    </row>
    <row r="3895" spans="1:14" ht="15.75" customHeight="1" x14ac:dyDescent="0.25">
      <c r="A3895" s="31" t="s">
        <v>14</v>
      </c>
      <c r="B3895" s="31" t="s">
        <v>234</v>
      </c>
      <c r="C3895" s="31" t="s">
        <v>16</v>
      </c>
      <c r="D3895" s="31" t="s">
        <v>17</v>
      </c>
      <c r="E3895" s="31" t="s">
        <v>235</v>
      </c>
      <c r="F3895" s="31" t="s">
        <v>236</v>
      </c>
      <c r="G3895" s="25"/>
      <c r="H3895" s="11"/>
      <c r="I3895" s="21"/>
      <c r="J3895" s="21"/>
      <c r="K3895" s="21"/>
      <c r="L3895" s="21"/>
      <c r="M3895" s="21"/>
      <c r="N3895" s="21"/>
    </row>
    <row r="3896" spans="1:14" ht="15.75" customHeight="1" x14ac:dyDescent="0.25">
      <c r="A3896" s="10">
        <v>1</v>
      </c>
      <c r="B3896" s="38" t="s">
        <v>1169</v>
      </c>
      <c r="C3896" s="7">
        <v>8</v>
      </c>
      <c r="D3896" s="7" t="s">
        <v>19</v>
      </c>
      <c r="E3896" s="104">
        <v>1079675</v>
      </c>
      <c r="F3896" s="104">
        <f t="shared" ref="F3896:F3911" si="41">E3896*C3896</f>
        <v>8637400</v>
      </c>
      <c r="G3896" s="25"/>
      <c r="H3896" s="11"/>
      <c r="I3896" s="21"/>
      <c r="J3896" s="21"/>
      <c r="K3896" s="21"/>
      <c r="L3896" s="21"/>
      <c r="M3896" s="21"/>
      <c r="N3896" s="21"/>
    </row>
    <row r="3897" spans="1:14" ht="15.75" customHeight="1" x14ac:dyDescent="0.25">
      <c r="A3897" s="7">
        <v>2</v>
      </c>
      <c r="B3897" s="124" t="s">
        <v>1158</v>
      </c>
      <c r="C3897" s="7">
        <v>8</v>
      </c>
      <c r="D3897" s="7" t="s">
        <v>19</v>
      </c>
      <c r="E3897" s="104">
        <v>43225</v>
      </c>
      <c r="F3897" s="104">
        <f t="shared" si="41"/>
        <v>345800</v>
      </c>
      <c r="G3897" s="25"/>
      <c r="H3897" s="11"/>
      <c r="I3897" s="21"/>
      <c r="J3897" s="21"/>
      <c r="K3897" s="21"/>
      <c r="L3897" s="21"/>
      <c r="M3897" s="21"/>
      <c r="N3897" s="21"/>
    </row>
    <row r="3898" spans="1:14" ht="15.75" customHeight="1" x14ac:dyDescent="0.25">
      <c r="A3898" s="7">
        <v>3</v>
      </c>
      <c r="B3898" s="131" t="s">
        <v>1170</v>
      </c>
      <c r="C3898" s="7">
        <v>4</v>
      </c>
      <c r="D3898" s="7" t="s">
        <v>19</v>
      </c>
      <c r="E3898" s="104">
        <v>5903775</v>
      </c>
      <c r="F3898" s="104">
        <f t="shared" si="41"/>
        <v>23615100</v>
      </c>
      <c r="G3898" s="25"/>
      <c r="H3898" s="11"/>
      <c r="I3898" s="21"/>
      <c r="J3898" s="21"/>
      <c r="K3898" s="21"/>
      <c r="L3898" s="21"/>
      <c r="M3898" s="21"/>
      <c r="N3898" s="21"/>
    </row>
    <row r="3899" spans="1:14" ht="15.75" customHeight="1" x14ac:dyDescent="0.25">
      <c r="A3899" s="7">
        <v>4</v>
      </c>
      <c r="B3899" s="35" t="s">
        <v>1171</v>
      </c>
      <c r="C3899" s="7">
        <v>4</v>
      </c>
      <c r="D3899" s="7" t="s">
        <v>19</v>
      </c>
      <c r="E3899" s="104">
        <v>8446450</v>
      </c>
      <c r="F3899" s="104">
        <f t="shared" si="41"/>
        <v>33785800</v>
      </c>
      <c r="G3899" s="25"/>
      <c r="H3899" s="11"/>
      <c r="I3899" s="21"/>
      <c r="J3899" s="21"/>
      <c r="K3899" s="21"/>
      <c r="L3899" s="21"/>
      <c r="M3899" s="21"/>
      <c r="N3899" s="21"/>
    </row>
    <row r="3900" spans="1:14" ht="15.75" customHeight="1" x14ac:dyDescent="0.25">
      <c r="A3900" s="7">
        <v>5</v>
      </c>
      <c r="B3900" s="41" t="s">
        <v>1172</v>
      </c>
      <c r="C3900" s="7">
        <v>12</v>
      </c>
      <c r="D3900" s="7" t="s">
        <v>19</v>
      </c>
      <c r="E3900" s="104">
        <v>583775</v>
      </c>
      <c r="F3900" s="104">
        <f t="shared" si="41"/>
        <v>7005300</v>
      </c>
      <c r="G3900" s="25"/>
      <c r="H3900" s="11"/>
      <c r="I3900" s="21"/>
      <c r="J3900" s="21"/>
      <c r="K3900" s="21"/>
      <c r="L3900" s="21"/>
      <c r="M3900" s="21"/>
      <c r="N3900" s="21"/>
    </row>
    <row r="3901" spans="1:14" ht="15.75" customHeight="1" x14ac:dyDescent="0.25">
      <c r="A3901" s="7">
        <v>6</v>
      </c>
      <c r="B3901" s="41" t="s">
        <v>1173</v>
      </c>
      <c r="C3901" s="7">
        <v>96</v>
      </c>
      <c r="D3901" s="7" t="s">
        <v>19</v>
      </c>
      <c r="E3901" s="104">
        <v>47310</v>
      </c>
      <c r="F3901" s="104">
        <f t="shared" si="41"/>
        <v>4541760</v>
      </c>
      <c r="G3901" s="25"/>
      <c r="H3901" s="11"/>
      <c r="I3901" s="21"/>
      <c r="J3901" s="21"/>
      <c r="K3901" s="21"/>
      <c r="L3901" s="21"/>
      <c r="M3901" s="21"/>
      <c r="N3901" s="21"/>
    </row>
    <row r="3902" spans="1:14" ht="15.75" customHeight="1" x14ac:dyDescent="0.25">
      <c r="A3902" s="7">
        <v>7</v>
      </c>
      <c r="B3902" s="35" t="s">
        <v>1174</v>
      </c>
      <c r="C3902" s="7">
        <v>128</v>
      </c>
      <c r="D3902" s="7" t="s">
        <v>19</v>
      </c>
      <c r="E3902" s="104">
        <v>30875</v>
      </c>
      <c r="F3902" s="104">
        <f t="shared" si="41"/>
        <v>3952000</v>
      </c>
      <c r="G3902" s="25"/>
      <c r="H3902" s="11"/>
      <c r="I3902" s="21"/>
      <c r="J3902" s="21"/>
      <c r="K3902" s="21"/>
      <c r="L3902" s="21"/>
      <c r="M3902" s="21"/>
      <c r="N3902" s="21"/>
    </row>
    <row r="3903" spans="1:14" ht="15.75" customHeight="1" x14ac:dyDescent="0.25">
      <c r="A3903" s="7">
        <v>8</v>
      </c>
      <c r="B3903" s="41" t="s">
        <v>1175</v>
      </c>
      <c r="C3903" s="7">
        <v>20</v>
      </c>
      <c r="D3903" s="7" t="s">
        <v>251</v>
      </c>
      <c r="E3903" s="104">
        <v>454100</v>
      </c>
      <c r="F3903" s="104">
        <f t="shared" si="41"/>
        <v>9082000</v>
      </c>
      <c r="G3903" s="25"/>
      <c r="H3903" s="11"/>
      <c r="I3903" s="21"/>
      <c r="J3903" s="21"/>
      <c r="K3903" s="21"/>
      <c r="L3903" s="21"/>
      <c r="M3903" s="21"/>
      <c r="N3903" s="21"/>
    </row>
    <row r="3904" spans="1:14" ht="15.75" customHeight="1" x14ac:dyDescent="0.25">
      <c r="A3904" s="7">
        <v>9</v>
      </c>
      <c r="B3904" s="41" t="s">
        <v>1176</v>
      </c>
      <c r="C3904" s="7">
        <v>32</v>
      </c>
      <c r="D3904" s="7" t="s">
        <v>19</v>
      </c>
      <c r="E3904" s="104">
        <v>50825</v>
      </c>
      <c r="F3904" s="104">
        <f t="shared" si="41"/>
        <v>1626400</v>
      </c>
      <c r="G3904" s="25"/>
      <c r="H3904" s="11"/>
      <c r="I3904" s="21"/>
      <c r="J3904" s="21"/>
      <c r="K3904" s="21"/>
      <c r="L3904" s="21"/>
      <c r="M3904" s="21"/>
      <c r="N3904" s="21"/>
    </row>
    <row r="3905" spans="1:14" ht="15.75" customHeight="1" x14ac:dyDescent="0.25">
      <c r="A3905" s="7">
        <v>10</v>
      </c>
      <c r="B3905" s="35" t="s">
        <v>1177</v>
      </c>
      <c r="C3905" s="7">
        <v>10</v>
      </c>
      <c r="D3905" s="7" t="s">
        <v>973</v>
      </c>
      <c r="E3905" s="104">
        <v>551760</v>
      </c>
      <c r="F3905" s="104">
        <f t="shared" si="41"/>
        <v>5517600</v>
      </c>
      <c r="G3905" s="25"/>
      <c r="H3905" s="11"/>
      <c r="I3905" s="21"/>
      <c r="J3905" s="21"/>
      <c r="K3905" s="21"/>
      <c r="L3905" s="21"/>
      <c r="M3905" s="21"/>
      <c r="N3905" s="21"/>
    </row>
    <row r="3906" spans="1:14" ht="15.75" customHeight="1" x14ac:dyDescent="0.25">
      <c r="A3906" s="7">
        <v>11</v>
      </c>
      <c r="B3906" s="41" t="s">
        <v>1178</v>
      </c>
      <c r="C3906" s="7">
        <v>8</v>
      </c>
      <c r="D3906" s="7" t="s">
        <v>19</v>
      </c>
      <c r="E3906" s="104">
        <v>642960</v>
      </c>
      <c r="F3906" s="104">
        <f t="shared" si="41"/>
        <v>5143680</v>
      </c>
      <c r="G3906" s="25"/>
      <c r="H3906" s="11"/>
      <c r="I3906" s="21"/>
      <c r="J3906" s="21"/>
      <c r="K3906" s="21"/>
      <c r="L3906" s="21"/>
      <c r="M3906" s="21"/>
      <c r="N3906" s="21"/>
    </row>
    <row r="3907" spans="1:14" ht="15.75" customHeight="1" x14ac:dyDescent="0.25">
      <c r="A3907" s="7">
        <v>12</v>
      </c>
      <c r="B3907" s="41" t="s">
        <v>1179</v>
      </c>
      <c r="C3907" s="7">
        <v>8</v>
      </c>
      <c r="D3907" s="7" t="s">
        <v>19</v>
      </c>
      <c r="E3907" s="104">
        <v>28025</v>
      </c>
      <c r="F3907" s="104">
        <f t="shared" si="41"/>
        <v>224200</v>
      </c>
      <c r="G3907" s="25"/>
      <c r="H3907" s="11"/>
      <c r="I3907" s="21"/>
      <c r="J3907" s="21"/>
      <c r="K3907" s="21"/>
      <c r="L3907" s="21"/>
      <c r="M3907" s="21"/>
      <c r="N3907" s="21"/>
    </row>
    <row r="3908" spans="1:14" ht="15.75" customHeight="1" x14ac:dyDescent="0.25">
      <c r="A3908" s="7">
        <v>13</v>
      </c>
      <c r="B3908" s="41" t="s">
        <v>1180</v>
      </c>
      <c r="C3908" s="7">
        <v>4</v>
      </c>
      <c r="D3908" s="7" t="s">
        <v>19</v>
      </c>
      <c r="E3908" s="104">
        <v>8445500</v>
      </c>
      <c r="F3908" s="104">
        <f t="shared" si="41"/>
        <v>33782000</v>
      </c>
      <c r="G3908" s="25"/>
      <c r="H3908" s="11"/>
      <c r="I3908" s="21"/>
      <c r="J3908" s="21"/>
      <c r="K3908" s="21"/>
      <c r="L3908" s="21"/>
      <c r="M3908" s="21"/>
      <c r="N3908" s="21"/>
    </row>
    <row r="3909" spans="1:14" ht="15.75" customHeight="1" x14ac:dyDescent="0.25">
      <c r="A3909" s="7">
        <v>14</v>
      </c>
      <c r="B3909" s="35" t="s">
        <v>1181</v>
      </c>
      <c r="C3909" s="7">
        <v>8</v>
      </c>
      <c r="D3909" s="7" t="s">
        <v>19</v>
      </c>
      <c r="E3909" s="104">
        <v>746225</v>
      </c>
      <c r="F3909" s="104">
        <f t="shared" si="41"/>
        <v>5969800</v>
      </c>
      <c r="G3909" s="25"/>
      <c r="H3909" s="11"/>
      <c r="I3909" s="21"/>
      <c r="J3909" s="21"/>
      <c r="K3909" s="21"/>
      <c r="L3909" s="21"/>
      <c r="M3909" s="21"/>
      <c r="N3909" s="21"/>
    </row>
    <row r="3910" spans="1:14" ht="15.75" customHeight="1" x14ac:dyDescent="0.25">
      <c r="A3910" s="7">
        <v>15</v>
      </c>
      <c r="B3910" s="41" t="s">
        <v>1178</v>
      </c>
      <c r="C3910" s="7">
        <v>8</v>
      </c>
      <c r="D3910" s="7" t="s">
        <v>19</v>
      </c>
      <c r="E3910" s="104">
        <v>28025</v>
      </c>
      <c r="F3910" s="104">
        <f t="shared" si="41"/>
        <v>224200</v>
      </c>
      <c r="G3910" s="25"/>
      <c r="H3910" s="11"/>
      <c r="I3910" s="21"/>
      <c r="J3910" s="21"/>
      <c r="K3910" s="21"/>
      <c r="L3910" s="21"/>
      <c r="M3910" s="21"/>
      <c r="N3910" s="21"/>
    </row>
    <row r="3911" spans="1:14" ht="15.75" customHeight="1" x14ac:dyDescent="0.25">
      <c r="A3911" s="7">
        <v>16</v>
      </c>
      <c r="B3911" s="41" t="s">
        <v>1182</v>
      </c>
      <c r="C3911" s="7">
        <v>4</v>
      </c>
      <c r="D3911" s="7" t="s">
        <v>251</v>
      </c>
      <c r="E3911" s="104">
        <v>1179235</v>
      </c>
      <c r="F3911" s="104">
        <f t="shared" si="41"/>
        <v>4716940</v>
      </c>
      <c r="G3911" s="25"/>
      <c r="H3911" s="11"/>
      <c r="I3911" s="21"/>
      <c r="J3911" s="21"/>
      <c r="K3911" s="21"/>
      <c r="L3911" s="21"/>
      <c r="M3911" s="21"/>
      <c r="N3911" s="21"/>
    </row>
    <row r="3912" spans="1:14" ht="15.75" customHeight="1" x14ac:dyDescent="0.25">
      <c r="A3912" s="7"/>
      <c r="B3912" s="343" t="s">
        <v>342</v>
      </c>
      <c r="C3912" s="344"/>
      <c r="D3912" s="344"/>
      <c r="E3912" s="334"/>
      <c r="F3912" s="104">
        <f>SUM(F3896:F3911)</f>
        <v>148169980</v>
      </c>
      <c r="G3912" s="25"/>
      <c r="H3912" s="11"/>
      <c r="I3912" s="21"/>
      <c r="J3912" s="21"/>
      <c r="K3912" s="21"/>
      <c r="L3912" s="21"/>
      <c r="M3912" s="21"/>
      <c r="N3912" s="21"/>
    </row>
    <row r="3913" spans="1:14" ht="15.75" customHeight="1" x14ac:dyDescent="0.25">
      <c r="A3913" s="7"/>
      <c r="B3913" s="345" t="s">
        <v>1269</v>
      </c>
      <c r="C3913" s="344"/>
      <c r="D3913" s="344"/>
      <c r="E3913" s="334"/>
      <c r="F3913" s="107">
        <v>88901988</v>
      </c>
      <c r="G3913" s="25"/>
      <c r="H3913" s="11"/>
      <c r="I3913" s="21"/>
      <c r="J3913" s="21"/>
      <c r="K3913" s="21"/>
      <c r="L3913" s="21"/>
      <c r="M3913" s="21"/>
      <c r="N3913" s="21"/>
    </row>
    <row r="3914" spans="1:14" ht="15.75" customHeight="1" x14ac:dyDescent="0.25">
      <c r="A3914" s="7"/>
      <c r="B3914" s="343" t="s">
        <v>343</v>
      </c>
      <c r="C3914" s="344"/>
      <c r="D3914" s="344"/>
      <c r="E3914" s="334"/>
      <c r="F3914" s="104">
        <v>9779218.6799999997</v>
      </c>
      <c r="G3914" s="25"/>
      <c r="H3914" s="11"/>
      <c r="I3914" s="21"/>
      <c r="J3914" s="21"/>
      <c r="K3914" s="21"/>
      <c r="L3914" s="21"/>
      <c r="M3914" s="21"/>
      <c r="N3914" s="21"/>
    </row>
    <row r="3915" spans="1:14" ht="15.75" customHeight="1" x14ac:dyDescent="0.25">
      <c r="A3915" s="7"/>
      <c r="B3915" s="345" t="s">
        <v>344</v>
      </c>
      <c r="C3915" s="344"/>
      <c r="D3915" s="344"/>
      <c r="E3915" s="334"/>
      <c r="F3915" s="107">
        <f>SUM(F3913:F3914)</f>
        <v>98681206.680000007</v>
      </c>
      <c r="G3915" s="25"/>
      <c r="H3915" s="11"/>
      <c r="I3915" s="21"/>
      <c r="J3915" s="21"/>
      <c r="K3915" s="21"/>
      <c r="L3915" s="21"/>
      <c r="M3915" s="21"/>
      <c r="N3915" s="21"/>
    </row>
    <row r="3916" spans="1:14" ht="15.75" customHeight="1" x14ac:dyDescent="0.25">
      <c r="A3916" s="21"/>
      <c r="B3916" s="21"/>
      <c r="C3916" s="11"/>
      <c r="D3916" s="11"/>
      <c r="E3916" s="21"/>
      <c r="F3916" s="21"/>
      <c r="G3916" s="25"/>
      <c r="H3916" s="11"/>
      <c r="I3916" s="21"/>
      <c r="J3916" s="21"/>
      <c r="K3916" s="21"/>
      <c r="L3916" s="21"/>
      <c r="M3916" s="21"/>
      <c r="N3916" s="21"/>
    </row>
    <row r="3917" spans="1:14" ht="15.75" customHeight="1" x14ac:dyDescent="0.25">
      <c r="A3917" s="31" t="s">
        <v>14</v>
      </c>
      <c r="B3917" s="31" t="s">
        <v>234</v>
      </c>
      <c r="C3917" s="31" t="s">
        <v>16</v>
      </c>
      <c r="D3917" s="31" t="s">
        <v>17</v>
      </c>
      <c r="E3917" s="31" t="s">
        <v>235</v>
      </c>
      <c r="F3917" s="31" t="s">
        <v>236</v>
      </c>
      <c r="G3917" s="25"/>
      <c r="H3917" s="11"/>
      <c r="I3917" s="21"/>
      <c r="J3917" s="21"/>
      <c r="K3917" s="21"/>
      <c r="L3917" s="21"/>
      <c r="M3917" s="21"/>
      <c r="N3917" s="21"/>
    </row>
    <row r="3918" spans="1:14" ht="15.75" customHeight="1" x14ac:dyDescent="0.25">
      <c r="A3918" s="10">
        <v>1</v>
      </c>
      <c r="B3918" s="38" t="s">
        <v>1183</v>
      </c>
      <c r="C3918" s="7">
        <v>4</v>
      </c>
      <c r="D3918" s="7" t="s">
        <v>19</v>
      </c>
      <c r="E3918" s="104">
        <v>1559000</v>
      </c>
      <c r="F3918" s="104">
        <f t="shared" ref="F3918:F3924" si="42">E3918*C3918</f>
        <v>6236000</v>
      </c>
      <c r="G3918" s="25"/>
      <c r="H3918" s="11"/>
      <c r="I3918" s="21"/>
      <c r="J3918" s="21"/>
      <c r="K3918" s="21"/>
      <c r="L3918" s="21"/>
      <c r="M3918" s="21"/>
      <c r="N3918" s="21"/>
    </row>
    <row r="3919" spans="1:14" ht="15.75" customHeight="1" x14ac:dyDescent="0.25">
      <c r="A3919" s="7">
        <v>2</v>
      </c>
      <c r="B3919" s="124" t="s">
        <v>1184</v>
      </c>
      <c r="C3919" s="7">
        <v>24</v>
      </c>
      <c r="D3919" s="7" t="s">
        <v>19</v>
      </c>
      <c r="E3919" s="104">
        <v>785500</v>
      </c>
      <c r="F3919" s="104">
        <f t="shared" si="42"/>
        <v>18852000</v>
      </c>
      <c r="G3919" s="25"/>
      <c r="H3919" s="11"/>
      <c r="I3919" s="21"/>
      <c r="J3919" s="21"/>
      <c r="K3919" s="21"/>
      <c r="L3919" s="21"/>
      <c r="M3919" s="21"/>
      <c r="N3919" s="21"/>
    </row>
    <row r="3920" spans="1:14" ht="15.75" customHeight="1" x14ac:dyDescent="0.25">
      <c r="A3920" s="7">
        <v>3</v>
      </c>
      <c r="B3920" s="131" t="s">
        <v>1185</v>
      </c>
      <c r="C3920" s="7">
        <v>4</v>
      </c>
      <c r="D3920" s="7" t="s">
        <v>19</v>
      </c>
      <c r="E3920" s="104">
        <v>1665000</v>
      </c>
      <c r="F3920" s="104">
        <f t="shared" si="42"/>
        <v>6660000</v>
      </c>
      <c r="G3920" s="25"/>
      <c r="H3920" s="11"/>
      <c r="I3920" s="21"/>
      <c r="J3920" s="21"/>
      <c r="K3920" s="21"/>
      <c r="L3920" s="21"/>
      <c r="M3920" s="21"/>
      <c r="N3920" s="21"/>
    </row>
    <row r="3921" spans="1:14" ht="15.75" customHeight="1" x14ac:dyDescent="0.25">
      <c r="A3921" s="7">
        <v>4</v>
      </c>
      <c r="B3921" s="35" t="s">
        <v>1186</v>
      </c>
      <c r="C3921" s="7">
        <v>4</v>
      </c>
      <c r="D3921" s="7" t="s">
        <v>19</v>
      </c>
      <c r="E3921" s="104">
        <v>8890000</v>
      </c>
      <c r="F3921" s="104">
        <f t="shared" si="42"/>
        <v>35560000</v>
      </c>
      <c r="G3921" s="25"/>
      <c r="H3921" s="11"/>
      <c r="I3921" s="21"/>
      <c r="J3921" s="21"/>
      <c r="K3921" s="21"/>
      <c r="L3921" s="21"/>
      <c r="M3921" s="21"/>
      <c r="N3921" s="21"/>
    </row>
    <row r="3922" spans="1:14" ht="15.75" customHeight="1" x14ac:dyDescent="0.25">
      <c r="A3922" s="7">
        <v>5</v>
      </c>
      <c r="B3922" s="41" t="s">
        <v>1187</v>
      </c>
      <c r="C3922" s="7">
        <v>4</v>
      </c>
      <c r="D3922" s="7" t="s">
        <v>19</v>
      </c>
      <c r="E3922" s="104">
        <v>1241300</v>
      </c>
      <c r="F3922" s="104">
        <f t="shared" si="42"/>
        <v>4965200</v>
      </c>
      <c r="G3922" s="25"/>
      <c r="H3922" s="11"/>
      <c r="I3922" s="21"/>
      <c r="J3922" s="21"/>
      <c r="K3922" s="21"/>
      <c r="L3922" s="21"/>
      <c r="M3922" s="21"/>
      <c r="N3922" s="21"/>
    </row>
    <row r="3923" spans="1:14" ht="15.75" customHeight="1" x14ac:dyDescent="0.25">
      <c r="A3923" s="7">
        <v>6</v>
      </c>
      <c r="B3923" s="35" t="s">
        <v>1188</v>
      </c>
      <c r="C3923" s="7">
        <v>4</v>
      </c>
      <c r="D3923" s="7" t="s">
        <v>353</v>
      </c>
      <c r="E3923" s="104">
        <v>58000</v>
      </c>
      <c r="F3923" s="104">
        <f t="shared" si="42"/>
        <v>232000</v>
      </c>
      <c r="G3923" s="25"/>
      <c r="H3923" s="11"/>
      <c r="I3923" s="21"/>
      <c r="J3923" s="21"/>
      <c r="K3923" s="21"/>
      <c r="L3923" s="21"/>
      <c r="M3923" s="21"/>
      <c r="N3923" s="21"/>
    </row>
    <row r="3924" spans="1:14" ht="15.75" customHeight="1" x14ac:dyDescent="0.25">
      <c r="A3924" s="7">
        <v>7</v>
      </c>
      <c r="B3924" s="35" t="s">
        <v>1189</v>
      </c>
      <c r="C3924" s="7">
        <v>24</v>
      </c>
      <c r="D3924" s="7" t="s">
        <v>19</v>
      </c>
      <c r="E3924" s="104">
        <v>36500</v>
      </c>
      <c r="F3924" s="104">
        <f t="shared" si="42"/>
        <v>876000</v>
      </c>
      <c r="G3924" s="25"/>
      <c r="H3924" s="11"/>
      <c r="I3924" s="21"/>
      <c r="J3924" s="21"/>
      <c r="K3924" s="21"/>
      <c r="L3924" s="21"/>
      <c r="M3924" s="21"/>
      <c r="N3924" s="21"/>
    </row>
    <row r="3925" spans="1:14" ht="15.75" customHeight="1" x14ac:dyDescent="0.25">
      <c r="A3925" s="7"/>
      <c r="B3925" s="343" t="s">
        <v>342</v>
      </c>
      <c r="C3925" s="344"/>
      <c r="D3925" s="344"/>
      <c r="E3925" s="334"/>
      <c r="F3925" s="104">
        <f>SUM(F3918:F3924)</f>
        <v>73381200</v>
      </c>
      <c r="G3925" s="25"/>
      <c r="H3925" s="11"/>
      <c r="I3925" s="21"/>
      <c r="J3925" s="21"/>
      <c r="K3925" s="21"/>
      <c r="L3925" s="21"/>
      <c r="M3925" s="21"/>
      <c r="N3925" s="21"/>
    </row>
    <row r="3926" spans="1:14" ht="15.75" customHeight="1" x14ac:dyDescent="0.25">
      <c r="A3926" s="7"/>
      <c r="B3926" s="343" t="s">
        <v>1068</v>
      </c>
      <c r="C3926" s="344"/>
      <c r="D3926" s="344"/>
      <c r="E3926" s="334"/>
      <c r="F3926" s="104">
        <v>3669060</v>
      </c>
      <c r="G3926" s="25"/>
      <c r="H3926" s="11"/>
      <c r="I3926" s="21"/>
      <c r="J3926" s="21"/>
      <c r="K3926" s="21"/>
      <c r="L3926" s="21"/>
      <c r="M3926" s="21"/>
      <c r="N3926" s="21"/>
    </row>
    <row r="3927" spans="1:14" ht="15.75" customHeight="1" x14ac:dyDescent="0.25">
      <c r="A3927" s="7"/>
      <c r="B3927" s="345" t="s">
        <v>342</v>
      </c>
      <c r="C3927" s="344"/>
      <c r="D3927" s="344"/>
      <c r="E3927" s="334"/>
      <c r="F3927" s="107">
        <f>F3925-F3926</f>
        <v>69712140</v>
      </c>
      <c r="G3927" s="25"/>
      <c r="H3927" s="11"/>
      <c r="I3927" s="21"/>
      <c r="J3927" s="21"/>
      <c r="K3927" s="21"/>
      <c r="L3927" s="21"/>
      <c r="M3927" s="21"/>
      <c r="N3927" s="21"/>
    </row>
    <row r="3928" spans="1:14" ht="15.75" customHeight="1" x14ac:dyDescent="0.25">
      <c r="A3928" s="7"/>
      <c r="B3928" s="345" t="s">
        <v>1269</v>
      </c>
      <c r="C3928" s="344"/>
      <c r="D3928" s="344"/>
      <c r="E3928" s="334"/>
      <c r="F3928" s="107">
        <v>41827284</v>
      </c>
      <c r="G3928" s="25"/>
      <c r="H3928" s="11"/>
      <c r="I3928" s="21"/>
      <c r="J3928" s="21"/>
      <c r="K3928" s="21"/>
      <c r="L3928" s="21"/>
      <c r="M3928" s="21"/>
      <c r="N3928" s="21"/>
    </row>
    <row r="3929" spans="1:14" ht="15.75" customHeight="1" x14ac:dyDescent="0.25">
      <c r="A3929" s="7"/>
      <c r="B3929" s="343" t="s">
        <v>343</v>
      </c>
      <c r="C3929" s="344"/>
      <c r="D3929" s="344"/>
      <c r="E3929" s="334"/>
      <c r="F3929" s="104">
        <v>4601001.24</v>
      </c>
      <c r="G3929" s="25"/>
      <c r="H3929" s="11"/>
      <c r="I3929" s="21"/>
      <c r="J3929" s="21"/>
      <c r="K3929" s="21"/>
      <c r="L3929" s="21"/>
      <c r="M3929" s="21"/>
      <c r="N3929" s="21"/>
    </row>
    <row r="3930" spans="1:14" ht="15.75" customHeight="1" x14ac:dyDescent="0.25">
      <c r="A3930" s="7"/>
      <c r="B3930" s="345" t="s">
        <v>344</v>
      </c>
      <c r="C3930" s="344"/>
      <c r="D3930" s="344"/>
      <c r="E3930" s="334"/>
      <c r="F3930" s="107">
        <f>SUM(F3928:F3929)</f>
        <v>46428285.240000002</v>
      </c>
      <c r="G3930" s="25"/>
      <c r="H3930" s="11"/>
      <c r="I3930" s="21"/>
      <c r="J3930" s="21"/>
      <c r="K3930" s="21"/>
      <c r="L3930" s="21"/>
      <c r="M3930" s="21"/>
      <c r="N3930" s="21"/>
    </row>
    <row r="3931" spans="1:14" ht="15.75" customHeight="1" x14ac:dyDescent="0.25">
      <c r="A3931" s="21"/>
      <c r="B3931" s="21"/>
      <c r="C3931" s="11"/>
      <c r="D3931" s="11"/>
      <c r="E3931" s="21"/>
      <c r="F3931" s="21"/>
      <c r="G3931" s="25"/>
      <c r="H3931" s="11"/>
      <c r="I3931" s="21"/>
      <c r="J3931" s="21"/>
      <c r="K3931" s="21"/>
      <c r="L3931" s="21"/>
      <c r="M3931" s="21"/>
      <c r="N3931" s="21"/>
    </row>
    <row r="3932" spans="1:14" ht="15.75" customHeight="1" x14ac:dyDescent="0.25">
      <c r="A3932" s="31" t="s">
        <v>351</v>
      </c>
      <c r="B3932" s="31" t="s">
        <v>234</v>
      </c>
      <c r="C3932" s="31" t="s">
        <v>16</v>
      </c>
      <c r="D3932" s="31" t="s">
        <v>17</v>
      </c>
      <c r="E3932" s="31" t="s">
        <v>235</v>
      </c>
      <c r="F3932" s="31" t="s">
        <v>236</v>
      </c>
      <c r="G3932" s="25"/>
      <c r="H3932" s="11"/>
      <c r="I3932" s="21"/>
      <c r="J3932" s="21"/>
      <c r="K3932" s="21"/>
      <c r="L3932" s="21"/>
      <c r="M3932" s="21"/>
      <c r="N3932" s="21"/>
    </row>
    <row r="3933" spans="1:14" ht="15.75" customHeight="1" x14ac:dyDescent="0.25">
      <c r="A3933" s="7">
        <v>1</v>
      </c>
      <c r="B3933" s="41" t="s">
        <v>1512</v>
      </c>
      <c r="C3933" s="7">
        <v>100</v>
      </c>
      <c r="D3933" s="7" t="s">
        <v>353</v>
      </c>
      <c r="E3933" s="104">
        <v>4200</v>
      </c>
      <c r="F3933" s="104">
        <f>E3933*C3933</f>
        <v>420000</v>
      </c>
      <c r="G3933" s="25"/>
      <c r="H3933" s="11"/>
      <c r="I3933" s="21"/>
      <c r="J3933" s="21"/>
      <c r="K3933" s="21"/>
      <c r="L3933" s="21"/>
      <c r="M3933" s="21"/>
      <c r="N3933" s="21"/>
    </row>
    <row r="3934" spans="1:14" ht="15.75" customHeight="1" x14ac:dyDescent="0.25">
      <c r="A3934" s="7">
        <v>2</v>
      </c>
      <c r="B3934" s="41" t="s">
        <v>1513</v>
      </c>
      <c r="C3934" s="7">
        <v>100</v>
      </c>
      <c r="D3934" s="7" t="s">
        <v>353</v>
      </c>
      <c r="E3934" s="104">
        <v>5000</v>
      </c>
      <c r="F3934" s="104">
        <f>E3934*C3934</f>
        <v>500000</v>
      </c>
      <c r="G3934" s="25"/>
      <c r="H3934" s="11"/>
      <c r="I3934" s="21"/>
      <c r="J3934" s="21"/>
      <c r="K3934" s="21"/>
      <c r="L3934" s="21"/>
      <c r="M3934" s="21"/>
      <c r="N3934" s="21"/>
    </row>
    <row r="3935" spans="1:14" ht="15.75" customHeight="1" x14ac:dyDescent="0.25">
      <c r="A3935" s="7"/>
      <c r="B3935" s="343" t="s">
        <v>342</v>
      </c>
      <c r="C3935" s="344"/>
      <c r="D3935" s="344"/>
      <c r="E3935" s="334"/>
      <c r="F3935" s="104">
        <f>SUM(F3933:F3934)</f>
        <v>920000</v>
      </c>
      <c r="G3935" s="25"/>
      <c r="H3935" s="11"/>
      <c r="I3935" s="21"/>
      <c r="J3935" s="21"/>
      <c r="K3935" s="21"/>
      <c r="L3935" s="21"/>
      <c r="M3935" s="21"/>
      <c r="N3935" s="21"/>
    </row>
    <row r="3936" spans="1:14" ht="15.75" customHeight="1" x14ac:dyDescent="0.25">
      <c r="A3936" s="7"/>
      <c r="B3936" s="343" t="s">
        <v>343</v>
      </c>
      <c r="C3936" s="344"/>
      <c r="D3936" s="344"/>
      <c r="E3936" s="334"/>
      <c r="F3936" s="104">
        <v>101200</v>
      </c>
      <c r="G3936" s="25"/>
      <c r="H3936" s="11"/>
      <c r="I3936" s="21"/>
      <c r="J3936" s="21"/>
      <c r="K3936" s="21"/>
      <c r="L3936" s="21"/>
      <c r="M3936" s="21"/>
      <c r="N3936" s="21"/>
    </row>
    <row r="3937" spans="1:14" ht="15.75" customHeight="1" x14ac:dyDescent="0.25">
      <c r="A3937" s="7"/>
      <c r="B3937" s="345" t="s">
        <v>344</v>
      </c>
      <c r="C3937" s="344"/>
      <c r="D3937" s="344"/>
      <c r="E3937" s="334"/>
      <c r="F3937" s="107">
        <f>SUM(F3935:F3936)</f>
        <v>1021200</v>
      </c>
      <c r="G3937" s="25"/>
      <c r="H3937" s="11"/>
      <c r="I3937" s="21"/>
      <c r="J3937" s="21"/>
      <c r="K3937" s="21"/>
      <c r="L3937" s="21"/>
      <c r="M3937" s="21"/>
      <c r="N3937" s="21"/>
    </row>
    <row r="3938" spans="1:14" ht="15.75" customHeight="1" x14ac:dyDescent="0.25">
      <c r="A3938" s="21"/>
      <c r="B3938" s="21"/>
      <c r="C3938" s="11"/>
      <c r="D3938" s="11"/>
      <c r="E3938" s="21"/>
      <c r="F3938" s="21"/>
      <c r="G3938" s="25"/>
      <c r="H3938" s="11"/>
      <c r="I3938" s="21"/>
      <c r="J3938" s="21"/>
      <c r="K3938" s="21"/>
      <c r="L3938" s="21"/>
      <c r="M3938" s="21"/>
      <c r="N3938" s="21"/>
    </row>
    <row r="3939" spans="1:14" ht="15.75" customHeight="1" x14ac:dyDescent="0.25">
      <c r="A3939" s="31" t="s">
        <v>14</v>
      </c>
      <c r="B3939" s="31" t="s">
        <v>234</v>
      </c>
      <c r="C3939" s="31" t="s">
        <v>16</v>
      </c>
      <c r="D3939" s="31" t="s">
        <v>17</v>
      </c>
      <c r="E3939" s="31" t="s">
        <v>235</v>
      </c>
      <c r="F3939" s="31" t="s">
        <v>236</v>
      </c>
      <c r="G3939" s="25"/>
      <c r="H3939" s="11"/>
      <c r="I3939" s="21"/>
      <c r="J3939" s="21"/>
      <c r="K3939" s="21"/>
      <c r="L3939" s="21"/>
      <c r="M3939" s="21"/>
      <c r="N3939" s="21"/>
    </row>
    <row r="3940" spans="1:14" ht="15.75" customHeight="1" x14ac:dyDescent="0.25">
      <c r="A3940" s="7">
        <v>1</v>
      </c>
      <c r="B3940" s="120" t="s">
        <v>1514</v>
      </c>
      <c r="C3940" s="129">
        <v>10</v>
      </c>
      <c r="D3940" s="7" t="s">
        <v>243</v>
      </c>
      <c r="E3940" s="130">
        <v>17500</v>
      </c>
      <c r="F3940" s="130">
        <f>E3940*C3940</f>
        <v>175000</v>
      </c>
      <c r="G3940" s="25"/>
      <c r="H3940" s="11"/>
      <c r="I3940" s="21"/>
      <c r="J3940" s="21"/>
      <c r="K3940" s="21"/>
      <c r="L3940" s="21"/>
      <c r="M3940" s="21"/>
      <c r="N3940" s="21"/>
    </row>
    <row r="3941" spans="1:14" ht="15.75" customHeight="1" x14ac:dyDescent="0.25">
      <c r="A3941" s="7"/>
      <c r="B3941" s="343" t="s">
        <v>342</v>
      </c>
      <c r="C3941" s="344"/>
      <c r="D3941" s="344"/>
      <c r="E3941" s="334"/>
      <c r="F3941" s="104">
        <f>SUM(F3940)</f>
        <v>175000</v>
      </c>
      <c r="G3941" s="25"/>
      <c r="H3941" s="11"/>
      <c r="I3941" s="21"/>
      <c r="J3941" s="21"/>
      <c r="K3941" s="21"/>
      <c r="L3941" s="21"/>
      <c r="M3941" s="21"/>
      <c r="N3941" s="21"/>
    </row>
    <row r="3942" spans="1:14" ht="15.75" customHeight="1" x14ac:dyDescent="0.25">
      <c r="A3942" s="7"/>
      <c r="B3942" s="343" t="s">
        <v>343</v>
      </c>
      <c r="C3942" s="344"/>
      <c r="D3942" s="344"/>
      <c r="E3942" s="334"/>
      <c r="F3942" s="104">
        <v>19250</v>
      </c>
      <c r="G3942" s="25"/>
      <c r="H3942" s="11"/>
      <c r="I3942" s="21"/>
      <c r="J3942" s="21"/>
      <c r="K3942" s="21"/>
      <c r="L3942" s="21"/>
      <c r="M3942" s="21"/>
      <c r="N3942" s="21"/>
    </row>
    <row r="3943" spans="1:14" ht="15.75" customHeight="1" x14ac:dyDescent="0.25">
      <c r="A3943" s="7"/>
      <c r="B3943" s="345" t="s">
        <v>344</v>
      </c>
      <c r="C3943" s="344"/>
      <c r="D3943" s="344"/>
      <c r="E3943" s="334"/>
      <c r="F3943" s="107">
        <f>SUM(F3941:F3942)</f>
        <v>194250</v>
      </c>
      <c r="G3943" s="25"/>
      <c r="H3943" s="11"/>
      <c r="I3943" s="21"/>
      <c r="J3943" s="21"/>
      <c r="K3943" s="21"/>
      <c r="L3943" s="21"/>
      <c r="M3943" s="21"/>
      <c r="N3943" s="21"/>
    </row>
    <row r="3944" spans="1:14" ht="15.75" customHeight="1" x14ac:dyDescent="0.25">
      <c r="A3944" s="21"/>
      <c r="B3944" s="21"/>
      <c r="C3944" s="11"/>
      <c r="D3944" s="11"/>
      <c r="E3944" s="21"/>
      <c r="F3944" s="21"/>
      <c r="G3944" s="25"/>
      <c r="H3944" s="11"/>
      <c r="I3944" s="21"/>
      <c r="J3944" s="21"/>
      <c r="K3944" s="21"/>
      <c r="L3944" s="21"/>
      <c r="M3944" s="21"/>
      <c r="N3944" s="21"/>
    </row>
    <row r="3945" spans="1:14" ht="15.75" customHeight="1" x14ac:dyDescent="0.25">
      <c r="A3945" s="31" t="s">
        <v>14</v>
      </c>
      <c r="B3945" s="31" t="s">
        <v>234</v>
      </c>
      <c r="C3945" s="31" t="s">
        <v>16</v>
      </c>
      <c r="D3945" s="31" t="s">
        <v>17</v>
      </c>
      <c r="E3945" s="31" t="s">
        <v>235</v>
      </c>
      <c r="F3945" s="31" t="s">
        <v>236</v>
      </c>
      <c r="G3945" s="25"/>
      <c r="H3945" s="11"/>
      <c r="I3945" s="21"/>
      <c r="J3945" s="21"/>
      <c r="K3945" s="21"/>
      <c r="L3945" s="21"/>
      <c r="M3945" s="21"/>
      <c r="N3945" s="21"/>
    </row>
    <row r="3946" spans="1:14" ht="15.75" customHeight="1" x14ac:dyDescent="0.25">
      <c r="A3946" s="7">
        <v>1</v>
      </c>
      <c r="B3946" s="41" t="s">
        <v>1515</v>
      </c>
      <c r="C3946" s="151">
        <v>200</v>
      </c>
      <c r="D3946" s="7" t="s">
        <v>19</v>
      </c>
      <c r="E3946" s="163">
        <v>47287.5</v>
      </c>
      <c r="F3946" s="130">
        <f>E3946*C3946</f>
        <v>9457500</v>
      </c>
      <c r="G3946" s="25"/>
      <c r="H3946" s="11"/>
      <c r="I3946" s="21"/>
      <c r="J3946" s="21"/>
      <c r="K3946" s="21"/>
      <c r="L3946" s="21"/>
      <c r="M3946" s="21"/>
      <c r="N3946" s="21"/>
    </row>
    <row r="3947" spans="1:14" ht="15.75" customHeight="1" x14ac:dyDescent="0.25">
      <c r="A3947" s="7">
        <v>2</v>
      </c>
      <c r="B3947" s="41" t="s">
        <v>1516</v>
      </c>
      <c r="C3947" s="151">
        <v>68</v>
      </c>
      <c r="D3947" s="7" t="s">
        <v>19</v>
      </c>
      <c r="E3947" s="130">
        <v>14550</v>
      </c>
      <c r="F3947" s="130">
        <f>E3947*C3947</f>
        <v>989400</v>
      </c>
      <c r="G3947" s="25"/>
      <c r="H3947" s="11"/>
      <c r="I3947" s="21"/>
      <c r="J3947" s="21"/>
      <c r="K3947" s="21"/>
      <c r="L3947" s="21"/>
      <c r="M3947" s="21"/>
      <c r="N3947" s="21"/>
    </row>
    <row r="3948" spans="1:14" ht="15.75" customHeight="1" x14ac:dyDescent="0.25">
      <c r="A3948" s="7">
        <v>3</v>
      </c>
      <c r="B3948" s="41" t="s">
        <v>1517</v>
      </c>
      <c r="C3948" s="151">
        <v>10</v>
      </c>
      <c r="D3948" s="7" t="s">
        <v>19</v>
      </c>
      <c r="E3948" s="130">
        <v>79055</v>
      </c>
      <c r="F3948" s="130">
        <f>E3948*C3948</f>
        <v>790550</v>
      </c>
      <c r="G3948" s="25"/>
      <c r="H3948" s="11"/>
      <c r="I3948" s="21"/>
      <c r="J3948" s="21"/>
      <c r="K3948" s="21"/>
      <c r="L3948" s="21"/>
      <c r="M3948" s="21"/>
      <c r="N3948" s="21"/>
    </row>
    <row r="3949" spans="1:14" ht="15.75" customHeight="1" x14ac:dyDescent="0.25">
      <c r="A3949" s="7">
        <v>4</v>
      </c>
      <c r="B3949" s="41" t="s">
        <v>1518</v>
      </c>
      <c r="C3949" s="151">
        <v>100</v>
      </c>
      <c r="D3949" s="7" t="s">
        <v>370</v>
      </c>
      <c r="E3949" s="130">
        <v>5820</v>
      </c>
      <c r="F3949" s="130">
        <f>E3949*C3949</f>
        <v>582000</v>
      </c>
      <c r="G3949" s="25"/>
      <c r="H3949" s="11"/>
      <c r="I3949" s="21"/>
      <c r="J3949" s="21"/>
      <c r="K3949" s="21"/>
      <c r="L3949" s="21"/>
      <c r="M3949" s="21"/>
      <c r="N3949" s="21"/>
    </row>
    <row r="3950" spans="1:14" ht="15.75" customHeight="1" x14ac:dyDescent="0.25">
      <c r="A3950" s="7"/>
      <c r="B3950" s="346" t="s">
        <v>342</v>
      </c>
      <c r="C3950" s="347"/>
      <c r="D3950" s="347"/>
      <c r="E3950" s="348"/>
      <c r="F3950" s="104">
        <f>SUM(F3946:F3949)</f>
        <v>11819450</v>
      </c>
      <c r="G3950" s="25"/>
      <c r="H3950" s="11"/>
      <c r="I3950" s="21"/>
      <c r="J3950" s="21"/>
      <c r="K3950" s="21"/>
      <c r="L3950" s="21"/>
      <c r="M3950" s="21"/>
      <c r="N3950" s="21"/>
    </row>
    <row r="3951" spans="1:14" ht="15.75" customHeight="1" x14ac:dyDescent="0.25">
      <c r="A3951" s="7"/>
      <c r="B3951" s="343" t="s">
        <v>343</v>
      </c>
      <c r="C3951" s="344"/>
      <c r="D3951" s="344"/>
      <c r="E3951" s="334"/>
      <c r="F3951" s="104">
        <v>1300139.5</v>
      </c>
      <c r="G3951" s="25"/>
      <c r="H3951" s="11"/>
      <c r="I3951" s="21"/>
      <c r="J3951" s="21"/>
      <c r="K3951" s="21"/>
      <c r="L3951" s="21"/>
      <c r="M3951" s="21"/>
      <c r="N3951" s="21"/>
    </row>
    <row r="3952" spans="1:14" ht="15.75" customHeight="1" x14ac:dyDescent="0.25">
      <c r="A3952" s="7"/>
      <c r="B3952" s="345" t="s">
        <v>344</v>
      </c>
      <c r="C3952" s="344"/>
      <c r="D3952" s="344"/>
      <c r="E3952" s="334"/>
      <c r="F3952" s="107">
        <f>SUM(F3950:F3951)</f>
        <v>13119589.5</v>
      </c>
      <c r="G3952" s="25"/>
      <c r="H3952" s="11"/>
      <c r="I3952" s="21"/>
      <c r="J3952" s="21"/>
      <c r="K3952" s="21"/>
      <c r="L3952" s="21"/>
      <c r="M3952" s="21"/>
      <c r="N3952" s="21"/>
    </row>
    <row r="3953" spans="1:14" ht="15.75" customHeight="1" x14ac:dyDescent="0.25">
      <c r="A3953" s="21"/>
      <c r="B3953" s="21"/>
      <c r="C3953" s="11"/>
      <c r="D3953" s="11"/>
      <c r="E3953" s="21"/>
      <c r="F3953" s="21"/>
      <c r="G3953" s="25"/>
      <c r="H3953" s="11"/>
      <c r="I3953" s="21"/>
      <c r="J3953" s="21"/>
      <c r="K3953" s="21"/>
      <c r="L3953" s="21"/>
      <c r="M3953" s="21"/>
      <c r="N3953" s="21"/>
    </row>
    <row r="3954" spans="1:14" ht="15.75" customHeight="1" x14ac:dyDescent="0.25">
      <c r="A3954" s="31" t="s">
        <v>14</v>
      </c>
      <c r="B3954" s="31" t="s">
        <v>234</v>
      </c>
      <c r="C3954" s="31" t="s">
        <v>16</v>
      </c>
      <c r="D3954" s="31" t="s">
        <v>17</v>
      </c>
      <c r="E3954" s="31" t="s">
        <v>235</v>
      </c>
      <c r="F3954" s="31" t="s">
        <v>236</v>
      </c>
      <c r="G3954" s="25"/>
      <c r="H3954" s="11"/>
      <c r="I3954" s="21"/>
      <c r="J3954" s="21"/>
      <c r="K3954" s="21"/>
      <c r="L3954" s="21"/>
      <c r="M3954" s="21"/>
      <c r="N3954" s="21"/>
    </row>
    <row r="3955" spans="1:14" ht="15.75" customHeight="1" x14ac:dyDescent="0.25">
      <c r="A3955" s="7">
        <v>1</v>
      </c>
      <c r="B3955" s="120" t="s">
        <v>1519</v>
      </c>
      <c r="C3955" s="129">
        <v>2</v>
      </c>
      <c r="D3955" s="7" t="s">
        <v>19</v>
      </c>
      <c r="E3955" s="130">
        <v>1446375</v>
      </c>
      <c r="F3955" s="130">
        <f>E3955*C3955</f>
        <v>2892750</v>
      </c>
      <c r="G3955" s="25"/>
      <c r="H3955" s="11"/>
      <c r="I3955" s="21"/>
      <c r="J3955" s="21"/>
      <c r="K3955" s="21"/>
      <c r="L3955" s="21"/>
      <c r="M3955" s="21"/>
      <c r="N3955" s="21"/>
    </row>
    <row r="3956" spans="1:14" ht="15.75" customHeight="1" x14ac:dyDescent="0.25">
      <c r="A3956" s="7"/>
      <c r="B3956" s="343" t="s">
        <v>342</v>
      </c>
      <c r="C3956" s="344"/>
      <c r="D3956" s="344"/>
      <c r="E3956" s="334"/>
      <c r="F3956" s="104">
        <f>SUM(F3955)</f>
        <v>2892750</v>
      </c>
      <c r="G3956" s="25"/>
      <c r="H3956" s="11"/>
      <c r="I3956" s="21"/>
      <c r="J3956" s="21"/>
      <c r="K3956" s="21"/>
      <c r="L3956" s="21"/>
      <c r="M3956" s="21"/>
      <c r="N3956" s="21"/>
    </row>
    <row r="3957" spans="1:14" ht="15.75" customHeight="1" x14ac:dyDescent="0.25">
      <c r="A3957" s="7"/>
      <c r="B3957" s="343" t="s">
        <v>343</v>
      </c>
      <c r="C3957" s="344"/>
      <c r="D3957" s="344"/>
      <c r="E3957" s="334"/>
      <c r="F3957" s="108">
        <v>318202.5</v>
      </c>
      <c r="G3957" s="25"/>
      <c r="H3957" s="11"/>
      <c r="I3957" s="21"/>
      <c r="J3957" s="21"/>
      <c r="K3957" s="21"/>
      <c r="L3957" s="21"/>
      <c r="M3957" s="21"/>
      <c r="N3957" s="21"/>
    </row>
    <row r="3958" spans="1:14" ht="15.75" customHeight="1" x14ac:dyDescent="0.25">
      <c r="A3958" s="7"/>
      <c r="B3958" s="345" t="s">
        <v>344</v>
      </c>
      <c r="C3958" s="344"/>
      <c r="D3958" s="344"/>
      <c r="E3958" s="334"/>
      <c r="F3958" s="109">
        <f>SUM(F3956:F3957)</f>
        <v>3210952.5</v>
      </c>
      <c r="G3958" s="25"/>
      <c r="H3958" s="11"/>
      <c r="I3958" s="21"/>
      <c r="J3958" s="21"/>
      <c r="K3958" s="21"/>
      <c r="L3958" s="21"/>
      <c r="M3958" s="21"/>
      <c r="N3958" s="21"/>
    </row>
    <row r="3959" spans="1:14" ht="15.75" customHeight="1" x14ac:dyDescent="0.25">
      <c r="A3959" s="21"/>
      <c r="B3959" s="21"/>
      <c r="C3959" s="11"/>
      <c r="D3959" s="11"/>
      <c r="E3959" s="21"/>
      <c r="F3959" s="21"/>
      <c r="G3959" s="25"/>
      <c r="H3959" s="11"/>
      <c r="I3959" s="21"/>
      <c r="J3959" s="21"/>
      <c r="K3959" s="21"/>
      <c r="L3959" s="21"/>
      <c r="M3959" s="21"/>
      <c r="N3959" s="21"/>
    </row>
    <row r="3960" spans="1:14" ht="15.75" customHeight="1" x14ac:dyDescent="0.25">
      <c r="A3960" s="31" t="s">
        <v>14</v>
      </c>
      <c r="B3960" s="31" t="s">
        <v>234</v>
      </c>
      <c r="C3960" s="31" t="s">
        <v>16</v>
      </c>
      <c r="D3960" s="31" t="s">
        <v>17</v>
      </c>
      <c r="E3960" s="31" t="s">
        <v>235</v>
      </c>
      <c r="F3960" s="31" t="s">
        <v>236</v>
      </c>
      <c r="G3960" s="25"/>
      <c r="H3960" s="11"/>
      <c r="I3960" s="21"/>
      <c r="J3960" s="21"/>
      <c r="K3960" s="21"/>
      <c r="L3960" s="21"/>
      <c r="M3960" s="21"/>
      <c r="N3960" s="21"/>
    </row>
    <row r="3961" spans="1:14" ht="15.75" customHeight="1" x14ac:dyDescent="0.25">
      <c r="A3961" s="7">
        <v>1</v>
      </c>
      <c r="B3961" s="120" t="s">
        <v>1520</v>
      </c>
      <c r="C3961" s="129">
        <v>6</v>
      </c>
      <c r="D3961" s="7" t="s">
        <v>19</v>
      </c>
      <c r="E3961" s="130">
        <v>221160</v>
      </c>
      <c r="F3961" s="130">
        <f>E3961*C3961</f>
        <v>1326960</v>
      </c>
      <c r="G3961" s="25"/>
      <c r="H3961" s="11"/>
      <c r="I3961" s="21"/>
      <c r="J3961" s="21"/>
      <c r="K3961" s="21"/>
      <c r="L3961" s="21"/>
      <c r="M3961" s="21"/>
      <c r="N3961" s="21"/>
    </row>
    <row r="3962" spans="1:14" ht="15.75" customHeight="1" x14ac:dyDescent="0.25">
      <c r="A3962" s="7"/>
      <c r="B3962" s="343" t="s">
        <v>342</v>
      </c>
      <c r="C3962" s="344"/>
      <c r="D3962" s="344"/>
      <c r="E3962" s="334"/>
      <c r="F3962" s="104">
        <f>SUM(F3961)</f>
        <v>1326960</v>
      </c>
      <c r="G3962" s="25"/>
      <c r="H3962" s="11"/>
      <c r="I3962" s="21"/>
      <c r="J3962" s="21"/>
      <c r="K3962" s="21"/>
      <c r="L3962" s="21"/>
      <c r="M3962" s="21"/>
      <c r="N3962" s="21"/>
    </row>
    <row r="3963" spans="1:14" ht="15.75" customHeight="1" x14ac:dyDescent="0.25">
      <c r="A3963" s="7"/>
      <c r="B3963" s="343" t="s">
        <v>343</v>
      </c>
      <c r="C3963" s="344"/>
      <c r="D3963" s="344"/>
      <c r="E3963" s="334"/>
      <c r="F3963" s="108">
        <v>145965.6</v>
      </c>
      <c r="G3963" s="25"/>
      <c r="H3963" s="11"/>
      <c r="I3963" s="21"/>
      <c r="J3963" s="21"/>
      <c r="K3963" s="21"/>
      <c r="L3963" s="21"/>
      <c r="M3963" s="21"/>
      <c r="N3963" s="21"/>
    </row>
    <row r="3964" spans="1:14" ht="15.75" customHeight="1" x14ac:dyDescent="0.25">
      <c r="A3964" s="7"/>
      <c r="B3964" s="345" t="s">
        <v>344</v>
      </c>
      <c r="C3964" s="344"/>
      <c r="D3964" s="344"/>
      <c r="E3964" s="334"/>
      <c r="F3964" s="109">
        <f>SUM(F3962:F3963)</f>
        <v>1472925.6</v>
      </c>
      <c r="G3964" s="25"/>
      <c r="H3964" s="11"/>
      <c r="I3964" s="21"/>
      <c r="J3964" s="21"/>
      <c r="K3964" s="21"/>
      <c r="L3964" s="21"/>
      <c r="M3964" s="21"/>
      <c r="N3964" s="21"/>
    </row>
    <row r="3965" spans="1:14" ht="15.75" customHeight="1" x14ac:dyDescent="0.25">
      <c r="A3965" s="21"/>
      <c r="B3965" s="21"/>
      <c r="C3965" s="11"/>
      <c r="D3965" s="11"/>
      <c r="E3965" s="21"/>
      <c r="F3965" s="21"/>
      <c r="G3965" s="25"/>
      <c r="H3965" s="11"/>
      <c r="I3965" s="21"/>
      <c r="J3965" s="21"/>
      <c r="K3965" s="21"/>
      <c r="L3965" s="21"/>
      <c r="M3965" s="21"/>
      <c r="N3965" s="21"/>
    </row>
    <row r="3966" spans="1:14" ht="15.75" customHeight="1" x14ac:dyDescent="0.25">
      <c r="A3966" s="31" t="s">
        <v>14</v>
      </c>
      <c r="B3966" s="31" t="s">
        <v>234</v>
      </c>
      <c r="C3966" s="31" t="s">
        <v>16</v>
      </c>
      <c r="D3966" s="31" t="s">
        <v>17</v>
      </c>
      <c r="E3966" s="31" t="s">
        <v>235</v>
      </c>
      <c r="F3966" s="31" t="s">
        <v>236</v>
      </c>
      <c r="G3966" s="25"/>
      <c r="H3966" s="11"/>
      <c r="I3966" s="21"/>
      <c r="J3966" s="21"/>
      <c r="K3966" s="21"/>
      <c r="L3966" s="21"/>
      <c r="M3966" s="21"/>
      <c r="N3966" s="21"/>
    </row>
    <row r="3967" spans="1:14" ht="15.75" customHeight="1" x14ac:dyDescent="0.25">
      <c r="A3967" s="7">
        <v>1</v>
      </c>
      <c r="B3967" s="120" t="s">
        <v>1521</v>
      </c>
      <c r="C3967" s="129">
        <v>120</v>
      </c>
      <c r="D3967" s="7" t="s">
        <v>1522</v>
      </c>
      <c r="E3967" s="130">
        <v>24225</v>
      </c>
      <c r="F3967" s="130">
        <f>E3967*C3967</f>
        <v>2907000</v>
      </c>
      <c r="G3967" s="25"/>
      <c r="H3967" s="11"/>
      <c r="I3967" s="21"/>
      <c r="J3967" s="21"/>
      <c r="K3967" s="21"/>
      <c r="L3967" s="21"/>
      <c r="M3967" s="21"/>
      <c r="N3967" s="21"/>
    </row>
    <row r="3968" spans="1:14" ht="15.75" customHeight="1" x14ac:dyDescent="0.25">
      <c r="A3968" s="7"/>
      <c r="B3968" s="343" t="s">
        <v>342</v>
      </c>
      <c r="C3968" s="344"/>
      <c r="D3968" s="344"/>
      <c r="E3968" s="334"/>
      <c r="F3968" s="104">
        <f>SUM(F3967)</f>
        <v>2907000</v>
      </c>
      <c r="G3968" s="25"/>
      <c r="H3968" s="11"/>
      <c r="I3968" s="21"/>
      <c r="J3968" s="21"/>
      <c r="K3968" s="21"/>
      <c r="L3968" s="21"/>
      <c r="M3968" s="21"/>
      <c r="N3968" s="21"/>
    </row>
    <row r="3969" spans="1:14" ht="15.75" customHeight="1" x14ac:dyDescent="0.25">
      <c r="A3969" s="7"/>
      <c r="B3969" s="343" t="s">
        <v>343</v>
      </c>
      <c r="C3969" s="344"/>
      <c r="D3969" s="344"/>
      <c r="E3969" s="334"/>
      <c r="F3969" s="104">
        <v>319770</v>
      </c>
      <c r="G3969" s="25"/>
      <c r="H3969" s="11"/>
      <c r="I3969" s="21"/>
      <c r="J3969" s="21"/>
      <c r="K3969" s="21"/>
      <c r="L3969" s="21"/>
      <c r="M3969" s="21"/>
      <c r="N3969" s="21"/>
    </row>
    <row r="3970" spans="1:14" ht="15.75" customHeight="1" x14ac:dyDescent="0.25">
      <c r="A3970" s="7"/>
      <c r="B3970" s="345" t="s">
        <v>344</v>
      </c>
      <c r="C3970" s="344"/>
      <c r="D3970" s="344"/>
      <c r="E3970" s="334"/>
      <c r="F3970" s="107">
        <f>SUM(F3968:F3969)</f>
        <v>3226770</v>
      </c>
      <c r="G3970" s="25"/>
      <c r="H3970" s="11"/>
      <c r="I3970" s="21"/>
      <c r="J3970" s="21"/>
      <c r="K3970" s="21"/>
      <c r="L3970" s="21"/>
      <c r="M3970" s="21"/>
      <c r="N3970" s="21"/>
    </row>
    <row r="3971" spans="1:14" ht="15.75" customHeight="1" x14ac:dyDescent="0.25">
      <c r="A3971" s="21"/>
      <c r="B3971" s="21"/>
      <c r="C3971" s="11"/>
      <c r="D3971" s="11"/>
      <c r="E3971" s="21"/>
      <c r="F3971" s="21"/>
      <c r="G3971" s="25"/>
      <c r="H3971" s="11"/>
      <c r="I3971" s="21"/>
      <c r="J3971" s="21"/>
      <c r="K3971" s="21"/>
      <c r="L3971" s="21"/>
      <c r="M3971" s="21"/>
      <c r="N3971" s="21"/>
    </row>
    <row r="3972" spans="1:14" ht="15.75" customHeight="1" x14ac:dyDescent="0.25">
      <c r="A3972" s="31" t="s">
        <v>14</v>
      </c>
      <c r="B3972" s="31" t="s">
        <v>234</v>
      </c>
      <c r="C3972" s="31" t="s">
        <v>16</v>
      </c>
      <c r="D3972" s="31" t="s">
        <v>17</v>
      </c>
      <c r="E3972" s="31" t="s">
        <v>235</v>
      </c>
      <c r="F3972" s="31" t="s">
        <v>236</v>
      </c>
      <c r="G3972" s="25"/>
      <c r="H3972" s="11"/>
      <c r="I3972" s="21"/>
      <c r="J3972" s="21"/>
      <c r="K3972" s="21"/>
      <c r="L3972" s="21"/>
      <c r="M3972" s="21"/>
      <c r="N3972" s="21"/>
    </row>
    <row r="3973" spans="1:14" ht="15.75" customHeight="1" x14ac:dyDescent="0.25">
      <c r="A3973" s="7">
        <v>1</v>
      </c>
      <c r="B3973" s="120" t="s">
        <v>1523</v>
      </c>
      <c r="C3973" s="129">
        <v>1</v>
      </c>
      <c r="D3973" s="7" t="s">
        <v>363</v>
      </c>
      <c r="E3973" s="130">
        <v>145500</v>
      </c>
      <c r="F3973" s="130">
        <f>E3973*C3973</f>
        <v>145500</v>
      </c>
      <c r="G3973" s="25"/>
      <c r="H3973" s="11"/>
      <c r="I3973" s="21"/>
      <c r="J3973" s="21"/>
      <c r="K3973" s="21"/>
      <c r="L3973" s="21"/>
      <c r="M3973" s="21"/>
      <c r="N3973" s="21"/>
    </row>
    <row r="3974" spans="1:14" ht="15.75" customHeight="1" x14ac:dyDescent="0.25">
      <c r="A3974" s="7"/>
      <c r="B3974" s="343" t="s">
        <v>342</v>
      </c>
      <c r="C3974" s="344"/>
      <c r="D3974" s="344"/>
      <c r="E3974" s="334"/>
      <c r="F3974" s="104">
        <f>SUM(F3973)</f>
        <v>145500</v>
      </c>
      <c r="G3974" s="25"/>
      <c r="H3974" s="11"/>
      <c r="I3974" s="21"/>
      <c r="J3974" s="21"/>
      <c r="K3974" s="21"/>
      <c r="L3974" s="21"/>
      <c r="M3974" s="21"/>
      <c r="N3974" s="21"/>
    </row>
    <row r="3975" spans="1:14" ht="15.75" customHeight="1" x14ac:dyDescent="0.25">
      <c r="A3975" s="7"/>
      <c r="B3975" s="343" t="s">
        <v>343</v>
      </c>
      <c r="C3975" s="344"/>
      <c r="D3975" s="344"/>
      <c r="E3975" s="334"/>
      <c r="F3975" s="104">
        <v>16005</v>
      </c>
      <c r="G3975" s="25"/>
      <c r="H3975" s="11"/>
      <c r="I3975" s="21"/>
      <c r="J3975" s="21"/>
      <c r="K3975" s="21"/>
      <c r="L3975" s="21"/>
      <c r="M3975" s="21"/>
      <c r="N3975" s="21"/>
    </row>
    <row r="3976" spans="1:14" ht="15.75" customHeight="1" x14ac:dyDescent="0.25">
      <c r="A3976" s="7"/>
      <c r="B3976" s="345" t="s">
        <v>344</v>
      </c>
      <c r="C3976" s="344"/>
      <c r="D3976" s="344"/>
      <c r="E3976" s="334"/>
      <c r="F3976" s="107">
        <f>SUM(F3974:F3975)</f>
        <v>161505</v>
      </c>
      <c r="G3976" s="25"/>
      <c r="H3976" s="11"/>
      <c r="I3976" s="21"/>
      <c r="J3976" s="21"/>
      <c r="K3976" s="21"/>
      <c r="L3976" s="21"/>
      <c r="M3976" s="21"/>
      <c r="N3976" s="21"/>
    </row>
    <row r="3977" spans="1:14" ht="15.75" customHeight="1" x14ac:dyDescent="0.25">
      <c r="A3977" s="21"/>
      <c r="B3977" s="21"/>
      <c r="C3977" s="11"/>
      <c r="D3977" s="11"/>
      <c r="E3977" s="21"/>
      <c r="F3977" s="21"/>
      <c r="G3977" s="25"/>
      <c r="H3977" s="11"/>
      <c r="I3977" s="21"/>
      <c r="J3977" s="21"/>
      <c r="K3977" s="21"/>
      <c r="L3977" s="21"/>
      <c r="M3977" s="21"/>
      <c r="N3977" s="21"/>
    </row>
    <row r="3978" spans="1:14" ht="15.75" customHeight="1" x14ac:dyDescent="0.25">
      <c r="A3978" s="31" t="s">
        <v>14</v>
      </c>
      <c r="B3978" s="31" t="s">
        <v>234</v>
      </c>
      <c r="C3978" s="31" t="s">
        <v>16</v>
      </c>
      <c r="D3978" s="31" t="s">
        <v>17</v>
      </c>
      <c r="E3978" s="31" t="s">
        <v>235</v>
      </c>
      <c r="F3978" s="31" t="s">
        <v>236</v>
      </c>
      <c r="G3978" s="25"/>
      <c r="H3978" s="11"/>
      <c r="I3978" s="21"/>
      <c r="J3978" s="21"/>
      <c r="K3978" s="21"/>
      <c r="L3978" s="21"/>
      <c r="M3978" s="21"/>
      <c r="N3978" s="21"/>
    </row>
    <row r="3979" spans="1:14" ht="15.75" customHeight="1" x14ac:dyDescent="0.25">
      <c r="A3979" s="7">
        <v>1</v>
      </c>
      <c r="B3979" s="41" t="s">
        <v>1524</v>
      </c>
      <c r="C3979" s="129">
        <v>300</v>
      </c>
      <c r="D3979" s="7" t="s">
        <v>370</v>
      </c>
      <c r="E3979" s="130">
        <v>68000</v>
      </c>
      <c r="F3979" s="130">
        <f>E3979*C3979</f>
        <v>20400000</v>
      </c>
      <c r="G3979" s="25"/>
      <c r="H3979" s="11"/>
      <c r="I3979" s="21"/>
      <c r="J3979" s="21"/>
      <c r="K3979" s="21"/>
      <c r="L3979" s="21"/>
      <c r="M3979" s="21"/>
      <c r="N3979" s="21"/>
    </row>
    <row r="3980" spans="1:14" ht="15.75" customHeight="1" x14ac:dyDescent="0.25">
      <c r="A3980" s="7"/>
      <c r="B3980" s="343" t="s">
        <v>342</v>
      </c>
      <c r="C3980" s="344"/>
      <c r="D3980" s="344"/>
      <c r="E3980" s="334"/>
      <c r="F3980" s="104">
        <f>SUM(F3979)</f>
        <v>20400000</v>
      </c>
      <c r="G3980" s="25"/>
      <c r="H3980" s="11"/>
      <c r="I3980" s="21"/>
      <c r="J3980" s="21"/>
      <c r="K3980" s="21"/>
      <c r="L3980" s="21"/>
      <c r="M3980" s="21"/>
      <c r="N3980" s="21"/>
    </row>
    <row r="3981" spans="1:14" ht="15.75" customHeight="1" x14ac:dyDescent="0.25">
      <c r="A3981" s="7"/>
      <c r="B3981" s="343" t="s">
        <v>343</v>
      </c>
      <c r="C3981" s="344"/>
      <c r="D3981" s="344"/>
      <c r="E3981" s="334"/>
      <c r="F3981" s="104">
        <v>2244000</v>
      </c>
      <c r="G3981" s="25"/>
      <c r="H3981" s="11"/>
      <c r="I3981" s="21"/>
      <c r="J3981" s="21"/>
      <c r="K3981" s="21"/>
      <c r="L3981" s="21"/>
      <c r="M3981" s="21"/>
      <c r="N3981" s="21"/>
    </row>
    <row r="3982" spans="1:14" ht="15.75" customHeight="1" x14ac:dyDescent="0.25">
      <c r="A3982" s="7"/>
      <c r="B3982" s="345" t="s">
        <v>344</v>
      </c>
      <c r="C3982" s="344"/>
      <c r="D3982" s="344"/>
      <c r="E3982" s="334"/>
      <c r="F3982" s="107">
        <f>SUM(F3980:F3981)</f>
        <v>22644000</v>
      </c>
      <c r="G3982" s="25"/>
      <c r="H3982" s="11"/>
      <c r="I3982" s="21"/>
      <c r="J3982" s="21"/>
      <c r="K3982" s="21"/>
      <c r="L3982" s="21"/>
      <c r="M3982" s="21"/>
      <c r="N3982" s="21"/>
    </row>
    <row r="3983" spans="1:14" ht="15.75" customHeight="1" x14ac:dyDescent="0.25">
      <c r="A3983" s="21"/>
      <c r="B3983" s="21"/>
      <c r="C3983" s="11"/>
      <c r="D3983" s="11"/>
      <c r="E3983" s="21"/>
      <c r="F3983" s="21"/>
      <c r="G3983" s="25"/>
      <c r="H3983" s="11"/>
      <c r="I3983" s="21"/>
      <c r="J3983" s="21"/>
      <c r="K3983" s="21"/>
      <c r="L3983" s="21"/>
      <c r="M3983" s="21"/>
      <c r="N3983" s="21"/>
    </row>
    <row r="3984" spans="1:14" ht="15.75" customHeight="1" x14ac:dyDescent="0.25">
      <c r="A3984" s="31" t="s">
        <v>14</v>
      </c>
      <c r="B3984" s="31" t="s">
        <v>234</v>
      </c>
      <c r="C3984" s="31" t="s">
        <v>16</v>
      </c>
      <c r="D3984" s="31" t="s">
        <v>17</v>
      </c>
      <c r="E3984" s="31" t="s">
        <v>235</v>
      </c>
      <c r="F3984" s="31" t="s">
        <v>236</v>
      </c>
      <c r="G3984" s="25"/>
      <c r="H3984" s="11"/>
      <c r="I3984" s="21"/>
      <c r="J3984" s="21"/>
      <c r="K3984" s="21"/>
      <c r="L3984" s="21"/>
      <c r="M3984" s="21"/>
      <c r="N3984" s="21"/>
    </row>
    <row r="3985" spans="1:14" ht="15.75" customHeight="1" x14ac:dyDescent="0.25">
      <c r="A3985" s="7">
        <v>1</v>
      </c>
      <c r="B3985" s="121" t="s">
        <v>1525</v>
      </c>
      <c r="C3985" s="129">
        <v>50</v>
      </c>
      <c r="D3985" s="7" t="s">
        <v>406</v>
      </c>
      <c r="E3985" s="130">
        <v>96425</v>
      </c>
      <c r="F3985" s="130">
        <f>E3985*C3985</f>
        <v>4821250</v>
      </c>
      <c r="G3985" s="25"/>
      <c r="H3985" s="11"/>
      <c r="I3985" s="21"/>
      <c r="J3985" s="21"/>
      <c r="K3985" s="21"/>
      <c r="L3985" s="21"/>
      <c r="M3985" s="21"/>
      <c r="N3985" s="21"/>
    </row>
    <row r="3986" spans="1:14" ht="15.75" customHeight="1" x14ac:dyDescent="0.25">
      <c r="A3986" s="7">
        <v>2</v>
      </c>
      <c r="B3986" s="143" t="s">
        <v>1526</v>
      </c>
      <c r="C3986" s="129">
        <v>50</v>
      </c>
      <c r="D3986" s="7" t="s">
        <v>406</v>
      </c>
      <c r="E3986" s="130">
        <v>49875</v>
      </c>
      <c r="F3986" s="130">
        <f>E3986*C3986</f>
        <v>2493750</v>
      </c>
      <c r="G3986" s="25"/>
      <c r="H3986" s="11"/>
      <c r="I3986" s="21"/>
      <c r="J3986" s="21"/>
      <c r="K3986" s="21"/>
      <c r="L3986" s="21"/>
      <c r="M3986" s="21"/>
      <c r="N3986" s="21"/>
    </row>
    <row r="3987" spans="1:14" ht="15.75" customHeight="1" x14ac:dyDescent="0.25">
      <c r="A3987" s="7">
        <v>3</v>
      </c>
      <c r="B3987" s="143" t="s">
        <v>1527</v>
      </c>
      <c r="C3987" s="129">
        <v>50</v>
      </c>
      <c r="D3987" s="7" t="s">
        <v>406</v>
      </c>
      <c r="E3987" s="130">
        <v>47025</v>
      </c>
      <c r="F3987" s="130">
        <f>E3987*C3987</f>
        <v>2351250</v>
      </c>
      <c r="G3987" s="25"/>
      <c r="H3987" s="11"/>
      <c r="I3987" s="21"/>
      <c r="J3987" s="21"/>
      <c r="K3987" s="21"/>
      <c r="L3987" s="21"/>
      <c r="M3987" s="21"/>
      <c r="N3987" s="21"/>
    </row>
    <row r="3988" spans="1:14" ht="15.75" customHeight="1" x14ac:dyDescent="0.25">
      <c r="A3988" s="7">
        <v>4</v>
      </c>
      <c r="B3988" s="143" t="s">
        <v>1528</v>
      </c>
      <c r="C3988" s="129">
        <v>100</v>
      </c>
      <c r="D3988" s="7" t="s">
        <v>19</v>
      </c>
      <c r="E3988" s="130">
        <v>4275</v>
      </c>
      <c r="F3988" s="130">
        <f>E3988*C3988</f>
        <v>427500</v>
      </c>
      <c r="G3988" s="25"/>
      <c r="H3988" s="11"/>
      <c r="I3988" s="21"/>
      <c r="J3988" s="21"/>
      <c r="K3988" s="21"/>
      <c r="L3988" s="21"/>
      <c r="M3988" s="21"/>
      <c r="N3988" s="21"/>
    </row>
    <row r="3989" spans="1:14" ht="15.75" customHeight="1" x14ac:dyDescent="0.25">
      <c r="A3989" s="7">
        <v>5</v>
      </c>
      <c r="B3989" s="143" t="s">
        <v>1529</v>
      </c>
      <c r="C3989" s="129">
        <v>50</v>
      </c>
      <c r="D3989" s="7" t="s">
        <v>19</v>
      </c>
      <c r="E3989" s="130">
        <v>3990</v>
      </c>
      <c r="F3989" s="130">
        <f>E3989*C3989</f>
        <v>199500</v>
      </c>
      <c r="G3989" s="25"/>
      <c r="H3989" s="11"/>
      <c r="I3989" s="21"/>
      <c r="J3989" s="21"/>
      <c r="K3989" s="21"/>
      <c r="L3989" s="21"/>
      <c r="M3989" s="21"/>
      <c r="N3989" s="21"/>
    </row>
    <row r="3990" spans="1:14" ht="15.75" customHeight="1" x14ac:dyDescent="0.25">
      <c r="A3990" s="7"/>
      <c r="B3990" s="343" t="s">
        <v>342</v>
      </c>
      <c r="C3990" s="344"/>
      <c r="D3990" s="344"/>
      <c r="E3990" s="334"/>
      <c r="F3990" s="104">
        <f>SUM(F3985:F3989)</f>
        <v>10293250</v>
      </c>
      <c r="G3990" s="25"/>
      <c r="H3990" s="11"/>
      <c r="I3990" s="21"/>
      <c r="J3990" s="21"/>
      <c r="K3990" s="21"/>
      <c r="L3990" s="21"/>
      <c r="M3990" s="21"/>
      <c r="N3990" s="21"/>
    </row>
    <row r="3991" spans="1:14" ht="15.75" customHeight="1" x14ac:dyDescent="0.25">
      <c r="A3991" s="7"/>
      <c r="B3991" s="343" t="s">
        <v>343</v>
      </c>
      <c r="C3991" s="344"/>
      <c r="D3991" s="344"/>
      <c r="E3991" s="334"/>
      <c r="F3991" s="108">
        <v>1132257.5</v>
      </c>
      <c r="G3991" s="25"/>
      <c r="H3991" s="11"/>
      <c r="I3991" s="21"/>
      <c r="J3991" s="21"/>
      <c r="K3991" s="21"/>
      <c r="L3991" s="21"/>
      <c r="M3991" s="21"/>
      <c r="N3991" s="21"/>
    </row>
    <row r="3992" spans="1:14" ht="15.75" customHeight="1" x14ac:dyDescent="0.25">
      <c r="A3992" s="7"/>
      <c r="B3992" s="345" t="s">
        <v>344</v>
      </c>
      <c r="C3992" s="344"/>
      <c r="D3992" s="344"/>
      <c r="E3992" s="334"/>
      <c r="F3992" s="109">
        <f>SUM(F3990:F3991)</f>
        <v>11425507.5</v>
      </c>
      <c r="G3992" s="25"/>
      <c r="H3992" s="11"/>
      <c r="I3992" s="21"/>
      <c r="J3992" s="21"/>
      <c r="K3992" s="21"/>
      <c r="L3992" s="21"/>
      <c r="M3992" s="21"/>
      <c r="N3992" s="21"/>
    </row>
    <row r="3993" spans="1:14" ht="15.75" customHeight="1" x14ac:dyDescent="0.25">
      <c r="A3993" s="21"/>
      <c r="B3993" s="21"/>
      <c r="C3993" s="11"/>
      <c r="D3993" s="11"/>
      <c r="E3993" s="21"/>
      <c r="F3993" s="21"/>
      <c r="G3993" s="25"/>
      <c r="H3993" s="11"/>
      <c r="I3993" s="21"/>
      <c r="J3993" s="21"/>
      <c r="K3993" s="21"/>
      <c r="L3993" s="21"/>
      <c r="M3993" s="21"/>
      <c r="N3993" s="21"/>
    </row>
    <row r="3994" spans="1:14" ht="15.75" customHeight="1" x14ac:dyDescent="0.25">
      <c r="A3994" s="31" t="s">
        <v>14</v>
      </c>
      <c r="B3994" s="31" t="s">
        <v>234</v>
      </c>
      <c r="C3994" s="31" t="s">
        <v>16</v>
      </c>
      <c r="D3994" s="31" t="s">
        <v>17</v>
      </c>
      <c r="E3994" s="31" t="s">
        <v>235</v>
      </c>
      <c r="F3994" s="31" t="s">
        <v>236</v>
      </c>
      <c r="G3994" s="25"/>
      <c r="H3994" s="11"/>
      <c r="I3994" s="21"/>
      <c r="J3994" s="21"/>
      <c r="K3994" s="21"/>
      <c r="L3994" s="21"/>
      <c r="M3994" s="21"/>
      <c r="N3994" s="21"/>
    </row>
    <row r="3995" spans="1:14" ht="15.75" customHeight="1" x14ac:dyDescent="0.25">
      <c r="A3995" s="7">
        <v>1</v>
      </c>
      <c r="B3995" s="155" t="s">
        <v>1530</v>
      </c>
      <c r="C3995" s="129">
        <v>10</v>
      </c>
      <c r="D3995" s="7" t="s">
        <v>1531</v>
      </c>
      <c r="E3995" s="130">
        <v>219450</v>
      </c>
      <c r="F3995" s="130">
        <f>E3995*C3995</f>
        <v>2194500</v>
      </c>
      <c r="G3995" s="25"/>
      <c r="H3995" s="11"/>
      <c r="I3995" s="21"/>
      <c r="J3995" s="21"/>
      <c r="K3995" s="21"/>
      <c r="L3995" s="21"/>
      <c r="M3995" s="21"/>
      <c r="N3995" s="21"/>
    </row>
    <row r="3996" spans="1:14" ht="15.75" customHeight="1" x14ac:dyDescent="0.25">
      <c r="A3996" s="7"/>
      <c r="B3996" s="343" t="s">
        <v>342</v>
      </c>
      <c r="C3996" s="344"/>
      <c r="D3996" s="344"/>
      <c r="E3996" s="334"/>
      <c r="F3996" s="104">
        <f>SUM(F3995)</f>
        <v>2194500</v>
      </c>
      <c r="G3996" s="25"/>
      <c r="H3996" s="11"/>
      <c r="I3996" s="21"/>
      <c r="J3996" s="21"/>
      <c r="K3996" s="21"/>
      <c r="L3996" s="21"/>
      <c r="M3996" s="21"/>
      <c r="N3996" s="21"/>
    </row>
    <row r="3997" spans="1:14" ht="15.75" customHeight="1" x14ac:dyDescent="0.25">
      <c r="A3997" s="7"/>
      <c r="B3997" s="343" t="s">
        <v>343</v>
      </c>
      <c r="C3997" s="344"/>
      <c r="D3997" s="344"/>
      <c r="E3997" s="334"/>
      <c r="F3997" s="104">
        <v>241395</v>
      </c>
      <c r="G3997" s="25"/>
      <c r="H3997" s="11"/>
      <c r="I3997" s="21"/>
      <c r="J3997" s="21"/>
      <c r="K3997" s="21"/>
      <c r="L3997" s="21"/>
      <c r="M3997" s="21"/>
      <c r="N3997" s="21"/>
    </row>
    <row r="3998" spans="1:14" ht="15.75" customHeight="1" x14ac:dyDescent="0.25">
      <c r="A3998" s="7"/>
      <c r="B3998" s="345" t="s">
        <v>344</v>
      </c>
      <c r="C3998" s="344"/>
      <c r="D3998" s="344"/>
      <c r="E3998" s="334"/>
      <c r="F3998" s="107">
        <f>SUM(F3996:F3997)</f>
        <v>2435895</v>
      </c>
      <c r="G3998" s="25"/>
      <c r="H3998" s="11"/>
      <c r="I3998" s="21"/>
      <c r="J3998" s="21"/>
      <c r="K3998" s="21"/>
      <c r="L3998" s="21"/>
      <c r="M3998" s="21"/>
      <c r="N3998" s="21"/>
    </row>
    <row r="3999" spans="1:14" ht="15.75" customHeight="1" x14ac:dyDescent="0.25">
      <c r="A3999" s="21"/>
      <c r="B3999" s="21"/>
      <c r="C3999" s="11"/>
      <c r="D3999" s="11"/>
      <c r="E3999" s="21"/>
      <c r="F3999" s="21"/>
      <c r="G3999" s="25"/>
      <c r="H3999" s="11"/>
      <c r="I3999" s="21"/>
      <c r="J3999" s="21"/>
      <c r="K3999" s="21"/>
      <c r="L3999" s="21"/>
      <c r="M3999" s="21"/>
      <c r="N3999" s="21"/>
    </row>
    <row r="4000" spans="1:14" ht="15.75" customHeight="1" x14ac:dyDescent="0.25">
      <c r="A4000" s="31" t="s">
        <v>14</v>
      </c>
      <c r="B4000" s="31" t="s">
        <v>234</v>
      </c>
      <c r="C4000" s="31" t="s">
        <v>16</v>
      </c>
      <c r="D4000" s="31" t="s">
        <v>17</v>
      </c>
      <c r="E4000" s="31" t="s">
        <v>235</v>
      </c>
      <c r="F4000" s="31" t="s">
        <v>236</v>
      </c>
      <c r="G4000" s="25"/>
      <c r="H4000" s="11"/>
      <c r="I4000" s="21"/>
      <c r="J4000" s="21"/>
      <c r="K4000" s="21"/>
      <c r="L4000" s="21"/>
      <c r="M4000" s="21"/>
      <c r="N4000" s="21"/>
    </row>
    <row r="4001" spans="1:14" ht="15.75" customHeight="1" x14ac:dyDescent="0.25">
      <c r="A4001" s="7">
        <v>1</v>
      </c>
      <c r="B4001" s="155" t="s">
        <v>1532</v>
      </c>
      <c r="C4001" s="129">
        <v>4</v>
      </c>
      <c r="D4001" s="7" t="s">
        <v>347</v>
      </c>
      <c r="E4001" s="130">
        <v>2550000</v>
      </c>
      <c r="F4001" s="130">
        <f>E4001*C4001</f>
        <v>10200000</v>
      </c>
      <c r="G4001" s="25"/>
      <c r="H4001" s="11"/>
      <c r="I4001" s="21"/>
      <c r="J4001" s="21"/>
      <c r="K4001" s="21"/>
      <c r="L4001" s="21"/>
      <c r="M4001" s="21"/>
      <c r="N4001" s="21"/>
    </row>
    <row r="4002" spans="1:14" ht="15.75" customHeight="1" x14ac:dyDescent="0.25">
      <c r="A4002" s="7"/>
      <c r="B4002" s="343" t="s">
        <v>342</v>
      </c>
      <c r="C4002" s="344"/>
      <c r="D4002" s="344"/>
      <c r="E4002" s="334"/>
      <c r="F4002" s="104">
        <f>SUM(F4001)</f>
        <v>10200000</v>
      </c>
      <c r="G4002" s="25"/>
      <c r="H4002" s="11"/>
      <c r="I4002" s="21"/>
      <c r="J4002" s="21"/>
      <c r="K4002" s="21"/>
      <c r="L4002" s="21"/>
      <c r="M4002" s="21"/>
      <c r="N4002" s="21"/>
    </row>
    <row r="4003" spans="1:14" ht="15.75" customHeight="1" x14ac:dyDescent="0.25">
      <c r="A4003" s="7"/>
      <c r="B4003" s="343" t="s">
        <v>343</v>
      </c>
      <c r="C4003" s="344"/>
      <c r="D4003" s="344"/>
      <c r="E4003" s="334"/>
      <c r="F4003" s="104">
        <v>1122000</v>
      </c>
      <c r="G4003" s="25"/>
      <c r="H4003" s="11"/>
      <c r="I4003" s="21"/>
      <c r="J4003" s="21"/>
      <c r="K4003" s="21"/>
      <c r="L4003" s="21"/>
      <c r="M4003" s="21"/>
      <c r="N4003" s="21"/>
    </row>
    <row r="4004" spans="1:14" ht="15.75" customHeight="1" x14ac:dyDescent="0.25">
      <c r="A4004" s="7"/>
      <c r="B4004" s="345" t="s">
        <v>344</v>
      </c>
      <c r="C4004" s="344"/>
      <c r="D4004" s="344"/>
      <c r="E4004" s="334"/>
      <c r="F4004" s="107">
        <f>SUM(F4002:F4003)</f>
        <v>11322000</v>
      </c>
      <c r="G4004" s="25"/>
      <c r="H4004" s="11"/>
      <c r="I4004" s="21"/>
      <c r="J4004" s="21"/>
      <c r="K4004" s="21"/>
      <c r="L4004" s="21"/>
      <c r="M4004" s="21"/>
      <c r="N4004" s="21"/>
    </row>
    <row r="4005" spans="1:14" ht="15.75" customHeight="1" x14ac:dyDescent="0.25">
      <c r="A4005" s="21"/>
      <c r="B4005" s="21"/>
      <c r="C4005" s="11"/>
      <c r="D4005" s="11"/>
      <c r="E4005" s="21"/>
      <c r="F4005" s="21"/>
      <c r="G4005" s="25"/>
      <c r="H4005" s="11"/>
      <c r="I4005" s="21"/>
      <c r="J4005" s="21"/>
      <c r="K4005" s="21"/>
      <c r="L4005" s="21"/>
      <c r="M4005" s="21"/>
      <c r="N4005" s="21"/>
    </row>
    <row r="4006" spans="1:14" ht="15.75" customHeight="1" x14ac:dyDescent="0.25">
      <c r="A4006" s="31" t="s">
        <v>351</v>
      </c>
      <c r="B4006" s="31" t="s">
        <v>234</v>
      </c>
      <c r="C4006" s="31" t="s">
        <v>16</v>
      </c>
      <c r="D4006" s="31" t="s">
        <v>17</v>
      </c>
      <c r="E4006" s="31" t="s">
        <v>235</v>
      </c>
      <c r="F4006" s="31" t="s">
        <v>236</v>
      </c>
      <c r="G4006" s="25"/>
      <c r="H4006" s="11"/>
      <c r="I4006" s="21"/>
      <c r="J4006" s="21"/>
      <c r="K4006" s="21"/>
      <c r="L4006" s="21"/>
      <c r="M4006" s="21"/>
      <c r="N4006" s="21"/>
    </row>
    <row r="4007" spans="1:14" ht="15.75" customHeight="1" x14ac:dyDescent="0.25">
      <c r="A4007" s="7">
        <v>1</v>
      </c>
      <c r="B4007" s="41" t="s">
        <v>1533</v>
      </c>
      <c r="C4007" s="7">
        <v>15</v>
      </c>
      <c r="D4007" s="7" t="s">
        <v>1522</v>
      </c>
      <c r="E4007" s="104">
        <v>872620</v>
      </c>
      <c r="F4007" s="104">
        <f>E4007*C4007</f>
        <v>13089300</v>
      </c>
      <c r="G4007" s="25"/>
      <c r="H4007" s="11"/>
      <c r="I4007" s="21"/>
      <c r="J4007" s="21"/>
      <c r="K4007" s="21"/>
      <c r="L4007" s="21"/>
      <c r="M4007" s="21"/>
      <c r="N4007" s="21"/>
    </row>
    <row r="4008" spans="1:14" ht="15.75" customHeight="1" x14ac:dyDescent="0.25">
      <c r="A4008" s="7">
        <v>2</v>
      </c>
      <c r="B4008" s="41" t="s">
        <v>1534</v>
      </c>
      <c r="C4008" s="7">
        <v>1</v>
      </c>
      <c r="D4008" s="7" t="s">
        <v>19</v>
      </c>
      <c r="E4008" s="104">
        <v>815000</v>
      </c>
      <c r="F4008" s="104">
        <f>E4008*C4008</f>
        <v>815000</v>
      </c>
      <c r="G4008" s="25"/>
      <c r="H4008" s="11"/>
      <c r="I4008" s="21"/>
      <c r="J4008" s="21"/>
      <c r="K4008" s="21"/>
      <c r="L4008" s="21"/>
      <c r="M4008" s="21"/>
      <c r="N4008" s="21"/>
    </row>
    <row r="4009" spans="1:14" ht="15.75" customHeight="1" x14ac:dyDescent="0.25">
      <c r="A4009" s="7"/>
      <c r="B4009" s="343" t="s">
        <v>342</v>
      </c>
      <c r="C4009" s="344"/>
      <c r="D4009" s="344"/>
      <c r="E4009" s="334"/>
      <c r="F4009" s="104">
        <f>SUM(F4007:F4008)</f>
        <v>13904300</v>
      </c>
      <c r="G4009" s="25"/>
      <c r="H4009" s="11"/>
      <c r="I4009" s="21"/>
      <c r="J4009" s="21"/>
      <c r="K4009" s="21"/>
      <c r="L4009" s="21"/>
      <c r="M4009" s="21"/>
      <c r="N4009" s="21"/>
    </row>
    <row r="4010" spans="1:14" ht="15.75" customHeight="1" x14ac:dyDescent="0.25">
      <c r="A4010" s="7"/>
      <c r="B4010" s="343" t="s">
        <v>343</v>
      </c>
      <c r="C4010" s="344"/>
      <c r="D4010" s="344"/>
      <c r="E4010" s="334"/>
      <c r="F4010" s="104">
        <v>1529473</v>
      </c>
      <c r="G4010" s="25"/>
      <c r="H4010" s="11"/>
      <c r="I4010" s="21"/>
      <c r="J4010" s="21"/>
      <c r="K4010" s="21"/>
      <c r="L4010" s="21"/>
      <c r="M4010" s="21"/>
      <c r="N4010" s="21"/>
    </row>
    <row r="4011" spans="1:14" ht="15.75" customHeight="1" x14ac:dyDescent="0.25">
      <c r="A4011" s="7"/>
      <c r="B4011" s="345" t="s">
        <v>344</v>
      </c>
      <c r="C4011" s="344"/>
      <c r="D4011" s="344"/>
      <c r="E4011" s="334"/>
      <c r="F4011" s="107">
        <f>SUM(F4009:F4010)</f>
        <v>15433773</v>
      </c>
      <c r="G4011" s="25"/>
      <c r="H4011" s="11"/>
      <c r="I4011" s="21"/>
      <c r="J4011" s="21"/>
      <c r="K4011" s="21"/>
      <c r="L4011" s="21"/>
      <c r="M4011" s="21"/>
      <c r="N4011" s="21"/>
    </row>
    <row r="4012" spans="1:14" ht="15.75" customHeight="1" x14ac:dyDescent="0.25">
      <c r="A4012" s="21"/>
      <c r="B4012" s="21"/>
      <c r="C4012" s="11"/>
      <c r="D4012" s="11"/>
      <c r="E4012" s="21"/>
      <c r="F4012" s="21"/>
      <c r="G4012" s="25"/>
      <c r="H4012" s="11"/>
      <c r="I4012" s="21"/>
      <c r="J4012" s="21"/>
      <c r="K4012" s="21"/>
      <c r="L4012" s="21"/>
      <c r="M4012" s="21"/>
      <c r="N4012" s="21"/>
    </row>
    <row r="4013" spans="1:14" ht="15.75" customHeight="1" x14ac:dyDescent="0.25">
      <c r="A4013" s="31" t="s">
        <v>14</v>
      </c>
      <c r="B4013" s="31" t="s">
        <v>234</v>
      </c>
      <c r="C4013" s="31" t="s">
        <v>16</v>
      </c>
      <c r="D4013" s="31" t="s">
        <v>17</v>
      </c>
      <c r="E4013" s="31" t="s">
        <v>235</v>
      </c>
      <c r="F4013" s="31" t="s">
        <v>236</v>
      </c>
      <c r="G4013" s="25"/>
      <c r="H4013" s="11"/>
      <c r="I4013" s="21"/>
      <c r="J4013" s="21"/>
      <c r="K4013" s="21"/>
      <c r="L4013" s="21"/>
      <c r="M4013" s="21"/>
      <c r="N4013" s="21"/>
    </row>
    <row r="4014" spans="1:14" ht="15.75" customHeight="1" x14ac:dyDescent="0.25">
      <c r="A4014" s="7">
        <v>1</v>
      </c>
      <c r="B4014" s="155" t="s">
        <v>1535</v>
      </c>
      <c r="C4014" s="129">
        <v>1</v>
      </c>
      <c r="D4014" s="7" t="s">
        <v>19</v>
      </c>
      <c r="E4014" s="130">
        <v>334000</v>
      </c>
      <c r="F4014" s="130">
        <f>E4014*C4014</f>
        <v>334000</v>
      </c>
      <c r="G4014" s="25"/>
      <c r="H4014" s="11"/>
      <c r="I4014" s="21"/>
      <c r="J4014" s="21"/>
      <c r="K4014" s="21"/>
      <c r="L4014" s="21"/>
      <c r="M4014" s="21"/>
      <c r="N4014" s="21"/>
    </row>
    <row r="4015" spans="1:14" ht="15.75" customHeight="1" x14ac:dyDescent="0.25">
      <c r="A4015" s="7"/>
      <c r="B4015" s="343" t="s">
        <v>342</v>
      </c>
      <c r="C4015" s="344"/>
      <c r="D4015" s="344"/>
      <c r="E4015" s="334"/>
      <c r="F4015" s="104">
        <f>SUM(F4014)</f>
        <v>334000</v>
      </c>
      <c r="G4015" s="25"/>
      <c r="H4015" s="11"/>
      <c r="I4015" s="21"/>
      <c r="J4015" s="21"/>
      <c r="K4015" s="21"/>
      <c r="L4015" s="21"/>
      <c r="M4015" s="21"/>
      <c r="N4015" s="21"/>
    </row>
    <row r="4016" spans="1:14" ht="15.75" customHeight="1" x14ac:dyDescent="0.25">
      <c r="A4016" s="7"/>
      <c r="B4016" s="343" t="s">
        <v>343</v>
      </c>
      <c r="C4016" s="344"/>
      <c r="D4016" s="344"/>
      <c r="E4016" s="334"/>
      <c r="F4016" s="104">
        <v>36740</v>
      </c>
      <c r="G4016" s="25"/>
      <c r="H4016" s="11"/>
      <c r="I4016" s="21"/>
      <c r="J4016" s="21"/>
      <c r="K4016" s="21"/>
      <c r="L4016" s="21"/>
      <c r="M4016" s="21"/>
      <c r="N4016" s="21"/>
    </row>
    <row r="4017" spans="1:14" ht="15.75" customHeight="1" x14ac:dyDescent="0.25">
      <c r="A4017" s="7"/>
      <c r="B4017" s="345" t="s">
        <v>344</v>
      </c>
      <c r="C4017" s="344"/>
      <c r="D4017" s="344"/>
      <c r="E4017" s="334"/>
      <c r="F4017" s="107">
        <f>SUM(F4015:F4016)</f>
        <v>370740</v>
      </c>
      <c r="G4017" s="25"/>
      <c r="H4017" s="11"/>
      <c r="I4017" s="21"/>
      <c r="J4017" s="21"/>
      <c r="K4017" s="21"/>
      <c r="L4017" s="21"/>
      <c r="M4017" s="21"/>
      <c r="N4017" s="21"/>
    </row>
    <row r="4018" spans="1:14" ht="15.75" customHeight="1" x14ac:dyDescent="0.25">
      <c r="A4018" s="21"/>
      <c r="B4018" s="21"/>
      <c r="C4018" s="11"/>
      <c r="D4018" s="11"/>
      <c r="E4018" s="21"/>
      <c r="F4018" s="21"/>
      <c r="G4018" s="25"/>
      <c r="H4018" s="11"/>
      <c r="I4018" s="21"/>
      <c r="J4018" s="21"/>
      <c r="K4018" s="21"/>
      <c r="L4018" s="21"/>
      <c r="M4018" s="21"/>
      <c r="N4018" s="21"/>
    </row>
    <row r="4019" spans="1:14" ht="15.75" customHeight="1" x14ac:dyDescent="0.25">
      <c r="A4019" s="31" t="s">
        <v>14</v>
      </c>
      <c r="B4019" s="31" t="s">
        <v>234</v>
      </c>
      <c r="C4019" s="31" t="s">
        <v>16</v>
      </c>
      <c r="D4019" s="31" t="s">
        <v>17</v>
      </c>
      <c r="E4019" s="31" t="s">
        <v>235</v>
      </c>
      <c r="F4019" s="31" t="s">
        <v>236</v>
      </c>
      <c r="G4019" s="25"/>
      <c r="H4019" s="11"/>
      <c r="I4019" s="21"/>
      <c r="J4019" s="21"/>
      <c r="K4019" s="21"/>
      <c r="L4019" s="21"/>
      <c r="M4019" s="21"/>
      <c r="N4019" s="21"/>
    </row>
    <row r="4020" spans="1:14" ht="15.75" customHeight="1" x14ac:dyDescent="0.25">
      <c r="A4020" s="7">
        <v>1</v>
      </c>
      <c r="B4020" s="155" t="s">
        <v>1536</v>
      </c>
      <c r="C4020" s="129">
        <v>4</v>
      </c>
      <c r="D4020" s="7" t="s">
        <v>19</v>
      </c>
      <c r="E4020" s="130">
        <v>162500</v>
      </c>
      <c r="F4020" s="130">
        <f>E4020*C4020</f>
        <v>650000</v>
      </c>
      <c r="G4020" s="25"/>
      <c r="H4020" s="11"/>
      <c r="I4020" s="21"/>
      <c r="J4020" s="21"/>
      <c r="K4020" s="21"/>
      <c r="L4020" s="21"/>
      <c r="M4020" s="21"/>
      <c r="N4020" s="21"/>
    </row>
    <row r="4021" spans="1:14" ht="15.75" customHeight="1" x14ac:dyDescent="0.25">
      <c r="A4021" s="7"/>
      <c r="B4021" s="343" t="s">
        <v>342</v>
      </c>
      <c r="C4021" s="344"/>
      <c r="D4021" s="344"/>
      <c r="E4021" s="334"/>
      <c r="F4021" s="104">
        <f>SUM(F4020)</f>
        <v>650000</v>
      </c>
      <c r="G4021" s="25"/>
      <c r="H4021" s="11"/>
      <c r="I4021" s="21"/>
      <c r="J4021" s="21"/>
      <c r="K4021" s="21"/>
      <c r="L4021" s="21"/>
      <c r="M4021" s="21"/>
      <c r="N4021" s="21"/>
    </row>
    <row r="4022" spans="1:14" ht="15.75" customHeight="1" x14ac:dyDescent="0.25">
      <c r="A4022" s="7"/>
      <c r="B4022" s="343" t="s">
        <v>343</v>
      </c>
      <c r="C4022" s="344"/>
      <c r="D4022" s="344"/>
      <c r="E4022" s="334"/>
      <c r="F4022" s="104">
        <v>71500</v>
      </c>
      <c r="G4022" s="25"/>
      <c r="H4022" s="11"/>
      <c r="I4022" s="21"/>
      <c r="J4022" s="21"/>
      <c r="K4022" s="21"/>
      <c r="L4022" s="21"/>
      <c r="M4022" s="21"/>
      <c r="N4022" s="21"/>
    </row>
    <row r="4023" spans="1:14" ht="15.75" customHeight="1" x14ac:dyDescent="0.25">
      <c r="A4023" s="7"/>
      <c r="B4023" s="345" t="s">
        <v>344</v>
      </c>
      <c r="C4023" s="344"/>
      <c r="D4023" s="344"/>
      <c r="E4023" s="334"/>
      <c r="F4023" s="107">
        <f>SUM(F4021:F4022)</f>
        <v>721500</v>
      </c>
      <c r="G4023" s="25"/>
      <c r="H4023" s="11"/>
      <c r="I4023" s="21"/>
      <c r="J4023" s="21"/>
      <c r="K4023" s="21"/>
      <c r="L4023" s="21"/>
      <c r="M4023" s="21"/>
      <c r="N4023" s="21"/>
    </row>
    <row r="4024" spans="1:14" ht="15.75" customHeight="1" x14ac:dyDescent="0.25">
      <c r="A4024" s="21"/>
      <c r="B4024" s="21"/>
      <c r="C4024" s="11"/>
      <c r="D4024" s="11"/>
      <c r="E4024" s="21"/>
      <c r="F4024" s="21"/>
      <c r="G4024" s="25"/>
      <c r="H4024" s="11"/>
      <c r="I4024" s="21"/>
      <c r="J4024" s="21"/>
      <c r="K4024" s="21"/>
      <c r="L4024" s="21"/>
      <c r="M4024" s="21"/>
      <c r="N4024" s="21"/>
    </row>
    <row r="4025" spans="1:14" ht="15.75" customHeight="1" x14ac:dyDescent="0.25">
      <c r="A4025" s="31" t="s">
        <v>14</v>
      </c>
      <c r="B4025" s="31" t="s">
        <v>234</v>
      </c>
      <c r="C4025" s="31" t="s">
        <v>16</v>
      </c>
      <c r="D4025" s="31" t="s">
        <v>17</v>
      </c>
      <c r="E4025" s="31" t="s">
        <v>235</v>
      </c>
      <c r="F4025" s="31" t="s">
        <v>236</v>
      </c>
      <c r="G4025" s="25"/>
      <c r="H4025" s="11"/>
      <c r="I4025" s="21"/>
      <c r="J4025" s="21"/>
      <c r="K4025" s="21"/>
      <c r="L4025" s="21"/>
      <c r="M4025" s="21"/>
      <c r="N4025" s="21"/>
    </row>
    <row r="4026" spans="1:14" ht="15.75" customHeight="1" x14ac:dyDescent="0.25">
      <c r="A4026" s="7">
        <v>1</v>
      </c>
      <c r="B4026" s="155" t="s">
        <v>1537</v>
      </c>
      <c r="C4026" s="129">
        <v>4</v>
      </c>
      <c r="D4026" s="7" t="s">
        <v>19</v>
      </c>
      <c r="E4026" s="130">
        <v>82000</v>
      </c>
      <c r="F4026" s="130">
        <f>E4026*C4026</f>
        <v>328000</v>
      </c>
      <c r="G4026" s="25"/>
      <c r="H4026" s="11"/>
      <c r="I4026" s="21"/>
      <c r="J4026" s="21"/>
      <c r="K4026" s="21"/>
      <c r="L4026" s="21"/>
      <c r="M4026" s="21"/>
      <c r="N4026" s="21"/>
    </row>
    <row r="4027" spans="1:14" ht="15.75" customHeight="1" x14ac:dyDescent="0.25">
      <c r="A4027" s="7"/>
      <c r="B4027" s="343" t="s">
        <v>342</v>
      </c>
      <c r="C4027" s="344"/>
      <c r="D4027" s="344"/>
      <c r="E4027" s="334"/>
      <c r="F4027" s="104">
        <f>SUM(F4026)</f>
        <v>328000</v>
      </c>
      <c r="G4027" s="25"/>
      <c r="H4027" s="11"/>
      <c r="I4027" s="21"/>
      <c r="J4027" s="21"/>
      <c r="K4027" s="21"/>
      <c r="L4027" s="21"/>
      <c r="M4027" s="21"/>
      <c r="N4027" s="21"/>
    </row>
    <row r="4028" spans="1:14" ht="15.75" customHeight="1" x14ac:dyDescent="0.25">
      <c r="A4028" s="7"/>
      <c r="B4028" s="343" t="s">
        <v>343</v>
      </c>
      <c r="C4028" s="344"/>
      <c r="D4028" s="344"/>
      <c r="E4028" s="334"/>
      <c r="F4028" s="104">
        <v>36080</v>
      </c>
      <c r="G4028" s="25"/>
      <c r="H4028" s="11"/>
      <c r="I4028" s="21"/>
      <c r="J4028" s="21"/>
      <c r="K4028" s="21"/>
      <c r="L4028" s="21"/>
      <c r="M4028" s="21"/>
      <c r="N4028" s="21"/>
    </row>
    <row r="4029" spans="1:14" ht="15.75" customHeight="1" x14ac:dyDescent="0.25">
      <c r="A4029" s="7"/>
      <c r="B4029" s="345" t="s">
        <v>344</v>
      </c>
      <c r="C4029" s="344"/>
      <c r="D4029" s="344"/>
      <c r="E4029" s="334"/>
      <c r="F4029" s="107">
        <f>SUM(F4027:F4028)</f>
        <v>364080</v>
      </c>
      <c r="G4029" s="25"/>
      <c r="H4029" s="11"/>
      <c r="I4029" s="21"/>
      <c r="J4029" s="21"/>
      <c r="K4029" s="21"/>
      <c r="L4029" s="21"/>
      <c r="M4029" s="21"/>
      <c r="N4029" s="21"/>
    </row>
    <row r="4030" spans="1:14" ht="15.75" customHeight="1" x14ac:dyDescent="0.25">
      <c r="A4030" s="21"/>
      <c r="B4030" s="21"/>
      <c r="C4030" s="11"/>
      <c r="D4030" s="11"/>
      <c r="E4030" s="21"/>
      <c r="F4030" s="21"/>
      <c r="G4030" s="25"/>
      <c r="H4030" s="11"/>
      <c r="I4030" s="21"/>
      <c r="J4030" s="21"/>
      <c r="K4030" s="21"/>
      <c r="L4030" s="21"/>
      <c r="M4030" s="21"/>
      <c r="N4030" s="21"/>
    </row>
    <row r="4031" spans="1:14" ht="15.75" customHeight="1" x14ac:dyDescent="0.25">
      <c r="A4031" s="31" t="s">
        <v>14</v>
      </c>
      <c r="B4031" s="31" t="s">
        <v>234</v>
      </c>
      <c r="C4031" s="31" t="s">
        <v>16</v>
      </c>
      <c r="D4031" s="31" t="s">
        <v>17</v>
      </c>
      <c r="E4031" s="31" t="s">
        <v>235</v>
      </c>
      <c r="F4031" s="31" t="s">
        <v>236</v>
      </c>
      <c r="G4031" s="25"/>
      <c r="H4031" s="11"/>
      <c r="I4031" s="21"/>
      <c r="J4031" s="21"/>
      <c r="K4031" s="21"/>
      <c r="L4031" s="21"/>
      <c r="M4031" s="21"/>
      <c r="N4031" s="21"/>
    </row>
    <row r="4032" spans="1:14" ht="15.75" customHeight="1" x14ac:dyDescent="0.25">
      <c r="A4032" s="7">
        <v>1</v>
      </c>
      <c r="B4032" s="120" t="s">
        <v>1538</v>
      </c>
      <c r="C4032" s="158">
        <v>3</v>
      </c>
      <c r="D4032" s="7" t="s">
        <v>19</v>
      </c>
      <c r="E4032" s="104">
        <v>115236</v>
      </c>
      <c r="F4032" s="104">
        <f>E4032*C4032</f>
        <v>345708</v>
      </c>
      <c r="G4032" s="25"/>
      <c r="H4032" s="11"/>
      <c r="I4032" s="21"/>
      <c r="J4032" s="21"/>
      <c r="K4032" s="21"/>
      <c r="L4032" s="21"/>
      <c r="M4032" s="21"/>
      <c r="N4032" s="21"/>
    </row>
    <row r="4033" spans="1:14" ht="15.75" customHeight="1" x14ac:dyDescent="0.25">
      <c r="A4033" s="7">
        <v>2</v>
      </c>
      <c r="B4033" s="35" t="s">
        <v>1539</v>
      </c>
      <c r="C4033" s="133">
        <v>3</v>
      </c>
      <c r="D4033" s="7" t="s">
        <v>19</v>
      </c>
      <c r="E4033" s="104">
        <v>69355</v>
      </c>
      <c r="F4033" s="104">
        <f>E4033*C4033</f>
        <v>208065</v>
      </c>
      <c r="G4033" s="25"/>
      <c r="H4033" s="11"/>
      <c r="I4033" s="21"/>
      <c r="J4033" s="21"/>
      <c r="K4033" s="21"/>
      <c r="L4033" s="21"/>
      <c r="M4033" s="21"/>
      <c r="N4033" s="21"/>
    </row>
    <row r="4034" spans="1:14" ht="15.75" customHeight="1" x14ac:dyDescent="0.25">
      <c r="A4034" s="7">
        <v>3</v>
      </c>
      <c r="B4034" s="41" t="s">
        <v>1540</v>
      </c>
      <c r="C4034" s="151">
        <v>3</v>
      </c>
      <c r="D4034" s="133" t="s">
        <v>19</v>
      </c>
      <c r="E4034" s="104">
        <v>33950</v>
      </c>
      <c r="F4034" s="104">
        <f>E4034*C4034</f>
        <v>101850</v>
      </c>
      <c r="G4034" s="25"/>
      <c r="H4034" s="11"/>
      <c r="I4034" s="21"/>
      <c r="J4034" s="21"/>
      <c r="K4034" s="21"/>
      <c r="L4034" s="21"/>
      <c r="M4034" s="21"/>
      <c r="N4034" s="21"/>
    </row>
    <row r="4035" spans="1:14" ht="15.75" customHeight="1" x14ac:dyDescent="0.25">
      <c r="A4035" s="7"/>
      <c r="B4035" s="343" t="s">
        <v>342</v>
      </c>
      <c r="C4035" s="344"/>
      <c r="D4035" s="344"/>
      <c r="E4035" s="334"/>
      <c r="F4035" s="104">
        <f>SUM(F4032:F4034)</f>
        <v>655623</v>
      </c>
      <c r="G4035" s="25"/>
      <c r="H4035" s="11"/>
      <c r="I4035" s="21"/>
      <c r="J4035" s="21"/>
      <c r="K4035" s="21"/>
      <c r="L4035" s="21"/>
      <c r="M4035" s="21"/>
      <c r="N4035" s="21"/>
    </row>
    <row r="4036" spans="1:14" ht="15.75" customHeight="1" x14ac:dyDescent="0.25">
      <c r="A4036" s="7"/>
      <c r="B4036" s="343" t="s">
        <v>343</v>
      </c>
      <c r="C4036" s="344"/>
      <c r="D4036" s="344"/>
      <c r="E4036" s="334"/>
      <c r="F4036" s="108">
        <v>72118.53</v>
      </c>
      <c r="G4036" s="25"/>
      <c r="H4036" s="11"/>
      <c r="I4036" s="21"/>
      <c r="J4036" s="21"/>
      <c r="K4036" s="21"/>
      <c r="L4036" s="21"/>
      <c r="M4036" s="21"/>
      <c r="N4036" s="21"/>
    </row>
    <row r="4037" spans="1:14" ht="15.75" customHeight="1" x14ac:dyDescent="0.25">
      <c r="A4037" s="7"/>
      <c r="B4037" s="345" t="s">
        <v>344</v>
      </c>
      <c r="C4037" s="344"/>
      <c r="D4037" s="344"/>
      <c r="E4037" s="334"/>
      <c r="F4037" s="109">
        <f>SUM(F4035:F4036)</f>
        <v>727741.53</v>
      </c>
      <c r="G4037" s="25"/>
      <c r="H4037" s="11"/>
      <c r="I4037" s="21"/>
      <c r="J4037" s="21"/>
      <c r="K4037" s="21"/>
      <c r="L4037" s="21"/>
      <c r="M4037" s="21"/>
      <c r="N4037" s="21"/>
    </row>
    <row r="4038" spans="1:14" ht="15.75" customHeight="1" x14ac:dyDescent="0.25">
      <c r="A4038" s="21"/>
      <c r="B4038" s="21"/>
      <c r="C4038" s="11"/>
      <c r="D4038" s="11"/>
      <c r="E4038" s="21"/>
      <c r="F4038" s="21"/>
      <c r="G4038" s="25"/>
      <c r="H4038" s="11"/>
      <c r="I4038" s="21"/>
      <c r="J4038" s="21"/>
      <c r="K4038" s="21"/>
      <c r="L4038" s="21"/>
      <c r="M4038" s="21"/>
      <c r="N4038" s="21"/>
    </row>
    <row r="4039" spans="1:14" ht="15.75" customHeight="1" x14ac:dyDescent="0.25">
      <c r="A4039" s="31" t="s">
        <v>351</v>
      </c>
      <c r="B4039" s="31" t="s">
        <v>234</v>
      </c>
      <c r="C4039" s="31" t="s">
        <v>16</v>
      </c>
      <c r="D4039" s="31" t="s">
        <v>17</v>
      </c>
      <c r="E4039" s="31" t="s">
        <v>235</v>
      </c>
      <c r="F4039" s="31" t="s">
        <v>236</v>
      </c>
      <c r="G4039" s="25"/>
      <c r="H4039" s="11"/>
      <c r="I4039" s="21"/>
      <c r="J4039" s="21"/>
      <c r="K4039" s="21"/>
      <c r="L4039" s="21"/>
      <c r="M4039" s="21"/>
      <c r="N4039" s="21"/>
    </row>
    <row r="4040" spans="1:14" ht="15.75" customHeight="1" x14ac:dyDescent="0.25">
      <c r="A4040" s="7">
        <v>1</v>
      </c>
      <c r="B4040" s="41" t="s">
        <v>1541</v>
      </c>
      <c r="C4040" s="7">
        <v>6</v>
      </c>
      <c r="D4040" s="7" t="s">
        <v>363</v>
      </c>
      <c r="E4040" s="104">
        <v>55000</v>
      </c>
      <c r="F4040" s="104">
        <f>E4040*C4040</f>
        <v>330000</v>
      </c>
      <c r="G4040" s="25"/>
      <c r="H4040" s="11"/>
      <c r="I4040" s="21"/>
      <c r="J4040" s="21"/>
      <c r="K4040" s="21"/>
      <c r="L4040" s="21"/>
      <c r="M4040" s="21"/>
      <c r="N4040" s="21"/>
    </row>
    <row r="4041" spans="1:14" ht="15.75" customHeight="1" x14ac:dyDescent="0.25">
      <c r="A4041" s="7">
        <v>2</v>
      </c>
      <c r="B4041" s="41" t="s">
        <v>1542</v>
      </c>
      <c r="C4041" s="7">
        <v>2</v>
      </c>
      <c r="D4041" s="7" t="s">
        <v>363</v>
      </c>
      <c r="E4041" s="104">
        <v>126224</v>
      </c>
      <c r="F4041" s="104">
        <f>E4041*C4041</f>
        <v>252448</v>
      </c>
      <c r="G4041" s="25"/>
      <c r="H4041" s="11"/>
      <c r="I4041" s="21"/>
      <c r="J4041" s="21"/>
      <c r="K4041" s="21"/>
      <c r="L4041" s="21"/>
      <c r="M4041" s="21"/>
      <c r="N4041" s="21"/>
    </row>
    <row r="4042" spans="1:14" ht="15.75" customHeight="1" x14ac:dyDescent="0.25">
      <c r="A4042" s="7"/>
      <c r="B4042" s="343" t="s">
        <v>342</v>
      </c>
      <c r="C4042" s="344"/>
      <c r="D4042" s="344"/>
      <c r="E4042" s="334"/>
      <c r="F4042" s="104">
        <f>SUM(F4040:F4041)</f>
        <v>582448</v>
      </c>
      <c r="G4042" s="25"/>
      <c r="H4042" s="11"/>
      <c r="I4042" s="21"/>
      <c r="J4042" s="21"/>
      <c r="K4042" s="21"/>
      <c r="L4042" s="21"/>
      <c r="M4042" s="21"/>
      <c r="N4042" s="21"/>
    </row>
    <row r="4043" spans="1:14" ht="15.75" customHeight="1" x14ac:dyDescent="0.25">
      <c r="A4043" s="7"/>
      <c r="B4043" s="343" t="s">
        <v>343</v>
      </c>
      <c r="C4043" s="344"/>
      <c r="D4043" s="344"/>
      <c r="E4043" s="334"/>
      <c r="F4043" s="104">
        <v>64069.279999999999</v>
      </c>
      <c r="G4043" s="25"/>
      <c r="H4043" s="11"/>
      <c r="I4043" s="21"/>
      <c r="J4043" s="21"/>
      <c r="K4043" s="21"/>
      <c r="L4043" s="21"/>
      <c r="M4043" s="21"/>
      <c r="N4043" s="21"/>
    </row>
    <row r="4044" spans="1:14" ht="15.75" customHeight="1" x14ac:dyDescent="0.25">
      <c r="A4044" s="7"/>
      <c r="B4044" s="345" t="s">
        <v>344</v>
      </c>
      <c r="C4044" s="344"/>
      <c r="D4044" s="344"/>
      <c r="E4044" s="334"/>
      <c r="F4044" s="107">
        <f>SUM(F4042:F4043)</f>
        <v>646517.28</v>
      </c>
      <c r="G4044" s="25"/>
      <c r="H4044" s="11"/>
      <c r="I4044" s="21"/>
      <c r="J4044" s="21"/>
      <c r="K4044" s="21"/>
      <c r="L4044" s="21"/>
      <c r="M4044" s="21"/>
      <c r="N4044" s="21"/>
    </row>
    <row r="4045" spans="1:14" ht="15.75" customHeight="1" x14ac:dyDescent="0.25">
      <c r="A4045" s="21"/>
      <c r="B4045" s="21"/>
      <c r="C4045" s="11"/>
      <c r="D4045" s="11"/>
      <c r="E4045" s="21"/>
      <c r="F4045" s="21"/>
      <c r="G4045" s="25"/>
      <c r="H4045" s="11"/>
      <c r="I4045" s="21"/>
      <c r="J4045" s="21"/>
      <c r="K4045" s="21"/>
      <c r="L4045" s="21"/>
      <c r="M4045" s="21"/>
      <c r="N4045" s="21"/>
    </row>
    <row r="4046" spans="1:14" ht="15.75" customHeight="1" x14ac:dyDescent="0.25">
      <c r="A4046" s="31" t="s">
        <v>14</v>
      </c>
      <c r="B4046" s="31" t="s">
        <v>234</v>
      </c>
      <c r="C4046" s="31" t="s">
        <v>16</v>
      </c>
      <c r="D4046" s="31" t="s">
        <v>17</v>
      </c>
      <c r="E4046" s="31" t="s">
        <v>235</v>
      </c>
      <c r="F4046" s="31" t="s">
        <v>236</v>
      </c>
      <c r="G4046" s="25"/>
      <c r="H4046" s="11"/>
      <c r="I4046" s="21"/>
      <c r="J4046" s="21"/>
      <c r="K4046" s="21"/>
      <c r="L4046" s="21"/>
      <c r="M4046" s="21"/>
      <c r="N4046" s="21"/>
    </row>
    <row r="4047" spans="1:14" ht="15.75" customHeight="1" x14ac:dyDescent="0.25">
      <c r="A4047" s="7">
        <v>1</v>
      </c>
      <c r="B4047" s="155" t="s">
        <v>1543</v>
      </c>
      <c r="C4047" s="129">
        <v>2</v>
      </c>
      <c r="D4047" s="7" t="s">
        <v>363</v>
      </c>
      <c r="E4047" s="130">
        <v>75000</v>
      </c>
      <c r="F4047" s="130">
        <f>E4047*C4047</f>
        <v>150000</v>
      </c>
      <c r="G4047" s="25"/>
      <c r="H4047" s="11"/>
      <c r="I4047" s="21"/>
      <c r="J4047" s="21"/>
      <c r="K4047" s="21"/>
      <c r="L4047" s="21"/>
      <c r="M4047" s="21"/>
      <c r="N4047" s="21"/>
    </row>
    <row r="4048" spans="1:14" ht="15.75" customHeight="1" x14ac:dyDescent="0.25">
      <c r="A4048" s="7"/>
      <c r="B4048" s="343" t="s">
        <v>342</v>
      </c>
      <c r="C4048" s="344"/>
      <c r="D4048" s="344"/>
      <c r="E4048" s="334"/>
      <c r="F4048" s="104">
        <f>SUM(F4047)</f>
        <v>150000</v>
      </c>
      <c r="G4048" s="25"/>
      <c r="H4048" s="11"/>
      <c r="I4048" s="21"/>
      <c r="J4048" s="21"/>
      <c r="K4048" s="21"/>
      <c r="L4048" s="21"/>
      <c r="M4048" s="21"/>
      <c r="N4048" s="21"/>
    </row>
    <row r="4049" spans="1:14" ht="15.75" customHeight="1" x14ac:dyDescent="0.25">
      <c r="A4049" s="7"/>
      <c r="B4049" s="343" t="s">
        <v>343</v>
      </c>
      <c r="C4049" s="344"/>
      <c r="D4049" s="344"/>
      <c r="E4049" s="334"/>
      <c r="F4049" s="104">
        <v>16500</v>
      </c>
      <c r="G4049" s="25"/>
      <c r="H4049" s="11"/>
      <c r="I4049" s="21"/>
      <c r="J4049" s="21"/>
      <c r="K4049" s="21"/>
      <c r="L4049" s="21"/>
      <c r="M4049" s="21"/>
      <c r="N4049" s="21"/>
    </row>
    <row r="4050" spans="1:14" ht="15.75" customHeight="1" x14ac:dyDescent="0.25">
      <c r="A4050" s="7"/>
      <c r="B4050" s="345" t="s">
        <v>344</v>
      </c>
      <c r="C4050" s="344"/>
      <c r="D4050" s="344"/>
      <c r="E4050" s="334"/>
      <c r="F4050" s="107">
        <f>SUM(F4048:F4049)</f>
        <v>166500</v>
      </c>
      <c r="G4050" s="25"/>
      <c r="H4050" s="11"/>
      <c r="I4050" s="21"/>
      <c r="J4050" s="21"/>
      <c r="K4050" s="21"/>
      <c r="L4050" s="21"/>
      <c r="M4050" s="21"/>
      <c r="N4050" s="21"/>
    </row>
    <row r="4051" spans="1:14" ht="15.75" customHeight="1" x14ac:dyDescent="0.25">
      <c r="A4051" s="21"/>
      <c r="B4051" s="21"/>
      <c r="C4051" s="11"/>
      <c r="D4051" s="11"/>
      <c r="E4051" s="21"/>
      <c r="F4051" s="21"/>
      <c r="G4051" s="25"/>
      <c r="H4051" s="11"/>
      <c r="I4051" s="21"/>
      <c r="J4051" s="21"/>
      <c r="K4051" s="21"/>
      <c r="L4051" s="21"/>
      <c r="M4051" s="21"/>
      <c r="N4051" s="21"/>
    </row>
    <row r="4052" spans="1:14" ht="15.75" customHeight="1" x14ac:dyDescent="0.25">
      <c r="A4052" s="31" t="s">
        <v>14</v>
      </c>
      <c r="B4052" s="31" t="s">
        <v>234</v>
      </c>
      <c r="C4052" s="31" t="s">
        <v>16</v>
      </c>
      <c r="D4052" s="31" t="s">
        <v>17</v>
      </c>
      <c r="E4052" s="31" t="s">
        <v>235</v>
      </c>
      <c r="F4052" s="31" t="s">
        <v>236</v>
      </c>
      <c r="G4052" s="25"/>
      <c r="H4052" s="11"/>
      <c r="I4052" s="21"/>
      <c r="J4052" s="21"/>
      <c r="K4052" s="21"/>
      <c r="L4052" s="21"/>
      <c r="M4052" s="21"/>
      <c r="N4052" s="21"/>
    </row>
    <row r="4053" spans="1:14" ht="15.75" customHeight="1" x14ac:dyDescent="0.25">
      <c r="A4053" s="7">
        <v>1</v>
      </c>
      <c r="B4053" s="121" t="s">
        <v>1544</v>
      </c>
      <c r="C4053" s="129">
        <v>20</v>
      </c>
      <c r="D4053" s="7" t="s">
        <v>370</v>
      </c>
      <c r="E4053" s="130">
        <v>15485</v>
      </c>
      <c r="F4053" s="130">
        <f t="shared" ref="F4053:F4059" si="43">E4053*C4053</f>
        <v>309700</v>
      </c>
      <c r="G4053" s="25"/>
      <c r="H4053" s="11"/>
      <c r="I4053" s="21"/>
      <c r="J4053" s="21"/>
      <c r="K4053" s="21"/>
      <c r="L4053" s="21"/>
      <c r="M4053" s="21"/>
      <c r="N4053" s="21"/>
    </row>
    <row r="4054" spans="1:14" ht="15.75" customHeight="1" x14ac:dyDescent="0.25">
      <c r="A4054" s="7">
        <v>2</v>
      </c>
      <c r="B4054" s="143" t="s">
        <v>1545</v>
      </c>
      <c r="C4054" s="129">
        <v>20</v>
      </c>
      <c r="D4054" s="7" t="s">
        <v>370</v>
      </c>
      <c r="E4054" s="130">
        <v>37625</v>
      </c>
      <c r="F4054" s="130">
        <f t="shared" si="43"/>
        <v>752500</v>
      </c>
      <c r="G4054" s="25"/>
      <c r="H4054" s="11"/>
      <c r="I4054" s="21"/>
      <c r="J4054" s="21"/>
      <c r="K4054" s="21"/>
      <c r="L4054" s="21"/>
      <c r="M4054" s="21"/>
      <c r="N4054" s="21"/>
    </row>
    <row r="4055" spans="1:14" ht="15.75" customHeight="1" x14ac:dyDescent="0.25">
      <c r="A4055" s="7">
        <v>3</v>
      </c>
      <c r="B4055" s="143" t="s">
        <v>1546</v>
      </c>
      <c r="C4055" s="129">
        <v>20</v>
      </c>
      <c r="D4055" s="7" t="s">
        <v>370</v>
      </c>
      <c r="E4055" s="130">
        <v>70000</v>
      </c>
      <c r="F4055" s="130">
        <f t="shared" si="43"/>
        <v>1400000</v>
      </c>
      <c r="G4055" s="25"/>
      <c r="H4055" s="11"/>
      <c r="I4055" s="21"/>
      <c r="J4055" s="21"/>
      <c r="K4055" s="21"/>
      <c r="L4055" s="21"/>
      <c r="M4055" s="21"/>
      <c r="N4055" s="21"/>
    </row>
    <row r="4056" spans="1:14" ht="15.75" customHeight="1" x14ac:dyDescent="0.25">
      <c r="A4056" s="7">
        <v>4</v>
      </c>
      <c r="B4056" s="143" t="s">
        <v>1547</v>
      </c>
      <c r="C4056" s="129">
        <v>100</v>
      </c>
      <c r="D4056" s="7" t="s">
        <v>19</v>
      </c>
      <c r="E4056" s="130">
        <v>1100</v>
      </c>
      <c r="F4056" s="130">
        <f t="shared" si="43"/>
        <v>110000</v>
      </c>
      <c r="G4056" s="25"/>
      <c r="H4056" s="11"/>
      <c r="I4056" s="21"/>
      <c r="J4056" s="21"/>
      <c r="K4056" s="21"/>
      <c r="L4056" s="21"/>
      <c r="M4056" s="21"/>
      <c r="N4056" s="21"/>
    </row>
    <row r="4057" spans="1:14" ht="15.75" customHeight="1" x14ac:dyDescent="0.25">
      <c r="A4057" s="7">
        <v>5</v>
      </c>
      <c r="B4057" s="143" t="s">
        <v>1548</v>
      </c>
      <c r="C4057" s="129">
        <v>100</v>
      </c>
      <c r="D4057" s="7" t="s">
        <v>19</v>
      </c>
      <c r="E4057" s="130">
        <v>1000</v>
      </c>
      <c r="F4057" s="130">
        <f t="shared" si="43"/>
        <v>100000</v>
      </c>
      <c r="G4057" s="25"/>
      <c r="H4057" s="11"/>
      <c r="I4057" s="21"/>
      <c r="J4057" s="21"/>
      <c r="K4057" s="21"/>
      <c r="L4057" s="21"/>
      <c r="M4057" s="21"/>
      <c r="N4057" s="21"/>
    </row>
    <row r="4058" spans="1:14" ht="15.75" customHeight="1" x14ac:dyDescent="0.25">
      <c r="A4058" s="7">
        <v>6</v>
      </c>
      <c r="B4058" s="41" t="s">
        <v>1549</v>
      </c>
      <c r="C4058" s="7">
        <v>100</v>
      </c>
      <c r="D4058" s="7" t="s">
        <v>19</v>
      </c>
      <c r="E4058" s="104">
        <v>1500</v>
      </c>
      <c r="F4058" s="104">
        <f t="shared" si="43"/>
        <v>150000</v>
      </c>
      <c r="G4058" s="25"/>
      <c r="H4058" s="11"/>
      <c r="I4058" s="21"/>
      <c r="J4058" s="21"/>
      <c r="K4058" s="21"/>
      <c r="L4058" s="21"/>
      <c r="M4058" s="21"/>
      <c r="N4058" s="21"/>
    </row>
    <row r="4059" spans="1:14" ht="15.75" customHeight="1" x14ac:dyDescent="0.25">
      <c r="A4059" s="7">
        <v>7</v>
      </c>
      <c r="B4059" s="41" t="s">
        <v>1550</v>
      </c>
      <c r="C4059" s="7">
        <v>100</v>
      </c>
      <c r="D4059" s="7" t="s">
        <v>19</v>
      </c>
      <c r="E4059" s="104">
        <v>2100</v>
      </c>
      <c r="F4059" s="104">
        <f t="shared" si="43"/>
        <v>210000</v>
      </c>
      <c r="G4059" s="25"/>
      <c r="H4059" s="11"/>
      <c r="I4059" s="21"/>
      <c r="J4059" s="21"/>
      <c r="K4059" s="21"/>
      <c r="L4059" s="21"/>
      <c r="M4059" s="21"/>
      <c r="N4059" s="21"/>
    </row>
    <row r="4060" spans="1:14" ht="15.75" customHeight="1" x14ac:dyDescent="0.25">
      <c r="A4060" s="7"/>
      <c r="B4060" s="343" t="s">
        <v>342</v>
      </c>
      <c r="C4060" s="344"/>
      <c r="D4060" s="344"/>
      <c r="E4060" s="334"/>
      <c r="F4060" s="104">
        <f>SUM(F4053:F4059)</f>
        <v>3032200</v>
      </c>
      <c r="G4060" s="25"/>
      <c r="H4060" s="11"/>
      <c r="I4060" s="21"/>
      <c r="J4060" s="21"/>
      <c r="K4060" s="21"/>
      <c r="L4060" s="21"/>
      <c r="M4060" s="21"/>
      <c r="N4060" s="21"/>
    </row>
    <row r="4061" spans="1:14" ht="15.75" customHeight="1" x14ac:dyDescent="0.25">
      <c r="A4061" s="7"/>
      <c r="B4061" s="343" t="s">
        <v>343</v>
      </c>
      <c r="C4061" s="344"/>
      <c r="D4061" s="344"/>
      <c r="E4061" s="334"/>
      <c r="F4061" s="104">
        <v>333542</v>
      </c>
      <c r="G4061" s="25"/>
      <c r="H4061" s="11"/>
      <c r="I4061" s="21"/>
      <c r="J4061" s="21"/>
      <c r="K4061" s="21"/>
      <c r="L4061" s="21"/>
      <c r="M4061" s="21"/>
      <c r="N4061" s="21"/>
    </row>
    <row r="4062" spans="1:14" ht="15.75" customHeight="1" x14ac:dyDescent="0.25">
      <c r="A4062" s="7"/>
      <c r="B4062" s="345" t="s">
        <v>344</v>
      </c>
      <c r="C4062" s="344"/>
      <c r="D4062" s="344"/>
      <c r="E4062" s="334"/>
      <c r="F4062" s="107">
        <f>SUM(F4060:F4061)</f>
        <v>3365742</v>
      </c>
      <c r="G4062" s="25"/>
      <c r="H4062" s="11"/>
      <c r="I4062" s="21"/>
      <c r="J4062" s="21"/>
      <c r="K4062" s="21"/>
      <c r="L4062" s="21"/>
      <c r="M4062" s="21"/>
      <c r="N4062" s="21"/>
    </row>
    <row r="4063" spans="1:14" ht="15.75" customHeight="1" x14ac:dyDescent="0.25">
      <c r="A4063" s="21"/>
      <c r="B4063" s="21"/>
      <c r="C4063" s="11"/>
      <c r="D4063" s="11"/>
      <c r="E4063" s="21"/>
      <c r="F4063" s="21"/>
      <c r="G4063" s="25"/>
      <c r="H4063" s="11"/>
      <c r="I4063" s="21"/>
      <c r="J4063" s="21"/>
      <c r="K4063" s="21"/>
      <c r="L4063" s="21"/>
      <c r="M4063" s="21"/>
      <c r="N4063" s="21"/>
    </row>
    <row r="4064" spans="1:14" ht="15.75" customHeight="1" x14ac:dyDescent="0.25">
      <c r="A4064" s="31" t="s">
        <v>14</v>
      </c>
      <c r="B4064" s="31" t="s">
        <v>234</v>
      </c>
      <c r="C4064" s="31" t="s">
        <v>16</v>
      </c>
      <c r="D4064" s="31" t="s">
        <v>17</v>
      </c>
      <c r="E4064" s="31" t="s">
        <v>235</v>
      </c>
      <c r="F4064" s="31" t="s">
        <v>236</v>
      </c>
      <c r="G4064" s="25"/>
      <c r="H4064" s="11"/>
      <c r="I4064" s="21"/>
      <c r="J4064" s="21"/>
      <c r="K4064" s="21"/>
      <c r="L4064" s="21"/>
      <c r="M4064" s="21"/>
      <c r="N4064" s="21"/>
    </row>
    <row r="4065" spans="1:14" ht="15.75" customHeight="1" x14ac:dyDescent="0.25">
      <c r="A4065" s="7">
        <v>1</v>
      </c>
      <c r="B4065" s="120" t="s">
        <v>1520</v>
      </c>
      <c r="C4065" s="129">
        <v>6</v>
      </c>
      <c r="D4065" s="7" t="s">
        <v>19</v>
      </c>
      <c r="E4065" s="130">
        <v>345000</v>
      </c>
      <c r="F4065" s="130">
        <f>E4065*C4065</f>
        <v>2070000</v>
      </c>
      <c r="G4065" s="25"/>
      <c r="H4065" s="11"/>
      <c r="I4065" s="21"/>
      <c r="J4065" s="21"/>
      <c r="K4065" s="21"/>
      <c r="L4065" s="21"/>
      <c r="M4065" s="21"/>
      <c r="N4065" s="21"/>
    </row>
    <row r="4066" spans="1:14" ht="15.75" customHeight="1" x14ac:dyDescent="0.25">
      <c r="A4066" s="7"/>
      <c r="B4066" s="343" t="s">
        <v>342</v>
      </c>
      <c r="C4066" s="344"/>
      <c r="D4066" s="344"/>
      <c r="E4066" s="334"/>
      <c r="F4066" s="104">
        <f>SUM(F4065)</f>
        <v>2070000</v>
      </c>
      <c r="G4066" s="25"/>
      <c r="H4066" s="11"/>
      <c r="I4066" s="21"/>
      <c r="J4066" s="21"/>
      <c r="K4066" s="21"/>
      <c r="L4066" s="21"/>
      <c r="M4066" s="21"/>
      <c r="N4066" s="21"/>
    </row>
    <row r="4067" spans="1:14" ht="15.75" customHeight="1" x14ac:dyDescent="0.25">
      <c r="A4067" s="7"/>
      <c r="B4067" s="343" t="s">
        <v>343</v>
      </c>
      <c r="C4067" s="344"/>
      <c r="D4067" s="344"/>
      <c r="E4067" s="334"/>
      <c r="F4067" s="104">
        <v>227700</v>
      </c>
      <c r="G4067" s="25"/>
      <c r="H4067" s="11"/>
      <c r="I4067" s="21"/>
      <c r="J4067" s="21"/>
      <c r="K4067" s="21"/>
      <c r="L4067" s="21"/>
      <c r="M4067" s="21"/>
      <c r="N4067" s="21"/>
    </row>
    <row r="4068" spans="1:14" ht="15.75" customHeight="1" x14ac:dyDescent="0.25">
      <c r="A4068" s="7"/>
      <c r="B4068" s="345" t="s">
        <v>344</v>
      </c>
      <c r="C4068" s="344"/>
      <c r="D4068" s="344"/>
      <c r="E4068" s="334"/>
      <c r="F4068" s="107">
        <f>SUM(F4066:F4067)</f>
        <v>2297700</v>
      </c>
      <c r="G4068" s="25"/>
      <c r="H4068" s="11"/>
      <c r="I4068" s="21"/>
      <c r="J4068" s="21"/>
      <c r="K4068" s="21"/>
      <c r="L4068" s="21"/>
      <c r="M4068" s="21"/>
      <c r="N4068" s="21"/>
    </row>
    <row r="4069" spans="1:14" ht="15.75" customHeight="1" x14ac:dyDescent="0.25">
      <c r="A4069" s="21"/>
      <c r="B4069" s="21"/>
      <c r="C4069" s="11"/>
      <c r="D4069" s="11"/>
      <c r="E4069" s="21"/>
      <c r="F4069" s="21"/>
      <c r="G4069" s="25"/>
      <c r="H4069" s="11"/>
      <c r="I4069" s="21"/>
      <c r="J4069" s="21"/>
      <c r="K4069" s="21"/>
      <c r="L4069" s="21"/>
      <c r="M4069" s="21"/>
      <c r="N4069" s="21"/>
    </row>
    <row r="4070" spans="1:14" ht="15.75" customHeight="1" x14ac:dyDescent="0.25">
      <c r="A4070" s="31" t="s">
        <v>351</v>
      </c>
      <c r="B4070" s="31" t="s">
        <v>234</v>
      </c>
      <c r="C4070" s="31" t="s">
        <v>16</v>
      </c>
      <c r="D4070" s="31" t="s">
        <v>17</v>
      </c>
      <c r="E4070" s="31" t="s">
        <v>235</v>
      </c>
      <c r="F4070" s="31" t="s">
        <v>236</v>
      </c>
      <c r="G4070" s="25"/>
      <c r="H4070" s="11"/>
      <c r="I4070" s="21"/>
      <c r="J4070" s="21"/>
      <c r="K4070" s="21"/>
      <c r="L4070" s="21"/>
      <c r="M4070" s="21"/>
      <c r="N4070" s="21"/>
    </row>
    <row r="4071" spans="1:14" ht="15.75" customHeight="1" x14ac:dyDescent="0.25">
      <c r="A4071" s="7">
        <v>1</v>
      </c>
      <c r="B4071" s="41" t="s">
        <v>1551</v>
      </c>
      <c r="C4071" s="7">
        <v>24</v>
      </c>
      <c r="D4071" s="7" t="s">
        <v>363</v>
      </c>
      <c r="E4071" s="104">
        <v>13386</v>
      </c>
      <c r="F4071" s="104">
        <f>E4071*C4071</f>
        <v>321264</v>
      </c>
      <c r="G4071" s="25"/>
      <c r="H4071" s="11"/>
      <c r="I4071" s="21"/>
      <c r="J4071" s="21"/>
      <c r="K4071" s="21"/>
      <c r="L4071" s="21"/>
      <c r="M4071" s="21"/>
      <c r="N4071" s="21"/>
    </row>
    <row r="4072" spans="1:14" ht="15.75" customHeight="1" x14ac:dyDescent="0.25">
      <c r="A4072" s="7">
        <v>2</v>
      </c>
      <c r="B4072" s="41" t="s">
        <v>1552</v>
      </c>
      <c r="C4072" s="7">
        <v>30</v>
      </c>
      <c r="D4072" s="7" t="s">
        <v>1458</v>
      </c>
      <c r="E4072" s="104">
        <v>33950</v>
      </c>
      <c r="F4072" s="104">
        <f>E4072*C4072</f>
        <v>1018500</v>
      </c>
      <c r="G4072" s="25"/>
      <c r="H4072" s="11"/>
      <c r="I4072" s="21"/>
      <c r="J4072" s="21"/>
      <c r="K4072" s="21"/>
      <c r="L4072" s="21"/>
      <c r="M4072" s="21"/>
      <c r="N4072" s="21"/>
    </row>
    <row r="4073" spans="1:14" ht="15.75" customHeight="1" x14ac:dyDescent="0.25">
      <c r="A4073" s="7"/>
      <c r="B4073" s="343" t="s">
        <v>342</v>
      </c>
      <c r="C4073" s="344"/>
      <c r="D4073" s="344"/>
      <c r="E4073" s="334"/>
      <c r="F4073" s="104">
        <f>SUM(F4071:F4072)</f>
        <v>1339764</v>
      </c>
      <c r="G4073" s="25"/>
      <c r="H4073" s="11"/>
      <c r="I4073" s="21"/>
      <c r="J4073" s="21"/>
      <c r="K4073" s="21"/>
      <c r="L4073" s="21"/>
      <c r="M4073" s="21"/>
      <c r="N4073" s="21"/>
    </row>
    <row r="4074" spans="1:14" ht="15.75" customHeight="1" x14ac:dyDescent="0.25">
      <c r="A4074" s="7"/>
      <c r="B4074" s="343" t="s">
        <v>343</v>
      </c>
      <c r="C4074" s="344"/>
      <c r="D4074" s="344"/>
      <c r="E4074" s="334"/>
      <c r="F4074" s="108">
        <v>147374.04</v>
      </c>
      <c r="G4074" s="25"/>
      <c r="H4074" s="11"/>
      <c r="I4074" s="21"/>
      <c r="J4074" s="21"/>
      <c r="K4074" s="21"/>
      <c r="L4074" s="21"/>
      <c r="M4074" s="21"/>
      <c r="N4074" s="21"/>
    </row>
    <row r="4075" spans="1:14" ht="15.75" customHeight="1" x14ac:dyDescent="0.25">
      <c r="A4075" s="7"/>
      <c r="B4075" s="345" t="s">
        <v>344</v>
      </c>
      <c r="C4075" s="344"/>
      <c r="D4075" s="344"/>
      <c r="E4075" s="334"/>
      <c r="F4075" s="109">
        <f>SUM(F4073:F4074)</f>
        <v>1487138.04</v>
      </c>
      <c r="G4075" s="25"/>
      <c r="H4075" s="11"/>
      <c r="I4075" s="21"/>
      <c r="J4075" s="21"/>
      <c r="K4075" s="21"/>
      <c r="L4075" s="21"/>
      <c r="M4075" s="21"/>
      <c r="N4075" s="21"/>
    </row>
    <row r="4076" spans="1:14" ht="15.75" customHeight="1" x14ac:dyDescent="0.25">
      <c r="A4076" s="21"/>
      <c r="B4076" s="21"/>
      <c r="C4076" s="11"/>
      <c r="D4076" s="11"/>
      <c r="E4076" s="21"/>
      <c r="F4076" s="21"/>
      <c r="G4076" s="25"/>
      <c r="H4076" s="11"/>
      <c r="I4076" s="21"/>
      <c r="J4076" s="21"/>
      <c r="K4076" s="21"/>
      <c r="L4076" s="21"/>
      <c r="M4076" s="21"/>
      <c r="N4076" s="21"/>
    </row>
    <row r="4077" spans="1:14" ht="15.75" customHeight="1" x14ac:dyDescent="0.25">
      <c r="A4077" s="31" t="s">
        <v>14</v>
      </c>
      <c r="B4077" s="31" t="s">
        <v>234</v>
      </c>
      <c r="C4077" s="31" t="s">
        <v>16</v>
      </c>
      <c r="D4077" s="31" t="s">
        <v>17</v>
      </c>
      <c r="E4077" s="31" t="s">
        <v>235</v>
      </c>
      <c r="F4077" s="31" t="s">
        <v>236</v>
      </c>
      <c r="G4077" s="25"/>
      <c r="H4077" s="11"/>
      <c r="I4077" s="21"/>
      <c r="J4077" s="21"/>
      <c r="K4077" s="21"/>
      <c r="L4077" s="21"/>
      <c r="M4077" s="21"/>
      <c r="N4077" s="21"/>
    </row>
    <row r="4078" spans="1:14" ht="15.75" customHeight="1" x14ac:dyDescent="0.25">
      <c r="A4078" s="7">
        <v>1</v>
      </c>
      <c r="B4078" s="121" t="s">
        <v>1553</v>
      </c>
      <c r="C4078" s="129">
        <v>20</v>
      </c>
      <c r="D4078" s="7" t="s">
        <v>19</v>
      </c>
      <c r="E4078" s="130">
        <v>6500</v>
      </c>
      <c r="F4078" s="130">
        <f>E4078*C4078</f>
        <v>130000</v>
      </c>
      <c r="G4078" s="25"/>
      <c r="H4078" s="11"/>
      <c r="I4078" s="21"/>
      <c r="J4078" s="21"/>
      <c r="K4078" s="21"/>
      <c r="L4078" s="21"/>
      <c r="M4078" s="21"/>
      <c r="N4078" s="21"/>
    </row>
    <row r="4079" spans="1:14" ht="15.75" customHeight="1" x14ac:dyDescent="0.25">
      <c r="A4079" s="7">
        <v>2</v>
      </c>
      <c r="B4079" s="143" t="s">
        <v>1554</v>
      </c>
      <c r="C4079" s="129">
        <v>20</v>
      </c>
      <c r="D4079" s="7" t="s">
        <v>19</v>
      </c>
      <c r="E4079" s="130">
        <v>8500</v>
      </c>
      <c r="F4079" s="130">
        <f>E4079*C4079</f>
        <v>170000</v>
      </c>
      <c r="G4079" s="25"/>
      <c r="H4079" s="11"/>
      <c r="I4079" s="21"/>
      <c r="J4079" s="21"/>
      <c r="K4079" s="21"/>
      <c r="L4079" s="21"/>
      <c r="M4079" s="21"/>
      <c r="N4079" s="21"/>
    </row>
    <row r="4080" spans="1:14" ht="15.75" customHeight="1" x14ac:dyDescent="0.25">
      <c r="A4080" s="7">
        <v>3</v>
      </c>
      <c r="B4080" s="143" t="s">
        <v>1555</v>
      </c>
      <c r="C4080" s="129">
        <v>50</v>
      </c>
      <c r="D4080" s="7" t="s">
        <v>370</v>
      </c>
      <c r="E4080" s="130">
        <v>114500</v>
      </c>
      <c r="F4080" s="130">
        <f>E4080*C4080</f>
        <v>5725000</v>
      </c>
      <c r="G4080" s="25"/>
      <c r="H4080" s="11"/>
      <c r="I4080" s="21"/>
      <c r="J4080" s="21"/>
      <c r="K4080" s="21"/>
      <c r="L4080" s="21"/>
      <c r="M4080" s="21"/>
      <c r="N4080" s="21"/>
    </row>
    <row r="4081" spans="1:14" ht="15.75" customHeight="1" x14ac:dyDescent="0.25">
      <c r="A4081" s="7">
        <v>4</v>
      </c>
      <c r="B4081" s="143" t="s">
        <v>1556</v>
      </c>
      <c r="C4081" s="129">
        <v>1</v>
      </c>
      <c r="D4081" s="7" t="s">
        <v>19</v>
      </c>
      <c r="E4081" s="130">
        <v>1761035</v>
      </c>
      <c r="F4081" s="130">
        <f>E4081*C4081</f>
        <v>1761035</v>
      </c>
      <c r="G4081" s="25"/>
      <c r="H4081" s="11"/>
      <c r="I4081" s="21"/>
      <c r="J4081" s="21"/>
      <c r="K4081" s="21"/>
      <c r="L4081" s="21"/>
      <c r="M4081" s="21"/>
      <c r="N4081" s="21"/>
    </row>
    <row r="4082" spans="1:14" ht="15.75" customHeight="1" x14ac:dyDescent="0.25">
      <c r="A4082" s="7">
        <v>5</v>
      </c>
      <c r="B4082" s="143" t="s">
        <v>1557</v>
      </c>
      <c r="C4082" s="129">
        <v>1</v>
      </c>
      <c r="D4082" s="7" t="s">
        <v>19</v>
      </c>
      <c r="E4082" s="130">
        <v>949145</v>
      </c>
      <c r="F4082" s="130">
        <f>E4082*C4082</f>
        <v>949145</v>
      </c>
      <c r="G4082" s="25"/>
      <c r="H4082" s="11"/>
      <c r="I4082" s="21"/>
      <c r="J4082" s="21"/>
      <c r="K4082" s="21"/>
      <c r="L4082" s="21"/>
      <c r="M4082" s="21"/>
      <c r="N4082" s="21"/>
    </row>
    <row r="4083" spans="1:14" ht="15.75" customHeight="1" x14ac:dyDescent="0.25">
      <c r="A4083" s="7"/>
      <c r="B4083" s="343" t="s">
        <v>342</v>
      </c>
      <c r="C4083" s="344"/>
      <c r="D4083" s="344"/>
      <c r="E4083" s="334"/>
      <c r="F4083" s="104">
        <f>SUM(F4078:F4082)</f>
        <v>8735180</v>
      </c>
      <c r="G4083" s="25"/>
      <c r="H4083" s="11"/>
      <c r="I4083" s="21"/>
      <c r="J4083" s="21"/>
      <c r="K4083" s="21"/>
      <c r="L4083" s="21"/>
      <c r="M4083" s="21"/>
      <c r="N4083" s="21"/>
    </row>
    <row r="4084" spans="1:14" ht="15.75" customHeight="1" x14ac:dyDescent="0.25">
      <c r="A4084" s="7"/>
      <c r="B4084" s="343" t="s">
        <v>343</v>
      </c>
      <c r="C4084" s="344"/>
      <c r="D4084" s="344"/>
      <c r="E4084" s="334"/>
      <c r="F4084" s="104">
        <v>960869.8</v>
      </c>
      <c r="G4084" s="25"/>
      <c r="H4084" s="11"/>
      <c r="I4084" s="21"/>
      <c r="J4084" s="21"/>
      <c r="K4084" s="21"/>
      <c r="L4084" s="21"/>
      <c r="M4084" s="21"/>
      <c r="N4084" s="21"/>
    </row>
    <row r="4085" spans="1:14" ht="15.75" customHeight="1" x14ac:dyDescent="0.25">
      <c r="A4085" s="7"/>
      <c r="B4085" s="345" t="s">
        <v>344</v>
      </c>
      <c r="C4085" s="344"/>
      <c r="D4085" s="344"/>
      <c r="E4085" s="334"/>
      <c r="F4085" s="107">
        <f>SUM(F4083:F4084)</f>
        <v>9696049.8000000007</v>
      </c>
      <c r="G4085" s="25"/>
      <c r="H4085" s="11"/>
      <c r="I4085" s="21"/>
      <c r="J4085" s="21"/>
      <c r="K4085" s="21"/>
      <c r="L4085" s="21"/>
      <c r="M4085" s="21"/>
      <c r="N4085" s="21"/>
    </row>
    <row r="4086" spans="1:14" ht="15.75" customHeight="1" x14ac:dyDescent="0.25">
      <c r="A4086" s="21"/>
      <c r="B4086" s="21"/>
      <c r="C4086" s="11"/>
      <c r="D4086" s="11"/>
      <c r="E4086" s="21"/>
      <c r="F4086" s="21"/>
      <c r="G4086" s="25"/>
      <c r="H4086" s="11"/>
      <c r="I4086" s="21"/>
      <c r="J4086" s="21"/>
      <c r="K4086" s="21"/>
      <c r="L4086" s="21"/>
      <c r="M4086" s="21"/>
      <c r="N4086" s="21"/>
    </row>
    <row r="4087" spans="1:14" ht="15.75" customHeight="1" x14ac:dyDescent="0.25">
      <c r="A4087" s="31" t="s">
        <v>14</v>
      </c>
      <c r="B4087" s="31" t="s">
        <v>234</v>
      </c>
      <c r="C4087" s="31" t="s">
        <v>16</v>
      </c>
      <c r="D4087" s="31" t="s">
        <v>17</v>
      </c>
      <c r="E4087" s="31" t="s">
        <v>235</v>
      </c>
      <c r="F4087" s="31" t="s">
        <v>236</v>
      </c>
      <c r="G4087" s="25"/>
      <c r="H4087" s="11"/>
      <c r="I4087" s="21"/>
      <c r="J4087" s="21"/>
      <c r="K4087" s="21"/>
      <c r="L4087" s="21"/>
      <c r="M4087" s="21"/>
      <c r="N4087" s="21"/>
    </row>
    <row r="4088" spans="1:14" ht="15.75" customHeight="1" x14ac:dyDescent="0.25">
      <c r="A4088" s="7">
        <v>1</v>
      </c>
      <c r="B4088" s="120" t="s">
        <v>1558</v>
      </c>
      <c r="C4088" s="129">
        <v>1</v>
      </c>
      <c r="D4088" s="7" t="s">
        <v>243</v>
      </c>
      <c r="E4088" s="130">
        <v>977075</v>
      </c>
      <c r="F4088" s="130">
        <f>E4088*C4088</f>
        <v>977075</v>
      </c>
      <c r="G4088" s="25"/>
      <c r="H4088" s="11"/>
      <c r="I4088" s="21"/>
      <c r="J4088" s="21"/>
      <c r="K4088" s="21"/>
      <c r="L4088" s="21"/>
      <c r="M4088" s="21"/>
      <c r="N4088" s="21"/>
    </row>
    <row r="4089" spans="1:14" ht="15.75" customHeight="1" x14ac:dyDescent="0.25">
      <c r="A4089" s="7"/>
      <c r="B4089" s="343" t="s">
        <v>342</v>
      </c>
      <c r="C4089" s="344"/>
      <c r="D4089" s="344"/>
      <c r="E4089" s="334"/>
      <c r="F4089" s="104">
        <f>SUM(F4088)</f>
        <v>977075</v>
      </c>
      <c r="G4089" s="25"/>
      <c r="H4089" s="11"/>
      <c r="I4089" s="21"/>
      <c r="J4089" s="21"/>
      <c r="K4089" s="21"/>
      <c r="L4089" s="21"/>
      <c r="M4089" s="21"/>
      <c r="N4089" s="21"/>
    </row>
    <row r="4090" spans="1:14" ht="15.75" customHeight="1" x14ac:dyDescent="0.25">
      <c r="A4090" s="7"/>
      <c r="B4090" s="343" t="s">
        <v>343</v>
      </c>
      <c r="C4090" s="344"/>
      <c r="D4090" s="344"/>
      <c r="E4090" s="334"/>
      <c r="F4090" s="108">
        <v>107478.25</v>
      </c>
      <c r="G4090" s="25"/>
      <c r="H4090" s="11"/>
      <c r="I4090" s="21"/>
      <c r="J4090" s="21"/>
      <c r="K4090" s="21"/>
      <c r="L4090" s="21"/>
      <c r="M4090" s="21"/>
      <c r="N4090" s="21"/>
    </row>
    <row r="4091" spans="1:14" ht="15.75" customHeight="1" x14ac:dyDescent="0.25">
      <c r="A4091" s="7"/>
      <c r="B4091" s="345" t="s">
        <v>344</v>
      </c>
      <c r="C4091" s="344"/>
      <c r="D4091" s="344"/>
      <c r="E4091" s="334"/>
      <c r="F4091" s="109">
        <f>SUM(F4089:F4090)</f>
        <v>1084553.25</v>
      </c>
      <c r="G4091" s="25"/>
      <c r="H4091" s="11"/>
      <c r="I4091" s="21"/>
      <c r="J4091" s="21"/>
      <c r="K4091" s="21"/>
      <c r="L4091" s="21"/>
      <c r="M4091" s="21"/>
      <c r="N4091" s="21"/>
    </row>
    <row r="4092" spans="1:14" ht="15.75" customHeight="1" x14ac:dyDescent="0.25">
      <c r="A4092" s="21"/>
      <c r="B4092" s="21"/>
      <c r="C4092" s="11"/>
      <c r="D4092" s="11"/>
      <c r="E4092" s="21"/>
      <c r="F4092" s="21"/>
      <c r="G4092" s="25"/>
      <c r="H4092" s="11"/>
      <c r="I4092" s="21"/>
      <c r="J4092" s="21"/>
      <c r="K4092" s="21"/>
      <c r="L4092" s="21"/>
      <c r="M4092" s="21"/>
      <c r="N4092" s="21"/>
    </row>
    <row r="4093" spans="1:14" ht="15.75" customHeight="1" x14ac:dyDescent="0.25">
      <c r="A4093" s="31" t="s">
        <v>14</v>
      </c>
      <c r="B4093" s="31" t="s">
        <v>234</v>
      </c>
      <c r="C4093" s="31" t="s">
        <v>16</v>
      </c>
      <c r="D4093" s="31" t="s">
        <v>17</v>
      </c>
      <c r="E4093" s="31" t="s">
        <v>235</v>
      </c>
      <c r="F4093" s="31" t="s">
        <v>236</v>
      </c>
      <c r="G4093" s="25"/>
      <c r="H4093" s="11"/>
      <c r="I4093" s="21"/>
      <c r="J4093" s="21"/>
      <c r="K4093" s="21"/>
      <c r="L4093" s="21"/>
      <c r="M4093" s="21"/>
      <c r="N4093" s="21"/>
    </row>
    <row r="4094" spans="1:14" ht="15.75" customHeight="1" x14ac:dyDescent="0.25">
      <c r="A4094" s="7">
        <v>1</v>
      </c>
      <c r="B4094" s="120" t="s">
        <v>1559</v>
      </c>
      <c r="C4094" s="129">
        <v>4</v>
      </c>
      <c r="D4094" s="7" t="s">
        <v>19</v>
      </c>
      <c r="E4094" s="130">
        <v>1965705</v>
      </c>
      <c r="F4094" s="130">
        <f>E4094*C4094</f>
        <v>7862820</v>
      </c>
      <c r="G4094" s="25"/>
      <c r="H4094" s="11"/>
      <c r="I4094" s="21"/>
      <c r="J4094" s="21"/>
      <c r="K4094" s="21"/>
      <c r="L4094" s="21"/>
      <c r="M4094" s="21"/>
      <c r="N4094" s="21"/>
    </row>
    <row r="4095" spans="1:14" ht="15.75" customHeight="1" x14ac:dyDescent="0.25">
      <c r="A4095" s="7"/>
      <c r="B4095" s="343" t="s">
        <v>342</v>
      </c>
      <c r="C4095" s="344"/>
      <c r="D4095" s="344"/>
      <c r="E4095" s="334"/>
      <c r="F4095" s="104">
        <f>SUM(F4094)</f>
        <v>7862820</v>
      </c>
      <c r="G4095" s="25"/>
      <c r="H4095" s="11"/>
      <c r="I4095" s="21"/>
      <c r="J4095" s="21"/>
      <c r="K4095" s="21"/>
      <c r="L4095" s="21"/>
      <c r="M4095" s="21"/>
      <c r="N4095" s="21"/>
    </row>
    <row r="4096" spans="1:14" ht="15.75" customHeight="1" x14ac:dyDescent="0.25">
      <c r="A4096" s="7"/>
      <c r="B4096" s="343" t="s">
        <v>343</v>
      </c>
      <c r="C4096" s="344"/>
      <c r="D4096" s="344"/>
      <c r="E4096" s="334"/>
      <c r="F4096" s="108">
        <v>864910.2</v>
      </c>
      <c r="G4096" s="25"/>
      <c r="H4096" s="11"/>
      <c r="I4096" s="21"/>
      <c r="J4096" s="21"/>
      <c r="K4096" s="21"/>
      <c r="L4096" s="21"/>
      <c r="M4096" s="21"/>
      <c r="N4096" s="21"/>
    </row>
    <row r="4097" spans="1:14" ht="15.75" customHeight="1" x14ac:dyDescent="0.25">
      <c r="A4097" s="7"/>
      <c r="B4097" s="345" t="s">
        <v>344</v>
      </c>
      <c r="C4097" s="344"/>
      <c r="D4097" s="344"/>
      <c r="E4097" s="334"/>
      <c r="F4097" s="109">
        <f>SUM(F4095:F4096)</f>
        <v>8727730.1999999993</v>
      </c>
      <c r="G4097" s="25"/>
      <c r="H4097" s="11"/>
      <c r="I4097" s="21"/>
      <c r="J4097" s="21"/>
      <c r="K4097" s="21"/>
      <c r="L4097" s="21"/>
      <c r="M4097" s="21"/>
      <c r="N4097" s="21"/>
    </row>
    <row r="4098" spans="1:14" ht="15.75" customHeight="1" x14ac:dyDescent="0.25">
      <c r="A4098" s="21"/>
      <c r="B4098" s="21"/>
      <c r="C4098" s="11"/>
      <c r="D4098" s="11"/>
      <c r="E4098" s="21"/>
      <c r="F4098" s="21"/>
      <c r="G4098" s="25"/>
      <c r="H4098" s="11"/>
      <c r="I4098" s="21"/>
      <c r="J4098" s="21"/>
      <c r="K4098" s="21"/>
      <c r="L4098" s="21"/>
      <c r="M4098" s="21"/>
      <c r="N4098" s="21"/>
    </row>
    <row r="4099" spans="1:14" ht="15.75" customHeight="1" x14ac:dyDescent="0.25">
      <c r="A4099" s="31" t="s">
        <v>14</v>
      </c>
      <c r="B4099" s="31" t="s">
        <v>234</v>
      </c>
      <c r="C4099" s="31" t="s">
        <v>16</v>
      </c>
      <c r="D4099" s="31" t="s">
        <v>17</v>
      </c>
      <c r="E4099" s="31" t="s">
        <v>235</v>
      </c>
      <c r="F4099" s="31" t="s">
        <v>236</v>
      </c>
      <c r="G4099" s="25"/>
      <c r="H4099" s="11"/>
      <c r="I4099" s="21"/>
      <c r="J4099" s="21"/>
      <c r="K4099" s="21"/>
      <c r="L4099" s="21"/>
      <c r="M4099" s="21"/>
      <c r="N4099" s="21"/>
    </row>
    <row r="4100" spans="1:14" ht="15.75" customHeight="1" x14ac:dyDescent="0.25">
      <c r="A4100" s="7">
        <v>1</v>
      </c>
      <c r="B4100" s="120" t="s">
        <v>1560</v>
      </c>
      <c r="C4100" s="129">
        <v>10</v>
      </c>
      <c r="D4100" s="7" t="s">
        <v>19</v>
      </c>
      <c r="E4100" s="130">
        <v>128500</v>
      </c>
      <c r="F4100" s="130">
        <f>E4100*C4100</f>
        <v>1285000</v>
      </c>
      <c r="G4100" s="25"/>
      <c r="H4100" s="11"/>
      <c r="I4100" s="21"/>
      <c r="J4100" s="21"/>
      <c r="K4100" s="21"/>
      <c r="L4100" s="21"/>
      <c r="M4100" s="21"/>
      <c r="N4100" s="21"/>
    </row>
    <row r="4101" spans="1:14" ht="15.75" customHeight="1" x14ac:dyDescent="0.25">
      <c r="A4101" s="7"/>
      <c r="B4101" s="343" t="s">
        <v>342</v>
      </c>
      <c r="C4101" s="344"/>
      <c r="D4101" s="344"/>
      <c r="E4101" s="334"/>
      <c r="F4101" s="104">
        <f>SUM(F4100)</f>
        <v>1285000</v>
      </c>
      <c r="G4101" s="25"/>
      <c r="H4101" s="11"/>
      <c r="I4101" s="21"/>
      <c r="J4101" s="21"/>
      <c r="K4101" s="21"/>
      <c r="L4101" s="21"/>
      <c r="M4101" s="21"/>
      <c r="N4101" s="21"/>
    </row>
    <row r="4102" spans="1:14" ht="15.75" customHeight="1" x14ac:dyDescent="0.25">
      <c r="A4102" s="7"/>
      <c r="B4102" s="343" t="s">
        <v>343</v>
      </c>
      <c r="C4102" s="344"/>
      <c r="D4102" s="344"/>
      <c r="E4102" s="334"/>
      <c r="F4102" s="104">
        <v>141350</v>
      </c>
      <c r="G4102" s="25"/>
      <c r="H4102" s="11"/>
      <c r="I4102" s="21"/>
      <c r="J4102" s="21"/>
      <c r="K4102" s="21"/>
      <c r="L4102" s="21"/>
      <c r="M4102" s="21"/>
      <c r="N4102" s="21"/>
    </row>
    <row r="4103" spans="1:14" ht="15.75" customHeight="1" x14ac:dyDescent="0.25">
      <c r="A4103" s="7"/>
      <c r="B4103" s="345" t="s">
        <v>344</v>
      </c>
      <c r="C4103" s="344"/>
      <c r="D4103" s="344"/>
      <c r="E4103" s="334"/>
      <c r="F4103" s="107">
        <f>SUM(F4101:F4102)</f>
        <v>1426350</v>
      </c>
      <c r="G4103" s="25"/>
      <c r="H4103" s="11"/>
      <c r="I4103" s="21"/>
      <c r="J4103" s="21"/>
      <c r="K4103" s="21"/>
      <c r="L4103" s="21"/>
      <c r="M4103" s="21"/>
      <c r="N4103" s="21"/>
    </row>
    <row r="4104" spans="1:14" ht="15.75" customHeight="1" x14ac:dyDescent="0.25">
      <c r="A4104" s="21"/>
      <c r="B4104" s="21"/>
      <c r="C4104" s="11"/>
      <c r="D4104" s="11"/>
      <c r="E4104" s="21"/>
      <c r="F4104" s="21"/>
      <c r="G4104" s="25"/>
      <c r="H4104" s="11"/>
      <c r="I4104" s="21"/>
      <c r="J4104" s="21"/>
      <c r="K4104" s="21"/>
      <c r="L4104" s="21"/>
      <c r="M4104" s="21"/>
      <c r="N4104" s="21"/>
    </row>
    <row r="4105" spans="1:14" ht="15.75" customHeight="1" x14ac:dyDescent="0.25">
      <c r="A4105" s="31" t="s">
        <v>351</v>
      </c>
      <c r="B4105" s="31" t="s">
        <v>234</v>
      </c>
      <c r="C4105" s="31" t="s">
        <v>16</v>
      </c>
      <c r="D4105" s="31" t="s">
        <v>17</v>
      </c>
      <c r="E4105" s="31" t="s">
        <v>235</v>
      </c>
      <c r="F4105" s="31" t="s">
        <v>236</v>
      </c>
      <c r="G4105" s="25"/>
      <c r="H4105" s="11"/>
      <c r="I4105" s="21"/>
      <c r="J4105" s="21"/>
      <c r="K4105" s="21"/>
      <c r="L4105" s="21"/>
      <c r="M4105" s="21"/>
      <c r="N4105" s="21"/>
    </row>
    <row r="4106" spans="1:14" ht="15.75" customHeight="1" x14ac:dyDescent="0.25">
      <c r="A4106" s="7">
        <v>1</v>
      </c>
      <c r="B4106" s="124" t="s">
        <v>1561</v>
      </c>
      <c r="C4106" s="7">
        <v>2</v>
      </c>
      <c r="D4106" s="7" t="s">
        <v>243</v>
      </c>
      <c r="E4106" s="104">
        <v>3334500</v>
      </c>
      <c r="F4106" s="104">
        <f>E4106*C4106</f>
        <v>6669000</v>
      </c>
      <c r="G4106" s="25"/>
      <c r="H4106" s="11"/>
      <c r="I4106" s="21"/>
      <c r="J4106" s="21"/>
      <c r="K4106" s="21"/>
      <c r="L4106" s="21"/>
      <c r="M4106" s="21"/>
      <c r="N4106" s="21"/>
    </row>
    <row r="4107" spans="1:14" ht="15.75" customHeight="1" x14ac:dyDescent="0.25">
      <c r="A4107" s="7">
        <v>2</v>
      </c>
      <c r="B4107" s="120" t="s">
        <v>1562</v>
      </c>
      <c r="C4107" s="7">
        <v>1</v>
      </c>
      <c r="D4107" s="7" t="s">
        <v>243</v>
      </c>
      <c r="E4107" s="104">
        <v>4360500</v>
      </c>
      <c r="F4107" s="104">
        <f>E4107*C4107</f>
        <v>4360500</v>
      </c>
      <c r="G4107" s="25"/>
      <c r="H4107" s="11"/>
      <c r="I4107" s="21"/>
      <c r="J4107" s="21"/>
      <c r="K4107" s="21"/>
      <c r="L4107" s="21"/>
      <c r="M4107" s="21"/>
      <c r="N4107" s="21"/>
    </row>
    <row r="4108" spans="1:14" ht="15.75" customHeight="1" x14ac:dyDescent="0.25">
      <c r="A4108" s="7"/>
      <c r="B4108" s="343" t="s">
        <v>342</v>
      </c>
      <c r="C4108" s="344"/>
      <c r="D4108" s="344"/>
      <c r="E4108" s="334"/>
      <c r="F4108" s="104">
        <f>SUM(F4106:F4107)</f>
        <v>11029500</v>
      </c>
      <c r="G4108" s="25"/>
      <c r="H4108" s="11"/>
      <c r="I4108" s="21"/>
      <c r="J4108" s="21"/>
      <c r="K4108" s="21"/>
      <c r="L4108" s="21"/>
      <c r="M4108" s="21"/>
      <c r="N4108" s="21"/>
    </row>
    <row r="4109" spans="1:14" ht="15.75" customHeight="1" x14ac:dyDescent="0.25">
      <c r="A4109" s="7"/>
      <c r="B4109" s="343" t="s">
        <v>343</v>
      </c>
      <c r="C4109" s="344"/>
      <c r="D4109" s="344"/>
      <c r="E4109" s="334"/>
      <c r="F4109" s="104">
        <v>1213245</v>
      </c>
      <c r="G4109" s="25"/>
      <c r="H4109" s="11"/>
      <c r="I4109" s="21"/>
      <c r="J4109" s="21"/>
      <c r="K4109" s="21"/>
      <c r="L4109" s="21"/>
      <c r="M4109" s="21"/>
      <c r="N4109" s="21"/>
    </row>
    <row r="4110" spans="1:14" ht="15.75" customHeight="1" x14ac:dyDescent="0.25">
      <c r="A4110" s="7"/>
      <c r="B4110" s="345" t="s">
        <v>344</v>
      </c>
      <c r="C4110" s="344"/>
      <c r="D4110" s="344"/>
      <c r="E4110" s="334"/>
      <c r="F4110" s="107">
        <f>SUM(F4108:F4109)</f>
        <v>12242745</v>
      </c>
      <c r="G4110" s="25"/>
      <c r="H4110" s="11"/>
      <c r="I4110" s="21"/>
      <c r="J4110" s="21"/>
      <c r="K4110" s="21"/>
      <c r="L4110" s="21"/>
      <c r="M4110" s="21"/>
      <c r="N4110" s="21"/>
    </row>
    <row r="4111" spans="1:14" ht="15.75" customHeight="1" x14ac:dyDescent="0.25">
      <c r="A4111" s="21"/>
      <c r="B4111" s="21"/>
      <c r="C4111" s="11"/>
      <c r="D4111" s="11"/>
      <c r="E4111" s="21"/>
      <c r="F4111" s="21"/>
      <c r="G4111" s="25"/>
      <c r="H4111" s="11"/>
      <c r="I4111" s="21"/>
      <c r="J4111" s="21"/>
      <c r="K4111" s="21"/>
      <c r="L4111" s="21"/>
      <c r="M4111" s="21"/>
      <c r="N4111" s="21"/>
    </row>
    <row r="4112" spans="1:14" ht="15.75" customHeight="1" x14ac:dyDescent="0.25">
      <c r="A4112" s="31" t="s">
        <v>14</v>
      </c>
      <c r="B4112" s="31" t="s">
        <v>234</v>
      </c>
      <c r="C4112" s="31" t="s">
        <v>16</v>
      </c>
      <c r="D4112" s="31" t="s">
        <v>17</v>
      </c>
      <c r="E4112" s="31" t="s">
        <v>235</v>
      </c>
      <c r="F4112" s="31" t="s">
        <v>236</v>
      </c>
      <c r="G4112" s="25"/>
      <c r="H4112" s="11"/>
      <c r="I4112" s="21"/>
      <c r="J4112" s="21"/>
      <c r="K4112" s="21"/>
      <c r="L4112" s="21"/>
      <c r="M4112" s="21"/>
      <c r="N4112" s="21"/>
    </row>
    <row r="4113" spans="1:14" ht="15.75" customHeight="1" x14ac:dyDescent="0.25">
      <c r="A4113" s="7">
        <v>1</v>
      </c>
      <c r="B4113" s="41" t="s">
        <v>1563</v>
      </c>
      <c r="C4113" s="129">
        <v>1</v>
      </c>
      <c r="D4113" s="7" t="s">
        <v>363</v>
      </c>
      <c r="E4113" s="130">
        <v>13677000</v>
      </c>
      <c r="F4113" s="130">
        <f>E4113*C4113</f>
        <v>13677000</v>
      </c>
      <c r="G4113" s="25"/>
      <c r="H4113" s="11"/>
      <c r="I4113" s="21"/>
      <c r="J4113" s="21"/>
      <c r="K4113" s="21"/>
      <c r="L4113" s="21"/>
      <c r="M4113" s="21"/>
      <c r="N4113" s="21"/>
    </row>
    <row r="4114" spans="1:14" ht="15.75" customHeight="1" x14ac:dyDescent="0.25">
      <c r="A4114" s="7"/>
      <c r="B4114" s="343" t="s">
        <v>342</v>
      </c>
      <c r="C4114" s="344"/>
      <c r="D4114" s="344"/>
      <c r="E4114" s="334"/>
      <c r="F4114" s="104">
        <f>SUM(F4113)</f>
        <v>13677000</v>
      </c>
      <c r="G4114" s="25"/>
      <c r="H4114" s="11"/>
      <c r="I4114" s="21"/>
      <c r="J4114" s="21"/>
      <c r="K4114" s="21"/>
      <c r="L4114" s="21"/>
      <c r="M4114" s="21"/>
      <c r="N4114" s="21"/>
    </row>
    <row r="4115" spans="1:14" ht="15.75" customHeight="1" x14ac:dyDescent="0.25">
      <c r="A4115" s="7"/>
      <c r="B4115" s="343" t="s">
        <v>343</v>
      </c>
      <c r="C4115" s="344"/>
      <c r="D4115" s="344"/>
      <c r="E4115" s="334"/>
      <c r="F4115" s="104">
        <v>1504470</v>
      </c>
      <c r="G4115" s="25"/>
      <c r="H4115" s="11"/>
      <c r="I4115" s="21"/>
      <c r="J4115" s="21"/>
      <c r="K4115" s="21"/>
      <c r="L4115" s="21"/>
      <c r="M4115" s="21"/>
      <c r="N4115" s="21"/>
    </row>
    <row r="4116" spans="1:14" ht="15.75" customHeight="1" x14ac:dyDescent="0.25">
      <c r="A4116" s="7"/>
      <c r="B4116" s="345" t="s">
        <v>344</v>
      </c>
      <c r="C4116" s="344"/>
      <c r="D4116" s="344"/>
      <c r="E4116" s="334"/>
      <c r="F4116" s="107">
        <f>SUM(F4114:F4115)</f>
        <v>15181470</v>
      </c>
      <c r="G4116" s="25"/>
      <c r="H4116" s="11"/>
      <c r="I4116" s="21"/>
      <c r="J4116" s="21"/>
      <c r="K4116" s="21"/>
      <c r="L4116" s="21"/>
      <c r="M4116" s="21"/>
      <c r="N4116" s="21"/>
    </row>
    <row r="4117" spans="1:14" ht="15.75" customHeight="1" x14ac:dyDescent="0.25">
      <c r="A4117" s="21"/>
      <c r="B4117" s="21"/>
      <c r="C4117" s="11"/>
      <c r="D4117" s="11"/>
      <c r="E4117" s="21"/>
      <c r="F4117" s="21"/>
      <c r="G4117" s="25"/>
      <c r="H4117" s="11"/>
      <c r="I4117" s="21"/>
      <c r="J4117" s="21"/>
      <c r="K4117" s="21"/>
      <c r="L4117" s="21"/>
      <c r="M4117" s="21"/>
      <c r="N4117" s="21"/>
    </row>
    <row r="4118" spans="1:14" ht="15.75" customHeight="1" x14ac:dyDescent="0.25">
      <c r="A4118" s="31" t="s">
        <v>14</v>
      </c>
      <c r="B4118" s="31" t="s">
        <v>234</v>
      </c>
      <c r="C4118" s="31" t="s">
        <v>16</v>
      </c>
      <c r="D4118" s="31" t="s">
        <v>17</v>
      </c>
      <c r="E4118" s="31" t="s">
        <v>235</v>
      </c>
      <c r="F4118" s="31" t="s">
        <v>236</v>
      </c>
      <c r="G4118" s="25"/>
      <c r="H4118" s="11"/>
      <c r="I4118" s="21"/>
      <c r="J4118" s="21"/>
      <c r="K4118" s="21"/>
      <c r="L4118" s="21"/>
      <c r="M4118" s="21"/>
      <c r="N4118" s="21"/>
    </row>
    <row r="4119" spans="1:14" ht="15.75" customHeight="1" x14ac:dyDescent="0.25">
      <c r="A4119" s="7">
        <v>1</v>
      </c>
      <c r="B4119" s="124" t="s">
        <v>1564</v>
      </c>
      <c r="C4119" s="129">
        <v>1</v>
      </c>
      <c r="D4119" s="7" t="s">
        <v>19</v>
      </c>
      <c r="E4119" s="130">
        <v>380240</v>
      </c>
      <c r="F4119" s="130">
        <f>E4119*C4119</f>
        <v>380240</v>
      </c>
      <c r="G4119" s="25"/>
      <c r="H4119" s="11"/>
      <c r="I4119" s="21"/>
      <c r="J4119" s="21"/>
      <c r="K4119" s="21"/>
      <c r="L4119" s="21"/>
      <c r="M4119" s="21"/>
      <c r="N4119" s="21"/>
    </row>
    <row r="4120" spans="1:14" ht="15.75" customHeight="1" x14ac:dyDescent="0.25">
      <c r="A4120" s="7">
        <v>2</v>
      </c>
      <c r="B4120" s="124" t="s">
        <v>1565</v>
      </c>
      <c r="C4120" s="129">
        <v>1</v>
      </c>
      <c r="D4120" s="7" t="s">
        <v>19</v>
      </c>
      <c r="E4120" s="130">
        <v>420980</v>
      </c>
      <c r="F4120" s="130">
        <f>E4120*C4120</f>
        <v>420980</v>
      </c>
      <c r="G4120" s="25"/>
      <c r="H4120" s="11"/>
      <c r="I4120" s="21"/>
      <c r="J4120" s="21"/>
      <c r="K4120" s="21"/>
      <c r="L4120" s="21"/>
      <c r="M4120" s="21"/>
      <c r="N4120" s="21"/>
    </row>
    <row r="4121" spans="1:14" ht="15.75" customHeight="1" x14ac:dyDescent="0.25">
      <c r="A4121" s="7">
        <v>3</v>
      </c>
      <c r="B4121" s="124" t="s">
        <v>1566</v>
      </c>
      <c r="C4121" s="129">
        <v>1</v>
      </c>
      <c r="D4121" s="7" t="s">
        <v>19</v>
      </c>
      <c r="E4121" s="130">
        <v>877850</v>
      </c>
      <c r="F4121" s="130">
        <f>E4121*C4121</f>
        <v>877850</v>
      </c>
      <c r="G4121" s="25"/>
      <c r="H4121" s="11"/>
      <c r="I4121" s="21"/>
      <c r="J4121" s="21"/>
      <c r="K4121" s="21"/>
      <c r="L4121" s="21"/>
      <c r="M4121" s="21"/>
      <c r="N4121" s="21"/>
    </row>
    <row r="4122" spans="1:14" ht="15.75" customHeight="1" x14ac:dyDescent="0.25">
      <c r="A4122" s="7">
        <v>4</v>
      </c>
      <c r="B4122" s="124" t="s">
        <v>1567</v>
      </c>
      <c r="C4122" s="129">
        <v>1</v>
      </c>
      <c r="D4122" s="7" t="s">
        <v>19</v>
      </c>
      <c r="E4122" s="130">
        <v>228920</v>
      </c>
      <c r="F4122" s="130">
        <f>E4122*C4122</f>
        <v>228920</v>
      </c>
      <c r="G4122" s="25"/>
      <c r="H4122" s="11"/>
      <c r="I4122" s="21"/>
      <c r="J4122" s="21"/>
      <c r="K4122" s="21"/>
      <c r="L4122" s="21"/>
      <c r="M4122" s="21"/>
      <c r="N4122" s="21"/>
    </row>
    <row r="4123" spans="1:14" ht="15.75" customHeight="1" x14ac:dyDescent="0.25">
      <c r="A4123" s="7">
        <v>5</v>
      </c>
      <c r="B4123" s="124" t="s">
        <v>1568</v>
      </c>
      <c r="C4123" s="129">
        <v>1</v>
      </c>
      <c r="D4123" s="7" t="s">
        <v>19</v>
      </c>
      <c r="E4123" s="130">
        <v>262385</v>
      </c>
      <c r="F4123" s="130">
        <f>E4123*C4123</f>
        <v>262385</v>
      </c>
      <c r="G4123" s="25"/>
      <c r="H4123" s="11"/>
      <c r="I4123" s="21"/>
      <c r="J4123" s="21"/>
      <c r="K4123" s="21"/>
      <c r="L4123" s="21"/>
      <c r="M4123" s="21"/>
      <c r="N4123" s="21"/>
    </row>
    <row r="4124" spans="1:14" ht="15.75" customHeight="1" x14ac:dyDescent="0.25">
      <c r="A4124" s="7"/>
      <c r="B4124" s="343" t="s">
        <v>342</v>
      </c>
      <c r="C4124" s="344"/>
      <c r="D4124" s="344"/>
      <c r="E4124" s="334"/>
      <c r="F4124" s="104">
        <f>SUM(F4119:F4123)</f>
        <v>2170375</v>
      </c>
      <c r="G4124" s="25"/>
      <c r="H4124" s="11"/>
      <c r="I4124" s="21"/>
      <c r="J4124" s="21"/>
      <c r="K4124" s="21"/>
      <c r="L4124" s="21"/>
      <c r="M4124" s="21"/>
      <c r="N4124" s="21"/>
    </row>
    <row r="4125" spans="1:14" ht="15.75" customHeight="1" x14ac:dyDescent="0.25">
      <c r="A4125" s="7"/>
      <c r="B4125" s="343" t="s">
        <v>343</v>
      </c>
      <c r="C4125" s="344"/>
      <c r="D4125" s="344"/>
      <c r="E4125" s="334"/>
      <c r="F4125" s="108">
        <v>238741.25</v>
      </c>
      <c r="G4125" s="25"/>
      <c r="H4125" s="11"/>
      <c r="I4125" s="21"/>
      <c r="J4125" s="21"/>
      <c r="K4125" s="21"/>
      <c r="L4125" s="21"/>
      <c r="M4125" s="21"/>
      <c r="N4125" s="21"/>
    </row>
    <row r="4126" spans="1:14" ht="15.75" customHeight="1" x14ac:dyDescent="0.25">
      <c r="A4126" s="7"/>
      <c r="B4126" s="345" t="s">
        <v>344</v>
      </c>
      <c r="C4126" s="344"/>
      <c r="D4126" s="344"/>
      <c r="E4126" s="334"/>
      <c r="F4126" s="109">
        <f>SUM(F4124:F4125)</f>
        <v>2409116.25</v>
      </c>
      <c r="G4126" s="25"/>
      <c r="H4126" s="11"/>
      <c r="I4126" s="21"/>
      <c r="J4126" s="21"/>
      <c r="K4126" s="21"/>
      <c r="L4126" s="21"/>
      <c r="M4126" s="21"/>
      <c r="N4126" s="21"/>
    </row>
    <row r="4127" spans="1:14" ht="15.75" customHeight="1" x14ac:dyDescent="0.25">
      <c r="A4127" s="21"/>
      <c r="B4127" s="21"/>
      <c r="C4127" s="11"/>
      <c r="D4127" s="11"/>
      <c r="E4127" s="21"/>
      <c r="F4127" s="21"/>
      <c r="G4127" s="25"/>
      <c r="H4127" s="11"/>
      <c r="I4127" s="21"/>
      <c r="J4127" s="21"/>
      <c r="K4127" s="21"/>
      <c r="L4127" s="21"/>
      <c r="M4127" s="21"/>
      <c r="N4127" s="21"/>
    </row>
    <row r="4128" spans="1:14" ht="15.75" customHeight="1" x14ac:dyDescent="0.25">
      <c r="A4128" s="31" t="s">
        <v>351</v>
      </c>
      <c r="B4128" s="31" t="s">
        <v>234</v>
      </c>
      <c r="C4128" s="31" t="s">
        <v>16</v>
      </c>
      <c r="D4128" s="31" t="s">
        <v>17</v>
      </c>
      <c r="E4128" s="31" t="s">
        <v>235</v>
      </c>
      <c r="F4128" s="31" t="s">
        <v>236</v>
      </c>
      <c r="G4128" s="25"/>
      <c r="H4128" s="11"/>
      <c r="I4128" s="21"/>
      <c r="J4128" s="21"/>
      <c r="K4128" s="21"/>
      <c r="L4128" s="21"/>
      <c r="M4128" s="21"/>
      <c r="N4128" s="21"/>
    </row>
    <row r="4129" spans="1:14" ht="15.75" customHeight="1" x14ac:dyDescent="0.25">
      <c r="A4129" s="7">
        <v>1</v>
      </c>
      <c r="B4129" s="41" t="s">
        <v>1372</v>
      </c>
      <c r="C4129" s="7">
        <v>6</v>
      </c>
      <c r="D4129" s="7" t="s">
        <v>363</v>
      </c>
      <c r="E4129" s="104">
        <v>122075</v>
      </c>
      <c r="F4129" s="104">
        <f>E4129*C4129</f>
        <v>732450</v>
      </c>
      <c r="G4129" s="25"/>
      <c r="H4129" s="11"/>
      <c r="I4129" s="21"/>
      <c r="J4129" s="21"/>
      <c r="K4129" s="21"/>
      <c r="L4129" s="21"/>
      <c r="M4129" s="21"/>
      <c r="N4129" s="21"/>
    </row>
    <row r="4130" spans="1:14" ht="15.75" customHeight="1" x14ac:dyDescent="0.25">
      <c r="A4130" s="7">
        <v>2</v>
      </c>
      <c r="B4130" s="41" t="s">
        <v>1569</v>
      </c>
      <c r="C4130" s="7">
        <v>20</v>
      </c>
      <c r="D4130" s="7" t="s">
        <v>355</v>
      </c>
      <c r="E4130" s="104">
        <v>69825</v>
      </c>
      <c r="F4130" s="104">
        <f>E4130*C4130</f>
        <v>1396500</v>
      </c>
      <c r="G4130" s="25"/>
      <c r="H4130" s="11"/>
      <c r="I4130" s="21"/>
      <c r="J4130" s="21"/>
      <c r="K4130" s="21"/>
      <c r="L4130" s="21"/>
      <c r="M4130" s="21"/>
      <c r="N4130" s="21"/>
    </row>
    <row r="4131" spans="1:14" ht="15.75" customHeight="1" x14ac:dyDescent="0.25">
      <c r="A4131" s="7"/>
      <c r="B4131" s="343" t="s">
        <v>342</v>
      </c>
      <c r="C4131" s="344"/>
      <c r="D4131" s="344"/>
      <c r="E4131" s="334"/>
      <c r="F4131" s="104">
        <f>SUM(F4129:F4130)</f>
        <v>2128950</v>
      </c>
      <c r="G4131" s="25"/>
      <c r="H4131" s="11"/>
      <c r="I4131" s="21"/>
      <c r="J4131" s="21"/>
      <c r="K4131" s="21"/>
      <c r="L4131" s="21"/>
      <c r="M4131" s="21"/>
      <c r="N4131" s="21"/>
    </row>
    <row r="4132" spans="1:14" ht="15.75" customHeight="1" x14ac:dyDescent="0.25">
      <c r="A4132" s="7"/>
      <c r="B4132" s="343" t="s">
        <v>343</v>
      </c>
      <c r="C4132" s="344"/>
      <c r="D4132" s="344"/>
      <c r="E4132" s="334"/>
      <c r="F4132" s="108">
        <v>234184.5</v>
      </c>
      <c r="G4132" s="25"/>
      <c r="H4132" s="11"/>
      <c r="I4132" s="21"/>
      <c r="J4132" s="21"/>
      <c r="K4132" s="21"/>
      <c r="L4132" s="21"/>
      <c r="M4132" s="21"/>
      <c r="N4132" s="21"/>
    </row>
    <row r="4133" spans="1:14" ht="15.75" customHeight="1" x14ac:dyDescent="0.25">
      <c r="A4133" s="7"/>
      <c r="B4133" s="345" t="s">
        <v>344</v>
      </c>
      <c r="C4133" s="344"/>
      <c r="D4133" s="344"/>
      <c r="E4133" s="334"/>
      <c r="F4133" s="109">
        <f>SUM(F4131:F4132)</f>
        <v>2363134.5</v>
      </c>
      <c r="G4133" s="25"/>
      <c r="H4133" s="11"/>
      <c r="I4133" s="21"/>
      <c r="J4133" s="21"/>
      <c r="K4133" s="21"/>
      <c r="L4133" s="21"/>
      <c r="M4133" s="21"/>
      <c r="N4133" s="21"/>
    </row>
    <row r="4134" spans="1:14" ht="15.75" customHeight="1" x14ac:dyDescent="0.25">
      <c r="A4134" s="21"/>
      <c r="B4134" s="21"/>
      <c r="C4134" s="11"/>
      <c r="D4134" s="11"/>
      <c r="E4134" s="21"/>
      <c r="F4134" s="21"/>
      <c r="G4134" s="25"/>
      <c r="H4134" s="11"/>
      <c r="I4134" s="21"/>
      <c r="J4134" s="21"/>
      <c r="K4134" s="21"/>
      <c r="L4134" s="21"/>
      <c r="M4134" s="21"/>
      <c r="N4134" s="21"/>
    </row>
    <row r="4135" spans="1:14" ht="15.75" customHeight="1" x14ac:dyDescent="0.25">
      <c r="A4135" s="31" t="s">
        <v>14</v>
      </c>
      <c r="B4135" s="31" t="s">
        <v>234</v>
      </c>
      <c r="C4135" s="31" t="s">
        <v>16</v>
      </c>
      <c r="D4135" s="31" t="s">
        <v>17</v>
      </c>
      <c r="E4135" s="31" t="s">
        <v>235</v>
      </c>
      <c r="F4135" s="31" t="s">
        <v>236</v>
      </c>
      <c r="G4135" s="25"/>
      <c r="H4135" s="11"/>
      <c r="I4135" s="21"/>
      <c r="J4135" s="21"/>
      <c r="K4135" s="21"/>
      <c r="L4135" s="21"/>
      <c r="M4135" s="21"/>
      <c r="N4135" s="21"/>
    </row>
    <row r="4136" spans="1:14" ht="15.75" customHeight="1" x14ac:dyDescent="0.25">
      <c r="A4136" s="7">
        <v>1</v>
      </c>
      <c r="B4136" s="120" t="s">
        <v>1570</v>
      </c>
      <c r="C4136" s="129">
        <v>3</v>
      </c>
      <c r="D4136" s="7" t="s">
        <v>19</v>
      </c>
      <c r="E4136" s="130">
        <v>140500</v>
      </c>
      <c r="F4136" s="130">
        <f>E4136*C4136</f>
        <v>421500</v>
      </c>
      <c r="G4136" s="25"/>
      <c r="H4136" s="11"/>
      <c r="I4136" s="21"/>
      <c r="J4136" s="21"/>
      <c r="K4136" s="21"/>
      <c r="L4136" s="21"/>
      <c r="M4136" s="21"/>
      <c r="N4136" s="21"/>
    </row>
    <row r="4137" spans="1:14" ht="15.75" customHeight="1" x14ac:dyDescent="0.25">
      <c r="A4137" s="7"/>
      <c r="B4137" s="343" t="s">
        <v>342</v>
      </c>
      <c r="C4137" s="344"/>
      <c r="D4137" s="344"/>
      <c r="E4137" s="334"/>
      <c r="F4137" s="104">
        <f>SUM(F4136)</f>
        <v>421500</v>
      </c>
      <c r="G4137" s="25"/>
      <c r="H4137" s="11"/>
      <c r="I4137" s="21"/>
      <c r="J4137" s="21"/>
      <c r="K4137" s="21"/>
      <c r="L4137" s="21"/>
      <c r="M4137" s="21"/>
      <c r="N4137" s="21"/>
    </row>
    <row r="4138" spans="1:14" ht="15.75" customHeight="1" x14ac:dyDescent="0.25">
      <c r="A4138" s="7"/>
      <c r="B4138" s="343" t="s">
        <v>343</v>
      </c>
      <c r="C4138" s="344"/>
      <c r="D4138" s="344"/>
      <c r="E4138" s="334"/>
      <c r="F4138" s="104">
        <v>46365</v>
      </c>
      <c r="G4138" s="25"/>
      <c r="H4138" s="11"/>
      <c r="I4138" s="21"/>
      <c r="J4138" s="21"/>
      <c r="K4138" s="21"/>
      <c r="L4138" s="21"/>
      <c r="M4138" s="21"/>
      <c r="N4138" s="21"/>
    </row>
    <row r="4139" spans="1:14" ht="15.75" customHeight="1" x14ac:dyDescent="0.25">
      <c r="A4139" s="7"/>
      <c r="B4139" s="345" t="s">
        <v>344</v>
      </c>
      <c r="C4139" s="344"/>
      <c r="D4139" s="344"/>
      <c r="E4139" s="334"/>
      <c r="F4139" s="107">
        <f>SUM(F4137:F4138)</f>
        <v>467865</v>
      </c>
      <c r="G4139" s="25"/>
      <c r="H4139" s="11"/>
      <c r="I4139" s="21"/>
      <c r="J4139" s="21"/>
      <c r="K4139" s="21"/>
      <c r="L4139" s="21"/>
      <c r="M4139" s="21"/>
      <c r="N4139" s="21"/>
    </row>
    <row r="4140" spans="1:14" ht="15.75" customHeight="1" x14ac:dyDescent="0.25">
      <c r="A4140" s="21"/>
      <c r="B4140" s="21"/>
      <c r="C4140" s="11"/>
      <c r="D4140" s="11"/>
      <c r="E4140" s="21"/>
      <c r="F4140" s="21"/>
      <c r="G4140" s="25"/>
      <c r="H4140" s="11"/>
      <c r="I4140" s="21"/>
      <c r="J4140" s="21"/>
      <c r="K4140" s="21"/>
      <c r="L4140" s="21"/>
      <c r="M4140" s="21"/>
      <c r="N4140" s="21"/>
    </row>
    <row r="4141" spans="1:14" ht="15.75" customHeight="1" x14ac:dyDescent="0.25">
      <c r="A4141" s="31" t="s">
        <v>351</v>
      </c>
      <c r="B4141" s="31" t="s">
        <v>234</v>
      </c>
      <c r="C4141" s="31" t="s">
        <v>16</v>
      </c>
      <c r="D4141" s="31" t="s">
        <v>17</v>
      </c>
      <c r="E4141" s="31" t="s">
        <v>235</v>
      </c>
      <c r="F4141" s="31" t="s">
        <v>236</v>
      </c>
      <c r="G4141" s="25"/>
      <c r="H4141" s="11"/>
      <c r="I4141" s="21"/>
      <c r="J4141" s="21"/>
      <c r="K4141" s="21"/>
      <c r="L4141" s="21"/>
      <c r="M4141" s="21"/>
      <c r="N4141" s="21"/>
    </row>
    <row r="4142" spans="1:14" ht="15.75" customHeight="1" x14ac:dyDescent="0.25">
      <c r="A4142" s="7">
        <v>1</v>
      </c>
      <c r="B4142" s="41" t="s">
        <v>1571</v>
      </c>
      <c r="C4142" s="7">
        <v>200</v>
      </c>
      <c r="D4142" s="7" t="s">
        <v>363</v>
      </c>
      <c r="E4142" s="104">
        <v>1067</v>
      </c>
      <c r="F4142" s="104">
        <f>E4142*C4142</f>
        <v>213400</v>
      </c>
      <c r="G4142" s="25"/>
      <c r="H4142" s="11"/>
      <c r="I4142" s="21"/>
      <c r="J4142" s="21"/>
      <c r="K4142" s="21"/>
      <c r="L4142" s="21"/>
      <c r="M4142" s="21"/>
      <c r="N4142" s="21"/>
    </row>
    <row r="4143" spans="1:14" ht="15.75" customHeight="1" x14ac:dyDescent="0.25">
      <c r="A4143" s="7">
        <v>2</v>
      </c>
      <c r="B4143" s="41" t="s">
        <v>1572</v>
      </c>
      <c r="C4143" s="7">
        <v>300</v>
      </c>
      <c r="D4143" s="7" t="s">
        <v>363</v>
      </c>
      <c r="E4143" s="104">
        <v>291</v>
      </c>
      <c r="F4143" s="104">
        <f>E4143*C4143</f>
        <v>87300</v>
      </c>
      <c r="G4143" s="25"/>
      <c r="H4143" s="11"/>
      <c r="I4143" s="21"/>
      <c r="J4143" s="21"/>
      <c r="K4143" s="21"/>
      <c r="L4143" s="21"/>
      <c r="M4143" s="21"/>
      <c r="N4143" s="21"/>
    </row>
    <row r="4144" spans="1:14" ht="15.75" customHeight="1" x14ac:dyDescent="0.25">
      <c r="A4144" s="7"/>
      <c r="B4144" s="343" t="s">
        <v>342</v>
      </c>
      <c r="C4144" s="344"/>
      <c r="D4144" s="344"/>
      <c r="E4144" s="334"/>
      <c r="F4144" s="104">
        <f>SUM(F4142:F4143)</f>
        <v>300700</v>
      </c>
      <c r="G4144" s="25"/>
      <c r="H4144" s="11"/>
      <c r="I4144" s="21"/>
      <c r="J4144" s="21"/>
      <c r="K4144" s="21"/>
      <c r="L4144" s="21"/>
      <c r="M4144" s="21"/>
      <c r="N4144" s="21"/>
    </row>
    <row r="4145" spans="1:14" ht="15.75" customHeight="1" x14ac:dyDescent="0.25">
      <c r="A4145" s="7"/>
      <c r="B4145" s="343" t="s">
        <v>343</v>
      </c>
      <c r="C4145" s="344"/>
      <c r="D4145" s="344"/>
      <c r="E4145" s="334"/>
      <c r="F4145" s="104">
        <v>33077</v>
      </c>
      <c r="G4145" s="25"/>
      <c r="H4145" s="11"/>
      <c r="I4145" s="21"/>
      <c r="J4145" s="21"/>
      <c r="K4145" s="21"/>
      <c r="L4145" s="21"/>
      <c r="M4145" s="21"/>
      <c r="N4145" s="21"/>
    </row>
    <row r="4146" spans="1:14" ht="15.75" customHeight="1" x14ac:dyDescent="0.25">
      <c r="A4146" s="7"/>
      <c r="B4146" s="345" t="s">
        <v>344</v>
      </c>
      <c r="C4146" s="344"/>
      <c r="D4146" s="344"/>
      <c r="E4146" s="334"/>
      <c r="F4146" s="107">
        <f>SUM(F4144:F4145)</f>
        <v>333777</v>
      </c>
      <c r="G4146" s="25"/>
      <c r="H4146" s="11"/>
      <c r="I4146" s="21"/>
      <c r="J4146" s="21"/>
      <c r="K4146" s="21"/>
      <c r="L4146" s="21"/>
      <c r="M4146" s="21"/>
      <c r="N4146" s="21"/>
    </row>
    <row r="4147" spans="1:14" ht="15.75" customHeight="1" x14ac:dyDescent="0.25">
      <c r="A4147" s="21"/>
      <c r="B4147" s="21"/>
      <c r="C4147" s="11"/>
      <c r="D4147" s="11"/>
      <c r="E4147" s="21"/>
      <c r="F4147" s="21"/>
      <c r="G4147" s="25"/>
      <c r="H4147" s="11"/>
      <c r="I4147" s="21"/>
      <c r="J4147" s="21"/>
      <c r="K4147" s="21"/>
      <c r="L4147" s="21"/>
      <c r="M4147" s="21"/>
      <c r="N4147" s="21"/>
    </row>
    <row r="4148" spans="1:14" ht="15.75" customHeight="1" x14ac:dyDescent="0.25">
      <c r="A4148" s="31" t="s">
        <v>14</v>
      </c>
      <c r="B4148" s="31" t="s">
        <v>234</v>
      </c>
      <c r="C4148" s="31" t="s">
        <v>16</v>
      </c>
      <c r="D4148" s="31" t="s">
        <v>17</v>
      </c>
      <c r="E4148" s="31" t="s">
        <v>235</v>
      </c>
      <c r="F4148" s="31" t="s">
        <v>236</v>
      </c>
      <c r="G4148" s="25"/>
      <c r="H4148" s="11"/>
      <c r="I4148" s="21"/>
      <c r="J4148" s="21"/>
      <c r="K4148" s="21"/>
      <c r="L4148" s="21"/>
      <c r="M4148" s="21"/>
      <c r="N4148" s="21"/>
    </row>
    <row r="4149" spans="1:14" ht="15.75" customHeight="1" x14ac:dyDescent="0.25">
      <c r="A4149" s="7">
        <v>1</v>
      </c>
      <c r="B4149" s="120" t="s">
        <v>1573</v>
      </c>
      <c r="C4149" s="158">
        <v>2</v>
      </c>
      <c r="D4149" s="7" t="s">
        <v>19</v>
      </c>
      <c r="E4149" s="104">
        <v>4037500</v>
      </c>
      <c r="F4149" s="104">
        <f>E4149*C4149</f>
        <v>8075000</v>
      </c>
      <c r="G4149" s="25"/>
      <c r="H4149" s="11"/>
      <c r="I4149" s="21"/>
      <c r="J4149" s="21"/>
      <c r="K4149" s="21"/>
      <c r="L4149" s="21"/>
      <c r="M4149" s="21"/>
      <c r="N4149" s="21"/>
    </row>
    <row r="4150" spans="1:14" ht="15.75" customHeight="1" x14ac:dyDescent="0.25">
      <c r="A4150" s="7">
        <v>2</v>
      </c>
      <c r="B4150" s="35" t="s">
        <v>1574</v>
      </c>
      <c r="C4150" s="133">
        <v>50</v>
      </c>
      <c r="D4150" s="7" t="s">
        <v>19</v>
      </c>
      <c r="E4150" s="104">
        <v>833625</v>
      </c>
      <c r="F4150" s="104">
        <f>E4150*C4150</f>
        <v>41681250</v>
      </c>
      <c r="G4150" s="25"/>
      <c r="H4150" s="11"/>
      <c r="I4150" s="21"/>
      <c r="J4150" s="21"/>
      <c r="K4150" s="21"/>
      <c r="L4150" s="21"/>
      <c r="M4150" s="21"/>
      <c r="N4150" s="21"/>
    </row>
    <row r="4151" spans="1:14" ht="15.75" customHeight="1" x14ac:dyDescent="0.25">
      <c r="A4151" s="7">
        <v>3</v>
      </c>
      <c r="B4151" s="41" t="s">
        <v>1575</v>
      </c>
      <c r="C4151" s="151">
        <v>2</v>
      </c>
      <c r="D4151" s="133" t="s">
        <v>19</v>
      </c>
      <c r="E4151" s="104">
        <v>237500</v>
      </c>
      <c r="F4151" s="104">
        <f>E4151*C4151</f>
        <v>475000</v>
      </c>
      <c r="G4151" s="25"/>
      <c r="H4151" s="11"/>
      <c r="I4151" s="21"/>
      <c r="J4151" s="21"/>
      <c r="K4151" s="21"/>
      <c r="L4151" s="21"/>
      <c r="M4151" s="21"/>
      <c r="N4151" s="21"/>
    </row>
    <row r="4152" spans="1:14" ht="15.75" customHeight="1" x14ac:dyDescent="0.25">
      <c r="A4152" s="7"/>
      <c r="B4152" s="343" t="s">
        <v>342</v>
      </c>
      <c r="C4152" s="344"/>
      <c r="D4152" s="344"/>
      <c r="E4152" s="334"/>
      <c r="F4152" s="104">
        <f>SUM(F4149:F4151)</f>
        <v>50231250</v>
      </c>
      <c r="G4152" s="25"/>
      <c r="H4152" s="11"/>
      <c r="I4152" s="21"/>
      <c r="J4152" s="21"/>
      <c r="K4152" s="21"/>
      <c r="L4152" s="21"/>
      <c r="M4152" s="21"/>
      <c r="N4152" s="21"/>
    </row>
    <row r="4153" spans="1:14" ht="15.75" customHeight="1" x14ac:dyDescent="0.25">
      <c r="A4153" s="7"/>
      <c r="B4153" s="343" t="s">
        <v>343</v>
      </c>
      <c r="C4153" s="344"/>
      <c r="D4153" s="344"/>
      <c r="E4153" s="334"/>
      <c r="F4153" s="104">
        <v>5525437.5</v>
      </c>
      <c r="G4153" s="25"/>
      <c r="H4153" s="11"/>
      <c r="I4153" s="21"/>
      <c r="J4153" s="21"/>
      <c r="K4153" s="21"/>
      <c r="L4153" s="21"/>
      <c r="M4153" s="21"/>
      <c r="N4153" s="21"/>
    </row>
    <row r="4154" spans="1:14" ht="15.75" customHeight="1" x14ac:dyDescent="0.25">
      <c r="A4154" s="7"/>
      <c r="B4154" s="345" t="s">
        <v>344</v>
      </c>
      <c r="C4154" s="344"/>
      <c r="D4154" s="344"/>
      <c r="E4154" s="334"/>
      <c r="F4154" s="107">
        <f>SUM(F4152:F4153)</f>
        <v>55756687.5</v>
      </c>
      <c r="G4154" s="25"/>
      <c r="H4154" s="11"/>
      <c r="I4154" s="21"/>
      <c r="J4154" s="21"/>
      <c r="K4154" s="21"/>
      <c r="L4154" s="21"/>
      <c r="M4154" s="21"/>
      <c r="N4154" s="21"/>
    </row>
    <row r="4155" spans="1:14" ht="15.75" customHeight="1" x14ac:dyDescent="0.25">
      <c r="A4155" s="21"/>
      <c r="B4155" s="21"/>
      <c r="C4155" s="11"/>
      <c r="D4155" s="11"/>
      <c r="E4155" s="21"/>
      <c r="F4155" s="21"/>
      <c r="G4155" s="25"/>
      <c r="H4155" s="11"/>
      <c r="I4155" s="21"/>
      <c r="J4155" s="21"/>
      <c r="K4155" s="21"/>
      <c r="L4155" s="21"/>
      <c r="M4155" s="21"/>
      <c r="N4155" s="21"/>
    </row>
    <row r="4156" spans="1:14" ht="15.75" customHeight="1" x14ac:dyDescent="0.25">
      <c r="A4156" s="31" t="s">
        <v>14</v>
      </c>
      <c r="B4156" s="31" t="s">
        <v>234</v>
      </c>
      <c r="C4156" s="31" t="s">
        <v>16</v>
      </c>
      <c r="D4156" s="31" t="s">
        <v>17</v>
      </c>
      <c r="E4156" s="31" t="s">
        <v>235</v>
      </c>
      <c r="F4156" s="31" t="s">
        <v>236</v>
      </c>
      <c r="G4156" s="25"/>
      <c r="H4156" s="11"/>
      <c r="I4156" s="21"/>
      <c r="J4156" s="21"/>
      <c r="K4156" s="21"/>
      <c r="L4156" s="21"/>
      <c r="M4156" s="21"/>
      <c r="N4156" s="21"/>
    </row>
    <row r="4157" spans="1:14" ht="15.75" customHeight="1" x14ac:dyDescent="0.25">
      <c r="A4157" s="7">
        <v>1</v>
      </c>
      <c r="B4157" s="120" t="s">
        <v>1576</v>
      </c>
      <c r="C4157" s="129">
        <v>3</v>
      </c>
      <c r="D4157" s="7" t="s">
        <v>363</v>
      </c>
      <c r="E4157" s="130">
        <v>2050000</v>
      </c>
      <c r="F4157" s="130">
        <f>E4157*C4157</f>
        <v>6150000</v>
      </c>
      <c r="G4157" s="25"/>
      <c r="H4157" s="11"/>
      <c r="I4157" s="21"/>
      <c r="J4157" s="21"/>
      <c r="K4157" s="21"/>
      <c r="L4157" s="21"/>
      <c r="M4157" s="21"/>
      <c r="N4157" s="21"/>
    </row>
    <row r="4158" spans="1:14" ht="15.75" customHeight="1" x14ac:dyDescent="0.25">
      <c r="A4158" s="7"/>
      <c r="B4158" s="343" t="s">
        <v>342</v>
      </c>
      <c r="C4158" s="344"/>
      <c r="D4158" s="344"/>
      <c r="E4158" s="334"/>
      <c r="F4158" s="104">
        <f>SUM(F4157)</f>
        <v>6150000</v>
      </c>
      <c r="G4158" s="25"/>
      <c r="H4158" s="11"/>
      <c r="I4158" s="21"/>
      <c r="J4158" s="21"/>
      <c r="K4158" s="21"/>
      <c r="L4158" s="21"/>
      <c r="M4158" s="21"/>
      <c r="N4158" s="21"/>
    </row>
    <row r="4159" spans="1:14" ht="15.75" customHeight="1" x14ac:dyDescent="0.25">
      <c r="A4159" s="7"/>
      <c r="B4159" s="343" t="s">
        <v>343</v>
      </c>
      <c r="C4159" s="344"/>
      <c r="D4159" s="344"/>
      <c r="E4159" s="334"/>
      <c r="F4159" s="104">
        <v>676500</v>
      </c>
      <c r="G4159" s="25"/>
      <c r="H4159" s="11"/>
      <c r="I4159" s="21"/>
      <c r="J4159" s="21"/>
      <c r="K4159" s="21"/>
      <c r="L4159" s="21"/>
      <c r="M4159" s="21"/>
      <c r="N4159" s="21"/>
    </row>
    <row r="4160" spans="1:14" ht="15.75" customHeight="1" x14ac:dyDescent="0.25">
      <c r="A4160" s="7"/>
      <c r="B4160" s="345" t="s">
        <v>344</v>
      </c>
      <c r="C4160" s="344"/>
      <c r="D4160" s="344"/>
      <c r="E4160" s="334"/>
      <c r="F4160" s="107">
        <f>SUM(F4158:F4159)</f>
        <v>6826500</v>
      </c>
      <c r="G4160" s="25"/>
      <c r="H4160" s="11"/>
      <c r="I4160" s="21"/>
      <c r="J4160" s="21"/>
      <c r="K4160" s="21"/>
      <c r="L4160" s="21"/>
      <c r="M4160" s="21"/>
      <c r="N4160" s="21"/>
    </row>
    <row r="4161" spans="1:14" ht="15.75" customHeight="1" x14ac:dyDescent="0.25">
      <c r="A4161" s="21"/>
      <c r="B4161" s="21"/>
      <c r="C4161" s="11"/>
      <c r="D4161" s="11"/>
      <c r="E4161" s="21"/>
      <c r="F4161" s="21"/>
      <c r="G4161" s="25"/>
      <c r="H4161" s="11"/>
      <c r="I4161" s="21"/>
      <c r="J4161" s="21"/>
      <c r="K4161" s="21"/>
      <c r="L4161" s="21"/>
      <c r="M4161" s="21"/>
      <c r="N4161" s="21"/>
    </row>
    <row r="4162" spans="1:14" ht="15.75" customHeight="1" x14ac:dyDescent="0.25">
      <c r="A4162" s="31" t="s">
        <v>14</v>
      </c>
      <c r="B4162" s="31" t="s">
        <v>234</v>
      </c>
      <c r="C4162" s="31" t="s">
        <v>16</v>
      </c>
      <c r="D4162" s="31" t="s">
        <v>17</v>
      </c>
      <c r="E4162" s="31" t="s">
        <v>235</v>
      </c>
      <c r="F4162" s="31" t="s">
        <v>236</v>
      </c>
      <c r="G4162" s="25"/>
      <c r="H4162" s="11"/>
      <c r="I4162" s="21"/>
      <c r="J4162" s="21"/>
      <c r="K4162" s="21"/>
      <c r="L4162" s="21"/>
      <c r="M4162" s="21"/>
      <c r="N4162" s="21"/>
    </row>
    <row r="4163" spans="1:14" ht="15.75" customHeight="1" x14ac:dyDescent="0.25">
      <c r="A4163" s="7">
        <v>1</v>
      </c>
      <c r="B4163" s="41" t="s">
        <v>1577</v>
      </c>
      <c r="C4163" s="129">
        <v>100</v>
      </c>
      <c r="D4163" s="7" t="s">
        <v>19</v>
      </c>
      <c r="E4163" s="130">
        <v>56200</v>
      </c>
      <c r="F4163" s="130">
        <f>E4163*C4163</f>
        <v>5620000</v>
      </c>
      <c r="G4163" s="25"/>
      <c r="H4163" s="11"/>
      <c r="I4163" s="21"/>
      <c r="J4163" s="21"/>
      <c r="K4163" s="21"/>
      <c r="L4163" s="21"/>
      <c r="M4163" s="21"/>
      <c r="N4163" s="21"/>
    </row>
    <row r="4164" spans="1:14" ht="15.75" customHeight="1" x14ac:dyDescent="0.25">
      <c r="A4164" s="7"/>
      <c r="B4164" s="343" t="s">
        <v>342</v>
      </c>
      <c r="C4164" s="344"/>
      <c r="D4164" s="344"/>
      <c r="E4164" s="334"/>
      <c r="F4164" s="104">
        <f>SUM(F4163)</f>
        <v>5620000</v>
      </c>
      <c r="G4164" s="25"/>
      <c r="H4164" s="11"/>
      <c r="I4164" s="21"/>
      <c r="J4164" s="21"/>
      <c r="K4164" s="21"/>
      <c r="L4164" s="21"/>
      <c r="M4164" s="21"/>
      <c r="N4164" s="21"/>
    </row>
    <row r="4165" spans="1:14" ht="15.75" customHeight="1" x14ac:dyDescent="0.25">
      <c r="A4165" s="7"/>
      <c r="B4165" s="343" t="s">
        <v>343</v>
      </c>
      <c r="C4165" s="344"/>
      <c r="D4165" s="344"/>
      <c r="E4165" s="334"/>
      <c r="F4165" s="104">
        <v>618200</v>
      </c>
      <c r="G4165" s="25"/>
      <c r="H4165" s="11"/>
      <c r="I4165" s="21"/>
      <c r="J4165" s="21"/>
      <c r="K4165" s="21"/>
      <c r="L4165" s="21"/>
      <c r="M4165" s="21"/>
      <c r="N4165" s="21"/>
    </row>
    <row r="4166" spans="1:14" ht="15.75" customHeight="1" x14ac:dyDescent="0.25">
      <c r="A4166" s="7"/>
      <c r="B4166" s="345" t="s">
        <v>344</v>
      </c>
      <c r="C4166" s="344"/>
      <c r="D4166" s="344"/>
      <c r="E4166" s="334"/>
      <c r="F4166" s="107">
        <f>SUM(F4164:F4165)</f>
        <v>6238200</v>
      </c>
      <c r="G4166" s="25"/>
      <c r="H4166" s="11"/>
      <c r="I4166" s="21"/>
      <c r="J4166" s="21"/>
      <c r="K4166" s="21"/>
      <c r="L4166" s="21"/>
      <c r="M4166" s="21"/>
      <c r="N4166" s="21"/>
    </row>
    <row r="4167" spans="1:14" ht="15.75" customHeight="1" x14ac:dyDescent="0.25">
      <c r="A4167" s="21"/>
      <c r="B4167" s="21"/>
      <c r="C4167" s="11"/>
      <c r="D4167" s="11"/>
      <c r="E4167" s="21"/>
      <c r="F4167" s="21"/>
      <c r="G4167" s="25"/>
      <c r="H4167" s="11"/>
      <c r="I4167" s="21"/>
      <c r="J4167" s="21"/>
      <c r="K4167" s="21"/>
      <c r="L4167" s="21"/>
      <c r="M4167" s="21"/>
      <c r="N4167" s="21"/>
    </row>
    <row r="4168" spans="1:14" ht="15.75" customHeight="1" x14ac:dyDescent="0.25">
      <c r="A4168" s="31" t="s">
        <v>351</v>
      </c>
      <c r="B4168" s="31" t="s">
        <v>234</v>
      </c>
      <c r="C4168" s="31" t="s">
        <v>16</v>
      </c>
      <c r="D4168" s="31" t="s">
        <v>17</v>
      </c>
      <c r="E4168" s="31" t="s">
        <v>235</v>
      </c>
      <c r="F4168" s="31" t="s">
        <v>236</v>
      </c>
      <c r="G4168" s="25"/>
      <c r="H4168" s="11"/>
      <c r="I4168" s="21"/>
      <c r="J4168" s="21"/>
      <c r="K4168" s="21"/>
      <c r="L4168" s="21"/>
      <c r="M4168" s="21"/>
      <c r="N4168" s="21"/>
    </row>
    <row r="4169" spans="1:14" ht="15.75" customHeight="1" x14ac:dyDescent="0.25">
      <c r="A4169" s="7">
        <v>1</v>
      </c>
      <c r="B4169" s="41" t="s">
        <v>1578</v>
      </c>
      <c r="C4169" s="7">
        <v>5</v>
      </c>
      <c r="D4169" s="7" t="s">
        <v>19</v>
      </c>
      <c r="E4169" s="104">
        <v>650000</v>
      </c>
      <c r="F4169" s="104">
        <f>E4169*C4169</f>
        <v>3250000</v>
      </c>
      <c r="G4169" s="25"/>
      <c r="H4169" s="11"/>
      <c r="I4169" s="21"/>
      <c r="J4169" s="21"/>
      <c r="K4169" s="21"/>
      <c r="L4169" s="21"/>
      <c r="M4169" s="21"/>
      <c r="N4169" s="21"/>
    </row>
    <row r="4170" spans="1:14" ht="15.75" customHeight="1" x14ac:dyDescent="0.25">
      <c r="A4170" s="7">
        <v>2</v>
      </c>
      <c r="B4170" s="41" t="s">
        <v>1579</v>
      </c>
      <c r="C4170" s="7">
        <v>12</v>
      </c>
      <c r="D4170" s="7" t="s">
        <v>1580</v>
      </c>
      <c r="E4170" s="104">
        <v>2085000</v>
      </c>
      <c r="F4170" s="104">
        <f>E4170*C4170</f>
        <v>25020000</v>
      </c>
      <c r="G4170" s="25"/>
      <c r="H4170" s="11"/>
      <c r="I4170" s="21"/>
      <c r="J4170" s="21"/>
      <c r="K4170" s="21"/>
      <c r="L4170" s="21"/>
      <c r="M4170" s="21"/>
      <c r="N4170" s="21"/>
    </row>
    <row r="4171" spans="1:14" ht="15.75" customHeight="1" x14ac:dyDescent="0.25">
      <c r="A4171" s="7"/>
      <c r="B4171" s="343" t="s">
        <v>342</v>
      </c>
      <c r="C4171" s="344"/>
      <c r="D4171" s="344"/>
      <c r="E4171" s="334"/>
      <c r="F4171" s="104">
        <f>SUM(F4169:F4170)</f>
        <v>28270000</v>
      </c>
      <c r="G4171" s="25"/>
      <c r="H4171" s="11"/>
      <c r="I4171" s="21"/>
      <c r="J4171" s="21"/>
      <c r="K4171" s="21"/>
      <c r="L4171" s="21"/>
      <c r="M4171" s="21"/>
      <c r="N4171" s="21"/>
    </row>
    <row r="4172" spans="1:14" ht="15.75" customHeight="1" x14ac:dyDescent="0.25">
      <c r="A4172" s="7"/>
      <c r="B4172" s="343" t="s">
        <v>986</v>
      </c>
      <c r="C4172" s="344"/>
      <c r="D4172" s="344"/>
      <c r="E4172" s="334"/>
      <c r="F4172" s="104">
        <v>848100</v>
      </c>
      <c r="G4172" s="25"/>
      <c r="H4172" s="11"/>
      <c r="I4172" s="21"/>
      <c r="J4172" s="21"/>
      <c r="K4172" s="21"/>
      <c r="L4172" s="21"/>
      <c r="M4172" s="21"/>
      <c r="N4172" s="21"/>
    </row>
    <row r="4173" spans="1:14" ht="15.75" customHeight="1" x14ac:dyDescent="0.25">
      <c r="A4173" s="7"/>
      <c r="B4173" s="345" t="s">
        <v>342</v>
      </c>
      <c r="C4173" s="344"/>
      <c r="D4173" s="344"/>
      <c r="E4173" s="334"/>
      <c r="F4173" s="107">
        <f>F4171-F4172</f>
        <v>27421900</v>
      </c>
      <c r="G4173" s="25"/>
      <c r="H4173" s="11"/>
      <c r="I4173" s="21"/>
      <c r="J4173" s="21"/>
      <c r="K4173" s="21"/>
      <c r="L4173" s="21"/>
      <c r="M4173" s="21"/>
      <c r="N4173" s="21"/>
    </row>
    <row r="4174" spans="1:14" ht="15.75" customHeight="1" x14ac:dyDescent="0.25">
      <c r="A4174" s="7"/>
      <c r="B4174" s="343" t="s">
        <v>343</v>
      </c>
      <c r="C4174" s="344"/>
      <c r="D4174" s="344"/>
      <c r="E4174" s="334"/>
      <c r="F4174" s="104">
        <v>3016409</v>
      </c>
      <c r="G4174" s="25"/>
      <c r="H4174" s="11"/>
      <c r="I4174" s="21"/>
      <c r="J4174" s="21"/>
      <c r="K4174" s="21"/>
      <c r="L4174" s="21"/>
      <c r="M4174" s="21"/>
      <c r="N4174" s="21"/>
    </row>
    <row r="4175" spans="1:14" ht="15.75" customHeight="1" x14ac:dyDescent="0.25">
      <c r="A4175" s="7"/>
      <c r="B4175" s="345" t="s">
        <v>344</v>
      </c>
      <c r="C4175" s="344"/>
      <c r="D4175" s="344"/>
      <c r="E4175" s="334"/>
      <c r="F4175" s="107">
        <f>SUM(F4173:F4174)</f>
        <v>30438309</v>
      </c>
      <c r="G4175" s="25"/>
      <c r="H4175" s="11"/>
      <c r="I4175" s="21"/>
      <c r="J4175" s="21"/>
      <c r="K4175" s="21"/>
      <c r="L4175" s="21"/>
      <c r="M4175" s="21"/>
      <c r="N4175" s="21"/>
    </row>
    <row r="4176" spans="1:14" ht="15.75" customHeight="1" x14ac:dyDescent="0.25">
      <c r="A4176" s="21"/>
      <c r="B4176" s="21"/>
      <c r="C4176" s="11"/>
      <c r="D4176" s="11"/>
      <c r="E4176" s="21"/>
      <c r="F4176" s="21"/>
      <c r="G4176" s="25"/>
      <c r="H4176" s="11"/>
      <c r="I4176" s="21"/>
      <c r="J4176" s="21"/>
      <c r="K4176" s="21"/>
      <c r="L4176" s="21"/>
      <c r="M4176" s="21"/>
      <c r="N4176" s="21"/>
    </row>
    <row r="4177" spans="1:14" ht="15.75" customHeight="1" x14ac:dyDescent="0.25">
      <c r="A4177" s="31" t="s">
        <v>14</v>
      </c>
      <c r="B4177" s="31" t="s">
        <v>234</v>
      </c>
      <c r="C4177" s="31" t="s">
        <v>16</v>
      </c>
      <c r="D4177" s="31" t="s">
        <v>17</v>
      </c>
      <c r="E4177" s="31" t="s">
        <v>235</v>
      </c>
      <c r="F4177" s="31" t="s">
        <v>236</v>
      </c>
      <c r="G4177" s="25"/>
      <c r="H4177" s="11"/>
      <c r="I4177" s="21"/>
      <c r="J4177" s="21"/>
      <c r="K4177" s="21"/>
      <c r="L4177" s="21"/>
      <c r="M4177" s="21"/>
      <c r="N4177" s="21"/>
    </row>
    <row r="4178" spans="1:14" ht="15.75" customHeight="1" x14ac:dyDescent="0.25">
      <c r="A4178" s="7">
        <v>1</v>
      </c>
      <c r="B4178" s="41" t="s">
        <v>1581</v>
      </c>
      <c r="C4178" s="129">
        <v>1</v>
      </c>
      <c r="D4178" s="7" t="s">
        <v>247</v>
      </c>
      <c r="E4178" s="130">
        <v>540500</v>
      </c>
      <c r="F4178" s="130">
        <f>E4178*C4178</f>
        <v>540500</v>
      </c>
      <c r="G4178" s="25"/>
      <c r="H4178" s="11"/>
      <c r="I4178" s="21"/>
      <c r="J4178" s="21"/>
      <c r="K4178" s="21"/>
      <c r="L4178" s="21"/>
      <c r="M4178" s="21"/>
      <c r="N4178" s="21"/>
    </row>
    <row r="4179" spans="1:14" ht="15.75" customHeight="1" x14ac:dyDescent="0.25">
      <c r="A4179" s="7"/>
      <c r="B4179" s="343" t="s">
        <v>342</v>
      </c>
      <c r="C4179" s="344"/>
      <c r="D4179" s="344"/>
      <c r="E4179" s="334"/>
      <c r="F4179" s="104">
        <f>SUM(F4178)</f>
        <v>540500</v>
      </c>
      <c r="G4179" s="25"/>
      <c r="H4179" s="11"/>
      <c r="I4179" s="21"/>
      <c r="J4179" s="21"/>
      <c r="K4179" s="21"/>
      <c r="L4179" s="21"/>
      <c r="M4179" s="21"/>
      <c r="N4179" s="21"/>
    </row>
    <row r="4180" spans="1:14" ht="15.75" customHeight="1" x14ac:dyDescent="0.25">
      <c r="A4180" s="7"/>
      <c r="B4180" s="343" t="s">
        <v>343</v>
      </c>
      <c r="C4180" s="344"/>
      <c r="D4180" s="344"/>
      <c r="E4180" s="334"/>
      <c r="F4180" s="104">
        <v>59455</v>
      </c>
      <c r="G4180" s="25"/>
      <c r="H4180" s="11"/>
      <c r="I4180" s="21"/>
      <c r="J4180" s="21"/>
      <c r="K4180" s="21"/>
      <c r="L4180" s="21"/>
      <c r="M4180" s="21"/>
      <c r="N4180" s="21"/>
    </row>
    <row r="4181" spans="1:14" ht="15.75" customHeight="1" x14ac:dyDescent="0.25">
      <c r="A4181" s="7"/>
      <c r="B4181" s="345" t="s">
        <v>344</v>
      </c>
      <c r="C4181" s="344"/>
      <c r="D4181" s="344"/>
      <c r="E4181" s="334"/>
      <c r="F4181" s="107">
        <f>SUM(F4179:F4180)</f>
        <v>599955</v>
      </c>
      <c r="G4181" s="25"/>
      <c r="H4181" s="11"/>
      <c r="I4181" s="21"/>
      <c r="J4181" s="21"/>
      <c r="K4181" s="21"/>
      <c r="L4181" s="21"/>
      <c r="M4181" s="21"/>
      <c r="N4181" s="21"/>
    </row>
    <row r="4182" spans="1:14" ht="15.75" customHeight="1" x14ac:dyDescent="0.25">
      <c r="A4182" s="21"/>
      <c r="B4182" s="21"/>
      <c r="C4182" s="11"/>
      <c r="D4182" s="11"/>
      <c r="E4182" s="21"/>
      <c r="F4182" s="21"/>
      <c r="G4182" s="25"/>
      <c r="H4182" s="11"/>
      <c r="I4182" s="21"/>
      <c r="J4182" s="21"/>
      <c r="K4182" s="21"/>
      <c r="L4182" s="21"/>
      <c r="M4182" s="21"/>
      <c r="N4182" s="21"/>
    </row>
    <row r="4183" spans="1:14" ht="15.75" customHeight="1" x14ac:dyDescent="0.25">
      <c r="A4183" s="31" t="s">
        <v>351</v>
      </c>
      <c r="B4183" s="31" t="s">
        <v>234</v>
      </c>
      <c r="C4183" s="31" t="s">
        <v>16</v>
      </c>
      <c r="D4183" s="31" t="s">
        <v>17</v>
      </c>
      <c r="E4183" s="31" t="s">
        <v>235</v>
      </c>
      <c r="F4183" s="31" t="s">
        <v>236</v>
      </c>
      <c r="G4183" s="25"/>
      <c r="H4183" s="11"/>
      <c r="I4183" s="21"/>
      <c r="J4183" s="21"/>
      <c r="K4183" s="21"/>
      <c r="L4183" s="21"/>
      <c r="M4183" s="21"/>
      <c r="N4183" s="21"/>
    </row>
    <row r="4184" spans="1:14" ht="15.75" customHeight="1" x14ac:dyDescent="0.25">
      <c r="A4184" s="7">
        <v>1</v>
      </c>
      <c r="B4184" s="41" t="s">
        <v>1578</v>
      </c>
      <c r="C4184" s="7">
        <v>6</v>
      </c>
      <c r="D4184" s="7" t="s">
        <v>19</v>
      </c>
      <c r="E4184" s="104">
        <v>630500</v>
      </c>
      <c r="F4184" s="104">
        <f>E4184*C4184</f>
        <v>3783000</v>
      </c>
      <c r="G4184" s="25"/>
      <c r="H4184" s="11"/>
      <c r="I4184" s="21"/>
      <c r="J4184" s="21"/>
      <c r="K4184" s="21"/>
      <c r="L4184" s="21"/>
      <c r="M4184" s="21"/>
      <c r="N4184" s="21"/>
    </row>
    <row r="4185" spans="1:14" ht="15.75" customHeight="1" x14ac:dyDescent="0.25">
      <c r="A4185" s="7">
        <v>2</v>
      </c>
      <c r="B4185" s="41" t="s">
        <v>1579</v>
      </c>
      <c r="C4185" s="7">
        <v>12</v>
      </c>
      <c r="D4185" s="7" t="s">
        <v>1580</v>
      </c>
      <c r="E4185" s="104">
        <v>2022450</v>
      </c>
      <c r="F4185" s="104">
        <f>E4185*C4185</f>
        <v>24269400</v>
      </c>
      <c r="G4185" s="25"/>
      <c r="H4185" s="11"/>
      <c r="I4185" s="21"/>
      <c r="J4185" s="21"/>
      <c r="K4185" s="21"/>
      <c r="L4185" s="21"/>
      <c r="M4185" s="21"/>
      <c r="N4185" s="21"/>
    </row>
    <row r="4186" spans="1:14" ht="15.75" customHeight="1" x14ac:dyDescent="0.25">
      <c r="A4186" s="7"/>
      <c r="B4186" s="343" t="s">
        <v>342</v>
      </c>
      <c r="C4186" s="344"/>
      <c r="D4186" s="344"/>
      <c r="E4186" s="334"/>
      <c r="F4186" s="104">
        <f>SUM(F4184:F4185)</f>
        <v>28052400</v>
      </c>
      <c r="G4186" s="25"/>
      <c r="H4186" s="11"/>
      <c r="I4186" s="21"/>
      <c r="J4186" s="21"/>
      <c r="K4186" s="21"/>
      <c r="L4186" s="21"/>
      <c r="M4186" s="21"/>
      <c r="N4186" s="21"/>
    </row>
    <row r="4187" spans="1:14" ht="15.75" customHeight="1" x14ac:dyDescent="0.25">
      <c r="A4187" s="7"/>
      <c r="B4187" s="343" t="s">
        <v>343</v>
      </c>
      <c r="C4187" s="344"/>
      <c r="D4187" s="344"/>
      <c r="E4187" s="334"/>
      <c r="F4187" s="104">
        <v>3085764</v>
      </c>
      <c r="G4187" s="25"/>
      <c r="H4187" s="11"/>
      <c r="I4187" s="21"/>
      <c r="J4187" s="21"/>
      <c r="K4187" s="21"/>
      <c r="L4187" s="21"/>
      <c r="M4187" s="21"/>
      <c r="N4187" s="21"/>
    </row>
    <row r="4188" spans="1:14" ht="15.75" customHeight="1" x14ac:dyDescent="0.25">
      <c r="A4188" s="7"/>
      <c r="B4188" s="345" t="s">
        <v>344</v>
      </c>
      <c r="C4188" s="344"/>
      <c r="D4188" s="344"/>
      <c r="E4188" s="334"/>
      <c r="F4188" s="107">
        <f>SUM(F4186:F4187)</f>
        <v>31138164</v>
      </c>
      <c r="G4188" s="25"/>
      <c r="H4188" s="11"/>
      <c r="I4188" s="21"/>
      <c r="J4188" s="21"/>
      <c r="K4188" s="21"/>
      <c r="L4188" s="21"/>
      <c r="M4188" s="21"/>
      <c r="N4188" s="21"/>
    </row>
    <row r="4189" spans="1:14" ht="15.75" customHeight="1" x14ac:dyDescent="0.25">
      <c r="A4189" s="21"/>
      <c r="B4189" s="21"/>
      <c r="C4189" s="11"/>
      <c r="D4189" s="11"/>
      <c r="E4189" s="21"/>
      <c r="F4189" s="21"/>
      <c r="G4189" s="25"/>
      <c r="H4189" s="11"/>
      <c r="I4189" s="21"/>
      <c r="J4189" s="21"/>
      <c r="K4189" s="21"/>
      <c r="L4189" s="21"/>
      <c r="M4189" s="21"/>
      <c r="N4189" s="21"/>
    </row>
    <row r="4190" spans="1:14" ht="15.75" customHeight="1" x14ac:dyDescent="0.25">
      <c r="A4190" s="31" t="s">
        <v>14</v>
      </c>
      <c r="B4190" s="31" t="s">
        <v>234</v>
      </c>
      <c r="C4190" s="31" t="s">
        <v>16</v>
      </c>
      <c r="D4190" s="31" t="s">
        <v>17</v>
      </c>
      <c r="E4190" s="31" t="s">
        <v>235</v>
      </c>
      <c r="F4190" s="31" t="s">
        <v>236</v>
      </c>
      <c r="G4190" s="25"/>
      <c r="H4190" s="11"/>
      <c r="I4190" s="21"/>
      <c r="J4190" s="21"/>
      <c r="K4190" s="21"/>
      <c r="L4190" s="21"/>
      <c r="M4190" s="21"/>
      <c r="N4190" s="21"/>
    </row>
    <row r="4191" spans="1:14" ht="15.75" customHeight="1" x14ac:dyDescent="0.25">
      <c r="A4191" s="7">
        <v>1</v>
      </c>
      <c r="B4191" s="41" t="s">
        <v>1582</v>
      </c>
      <c r="C4191" s="129">
        <v>7</v>
      </c>
      <c r="D4191" s="7" t="s">
        <v>19</v>
      </c>
      <c r="E4191" s="130">
        <v>83000</v>
      </c>
      <c r="F4191" s="130">
        <f>E4191*C4191</f>
        <v>581000</v>
      </c>
      <c r="G4191" s="25"/>
      <c r="H4191" s="11"/>
      <c r="I4191" s="21"/>
      <c r="J4191" s="21"/>
      <c r="K4191" s="21"/>
      <c r="L4191" s="21"/>
      <c r="M4191" s="21"/>
      <c r="N4191" s="21"/>
    </row>
    <row r="4192" spans="1:14" ht="15.75" customHeight="1" x14ac:dyDescent="0.25">
      <c r="A4192" s="7"/>
      <c r="B4192" s="343" t="s">
        <v>342</v>
      </c>
      <c r="C4192" s="344"/>
      <c r="D4192" s="344"/>
      <c r="E4192" s="334"/>
      <c r="F4192" s="104">
        <f>SUM(F4191)</f>
        <v>581000</v>
      </c>
      <c r="G4192" s="25"/>
      <c r="H4192" s="11"/>
      <c r="I4192" s="21"/>
      <c r="J4192" s="21"/>
      <c r="K4192" s="21"/>
      <c r="L4192" s="21"/>
      <c r="M4192" s="21"/>
      <c r="N4192" s="21"/>
    </row>
    <row r="4193" spans="1:14" ht="15.75" customHeight="1" x14ac:dyDescent="0.25">
      <c r="A4193" s="7"/>
      <c r="B4193" s="343" t="s">
        <v>343</v>
      </c>
      <c r="C4193" s="344"/>
      <c r="D4193" s="344"/>
      <c r="E4193" s="334"/>
      <c r="F4193" s="104">
        <v>63910</v>
      </c>
      <c r="G4193" s="25"/>
      <c r="H4193" s="11"/>
      <c r="I4193" s="21"/>
      <c r="J4193" s="21"/>
      <c r="K4193" s="21"/>
      <c r="L4193" s="21"/>
      <c r="M4193" s="21"/>
      <c r="N4193" s="21"/>
    </row>
    <row r="4194" spans="1:14" ht="15.75" customHeight="1" x14ac:dyDescent="0.25">
      <c r="A4194" s="7"/>
      <c r="B4194" s="345" t="s">
        <v>344</v>
      </c>
      <c r="C4194" s="344"/>
      <c r="D4194" s="344"/>
      <c r="E4194" s="334"/>
      <c r="F4194" s="107">
        <f>SUM(F4192:F4193)</f>
        <v>644910</v>
      </c>
      <c r="G4194" s="25"/>
      <c r="H4194" s="11"/>
      <c r="I4194" s="21"/>
      <c r="J4194" s="21"/>
      <c r="K4194" s="21"/>
      <c r="L4194" s="21"/>
      <c r="M4194" s="21"/>
      <c r="N4194" s="21"/>
    </row>
    <row r="4195" spans="1:14" ht="15.75" customHeight="1" x14ac:dyDescent="0.25">
      <c r="A4195" s="21"/>
      <c r="B4195" s="21"/>
      <c r="C4195" s="11"/>
      <c r="D4195" s="11"/>
      <c r="E4195" s="21"/>
      <c r="F4195" s="21"/>
      <c r="G4195" s="25"/>
      <c r="H4195" s="11"/>
      <c r="I4195" s="21"/>
      <c r="J4195" s="21"/>
      <c r="K4195" s="21"/>
      <c r="L4195" s="21"/>
      <c r="M4195" s="21"/>
      <c r="N4195" s="21"/>
    </row>
    <row r="4196" spans="1:14" ht="15.75" customHeight="1" x14ac:dyDescent="0.25">
      <c r="A4196" s="31" t="s">
        <v>14</v>
      </c>
      <c r="B4196" s="31" t="s">
        <v>234</v>
      </c>
      <c r="C4196" s="31" t="s">
        <v>16</v>
      </c>
      <c r="D4196" s="31" t="s">
        <v>17</v>
      </c>
      <c r="E4196" s="31" t="s">
        <v>235</v>
      </c>
      <c r="F4196" s="31" t="s">
        <v>236</v>
      </c>
      <c r="G4196" s="25"/>
      <c r="H4196" s="11"/>
      <c r="I4196" s="21"/>
      <c r="J4196" s="21"/>
      <c r="K4196" s="21"/>
      <c r="L4196" s="21"/>
      <c r="M4196" s="21"/>
      <c r="N4196" s="21"/>
    </row>
    <row r="4197" spans="1:14" ht="15.75" customHeight="1" x14ac:dyDescent="0.25">
      <c r="A4197" s="10">
        <v>1</v>
      </c>
      <c r="B4197" s="41" t="s">
        <v>1583</v>
      </c>
      <c r="C4197" s="7">
        <v>1</v>
      </c>
      <c r="D4197" s="7" t="s">
        <v>19</v>
      </c>
      <c r="E4197" s="104">
        <v>420500</v>
      </c>
      <c r="F4197" s="104">
        <f t="shared" ref="F4197:F4210" si="44">E4197*C4197</f>
        <v>420500</v>
      </c>
      <c r="G4197" s="25"/>
      <c r="H4197" s="11"/>
      <c r="I4197" s="21"/>
      <c r="J4197" s="21"/>
      <c r="K4197" s="21"/>
      <c r="L4197" s="21"/>
      <c r="M4197" s="21"/>
      <c r="N4197" s="21"/>
    </row>
    <row r="4198" spans="1:14" ht="15.75" customHeight="1" x14ac:dyDescent="0.25">
      <c r="A4198" s="7">
        <v>2</v>
      </c>
      <c r="B4198" s="35" t="s">
        <v>1584</v>
      </c>
      <c r="C4198" s="7">
        <v>2</v>
      </c>
      <c r="D4198" s="7" t="s">
        <v>19</v>
      </c>
      <c r="E4198" s="104">
        <v>2417000</v>
      </c>
      <c r="F4198" s="104">
        <f t="shared" si="44"/>
        <v>4834000</v>
      </c>
      <c r="G4198" s="25"/>
      <c r="H4198" s="11"/>
      <c r="I4198" s="21"/>
      <c r="J4198" s="21"/>
      <c r="K4198" s="21"/>
      <c r="L4198" s="21"/>
      <c r="M4198" s="21"/>
      <c r="N4198" s="21"/>
    </row>
    <row r="4199" spans="1:14" ht="15.75" customHeight="1" x14ac:dyDescent="0.25">
      <c r="A4199" s="7">
        <v>3</v>
      </c>
      <c r="B4199" s="41" t="s">
        <v>1585</v>
      </c>
      <c r="C4199" s="7">
        <v>1</v>
      </c>
      <c r="D4199" s="7" t="s">
        <v>19</v>
      </c>
      <c r="E4199" s="104">
        <v>500500</v>
      </c>
      <c r="F4199" s="104">
        <f t="shared" si="44"/>
        <v>500500</v>
      </c>
      <c r="G4199" s="25"/>
      <c r="H4199" s="11"/>
      <c r="I4199" s="21"/>
      <c r="J4199" s="21"/>
      <c r="K4199" s="21"/>
      <c r="L4199" s="21"/>
      <c r="M4199" s="21"/>
      <c r="N4199" s="21"/>
    </row>
    <row r="4200" spans="1:14" ht="15.75" customHeight="1" x14ac:dyDescent="0.25">
      <c r="A4200" s="7">
        <v>4</v>
      </c>
      <c r="B4200" s="41" t="s">
        <v>1586</v>
      </c>
      <c r="C4200" s="7">
        <v>1</v>
      </c>
      <c r="D4200" s="7" t="s">
        <v>19</v>
      </c>
      <c r="E4200" s="104">
        <v>350900</v>
      </c>
      <c r="F4200" s="104">
        <f t="shared" si="44"/>
        <v>350900</v>
      </c>
      <c r="G4200" s="25"/>
      <c r="H4200" s="11"/>
      <c r="I4200" s="21"/>
      <c r="J4200" s="21"/>
      <c r="K4200" s="21"/>
      <c r="L4200" s="21"/>
      <c r="M4200" s="21"/>
      <c r="N4200" s="21"/>
    </row>
    <row r="4201" spans="1:14" ht="15.75" customHeight="1" x14ac:dyDescent="0.25">
      <c r="A4201" s="7">
        <v>5</v>
      </c>
      <c r="B4201" s="41" t="s">
        <v>1587</v>
      </c>
      <c r="C4201" s="7">
        <v>9</v>
      </c>
      <c r="D4201" s="7" t="s">
        <v>19</v>
      </c>
      <c r="E4201" s="104">
        <v>72500</v>
      </c>
      <c r="F4201" s="104">
        <f t="shared" si="44"/>
        <v>652500</v>
      </c>
      <c r="G4201" s="25"/>
      <c r="H4201" s="11"/>
      <c r="I4201" s="21"/>
      <c r="J4201" s="21"/>
      <c r="K4201" s="21"/>
      <c r="L4201" s="21"/>
      <c r="M4201" s="21"/>
      <c r="N4201" s="21"/>
    </row>
    <row r="4202" spans="1:14" ht="15.75" customHeight="1" x14ac:dyDescent="0.25">
      <c r="A4202" s="7">
        <v>6</v>
      </c>
      <c r="B4202" s="41" t="s">
        <v>1588</v>
      </c>
      <c r="C4202" s="7">
        <v>6</v>
      </c>
      <c r="D4202" s="7" t="s">
        <v>19</v>
      </c>
      <c r="E4202" s="104">
        <v>87000</v>
      </c>
      <c r="F4202" s="104">
        <f t="shared" si="44"/>
        <v>522000</v>
      </c>
      <c r="G4202" s="25"/>
      <c r="H4202" s="11"/>
      <c r="I4202" s="21"/>
      <c r="J4202" s="21"/>
      <c r="K4202" s="21"/>
      <c r="L4202" s="21"/>
      <c r="M4202" s="21"/>
      <c r="N4202" s="21"/>
    </row>
    <row r="4203" spans="1:14" ht="15.75" customHeight="1" x14ac:dyDescent="0.25">
      <c r="A4203" s="7">
        <v>7</v>
      </c>
      <c r="B4203" s="41" t="s">
        <v>1589</v>
      </c>
      <c r="C4203" s="7">
        <v>1</v>
      </c>
      <c r="D4203" s="7" t="s">
        <v>19</v>
      </c>
      <c r="E4203" s="104">
        <v>116000</v>
      </c>
      <c r="F4203" s="104">
        <f t="shared" si="44"/>
        <v>116000</v>
      </c>
      <c r="G4203" s="25"/>
      <c r="H4203" s="11"/>
      <c r="I4203" s="21"/>
      <c r="J4203" s="21"/>
      <c r="K4203" s="21"/>
      <c r="L4203" s="21"/>
      <c r="M4203" s="21"/>
      <c r="N4203" s="21"/>
    </row>
    <row r="4204" spans="1:14" ht="15.75" customHeight="1" x14ac:dyDescent="0.25">
      <c r="A4204" s="7">
        <v>8</v>
      </c>
      <c r="B4204" s="41" t="s">
        <v>1590</v>
      </c>
      <c r="C4204" s="7">
        <v>11</v>
      </c>
      <c r="D4204" s="7" t="s">
        <v>19</v>
      </c>
      <c r="E4204" s="104">
        <v>101500</v>
      </c>
      <c r="F4204" s="104">
        <f t="shared" si="44"/>
        <v>1116500</v>
      </c>
      <c r="G4204" s="25"/>
      <c r="H4204" s="11"/>
      <c r="I4204" s="21"/>
      <c r="J4204" s="21"/>
      <c r="K4204" s="21"/>
      <c r="L4204" s="21"/>
      <c r="M4204" s="21"/>
      <c r="N4204" s="21"/>
    </row>
    <row r="4205" spans="1:14" ht="15.75" customHeight="1" x14ac:dyDescent="0.25">
      <c r="A4205" s="7">
        <v>9</v>
      </c>
      <c r="B4205" s="41" t="s">
        <v>1591</v>
      </c>
      <c r="C4205" s="7">
        <v>1</v>
      </c>
      <c r="D4205" s="7" t="s">
        <v>19</v>
      </c>
      <c r="E4205" s="104">
        <v>181250</v>
      </c>
      <c r="F4205" s="104">
        <f t="shared" si="44"/>
        <v>181250</v>
      </c>
      <c r="G4205" s="25"/>
      <c r="H4205" s="11"/>
      <c r="I4205" s="21"/>
      <c r="J4205" s="21"/>
      <c r="K4205" s="21"/>
      <c r="L4205" s="21"/>
      <c r="M4205" s="21"/>
      <c r="N4205" s="21"/>
    </row>
    <row r="4206" spans="1:14" ht="15.75" customHeight="1" x14ac:dyDescent="0.25">
      <c r="A4206" s="7">
        <v>10</v>
      </c>
      <c r="B4206" s="41" t="s">
        <v>1592</v>
      </c>
      <c r="C4206" s="7">
        <v>17</v>
      </c>
      <c r="D4206" s="7" t="s">
        <v>19</v>
      </c>
      <c r="E4206" s="104">
        <v>195750</v>
      </c>
      <c r="F4206" s="104">
        <f t="shared" si="44"/>
        <v>3327750</v>
      </c>
      <c r="G4206" s="25"/>
      <c r="H4206" s="11"/>
      <c r="I4206" s="21"/>
      <c r="J4206" s="21"/>
      <c r="K4206" s="21"/>
      <c r="L4206" s="21"/>
      <c r="M4206" s="21"/>
      <c r="N4206" s="21"/>
    </row>
    <row r="4207" spans="1:14" ht="15.75" customHeight="1" x14ac:dyDescent="0.25">
      <c r="A4207" s="7">
        <v>11</v>
      </c>
      <c r="B4207" s="41" t="s">
        <v>1593</v>
      </c>
      <c r="C4207" s="7">
        <v>1</v>
      </c>
      <c r="D4207" s="7" t="s">
        <v>19</v>
      </c>
      <c r="E4207" s="104">
        <v>14500</v>
      </c>
      <c r="F4207" s="104">
        <f t="shared" si="44"/>
        <v>14500</v>
      </c>
      <c r="G4207" s="25"/>
      <c r="H4207" s="11"/>
      <c r="I4207" s="21"/>
      <c r="J4207" s="21"/>
      <c r="K4207" s="21"/>
      <c r="L4207" s="21"/>
      <c r="M4207" s="21"/>
      <c r="N4207" s="21"/>
    </row>
    <row r="4208" spans="1:14" ht="15.75" customHeight="1" x14ac:dyDescent="0.25">
      <c r="A4208" s="7">
        <v>12</v>
      </c>
      <c r="B4208" s="41" t="s">
        <v>1594</v>
      </c>
      <c r="C4208" s="7">
        <v>1</v>
      </c>
      <c r="D4208" s="7" t="s">
        <v>19</v>
      </c>
      <c r="E4208" s="104">
        <v>36500</v>
      </c>
      <c r="F4208" s="104">
        <f t="shared" si="44"/>
        <v>36500</v>
      </c>
      <c r="G4208" s="25"/>
      <c r="H4208" s="11"/>
      <c r="I4208" s="21"/>
      <c r="J4208" s="21"/>
      <c r="K4208" s="21"/>
      <c r="L4208" s="21"/>
      <c r="M4208" s="21"/>
      <c r="N4208" s="21"/>
    </row>
    <row r="4209" spans="1:14" ht="15.75" customHeight="1" x14ac:dyDescent="0.25">
      <c r="A4209" s="7">
        <v>13</v>
      </c>
      <c r="B4209" s="41" t="s">
        <v>1595</v>
      </c>
      <c r="C4209" s="7">
        <v>1</v>
      </c>
      <c r="D4209" s="7" t="s">
        <v>19</v>
      </c>
      <c r="E4209" s="104">
        <v>40800</v>
      </c>
      <c r="F4209" s="104">
        <f t="shared" si="44"/>
        <v>40800</v>
      </c>
      <c r="G4209" s="25"/>
      <c r="H4209" s="11"/>
      <c r="I4209" s="21"/>
      <c r="J4209" s="21"/>
      <c r="K4209" s="21"/>
      <c r="L4209" s="21"/>
      <c r="M4209" s="21"/>
      <c r="N4209" s="21"/>
    </row>
    <row r="4210" spans="1:14" ht="15.75" customHeight="1" x14ac:dyDescent="0.25">
      <c r="A4210" s="7">
        <v>14</v>
      </c>
      <c r="B4210" s="41" t="s">
        <v>1596</v>
      </c>
      <c r="C4210" s="7">
        <v>5</v>
      </c>
      <c r="D4210" s="7" t="s">
        <v>19</v>
      </c>
      <c r="E4210" s="104">
        <v>43500</v>
      </c>
      <c r="F4210" s="104">
        <f t="shared" si="44"/>
        <v>217500</v>
      </c>
      <c r="G4210" s="25"/>
      <c r="H4210" s="11"/>
      <c r="I4210" s="21"/>
      <c r="J4210" s="21"/>
      <c r="K4210" s="21"/>
      <c r="L4210" s="21"/>
      <c r="M4210" s="21"/>
      <c r="N4210" s="21"/>
    </row>
    <row r="4211" spans="1:14" ht="15.75" customHeight="1" x14ac:dyDescent="0.25">
      <c r="A4211" s="7"/>
      <c r="B4211" s="343" t="s">
        <v>342</v>
      </c>
      <c r="C4211" s="344"/>
      <c r="D4211" s="344"/>
      <c r="E4211" s="334"/>
      <c r="F4211" s="104">
        <f>SUM(F4197:F4210)</f>
        <v>12331200</v>
      </c>
      <c r="G4211" s="25"/>
      <c r="H4211" s="11"/>
      <c r="I4211" s="21"/>
      <c r="J4211" s="21"/>
      <c r="K4211" s="21"/>
      <c r="L4211" s="21"/>
      <c r="M4211" s="21"/>
      <c r="N4211" s="21"/>
    </row>
    <row r="4212" spans="1:14" ht="15.75" customHeight="1" x14ac:dyDescent="0.25">
      <c r="A4212" s="7"/>
      <c r="B4212" s="343" t="s">
        <v>343</v>
      </c>
      <c r="C4212" s="344"/>
      <c r="D4212" s="344"/>
      <c r="E4212" s="334"/>
      <c r="F4212" s="104">
        <v>1356432</v>
      </c>
      <c r="G4212" s="25"/>
      <c r="H4212" s="11"/>
      <c r="I4212" s="21"/>
      <c r="J4212" s="21"/>
      <c r="K4212" s="21"/>
      <c r="L4212" s="21"/>
      <c r="M4212" s="21"/>
      <c r="N4212" s="21"/>
    </row>
    <row r="4213" spans="1:14" ht="15.75" customHeight="1" x14ac:dyDescent="0.25">
      <c r="A4213" s="7"/>
      <c r="B4213" s="345" t="s">
        <v>344</v>
      </c>
      <c r="C4213" s="344"/>
      <c r="D4213" s="344"/>
      <c r="E4213" s="334"/>
      <c r="F4213" s="107">
        <f>SUM(F4211:F4212)</f>
        <v>13687632</v>
      </c>
      <c r="G4213" s="25"/>
      <c r="H4213" s="11"/>
      <c r="I4213" s="21"/>
      <c r="J4213" s="21"/>
      <c r="K4213" s="21"/>
      <c r="L4213" s="21"/>
      <c r="M4213" s="21"/>
      <c r="N4213" s="21"/>
    </row>
    <row r="4214" spans="1:14" ht="15.75" customHeight="1" x14ac:dyDescent="0.25">
      <c r="A4214" s="21"/>
      <c r="B4214" s="21"/>
      <c r="C4214" s="11"/>
      <c r="D4214" s="11"/>
      <c r="E4214" s="21"/>
      <c r="F4214" s="21"/>
      <c r="G4214" s="25"/>
      <c r="H4214" s="11"/>
      <c r="I4214" s="21"/>
      <c r="J4214" s="21"/>
      <c r="K4214" s="21"/>
      <c r="L4214" s="21"/>
      <c r="M4214" s="21"/>
      <c r="N4214" s="21"/>
    </row>
    <row r="4215" spans="1:14" ht="15.75" customHeight="1" x14ac:dyDescent="0.25">
      <c r="A4215" s="31" t="s">
        <v>14</v>
      </c>
      <c r="B4215" s="31" t="s">
        <v>234</v>
      </c>
      <c r="C4215" s="31" t="s">
        <v>16</v>
      </c>
      <c r="D4215" s="31" t="s">
        <v>17</v>
      </c>
      <c r="E4215" s="31" t="s">
        <v>235</v>
      </c>
      <c r="F4215" s="31" t="s">
        <v>236</v>
      </c>
      <c r="G4215" s="25"/>
      <c r="H4215" s="11"/>
      <c r="I4215" s="21"/>
      <c r="J4215" s="21"/>
      <c r="K4215" s="21"/>
      <c r="L4215" s="21"/>
      <c r="M4215" s="21"/>
      <c r="N4215" s="21"/>
    </row>
    <row r="4216" spans="1:14" ht="15.75" customHeight="1" x14ac:dyDescent="0.25">
      <c r="A4216" s="7">
        <v>1</v>
      </c>
      <c r="B4216" s="120" t="s">
        <v>1597</v>
      </c>
      <c r="C4216" s="158">
        <v>16</v>
      </c>
      <c r="D4216" s="7" t="s">
        <v>19</v>
      </c>
      <c r="E4216" s="104">
        <v>87800</v>
      </c>
      <c r="F4216" s="104">
        <f>E4216*C4216</f>
        <v>1404800</v>
      </c>
      <c r="G4216" s="25"/>
      <c r="H4216" s="11"/>
      <c r="I4216" s="21"/>
      <c r="J4216" s="21"/>
      <c r="K4216" s="21"/>
      <c r="L4216" s="21"/>
      <c r="M4216" s="21"/>
      <c r="N4216" s="21"/>
    </row>
    <row r="4217" spans="1:14" ht="15.75" customHeight="1" x14ac:dyDescent="0.25">
      <c r="A4217" s="7">
        <v>2</v>
      </c>
      <c r="B4217" s="35" t="s">
        <v>1598</v>
      </c>
      <c r="C4217" s="133">
        <v>2</v>
      </c>
      <c r="D4217" s="7" t="s">
        <v>19</v>
      </c>
      <c r="E4217" s="104">
        <v>195800</v>
      </c>
      <c r="F4217" s="104">
        <f>E4217*C4217</f>
        <v>391600</v>
      </c>
      <c r="G4217" s="25"/>
      <c r="H4217" s="11"/>
      <c r="I4217" s="21"/>
      <c r="J4217" s="21"/>
      <c r="K4217" s="21"/>
      <c r="L4217" s="21"/>
      <c r="M4217" s="21"/>
      <c r="N4217" s="21"/>
    </row>
    <row r="4218" spans="1:14" ht="15.75" customHeight="1" x14ac:dyDescent="0.25">
      <c r="A4218" s="7">
        <v>3</v>
      </c>
      <c r="B4218" s="41" t="s">
        <v>1599</v>
      </c>
      <c r="C4218" s="151">
        <v>5</v>
      </c>
      <c r="D4218" s="133" t="s">
        <v>973</v>
      </c>
      <c r="E4218" s="104">
        <v>482000</v>
      </c>
      <c r="F4218" s="104">
        <f>E4218*C4218</f>
        <v>2410000</v>
      </c>
      <c r="G4218" s="25"/>
      <c r="H4218" s="11"/>
      <c r="I4218" s="21"/>
      <c r="J4218" s="21"/>
      <c r="K4218" s="21"/>
      <c r="L4218" s="21"/>
      <c r="M4218" s="21"/>
      <c r="N4218" s="21"/>
    </row>
    <row r="4219" spans="1:14" ht="15.75" customHeight="1" x14ac:dyDescent="0.25">
      <c r="A4219" s="7"/>
      <c r="B4219" s="343" t="s">
        <v>342</v>
      </c>
      <c r="C4219" s="344"/>
      <c r="D4219" s="344"/>
      <c r="E4219" s="334"/>
      <c r="F4219" s="104">
        <f>SUM(F4216:F4218)</f>
        <v>4206400</v>
      </c>
      <c r="G4219" s="25"/>
      <c r="H4219" s="11"/>
      <c r="I4219" s="21"/>
      <c r="J4219" s="21"/>
      <c r="K4219" s="21"/>
      <c r="L4219" s="21"/>
      <c r="M4219" s="21"/>
      <c r="N4219" s="21"/>
    </row>
    <row r="4220" spans="1:14" ht="15.75" customHeight="1" x14ac:dyDescent="0.25">
      <c r="A4220" s="7"/>
      <c r="B4220" s="343" t="s">
        <v>343</v>
      </c>
      <c r="C4220" s="344"/>
      <c r="D4220" s="344"/>
      <c r="E4220" s="334"/>
      <c r="F4220" s="104">
        <v>462704</v>
      </c>
      <c r="G4220" s="25"/>
      <c r="H4220" s="11"/>
      <c r="I4220" s="21"/>
      <c r="J4220" s="21"/>
      <c r="K4220" s="21"/>
      <c r="L4220" s="21"/>
      <c r="M4220" s="21"/>
      <c r="N4220" s="21"/>
    </row>
    <row r="4221" spans="1:14" ht="15.75" customHeight="1" x14ac:dyDescent="0.25">
      <c r="A4221" s="7"/>
      <c r="B4221" s="345" t="s">
        <v>344</v>
      </c>
      <c r="C4221" s="344"/>
      <c r="D4221" s="344"/>
      <c r="E4221" s="334"/>
      <c r="F4221" s="107">
        <f>SUM(F4219:F4220)</f>
        <v>4669104</v>
      </c>
      <c r="G4221" s="25"/>
      <c r="H4221" s="11"/>
      <c r="I4221" s="21"/>
      <c r="J4221" s="21"/>
      <c r="K4221" s="21"/>
      <c r="L4221" s="21"/>
      <c r="M4221" s="21"/>
      <c r="N4221" s="21"/>
    </row>
    <row r="4222" spans="1:14" ht="15.75" customHeight="1" x14ac:dyDescent="0.25">
      <c r="A4222" s="21"/>
      <c r="B4222" s="21"/>
      <c r="C4222" s="11"/>
      <c r="D4222" s="11"/>
      <c r="E4222" s="21"/>
      <c r="F4222" s="21"/>
      <c r="G4222" s="25"/>
      <c r="H4222" s="11"/>
      <c r="I4222" s="21"/>
      <c r="J4222" s="21"/>
      <c r="K4222" s="21"/>
      <c r="L4222" s="21"/>
      <c r="M4222" s="21"/>
      <c r="N4222" s="21"/>
    </row>
    <row r="4223" spans="1:14" ht="15.75" customHeight="1" x14ac:dyDescent="0.25">
      <c r="A4223" s="31" t="s">
        <v>14</v>
      </c>
      <c r="B4223" s="31" t="s">
        <v>234</v>
      </c>
      <c r="C4223" s="31" t="s">
        <v>16</v>
      </c>
      <c r="D4223" s="31" t="s">
        <v>17</v>
      </c>
      <c r="E4223" s="31" t="s">
        <v>235</v>
      </c>
      <c r="F4223" s="31" t="s">
        <v>236</v>
      </c>
      <c r="G4223" s="25"/>
      <c r="H4223" s="11"/>
      <c r="I4223" s="21"/>
      <c r="J4223" s="21"/>
      <c r="K4223" s="21"/>
      <c r="L4223" s="21"/>
      <c r="M4223" s="21"/>
      <c r="N4223" s="21"/>
    </row>
    <row r="4224" spans="1:14" ht="15.75" customHeight="1" x14ac:dyDescent="0.25">
      <c r="A4224" s="7">
        <v>1</v>
      </c>
      <c r="B4224" s="124" t="s">
        <v>1328</v>
      </c>
      <c r="C4224" s="129">
        <v>100</v>
      </c>
      <c r="D4224" s="7" t="s">
        <v>973</v>
      </c>
      <c r="E4224" s="130">
        <v>2973050</v>
      </c>
      <c r="F4224" s="130">
        <f>E4224*C4224</f>
        <v>297305000</v>
      </c>
      <c r="G4224" s="25"/>
      <c r="H4224" s="11"/>
      <c r="I4224" s="21"/>
      <c r="J4224" s="21"/>
      <c r="K4224" s="21"/>
      <c r="L4224" s="21"/>
      <c r="M4224" s="21"/>
      <c r="N4224" s="21"/>
    </row>
    <row r="4225" spans="1:14" ht="15.75" customHeight="1" x14ac:dyDescent="0.25">
      <c r="A4225" s="7">
        <v>2</v>
      </c>
      <c r="B4225" s="120" t="s">
        <v>1329</v>
      </c>
      <c r="C4225" s="129">
        <v>350</v>
      </c>
      <c r="D4225" s="7" t="s">
        <v>243</v>
      </c>
      <c r="E4225" s="130">
        <v>5626</v>
      </c>
      <c r="F4225" s="130">
        <f>E4225*C4225</f>
        <v>1969100</v>
      </c>
      <c r="G4225" s="25"/>
      <c r="H4225" s="11"/>
      <c r="I4225" s="21"/>
      <c r="J4225" s="21"/>
      <c r="K4225" s="21"/>
      <c r="L4225" s="21"/>
      <c r="M4225" s="21"/>
      <c r="N4225" s="21"/>
    </row>
    <row r="4226" spans="1:14" ht="15.75" customHeight="1" x14ac:dyDescent="0.25">
      <c r="A4226" s="7">
        <v>3</v>
      </c>
      <c r="B4226" s="142" t="s">
        <v>1487</v>
      </c>
      <c r="C4226" s="129">
        <v>12</v>
      </c>
      <c r="D4226" s="7" t="s">
        <v>973</v>
      </c>
      <c r="E4226" s="130">
        <v>5262250</v>
      </c>
      <c r="F4226" s="130">
        <f>E4226*C4226</f>
        <v>63147000</v>
      </c>
      <c r="G4226" s="25"/>
      <c r="H4226" s="11"/>
      <c r="I4226" s="21"/>
      <c r="J4226" s="21"/>
      <c r="K4226" s="21"/>
      <c r="L4226" s="21"/>
      <c r="M4226" s="21"/>
      <c r="N4226" s="21"/>
    </row>
    <row r="4227" spans="1:14" ht="15.75" customHeight="1" x14ac:dyDescent="0.25">
      <c r="A4227" s="7"/>
      <c r="B4227" s="343" t="s">
        <v>342</v>
      </c>
      <c r="C4227" s="344"/>
      <c r="D4227" s="344"/>
      <c r="E4227" s="334"/>
      <c r="F4227" s="104">
        <f>SUM(F4224:F4226)</f>
        <v>362421100</v>
      </c>
      <c r="G4227" s="25"/>
      <c r="H4227" s="11"/>
      <c r="I4227" s="21"/>
      <c r="J4227" s="21"/>
      <c r="K4227" s="21"/>
      <c r="L4227" s="21"/>
      <c r="M4227" s="21"/>
      <c r="N4227" s="21"/>
    </row>
    <row r="4228" spans="1:14" ht="15.75" customHeight="1" x14ac:dyDescent="0.25">
      <c r="A4228" s="7"/>
      <c r="B4228" s="345" t="s">
        <v>1327</v>
      </c>
      <c r="C4228" s="344"/>
      <c r="D4228" s="344"/>
      <c r="E4228" s="334"/>
      <c r="F4228" s="107">
        <v>50976410</v>
      </c>
      <c r="G4228" s="25"/>
      <c r="H4228" s="11"/>
      <c r="I4228" s="21"/>
      <c r="J4228" s="21"/>
      <c r="K4228" s="21"/>
      <c r="L4228" s="21"/>
      <c r="M4228" s="21"/>
      <c r="N4228" s="21"/>
    </row>
    <row r="4229" spans="1:14" ht="15.75" customHeight="1" x14ac:dyDescent="0.25">
      <c r="A4229" s="7"/>
      <c r="B4229" s="343" t="s">
        <v>342</v>
      </c>
      <c r="C4229" s="344"/>
      <c r="D4229" s="344"/>
      <c r="E4229" s="334"/>
      <c r="F4229" s="104">
        <f>F4227-F4228</f>
        <v>311444690</v>
      </c>
      <c r="G4229" s="25"/>
      <c r="H4229" s="11"/>
      <c r="I4229" s="21"/>
      <c r="J4229" s="21"/>
      <c r="K4229" s="21"/>
      <c r="L4229" s="21"/>
      <c r="M4229" s="21"/>
      <c r="N4229" s="21"/>
    </row>
    <row r="4230" spans="1:14" ht="15.75" customHeight="1" x14ac:dyDescent="0.25">
      <c r="A4230" s="7"/>
      <c r="B4230" s="343" t="s">
        <v>343</v>
      </c>
      <c r="C4230" s="344"/>
      <c r="D4230" s="344"/>
      <c r="E4230" s="334"/>
      <c r="F4230" s="104">
        <v>34258916</v>
      </c>
      <c r="G4230" s="25"/>
      <c r="H4230" s="11"/>
      <c r="I4230" s="21"/>
      <c r="J4230" s="21"/>
      <c r="K4230" s="21"/>
      <c r="L4230" s="21"/>
      <c r="M4230" s="21"/>
      <c r="N4230" s="21"/>
    </row>
    <row r="4231" spans="1:14" ht="15.75" customHeight="1" x14ac:dyDescent="0.25">
      <c r="A4231" s="7"/>
      <c r="B4231" s="345" t="s">
        <v>344</v>
      </c>
      <c r="C4231" s="344"/>
      <c r="D4231" s="344"/>
      <c r="E4231" s="334"/>
      <c r="F4231" s="107">
        <f>SUM(F4229:F4230)</f>
        <v>345703606</v>
      </c>
      <c r="G4231" s="25"/>
      <c r="H4231" s="11"/>
      <c r="I4231" s="21"/>
      <c r="J4231" s="21"/>
      <c r="K4231" s="21"/>
      <c r="L4231" s="21"/>
      <c r="M4231" s="21"/>
      <c r="N4231" s="21"/>
    </row>
    <row r="4232" spans="1:14" ht="15.75" customHeight="1" x14ac:dyDescent="0.25">
      <c r="A4232" s="21"/>
      <c r="B4232" s="21"/>
      <c r="C4232" s="11"/>
      <c r="D4232" s="11"/>
      <c r="E4232" s="21"/>
      <c r="F4232" s="21"/>
      <c r="G4232" s="25"/>
      <c r="H4232" s="11"/>
      <c r="I4232" s="21"/>
      <c r="J4232" s="21"/>
      <c r="K4232" s="21"/>
      <c r="L4232" s="21"/>
      <c r="M4232" s="21"/>
      <c r="N4232" s="21"/>
    </row>
    <row r="4233" spans="1:14" ht="15.75" customHeight="1" x14ac:dyDescent="0.25">
      <c r="A4233" s="31" t="s">
        <v>14</v>
      </c>
      <c r="B4233" s="31" t="s">
        <v>234</v>
      </c>
      <c r="C4233" s="31" t="s">
        <v>16</v>
      </c>
      <c r="D4233" s="31" t="s">
        <v>17</v>
      </c>
      <c r="E4233" s="31" t="s">
        <v>235</v>
      </c>
      <c r="F4233" s="31" t="s">
        <v>236</v>
      </c>
      <c r="G4233" s="25"/>
      <c r="H4233" s="11"/>
      <c r="I4233" s="21"/>
      <c r="J4233" s="21"/>
      <c r="K4233" s="21"/>
      <c r="L4233" s="21"/>
      <c r="M4233" s="21"/>
      <c r="N4233" s="21"/>
    </row>
    <row r="4234" spans="1:14" ht="15.75" customHeight="1" x14ac:dyDescent="0.25">
      <c r="A4234" s="10">
        <v>1</v>
      </c>
      <c r="B4234" s="124" t="s">
        <v>1600</v>
      </c>
      <c r="C4234" s="7">
        <v>73</v>
      </c>
      <c r="D4234" s="7" t="s">
        <v>19</v>
      </c>
      <c r="E4234" s="37">
        <v>17072</v>
      </c>
      <c r="F4234" s="104">
        <f t="shared" ref="F4234:F4245" si="45">E4234*C4234</f>
        <v>1246256</v>
      </c>
      <c r="G4234" s="25"/>
      <c r="H4234" s="11"/>
      <c r="I4234" s="21"/>
      <c r="J4234" s="21"/>
      <c r="K4234" s="21"/>
      <c r="L4234" s="21"/>
      <c r="M4234" s="21"/>
      <c r="N4234" s="21"/>
    </row>
    <row r="4235" spans="1:14" ht="15.75" customHeight="1" x14ac:dyDescent="0.25">
      <c r="A4235" s="7">
        <v>2</v>
      </c>
      <c r="B4235" s="124" t="s">
        <v>1601</v>
      </c>
      <c r="C4235" s="7">
        <v>90</v>
      </c>
      <c r="D4235" s="7" t="s">
        <v>19</v>
      </c>
      <c r="E4235" s="37">
        <v>49955</v>
      </c>
      <c r="F4235" s="104">
        <f t="shared" si="45"/>
        <v>4495950</v>
      </c>
      <c r="G4235" s="25"/>
      <c r="H4235" s="11"/>
      <c r="I4235" s="21"/>
      <c r="J4235" s="21"/>
      <c r="K4235" s="21"/>
      <c r="L4235" s="21"/>
      <c r="M4235" s="21"/>
      <c r="N4235" s="21"/>
    </row>
    <row r="4236" spans="1:14" ht="15.75" customHeight="1" x14ac:dyDescent="0.25">
      <c r="A4236" s="7">
        <v>3</v>
      </c>
      <c r="B4236" s="124" t="s">
        <v>1602</v>
      </c>
      <c r="C4236" s="7">
        <v>12</v>
      </c>
      <c r="D4236" s="7" t="s">
        <v>19</v>
      </c>
      <c r="E4236" s="37">
        <v>11640</v>
      </c>
      <c r="F4236" s="104">
        <f t="shared" si="45"/>
        <v>139680</v>
      </c>
      <c r="G4236" s="25"/>
      <c r="H4236" s="11"/>
      <c r="I4236" s="21"/>
      <c r="J4236" s="21"/>
      <c r="K4236" s="21"/>
      <c r="L4236" s="21"/>
      <c r="M4236" s="21"/>
      <c r="N4236" s="21"/>
    </row>
    <row r="4237" spans="1:14" ht="15.75" customHeight="1" x14ac:dyDescent="0.25">
      <c r="A4237" s="7">
        <v>4</v>
      </c>
      <c r="B4237" s="124" t="s">
        <v>1602</v>
      </c>
      <c r="C4237" s="7">
        <v>11</v>
      </c>
      <c r="D4237" s="7" t="s">
        <v>19</v>
      </c>
      <c r="E4237" s="37">
        <v>11640</v>
      </c>
      <c r="F4237" s="104">
        <f t="shared" si="45"/>
        <v>128040</v>
      </c>
      <c r="G4237" s="25"/>
      <c r="H4237" s="11"/>
      <c r="I4237" s="21"/>
      <c r="J4237" s="21"/>
      <c r="K4237" s="21"/>
      <c r="L4237" s="21"/>
      <c r="M4237" s="21"/>
      <c r="N4237" s="21"/>
    </row>
    <row r="4238" spans="1:14" ht="15.75" customHeight="1" x14ac:dyDescent="0.25">
      <c r="A4238" s="7">
        <v>5</v>
      </c>
      <c r="B4238" s="124" t="s">
        <v>1603</v>
      </c>
      <c r="C4238" s="7">
        <v>79</v>
      </c>
      <c r="D4238" s="7" t="s">
        <v>19</v>
      </c>
      <c r="E4238" s="37">
        <v>31525</v>
      </c>
      <c r="F4238" s="104">
        <f t="shared" si="45"/>
        <v>2490475</v>
      </c>
      <c r="G4238" s="25"/>
      <c r="H4238" s="11"/>
      <c r="I4238" s="21"/>
      <c r="J4238" s="21"/>
      <c r="K4238" s="21"/>
      <c r="L4238" s="21"/>
      <c r="M4238" s="21"/>
      <c r="N4238" s="21"/>
    </row>
    <row r="4239" spans="1:14" ht="15.75" customHeight="1" x14ac:dyDescent="0.25">
      <c r="A4239" s="7">
        <v>6</v>
      </c>
      <c r="B4239" s="124" t="s">
        <v>1604</v>
      </c>
      <c r="C4239" s="7">
        <v>8</v>
      </c>
      <c r="D4239" s="7" t="s">
        <v>19</v>
      </c>
      <c r="E4239" s="37">
        <v>120765</v>
      </c>
      <c r="F4239" s="104">
        <f t="shared" si="45"/>
        <v>966120</v>
      </c>
      <c r="G4239" s="25"/>
      <c r="H4239" s="11"/>
      <c r="I4239" s="21"/>
      <c r="J4239" s="21"/>
      <c r="K4239" s="21"/>
      <c r="L4239" s="21"/>
      <c r="M4239" s="21"/>
      <c r="N4239" s="21"/>
    </row>
    <row r="4240" spans="1:14" ht="15.75" customHeight="1" x14ac:dyDescent="0.25">
      <c r="A4240" s="7">
        <v>7</v>
      </c>
      <c r="B4240" s="124" t="s">
        <v>1604</v>
      </c>
      <c r="C4240" s="7">
        <v>7</v>
      </c>
      <c r="D4240" s="7" t="s">
        <v>19</v>
      </c>
      <c r="E4240" s="37">
        <v>120765</v>
      </c>
      <c r="F4240" s="104">
        <f t="shared" si="45"/>
        <v>845355</v>
      </c>
      <c r="G4240" s="25"/>
      <c r="H4240" s="11"/>
      <c r="I4240" s="21"/>
      <c r="J4240" s="21"/>
      <c r="K4240" s="21"/>
      <c r="L4240" s="21"/>
      <c r="M4240" s="21"/>
      <c r="N4240" s="21"/>
    </row>
    <row r="4241" spans="1:14" ht="15.75" customHeight="1" x14ac:dyDescent="0.25">
      <c r="A4241" s="7">
        <v>8</v>
      </c>
      <c r="B4241" s="124" t="s">
        <v>1605</v>
      </c>
      <c r="C4241" s="7">
        <v>15</v>
      </c>
      <c r="D4241" s="7" t="s">
        <v>19</v>
      </c>
      <c r="E4241" s="37">
        <v>94575</v>
      </c>
      <c r="F4241" s="104">
        <f t="shared" si="45"/>
        <v>1418625</v>
      </c>
      <c r="G4241" s="25"/>
      <c r="H4241" s="11"/>
      <c r="I4241" s="21"/>
      <c r="J4241" s="21"/>
      <c r="K4241" s="21"/>
      <c r="L4241" s="21"/>
      <c r="M4241" s="21"/>
      <c r="N4241" s="21"/>
    </row>
    <row r="4242" spans="1:14" ht="15.75" customHeight="1" x14ac:dyDescent="0.25">
      <c r="A4242" s="7">
        <v>9</v>
      </c>
      <c r="B4242" s="124" t="s">
        <v>1606</v>
      </c>
      <c r="C4242" s="7">
        <v>7</v>
      </c>
      <c r="D4242" s="7" t="s">
        <v>19</v>
      </c>
      <c r="E4242" s="37">
        <v>205155</v>
      </c>
      <c r="F4242" s="104">
        <f t="shared" si="45"/>
        <v>1436085</v>
      </c>
      <c r="G4242" s="25"/>
      <c r="H4242" s="11"/>
      <c r="I4242" s="21"/>
      <c r="J4242" s="21"/>
      <c r="K4242" s="21"/>
      <c r="L4242" s="21"/>
      <c r="M4242" s="21"/>
      <c r="N4242" s="21"/>
    </row>
    <row r="4243" spans="1:14" ht="15.75" customHeight="1" x14ac:dyDescent="0.25">
      <c r="A4243" s="7">
        <v>10</v>
      </c>
      <c r="B4243" s="124" t="s">
        <v>1606</v>
      </c>
      <c r="C4243" s="7">
        <v>6</v>
      </c>
      <c r="D4243" s="7" t="s">
        <v>19</v>
      </c>
      <c r="E4243" s="37">
        <v>205155</v>
      </c>
      <c r="F4243" s="104">
        <f t="shared" si="45"/>
        <v>1230930</v>
      </c>
      <c r="G4243" s="25"/>
      <c r="H4243" s="11"/>
      <c r="I4243" s="21"/>
      <c r="J4243" s="21"/>
      <c r="K4243" s="21"/>
      <c r="L4243" s="21"/>
      <c r="M4243" s="21"/>
      <c r="N4243" s="21"/>
    </row>
    <row r="4244" spans="1:14" ht="15.75" customHeight="1" x14ac:dyDescent="0.25">
      <c r="A4244" s="7">
        <v>11</v>
      </c>
      <c r="B4244" s="124" t="s">
        <v>1607</v>
      </c>
      <c r="C4244" s="7">
        <v>3</v>
      </c>
      <c r="D4244" s="7" t="s">
        <v>19</v>
      </c>
      <c r="E4244" s="37">
        <v>30894500</v>
      </c>
      <c r="F4244" s="104">
        <f t="shared" si="45"/>
        <v>92683500</v>
      </c>
      <c r="G4244" s="25"/>
      <c r="H4244" s="11"/>
      <c r="I4244" s="21"/>
      <c r="J4244" s="21"/>
      <c r="K4244" s="21"/>
      <c r="L4244" s="21"/>
      <c r="M4244" s="21"/>
      <c r="N4244" s="21"/>
    </row>
    <row r="4245" spans="1:14" ht="15.75" customHeight="1" x14ac:dyDescent="0.25">
      <c r="A4245" s="7">
        <v>12</v>
      </c>
      <c r="B4245" s="124" t="s">
        <v>1608</v>
      </c>
      <c r="C4245" s="7">
        <v>4</v>
      </c>
      <c r="D4245" s="7" t="s">
        <v>19</v>
      </c>
      <c r="E4245" s="37">
        <v>92635</v>
      </c>
      <c r="F4245" s="104">
        <f t="shared" si="45"/>
        <v>370540</v>
      </c>
      <c r="G4245" s="25"/>
      <c r="H4245" s="11"/>
      <c r="I4245" s="21"/>
      <c r="J4245" s="21"/>
      <c r="K4245" s="21"/>
      <c r="L4245" s="21"/>
      <c r="M4245" s="21"/>
      <c r="N4245" s="21"/>
    </row>
    <row r="4246" spans="1:14" ht="15.75" customHeight="1" x14ac:dyDescent="0.25">
      <c r="A4246" s="7"/>
      <c r="B4246" s="343" t="s">
        <v>342</v>
      </c>
      <c r="C4246" s="344"/>
      <c r="D4246" s="344"/>
      <c r="E4246" s="334"/>
      <c r="F4246" s="104">
        <f>SUM(F4232:F4245)</f>
        <v>107451556</v>
      </c>
      <c r="G4246" s="25"/>
      <c r="H4246" s="11"/>
      <c r="I4246" s="21"/>
      <c r="J4246" s="21"/>
      <c r="K4246" s="21"/>
      <c r="L4246" s="21"/>
      <c r="M4246" s="21"/>
      <c r="N4246" s="21"/>
    </row>
    <row r="4247" spans="1:14" ht="15.75" customHeight="1" x14ac:dyDescent="0.25">
      <c r="A4247" s="7"/>
      <c r="B4247" s="343" t="s">
        <v>343</v>
      </c>
      <c r="C4247" s="344"/>
      <c r="D4247" s="344"/>
      <c r="E4247" s="334"/>
      <c r="F4247" s="108">
        <f>F4246*11%</f>
        <v>11819671.16</v>
      </c>
      <c r="G4247" s="25"/>
      <c r="H4247" s="11"/>
      <c r="I4247" s="21"/>
      <c r="J4247" s="21"/>
      <c r="K4247" s="21"/>
      <c r="L4247" s="21"/>
      <c r="M4247" s="21"/>
      <c r="N4247" s="21"/>
    </row>
    <row r="4248" spans="1:14" ht="15.75" customHeight="1" x14ac:dyDescent="0.25">
      <c r="A4248" s="7"/>
      <c r="B4248" s="345" t="s">
        <v>344</v>
      </c>
      <c r="C4248" s="344"/>
      <c r="D4248" s="344"/>
      <c r="E4248" s="334"/>
      <c r="F4248" s="109">
        <f>SUM(F4246:F4247)</f>
        <v>119271227.16</v>
      </c>
      <c r="G4248" s="25"/>
      <c r="H4248" s="11"/>
      <c r="I4248" s="21"/>
      <c r="J4248" s="21"/>
      <c r="K4248" s="21"/>
      <c r="L4248" s="21"/>
      <c r="M4248" s="21"/>
      <c r="N4248" s="21"/>
    </row>
    <row r="4249" spans="1:14" ht="15.75" customHeight="1" x14ac:dyDescent="0.25">
      <c r="A4249" s="21"/>
      <c r="B4249" s="21"/>
      <c r="C4249" s="11"/>
      <c r="D4249" s="11"/>
      <c r="E4249" s="21"/>
      <c r="F4249" s="21"/>
      <c r="G4249" s="25"/>
      <c r="H4249" s="11"/>
      <c r="I4249" s="21"/>
      <c r="J4249" s="21"/>
      <c r="K4249" s="21"/>
      <c r="L4249" s="21"/>
      <c r="M4249" s="21"/>
      <c r="N4249" s="21"/>
    </row>
    <row r="4250" spans="1:14" ht="15.75" customHeight="1" x14ac:dyDescent="0.25">
      <c r="A4250" s="31" t="s">
        <v>14</v>
      </c>
      <c r="B4250" s="31" t="s">
        <v>234</v>
      </c>
      <c r="C4250" s="31" t="s">
        <v>16</v>
      </c>
      <c r="D4250" s="31" t="s">
        <v>17</v>
      </c>
      <c r="E4250" s="31" t="s">
        <v>235</v>
      </c>
      <c r="F4250" s="31" t="s">
        <v>236</v>
      </c>
      <c r="G4250" s="25"/>
      <c r="H4250" s="11"/>
      <c r="I4250" s="21"/>
      <c r="J4250" s="21"/>
      <c r="K4250" s="21"/>
      <c r="L4250" s="21"/>
      <c r="M4250" s="21"/>
      <c r="N4250" s="21"/>
    </row>
    <row r="4251" spans="1:14" ht="15.75" customHeight="1" x14ac:dyDescent="0.25">
      <c r="A4251" s="7">
        <v>1</v>
      </c>
      <c r="B4251" s="41" t="s">
        <v>1609</v>
      </c>
      <c r="C4251" s="158">
        <v>30</v>
      </c>
      <c r="D4251" s="7" t="s">
        <v>363</v>
      </c>
      <c r="E4251" s="104">
        <v>227950</v>
      </c>
      <c r="F4251" s="104">
        <f>E4251*C4251</f>
        <v>6838500</v>
      </c>
      <c r="G4251" s="25"/>
      <c r="H4251" s="11"/>
      <c r="I4251" s="21"/>
      <c r="J4251" s="21"/>
      <c r="K4251" s="21"/>
      <c r="L4251" s="21"/>
      <c r="M4251" s="21"/>
      <c r="N4251" s="21"/>
    </row>
    <row r="4252" spans="1:14" ht="15.75" customHeight="1" x14ac:dyDescent="0.25">
      <c r="A4252" s="7">
        <v>2</v>
      </c>
      <c r="B4252" s="41" t="s">
        <v>1610</v>
      </c>
      <c r="C4252" s="133">
        <v>10</v>
      </c>
      <c r="D4252" s="7" t="s">
        <v>363</v>
      </c>
      <c r="E4252" s="104">
        <v>344350</v>
      </c>
      <c r="F4252" s="104">
        <f>E4252*C4252</f>
        <v>3443500</v>
      </c>
      <c r="G4252" s="25"/>
      <c r="H4252" s="11"/>
      <c r="I4252" s="21"/>
      <c r="J4252" s="21"/>
      <c r="K4252" s="21"/>
      <c r="L4252" s="21"/>
      <c r="M4252" s="21"/>
      <c r="N4252" s="21"/>
    </row>
    <row r="4253" spans="1:14" ht="15.75" customHeight="1" x14ac:dyDescent="0.25">
      <c r="A4253" s="7">
        <v>3</v>
      </c>
      <c r="B4253" s="41" t="s">
        <v>1611</v>
      </c>
      <c r="C4253" s="151">
        <v>10</v>
      </c>
      <c r="D4253" s="133" t="s">
        <v>363</v>
      </c>
      <c r="E4253" s="104">
        <v>56200</v>
      </c>
      <c r="F4253" s="104">
        <f>E4253*C4253</f>
        <v>562000</v>
      </c>
      <c r="G4253" s="25"/>
      <c r="H4253" s="11"/>
      <c r="I4253" s="21"/>
      <c r="J4253" s="21"/>
      <c r="K4253" s="21"/>
      <c r="L4253" s="21"/>
      <c r="M4253" s="21"/>
      <c r="N4253" s="21"/>
    </row>
    <row r="4254" spans="1:14" ht="15.75" customHeight="1" x14ac:dyDescent="0.25">
      <c r="A4254" s="7"/>
      <c r="B4254" s="343" t="s">
        <v>342</v>
      </c>
      <c r="C4254" s="344"/>
      <c r="D4254" s="344"/>
      <c r="E4254" s="334"/>
      <c r="F4254" s="104">
        <f>SUM(F4251:F4253)</f>
        <v>10844000</v>
      </c>
      <c r="G4254" s="25"/>
      <c r="H4254" s="11"/>
      <c r="I4254" s="21"/>
      <c r="J4254" s="21"/>
      <c r="K4254" s="21"/>
      <c r="L4254" s="21"/>
      <c r="M4254" s="21"/>
      <c r="N4254" s="21"/>
    </row>
    <row r="4255" spans="1:14" ht="15.75" customHeight="1" x14ac:dyDescent="0.25">
      <c r="A4255" s="7"/>
      <c r="B4255" s="343" t="s">
        <v>343</v>
      </c>
      <c r="C4255" s="344"/>
      <c r="D4255" s="344"/>
      <c r="E4255" s="334"/>
      <c r="F4255" s="104">
        <v>1192840</v>
      </c>
      <c r="G4255" s="25"/>
      <c r="H4255" s="11"/>
      <c r="I4255" s="21"/>
      <c r="J4255" s="21"/>
      <c r="K4255" s="21"/>
      <c r="L4255" s="21"/>
      <c r="M4255" s="21"/>
      <c r="N4255" s="21"/>
    </row>
    <row r="4256" spans="1:14" ht="15.75" customHeight="1" x14ac:dyDescent="0.25">
      <c r="A4256" s="7"/>
      <c r="B4256" s="345" t="s">
        <v>344</v>
      </c>
      <c r="C4256" s="344"/>
      <c r="D4256" s="344"/>
      <c r="E4256" s="334"/>
      <c r="F4256" s="107">
        <f>SUM(F4254:F4255)</f>
        <v>12036840</v>
      </c>
      <c r="G4256" s="25"/>
      <c r="H4256" s="11"/>
      <c r="I4256" s="21"/>
      <c r="J4256" s="21"/>
      <c r="K4256" s="21"/>
      <c r="L4256" s="21"/>
      <c r="M4256" s="21"/>
      <c r="N4256" s="21"/>
    </row>
    <row r="4257" spans="1:14" ht="15.75" customHeight="1" x14ac:dyDescent="0.25">
      <c r="A4257" s="21"/>
      <c r="B4257" s="21"/>
      <c r="C4257" s="11"/>
      <c r="D4257" s="11"/>
      <c r="E4257" s="21"/>
      <c r="F4257" s="21"/>
      <c r="G4257" s="25"/>
      <c r="H4257" s="11"/>
      <c r="I4257" s="21"/>
      <c r="J4257" s="21"/>
      <c r="K4257" s="21"/>
      <c r="L4257" s="21"/>
      <c r="M4257" s="21"/>
      <c r="N4257" s="21"/>
    </row>
    <row r="4258" spans="1:14" ht="15.75" customHeight="1" x14ac:dyDescent="0.25">
      <c r="A4258" s="31" t="s">
        <v>14</v>
      </c>
      <c r="B4258" s="31" t="s">
        <v>234</v>
      </c>
      <c r="C4258" s="31" t="s">
        <v>16</v>
      </c>
      <c r="D4258" s="31" t="s">
        <v>17</v>
      </c>
      <c r="E4258" s="31" t="s">
        <v>235</v>
      </c>
      <c r="F4258" s="31" t="s">
        <v>236</v>
      </c>
      <c r="G4258" s="25"/>
      <c r="H4258" s="11"/>
      <c r="I4258" s="21"/>
      <c r="J4258" s="21"/>
      <c r="K4258" s="21"/>
      <c r="L4258" s="21"/>
      <c r="M4258" s="21"/>
      <c r="N4258" s="21"/>
    </row>
    <row r="4259" spans="1:14" ht="15.75" customHeight="1" x14ac:dyDescent="0.25">
      <c r="A4259" s="7">
        <v>1</v>
      </c>
      <c r="B4259" s="41" t="s">
        <v>1612</v>
      </c>
      <c r="C4259" s="129">
        <v>5</v>
      </c>
      <c r="D4259" s="7" t="s">
        <v>1458</v>
      </c>
      <c r="E4259" s="130">
        <v>331500</v>
      </c>
      <c r="F4259" s="130">
        <f>E4259*C4259</f>
        <v>1657500</v>
      </c>
      <c r="G4259" s="25"/>
      <c r="H4259" s="11"/>
      <c r="I4259" s="21"/>
      <c r="J4259" s="21"/>
      <c r="K4259" s="21"/>
      <c r="L4259" s="21"/>
      <c r="M4259" s="21"/>
      <c r="N4259" s="21"/>
    </row>
    <row r="4260" spans="1:14" ht="15.75" customHeight="1" x14ac:dyDescent="0.25">
      <c r="A4260" s="7"/>
      <c r="B4260" s="343" t="s">
        <v>342</v>
      </c>
      <c r="C4260" s="344"/>
      <c r="D4260" s="344"/>
      <c r="E4260" s="334"/>
      <c r="F4260" s="104">
        <f>SUM(F4259)</f>
        <v>1657500</v>
      </c>
      <c r="G4260" s="25"/>
      <c r="H4260" s="11"/>
      <c r="I4260" s="21"/>
      <c r="J4260" s="21"/>
      <c r="K4260" s="21"/>
      <c r="L4260" s="21"/>
      <c r="M4260" s="21"/>
      <c r="N4260" s="21"/>
    </row>
    <row r="4261" spans="1:14" ht="15.75" customHeight="1" x14ac:dyDescent="0.25">
      <c r="A4261" s="7"/>
      <c r="B4261" s="343" t="s">
        <v>343</v>
      </c>
      <c r="C4261" s="344"/>
      <c r="D4261" s="344"/>
      <c r="E4261" s="334"/>
      <c r="F4261" s="104">
        <v>182325</v>
      </c>
      <c r="G4261" s="25"/>
      <c r="H4261" s="11"/>
      <c r="I4261" s="21"/>
      <c r="J4261" s="21"/>
      <c r="K4261" s="21"/>
      <c r="L4261" s="21"/>
      <c r="M4261" s="21"/>
      <c r="N4261" s="21"/>
    </row>
    <row r="4262" spans="1:14" ht="15.75" customHeight="1" x14ac:dyDescent="0.25">
      <c r="A4262" s="7"/>
      <c r="B4262" s="345" t="s">
        <v>344</v>
      </c>
      <c r="C4262" s="344"/>
      <c r="D4262" s="344"/>
      <c r="E4262" s="334"/>
      <c r="F4262" s="107">
        <f>SUM(F4260:F4261)</f>
        <v>1839825</v>
      </c>
      <c r="G4262" s="25"/>
      <c r="H4262" s="11"/>
      <c r="I4262" s="21"/>
      <c r="J4262" s="21"/>
      <c r="K4262" s="21"/>
      <c r="L4262" s="21"/>
      <c r="M4262" s="21"/>
      <c r="N4262" s="21"/>
    </row>
    <row r="4263" spans="1:14" ht="15.75" customHeight="1" x14ac:dyDescent="0.25">
      <c r="A4263" s="21"/>
      <c r="B4263" s="21"/>
      <c r="C4263" s="11"/>
      <c r="D4263" s="11"/>
      <c r="E4263" s="21"/>
      <c r="F4263" s="21"/>
      <c r="G4263" s="25"/>
      <c r="H4263" s="11"/>
      <c r="I4263" s="21"/>
      <c r="J4263" s="21"/>
      <c r="K4263" s="21"/>
      <c r="L4263" s="21"/>
      <c r="M4263" s="21"/>
      <c r="N4263" s="21"/>
    </row>
    <row r="4264" spans="1:14" ht="15.75" customHeight="1" x14ac:dyDescent="0.25">
      <c r="A4264" s="31" t="s">
        <v>14</v>
      </c>
      <c r="B4264" s="31" t="s">
        <v>234</v>
      </c>
      <c r="C4264" s="31" t="s">
        <v>16</v>
      </c>
      <c r="D4264" s="31" t="s">
        <v>17</v>
      </c>
      <c r="E4264" s="31" t="s">
        <v>235</v>
      </c>
      <c r="F4264" s="31" t="s">
        <v>236</v>
      </c>
      <c r="G4264" s="25"/>
      <c r="H4264" s="11"/>
      <c r="I4264" s="21"/>
      <c r="J4264" s="21"/>
      <c r="K4264" s="21"/>
      <c r="L4264" s="21"/>
      <c r="M4264" s="21"/>
      <c r="N4264" s="21"/>
    </row>
    <row r="4265" spans="1:14" ht="15.75" customHeight="1" x14ac:dyDescent="0.25">
      <c r="A4265" s="7">
        <v>1</v>
      </c>
      <c r="B4265" s="124" t="s">
        <v>1322</v>
      </c>
      <c r="C4265" s="129">
        <v>563</v>
      </c>
      <c r="D4265" s="7" t="s">
        <v>973</v>
      </c>
      <c r="E4265" s="130">
        <v>1667250</v>
      </c>
      <c r="F4265" s="130">
        <f>E4265*C4265</f>
        <v>938661750</v>
      </c>
      <c r="G4265" s="25"/>
      <c r="H4265" s="11"/>
      <c r="I4265" s="21"/>
      <c r="J4265" s="21"/>
      <c r="K4265" s="21"/>
      <c r="L4265" s="21"/>
      <c r="M4265" s="21"/>
      <c r="N4265" s="21"/>
    </row>
    <row r="4266" spans="1:14" ht="15.75" customHeight="1" x14ac:dyDescent="0.25">
      <c r="A4266" s="7">
        <v>2</v>
      </c>
      <c r="B4266" s="120" t="s">
        <v>1323</v>
      </c>
      <c r="C4266" s="129">
        <v>28</v>
      </c>
      <c r="D4266" s="7" t="s">
        <v>1324</v>
      </c>
      <c r="E4266" s="130">
        <v>12253525</v>
      </c>
      <c r="F4266" s="130">
        <f>E4266*C4266</f>
        <v>343098700</v>
      </c>
      <c r="G4266" s="25"/>
      <c r="H4266" s="11"/>
      <c r="I4266" s="21"/>
      <c r="J4266" s="21"/>
      <c r="K4266" s="21"/>
      <c r="L4266" s="21"/>
      <c r="M4266" s="21"/>
      <c r="N4266" s="21"/>
    </row>
    <row r="4267" spans="1:14" ht="15.75" customHeight="1" x14ac:dyDescent="0.25">
      <c r="A4267" s="7">
        <v>3</v>
      </c>
      <c r="B4267" s="131" t="s">
        <v>1325</v>
      </c>
      <c r="C4267" s="129">
        <v>563</v>
      </c>
      <c r="D4267" s="7" t="s">
        <v>19</v>
      </c>
      <c r="E4267" s="130">
        <v>18050</v>
      </c>
      <c r="F4267" s="130">
        <f>E4267*C4267</f>
        <v>10162150</v>
      </c>
      <c r="G4267" s="25"/>
      <c r="H4267" s="11"/>
      <c r="I4267" s="21"/>
      <c r="J4267" s="21"/>
      <c r="K4267" s="21"/>
      <c r="L4267" s="21"/>
      <c r="M4267" s="21"/>
      <c r="N4267" s="21"/>
    </row>
    <row r="4268" spans="1:14" ht="15.75" customHeight="1" x14ac:dyDescent="0.25">
      <c r="A4268" s="7">
        <v>4</v>
      </c>
      <c r="B4268" s="124" t="s">
        <v>1326</v>
      </c>
      <c r="C4268" s="129">
        <v>1106</v>
      </c>
      <c r="D4268" s="7" t="s">
        <v>19</v>
      </c>
      <c r="E4268" s="130">
        <v>30000</v>
      </c>
      <c r="F4268" s="130">
        <f>E4268*C4268</f>
        <v>33180000</v>
      </c>
      <c r="G4268" s="25"/>
      <c r="H4268" s="11"/>
      <c r="I4268" s="21"/>
      <c r="J4268" s="21"/>
      <c r="K4268" s="21"/>
      <c r="L4268" s="21"/>
      <c r="M4268" s="21"/>
      <c r="N4268" s="21"/>
    </row>
    <row r="4269" spans="1:14" ht="15.75" customHeight="1" x14ac:dyDescent="0.25">
      <c r="A4269" s="7"/>
      <c r="B4269" s="343" t="s">
        <v>342</v>
      </c>
      <c r="C4269" s="344"/>
      <c r="D4269" s="344"/>
      <c r="E4269" s="334"/>
      <c r="F4269" s="104">
        <f>SUM(F4265:F4268)</f>
        <v>1325102600</v>
      </c>
      <c r="G4269" s="25"/>
      <c r="H4269" s="11"/>
      <c r="I4269" s="21"/>
      <c r="J4269" s="21"/>
      <c r="K4269" s="21"/>
      <c r="L4269" s="21"/>
      <c r="M4269" s="21"/>
      <c r="N4269" s="21"/>
    </row>
    <row r="4270" spans="1:14" ht="15.75" customHeight="1" x14ac:dyDescent="0.25">
      <c r="A4270" s="7"/>
      <c r="B4270" s="345" t="s">
        <v>1327</v>
      </c>
      <c r="C4270" s="344"/>
      <c r="D4270" s="344"/>
      <c r="E4270" s="334"/>
      <c r="F4270" s="107">
        <v>132510260</v>
      </c>
      <c r="G4270" s="25"/>
      <c r="H4270" s="11"/>
      <c r="I4270" s="21"/>
      <c r="J4270" s="21"/>
      <c r="K4270" s="21"/>
      <c r="L4270" s="21"/>
      <c r="M4270" s="21"/>
      <c r="N4270" s="21"/>
    </row>
    <row r="4271" spans="1:14" ht="15.75" customHeight="1" x14ac:dyDescent="0.25">
      <c r="A4271" s="7"/>
      <c r="B4271" s="343" t="s">
        <v>342</v>
      </c>
      <c r="C4271" s="344"/>
      <c r="D4271" s="344"/>
      <c r="E4271" s="334"/>
      <c r="F4271" s="104">
        <f>F4269-F4270</f>
        <v>1192592340</v>
      </c>
      <c r="G4271" s="25"/>
      <c r="H4271" s="11"/>
      <c r="I4271" s="21"/>
      <c r="J4271" s="21"/>
      <c r="K4271" s="21"/>
      <c r="L4271" s="21"/>
      <c r="M4271" s="21"/>
      <c r="N4271" s="21"/>
    </row>
    <row r="4272" spans="1:14" ht="15.75" customHeight="1" x14ac:dyDescent="0.25">
      <c r="A4272" s="7"/>
      <c r="B4272" s="343" t="s">
        <v>343</v>
      </c>
      <c r="C4272" s="344"/>
      <c r="D4272" s="344"/>
      <c r="E4272" s="334"/>
      <c r="F4272" s="104">
        <v>131185157</v>
      </c>
      <c r="G4272" s="25"/>
      <c r="H4272" s="11"/>
      <c r="I4272" s="21"/>
      <c r="J4272" s="21"/>
      <c r="K4272" s="21"/>
      <c r="L4272" s="21"/>
      <c r="M4272" s="21"/>
      <c r="N4272" s="21"/>
    </row>
    <row r="4273" spans="1:14" ht="15.75" customHeight="1" x14ac:dyDescent="0.25">
      <c r="A4273" s="7"/>
      <c r="B4273" s="345" t="s">
        <v>344</v>
      </c>
      <c r="C4273" s="344"/>
      <c r="D4273" s="344"/>
      <c r="E4273" s="334"/>
      <c r="F4273" s="107">
        <f>SUM(F4271:F4272)</f>
        <v>1323777497</v>
      </c>
      <c r="G4273" s="25"/>
      <c r="H4273" s="11"/>
      <c r="I4273" s="21"/>
      <c r="J4273" s="21"/>
      <c r="K4273" s="21"/>
      <c r="L4273" s="21"/>
      <c r="M4273" s="21"/>
      <c r="N4273" s="21"/>
    </row>
    <row r="4274" spans="1:14" ht="15.75" customHeight="1" x14ac:dyDescent="0.25">
      <c r="A4274" s="21"/>
      <c r="B4274" s="21"/>
      <c r="C4274" s="11"/>
      <c r="D4274" s="11"/>
      <c r="E4274" s="21"/>
      <c r="F4274" s="21"/>
      <c r="G4274" s="25"/>
      <c r="H4274" s="11"/>
      <c r="I4274" s="21"/>
      <c r="J4274" s="21"/>
      <c r="K4274" s="21"/>
      <c r="L4274" s="21"/>
      <c r="M4274" s="21"/>
      <c r="N4274" s="21"/>
    </row>
    <row r="4275" spans="1:14" ht="15.75" customHeight="1" x14ac:dyDescent="0.25">
      <c r="A4275" s="31" t="s">
        <v>14</v>
      </c>
      <c r="B4275" s="31" t="s">
        <v>234</v>
      </c>
      <c r="C4275" s="31" t="s">
        <v>16</v>
      </c>
      <c r="D4275" s="31" t="s">
        <v>17</v>
      </c>
      <c r="E4275" s="31" t="s">
        <v>235</v>
      </c>
      <c r="F4275" s="31" t="s">
        <v>236</v>
      </c>
      <c r="G4275" s="25"/>
      <c r="H4275" s="11"/>
      <c r="I4275" s="21"/>
      <c r="J4275" s="21"/>
      <c r="K4275" s="21"/>
      <c r="L4275" s="21"/>
      <c r="M4275" s="21"/>
      <c r="N4275" s="21"/>
    </row>
    <row r="4276" spans="1:14" ht="15.75" customHeight="1" x14ac:dyDescent="0.25">
      <c r="A4276" s="7">
        <v>1</v>
      </c>
      <c r="B4276" s="41" t="s">
        <v>1613</v>
      </c>
      <c r="C4276" s="129">
        <v>1</v>
      </c>
      <c r="D4276" s="7" t="s">
        <v>19</v>
      </c>
      <c r="E4276" s="130">
        <v>1892955</v>
      </c>
      <c r="F4276" s="130">
        <f>E4276*C4276</f>
        <v>1892955</v>
      </c>
      <c r="G4276" s="25"/>
      <c r="H4276" s="11"/>
      <c r="I4276" s="21"/>
      <c r="J4276" s="21"/>
      <c r="K4276" s="21"/>
      <c r="L4276" s="21"/>
      <c r="M4276" s="21"/>
      <c r="N4276" s="21"/>
    </row>
    <row r="4277" spans="1:14" ht="15.75" customHeight="1" x14ac:dyDescent="0.25">
      <c r="A4277" s="7"/>
      <c r="B4277" s="343" t="s">
        <v>342</v>
      </c>
      <c r="C4277" s="344"/>
      <c r="D4277" s="344"/>
      <c r="E4277" s="334"/>
      <c r="F4277" s="104">
        <f>SUM(F4276)</f>
        <v>1892955</v>
      </c>
      <c r="G4277" s="25"/>
      <c r="H4277" s="11"/>
      <c r="I4277" s="21"/>
      <c r="J4277" s="21"/>
      <c r="K4277" s="21"/>
      <c r="L4277" s="21"/>
      <c r="M4277" s="21"/>
      <c r="N4277" s="21"/>
    </row>
    <row r="4278" spans="1:14" ht="15.75" customHeight="1" x14ac:dyDescent="0.25">
      <c r="A4278" s="7"/>
      <c r="B4278" s="343" t="s">
        <v>343</v>
      </c>
      <c r="C4278" s="344"/>
      <c r="D4278" s="344"/>
      <c r="E4278" s="334"/>
      <c r="F4278" s="108">
        <v>208225.05</v>
      </c>
      <c r="G4278" s="25"/>
      <c r="H4278" s="11"/>
      <c r="I4278" s="21"/>
      <c r="J4278" s="21"/>
      <c r="K4278" s="21"/>
      <c r="L4278" s="21"/>
      <c r="M4278" s="21"/>
      <c r="N4278" s="21"/>
    </row>
    <row r="4279" spans="1:14" ht="15.75" customHeight="1" x14ac:dyDescent="0.25">
      <c r="A4279" s="7"/>
      <c r="B4279" s="345" t="s">
        <v>344</v>
      </c>
      <c r="C4279" s="344"/>
      <c r="D4279" s="344"/>
      <c r="E4279" s="334"/>
      <c r="F4279" s="109">
        <f>SUM(F4277:F4278)</f>
        <v>2101180.0499999998</v>
      </c>
      <c r="G4279" s="25"/>
      <c r="H4279" s="11"/>
      <c r="I4279" s="21"/>
      <c r="J4279" s="21"/>
      <c r="K4279" s="21"/>
      <c r="L4279" s="21"/>
      <c r="M4279" s="21"/>
      <c r="N4279" s="21"/>
    </row>
    <row r="4280" spans="1:14" ht="15.75" customHeight="1" x14ac:dyDescent="0.25">
      <c r="A4280" s="21"/>
      <c r="B4280" s="21"/>
      <c r="C4280" s="11"/>
      <c r="D4280" s="11"/>
      <c r="E4280" s="21"/>
      <c r="F4280" s="21"/>
      <c r="G4280" s="25"/>
      <c r="H4280" s="11"/>
      <c r="I4280" s="21"/>
      <c r="J4280" s="21"/>
      <c r="K4280" s="21"/>
      <c r="L4280" s="21"/>
      <c r="M4280" s="21"/>
      <c r="N4280" s="21"/>
    </row>
    <row r="4281" spans="1:14" ht="15.75" customHeight="1" x14ac:dyDescent="0.25">
      <c r="A4281" s="31" t="s">
        <v>351</v>
      </c>
      <c r="B4281" s="31" t="s">
        <v>234</v>
      </c>
      <c r="C4281" s="31" t="s">
        <v>16</v>
      </c>
      <c r="D4281" s="31" t="s">
        <v>17</v>
      </c>
      <c r="E4281" s="31" t="s">
        <v>235</v>
      </c>
      <c r="F4281" s="31" t="s">
        <v>236</v>
      </c>
      <c r="G4281" s="25"/>
      <c r="H4281" s="11"/>
      <c r="I4281" s="21"/>
      <c r="J4281" s="21"/>
      <c r="K4281" s="21"/>
      <c r="L4281" s="21"/>
      <c r="M4281" s="21"/>
      <c r="N4281" s="21"/>
    </row>
    <row r="4282" spans="1:14" ht="15.75" customHeight="1" x14ac:dyDescent="0.25">
      <c r="A4282" s="7">
        <v>1</v>
      </c>
      <c r="B4282" s="38" t="s">
        <v>1614</v>
      </c>
      <c r="C4282" s="133">
        <v>10</v>
      </c>
      <c r="D4282" s="7" t="s">
        <v>19</v>
      </c>
      <c r="E4282" s="104">
        <v>80275</v>
      </c>
      <c r="F4282" s="104">
        <f>E4282*C4282</f>
        <v>802750</v>
      </c>
      <c r="G4282" s="25"/>
      <c r="H4282" s="11"/>
      <c r="I4282" s="21"/>
      <c r="J4282" s="21"/>
      <c r="K4282" s="21"/>
      <c r="L4282" s="21"/>
      <c r="M4282" s="21"/>
      <c r="N4282" s="21"/>
    </row>
    <row r="4283" spans="1:14" ht="15.75" customHeight="1" x14ac:dyDescent="0.25">
      <c r="A4283" s="7">
        <v>2</v>
      </c>
      <c r="B4283" s="38" t="s">
        <v>1615</v>
      </c>
      <c r="C4283" s="133">
        <v>5</v>
      </c>
      <c r="D4283" s="7" t="s">
        <v>19</v>
      </c>
      <c r="E4283" s="104">
        <v>222110</v>
      </c>
      <c r="F4283" s="104">
        <f>E4283*C4283</f>
        <v>1110550</v>
      </c>
      <c r="G4283" s="25"/>
      <c r="H4283" s="11"/>
      <c r="I4283" s="21"/>
      <c r="J4283" s="21"/>
      <c r="K4283" s="21"/>
      <c r="L4283" s="21"/>
      <c r="M4283" s="21"/>
      <c r="N4283" s="21"/>
    </row>
    <row r="4284" spans="1:14" ht="15.75" customHeight="1" x14ac:dyDescent="0.25">
      <c r="A4284" s="7"/>
      <c r="B4284" s="346" t="s">
        <v>342</v>
      </c>
      <c r="C4284" s="347"/>
      <c r="D4284" s="347"/>
      <c r="E4284" s="348"/>
      <c r="F4284" s="104">
        <f>SUM(F4282:F4283)</f>
        <v>1913300</v>
      </c>
      <c r="G4284" s="25"/>
      <c r="H4284" s="11"/>
      <c r="I4284" s="21"/>
      <c r="J4284" s="21"/>
      <c r="K4284" s="21"/>
      <c r="L4284" s="21"/>
      <c r="M4284" s="21"/>
      <c r="N4284" s="21"/>
    </row>
    <row r="4285" spans="1:14" ht="15.75" customHeight="1" x14ac:dyDescent="0.25">
      <c r="A4285" s="7"/>
      <c r="B4285" s="343" t="s">
        <v>343</v>
      </c>
      <c r="C4285" s="344"/>
      <c r="D4285" s="344"/>
      <c r="E4285" s="334"/>
      <c r="F4285" s="104">
        <v>210463</v>
      </c>
      <c r="G4285" s="25"/>
      <c r="H4285" s="11"/>
      <c r="I4285" s="21"/>
      <c r="J4285" s="21"/>
      <c r="K4285" s="21"/>
      <c r="L4285" s="21"/>
      <c r="M4285" s="21"/>
      <c r="N4285" s="21"/>
    </row>
    <row r="4286" spans="1:14" ht="15.75" customHeight="1" x14ac:dyDescent="0.25">
      <c r="A4286" s="7"/>
      <c r="B4286" s="345" t="s">
        <v>344</v>
      </c>
      <c r="C4286" s="344"/>
      <c r="D4286" s="344"/>
      <c r="E4286" s="334"/>
      <c r="F4286" s="107">
        <f>SUM(F4284:F4285)</f>
        <v>2123763</v>
      </c>
      <c r="G4286" s="25"/>
      <c r="H4286" s="11"/>
      <c r="I4286" s="21"/>
      <c r="J4286" s="21"/>
      <c r="K4286" s="21"/>
      <c r="L4286" s="21"/>
      <c r="M4286" s="21"/>
      <c r="N4286" s="21"/>
    </row>
    <row r="4287" spans="1:14" ht="15.75" customHeight="1" x14ac:dyDescent="0.25">
      <c r="A4287" s="21"/>
      <c r="B4287" s="21"/>
      <c r="C4287" s="11"/>
      <c r="D4287" s="11"/>
      <c r="E4287" s="21"/>
      <c r="F4287" s="21"/>
      <c r="G4287" s="25"/>
      <c r="H4287" s="11"/>
      <c r="I4287" s="21"/>
      <c r="J4287" s="21"/>
      <c r="K4287" s="21"/>
      <c r="L4287" s="21"/>
      <c r="M4287" s="21"/>
      <c r="N4287" s="21"/>
    </row>
    <row r="4288" spans="1:14" ht="15.75" customHeight="1" x14ac:dyDescent="0.25">
      <c r="A4288" s="31" t="s">
        <v>14</v>
      </c>
      <c r="B4288" s="31" t="s">
        <v>234</v>
      </c>
      <c r="C4288" s="31" t="s">
        <v>16</v>
      </c>
      <c r="D4288" s="31" t="s">
        <v>17</v>
      </c>
      <c r="E4288" s="31" t="s">
        <v>235</v>
      </c>
      <c r="F4288" s="31" t="s">
        <v>236</v>
      </c>
      <c r="G4288" s="25"/>
      <c r="H4288" s="11"/>
      <c r="I4288" s="21"/>
      <c r="J4288" s="21"/>
      <c r="K4288" s="21"/>
      <c r="L4288" s="21"/>
      <c r="M4288" s="21"/>
      <c r="N4288" s="21"/>
    </row>
    <row r="4289" spans="1:14" ht="15.75" customHeight="1" x14ac:dyDescent="0.25">
      <c r="A4289" s="7">
        <v>1</v>
      </c>
      <c r="B4289" s="41" t="s">
        <v>702</v>
      </c>
      <c r="C4289" s="129">
        <v>6</v>
      </c>
      <c r="D4289" s="7" t="s">
        <v>19</v>
      </c>
      <c r="E4289" s="130">
        <v>104760</v>
      </c>
      <c r="F4289" s="130">
        <f>E4289*C4289</f>
        <v>628560</v>
      </c>
      <c r="G4289" s="25"/>
      <c r="H4289" s="11"/>
      <c r="I4289" s="21"/>
      <c r="J4289" s="21"/>
      <c r="K4289" s="21"/>
      <c r="L4289" s="21"/>
      <c r="M4289" s="21"/>
      <c r="N4289" s="21"/>
    </row>
    <row r="4290" spans="1:14" ht="15.75" customHeight="1" x14ac:dyDescent="0.25">
      <c r="A4290" s="7"/>
      <c r="B4290" s="343" t="s">
        <v>342</v>
      </c>
      <c r="C4290" s="344"/>
      <c r="D4290" s="344"/>
      <c r="E4290" s="334"/>
      <c r="F4290" s="104">
        <f>SUM(F4289)</f>
        <v>628560</v>
      </c>
      <c r="G4290" s="25"/>
      <c r="H4290" s="11"/>
      <c r="I4290" s="21"/>
      <c r="J4290" s="21"/>
      <c r="K4290" s="21"/>
      <c r="L4290" s="21"/>
      <c r="M4290" s="21"/>
      <c r="N4290" s="21"/>
    </row>
    <row r="4291" spans="1:14" ht="15.75" customHeight="1" x14ac:dyDescent="0.25">
      <c r="A4291" s="7"/>
      <c r="B4291" s="343" t="s">
        <v>343</v>
      </c>
      <c r="C4291" s="344"/>
      <c r="D4291" s="344"/>
      <c r="E4291" s="334"/>
      <c r="F4291" s="108">
        <v>69141.600000000006</v>
      </c>
      <c r="G4291" s="25"/>
      <c r="H4291" s="11"/>
      <c r="I4291" s="21"/>
      <c r="J4291" s="21"/>
      <c r="K4291" s="21"/>
      <c r="L4291" s="21"/>
      <c r="M4291" s="21"/>
      <c r="N4291" s="21"/>
    </row>
    <row r="4292" spans="1:14" ht="15.75" customHeight="1" x14ac:dyDescent="0.25">
      <c r="A4292" s="7"/>
      <c r="B4292" s="345" t="s">
        <v>344</v>
      </c>
      <c r="C4292" s="344"/>
      <c r="D4292" s="344"/>
      <c r="E4292" s="334"/>
      <c r="F4292" s="109">
        <f>SUM(F4290:F4291)</f>
        <v>697701.6</v>
      </c>
      <c r="G4292" s="25"/>
      <c r="H4292" s="11"/>
      <c r="I4292" s="21"/>
      <c r="J4292" s="21"/>
      <c r="K4292" s="21"/>
      <c r="L4292" s="21"/>
      <c r="M4292" s="21"/>
      <c r="N4292" s="21"/>
    </row>
    <row r="4293" spans="1:14" ht="15.75" customHeight="1" x14ac:dyDescent="0.25">
      <c r="A4293" s="21"/>
      <c r="B4293" s="21"/>
      <c r="C4293" s="11"/>
      <c r="D4293" s="11"/>
      <c r="E4293" s="21"/>
      <c r="F4293" s="21"/>
      <c r="G4293" s="25"/>
      <c r="H4293" s="11"/>
      <c r="I4293" s="21"/>
      <c r="J4293" s="21"/>
      <c r="K4293" s="21"/>
      <c r="L4293" s="21"/>
      <c r="M4293" s="21"/>
      <c r="N4293" s="21"/>
    </row>
    <row r="4294" spans="1:14" ht="15.75" customHeight="1" x14ac:dyDescent="0.25">
      <c r="A4294" s="31" t="s">
        <v>14</v>
      </c>
      <c r="B4294" s="31" t="s">
        <v>15</v>
      </c>
      <c r="C4294" s="31" t="s">
        <v>16</v>
      </c>
      <c r="D4294" s="31" t="s">
        <v>17</v>
      </c>
      <c r="E4294" s="31" t="s">
        <v>235</v>
      </c>
      <c r="F4294" s="31" t="s">
        <v>236</v>
      </c>
      <c r="G4294" s="25"/>
      <c r="H4294" s="11"/>
      <c r="I4294" s="21"/>
      <c r="J4294" s="21"/>
      <c r="K4294" s="21"/>
      <c r="L4294" s="21"/>
      <c r="M4294" s="21"/>
      <c r="N4294" s="21"/>
    </row>
    <row r="4295" spans="1:14" ht="15.75" customHeight="1" x14ac:dyDescent="0.25">
      <c r="A4295" s="7">
        <v>1</v>
      </c>
      <c r="B4295" s="35" t="s">
        <v>1616</v>
      </c>
      <c r="C4295" s="133">
        <v>30</v>
      </c>
      <c r="D4295" s="7" t="s">
        <v>370</v>
      </c>
      <c r="E4295" s="104">
        <v>745200</v>
      </c>
      <c r="F4295" s="104">
        <f t="shared" ref="F4295:F4300" si="46">E4295*C4295</f>
        <v>22356000</v>
      </c>
      <c r="G4295" s="25"/>
      <c r="H4295" s="11"/>
      <c r="I4295" s="21"/>
      <c r="J4295" s="21"/>
      <c r="K4295" s="21"/>
      <c r="L4295" s="21"/>
      <c r="M4295" s="21"/>
      <c r="N4295" s="21"/>
    </row>
    <row r="4296" spans="1:14" ht="15.75" customHeight="1" x14ac:dyDescent="0.25">
      <c r="A4296" s="7">
        <v>2</v>
      </c>
      <c r="B4296" s="38" t="s">
        <v>1617</v>
      </c>
      <c r="C4296" s="133">
        <v>30</v>
      </c>
      <c r="D4296" s="7" t="s">
        <v>19</v>
      </c>
      <c r="E4296" s="104">
        <v>14725</v>
      </c>
      <c r="F4296" s="104">
        <f t="shared" si="46"/>
        <v>441750</v>
      </c>
      <c r="G4296" s="25"/>
      <c r="H4296" s="11"/>
      <c r="I4296" s="21"/>
      <c r="J4296" s="21"/>
      <c r="K4296" s="21"/>
      <c r="L4296" s="21"/>
      <c r="M4296" s="21"/>
      <c r="N4296" s="21"/>
    </row>
    <row r="4297" spans="1:14" ht="15.75" customHeight="1" x14ac:dyDescent="0.25">
      <c r="A4297" s="7">
        <v>3</v>
      </c>
      <c r="B4297" s="35" t="s">
        <v>1618</v>
      </c>
      <c r="C4297" s="133">
        <v>30</v>
      </c>
      <c r="D4297" s="7" t="s">
        <v>19</v>
      </c>
      <c r="E4297" s="104">
        <v>4275</v>
      </c>
      <c r="F4297" s="104">
        <f t="shared" si="46"/>
        <v>128250</v>
      </c>
      <c r="G4297" s="25"/>
      <c r="H4297" s="11"/>
      <c r="I4297" s="21"/>
      <c r="J4297" s="21"/>
      <c r="K4297" s="21"/>
      <c r="L4297" s="21"/>
      <c r="M4297" s="21"/>
      <c r="N4297" s="21"/>
    </row>
    <row r="4298" spans="1:14" ht="15.75" customHeight="1" x14ac:dyDescent="0.25">
      <c r="A4298" s="7">
        <v>4</v>
      </c>
      <c r="B4298" s="38" t="s">
        <v>1619</v>
      </c>
      <c r="C4298" s="133">
        <v>30</v>
      </c>
      <c r="D4298" s="7" t="s">
        <v>19</v>
      </c>
      <c r="E4298" s="104">
        <v>4275</v>
      </c>
      <c r="F4298" s="104">
        <f t="shared" si="46"/>
        <v>128250</v>
      </c>
      <c r="G4298" s="25"/>
      <c r="H4298" s="11"/>
      <c r="I4298" s="21"/>
      <c r="J4298" s="21"/>
      <c r="K4298" s="21"/>
      <c r="L4298" s="21"/>
      <c r="M4298" s="21"/>
      <c r="N4298" s="21"/>
    </row>
    <row r="4299" spans="1:14" ht="15.75" customHeight="1" x14ac:dyDescent="0.25">
      <c r="A4299" s="7">
        <v>5</v>
      </c>
      <c r="B4299" s="35" t="s">
        <v>1620</v>
      </c>
      <c r="C4299" s="136">
        <v>30</v>
      </c>
      <c r="D4299" s="7" t="s">
        <v>19</v>
      </c>
      <c r="E4299" s="104">
        <v>4275</v>
      </c>
      <c r="F4299" s="104">
        <f t="shared" si="46"/>
        <v>128250</v>
      </c>
      <c r="G4299" s="25"/>
      <c r="H4299" s="11"/>
      <c r="I4299" s="21"/>
      <c r="J4299" s="21"/>
      <c r="K4299" s="21"/>
      <c r="L4299" s="21"/>
      <c r="M4299" s="21"/>
      <c r="N4299" s="21"/>
    </row>
    <row r="4300" spans="1:14" ht="15.75" customHeight="1" x14ac:dyDescent="0.25">
      <c r="A4300" s="7">
        <v>6</v>
      </c>
      <c r="B4300" s="38" t="s">
        <v>1621</v>
      </c>
      <c r="C4300" s="133">
        <v>30</v>
      </c>
      <c r="D4300" s="7" t="s">
        <v>19</v>
      </c>
      <c r="E4300" s="104">
        <v>4275</v>
      </c>
      <c r="F4300" s="104">
        <f t="shared" si="46"/>
        <v>128250</v>
      </c>
      <c r="G4300" s="25"/>
      <c r="H4300" s="11"/>
      <c r="I4300" s="21"/>
      <c r="J4300" s="21"/>
      <c r="K4300" s="21"/>
      <c r="L4300" s="21"/>
      <c r="M4300" s="21"/>
      <c r="N4300" s="21"/>
    </row>
    <row r="4301" spans="1:14" ht="15.75" customHeight="1" x14ac:dyDescent="0.25">
      <c r="A4301" s="7"/>
      <c r="B4301" s="346" t="s">
        <v>342</v>
      </c>
      <c r="C4301" s="347"/>
      <c r="D4301" s="347"/>
      <c r="E4301" s="348"/>
      <c r="F4301" s="104">
        <f>SUM(F4295:F4300)</f>
        <v>23310750</v>
      </c>
      <c r="G4301" s="25"/>
      <c r="H4301" s="11"/>
      <c r="I4301" s="21"/>
      <c r="J4301" s="21"/>
      <c r="K4301" s="21"/>
      <c r="L4301" s="21"/>
      <c r="M4301" s="21"/>
      <c r="N4301" s="21"/>
    </row>
    <row r="4302" spans="1:14" ht="15.75" customHeight="1" x14ac:dyDescent="0.25">
      <c r="A4302" s="7"/>
      <c r="B4302" s="343" t="s">
        <v>343</v>
      </c>
      <c r="C4302" s="344"/>
      <c r="D4302" s="344"/>
      <c r="E4302" s="334"/>
      <c r="F4302" s="108">
        <v>2564182.5</v>
      </c>
      <c r="G4302" s="25"/>
      <c r="H4302" s="11"/>
      <c r="I4302" s="21"/>
      <c r="J4302" s="21"/>
      <c r="K4302" s="21"/>
      <c r="L4302" s="21"/>
      <c r="M4302" s="21"/>
      <c r="N4302" s="21"/>
    </row>
    <row r="4303" spans="1:14" ht="15.75" customHeight="1" x14ac:dyDescent="0.25">
      <c r="A4303" s="7"/>
      <c r="B4303" s="345" t="s">
        <v>344</v>
      </c>
      <c r="C4303" s="344"/>
      <c r="D4303" s="344"/>
      <c r="E4303" s="334"/>
      <c r="F4303" s="109">
        <f>SUM(F4301:F4302)</f>
        <v>25874932.5</v>
      </c>
      <c r="G4303" s="25"/>
      <c r="H4303" s="11"/>
      <c r="I4303" s="21"/>
      <c r="J4303" s="21"/>
      <c r="K4303" s="21"/>
      <c r="L4303" s="21"/>
      <c r="M4303" s="21"/>
      <c r="N4303" s="21"/>
    </row>
    <row r="4304" spans="1:14" ht="15.75" customHeight="1" x14ac:dyDescent="0.25">
      <c r="A4304" s="21"/>
      <c r="B4304" s="21"/>
      <c r="C4304" s="11"/>
      <c r="D4304" s="11"/>
      <c r="E4304" s="21"/>
      <c r="F4304" s="21"/>
      <c r="G4304" s="25"/>
      <c r="H4304" s="11"/>
      <c r="I4304" s="21"/>
      <c r="J4304" s="21"/>
      <c r="K4304" s="21"/>
      <c r="L4304" s="21"/>
      <c r="M4304" s="21"/>
      <c r="N4304" s="21"/>
    </row>
    <row r="4305" spans="1:14" ht="15.75" customHeight="1" x14ac:dyDescent="0.25">
      <c r="A4305" s="31" t="s">
        <v>14</v>
      </c>
      <c r="B4305" s="31" t="s">
        <v>15</v>
      </c>
      <c r="C4305" s="31" t="s">
        <v>16</v>
      </c>
      <c r="D4305" s="31" t="s">
        <v>17</v>
      </c>
      <c r="E4305" s="31" t="s">
        <v>235</v>
      </c>
      <c r="F4305" s="31" t="s">
        <v>236</v>
      </c>
      <c r="G4305" s="25"/>
      <c r="H4305" s="11"/>
      <c r="I4305" s="21"/>
      <c r="J4305" s="21"/>
      <c r="K4305" s="21"/>
      <c r="L4305" s="21"/>
      <c r="M4305" s="21"/>
      <c r="N4305" s="21"/>
    </row>
    <row r="4306" spans="1:14" ht="15.75" customHeight="1" x14ac:dyDescent="0.25">
      <c r="A4306" s="7">
        <v>1</v>
      </c>
      <c r="B4306" s="35" t="s">
        <v>1622</v>
      </c>
      <c r="C4306" s="133">
        <v>24</v>
      </c>
      <c r="D4306" s="7" t="s">
        <v>550</v>
      </c>
      <c r="E4306" s="104">
        <v>80275</v>
      </c>
      <c r="F4306" s="104">
        <f t="shared" ref="F4306:F4311" si="47">E4306*C4306</f>
        <v>1926600</v>
      </c>
      <c r="G4306" s="25"/>
      <c r="H4306" s="11"/>
      <c r="I4306" s="21"/>
      <c r="J4306" s="21"/>
      <c r="K4306" s="21"/>
      <c r="L4306" s="21"/>
      <c r="M4306" s="21"/>
      <c r="N4306" s="21"/>
    </row>
    <row r="4307" spans="1:14" ht="15.75" customHeight="1" x14ac:dyDescent="0.25">
      <c r="A4307" s="7">
        <v>2</v>
      </c>
      <c r="B4307" s="38" t="s">
        <v>491</v>
      </c>
      <c r="C4307" s="133">
        <v>5</v>
      </c>
      <c r="D4307" s="7" t="s">
        <v>426</v>
      </c>
      <c r="E4307" s="104">
        <v>13300</v>
      </c>
      <c r="F4307" s="104">
        <f t="shared" si="47"/>
        <v>66500</v>
      </c>
      <c r="G4307" s="25"/>
      <c r="H4307" s="11"/>
      <c r="I4307" s="21"/>
      <c r="J4307" s="21"/>
      <c r="K4307" s="21"/>
      <c r="L4307" s="21"/>
      <c r="M4307" s="21"/>
      <c r="N4307" s="21"/>
    </row>
    <row r="4308" spans="1:14" ht="15.75" customHeight="1" x14ac:dyDescent="0.25">
      <c r="A4308" s="7">
        <v>3</v>
      </c>
      <c r="B4308" s="35" t="s">
        <v>1623</v>
      </c>
      <c r="C4308" s="133">
        <v>20</v>
      </c>
      <c r="D4308" s="7" t="s">
        <v>19</v>
      </c>
      <c r="E4308" s="104">
        <v>9025</v>
      </c>
      <c r="F4308" s="104">
        <f t="shared" si="47"/>
        <v>180500</v>
      </c>
      <c r="G4308" s="25"/>
      <c r="H4308" s="11"/>
      <c r="I4308" s="21"/>
      <c r="J4308" s="21"/>
      <c r="K4308" s="21"/>
      <c r="L4308" s="21"/>
      <c r="M4308" s="21"/>
      <c r="N4308" s="21"/>
    </row>
    <row r="4309" spans="1:14" ht="15.75" customHeight="1" x14ac:dyDescent="0.25">
      <c r="A4309" s="7">
        <v>4</v>
      </c>
      <c r="B4309" s="38" t="s">
        <v>1624</v>
      </c>
      <c r="C4309" s="133">
        <v>20</v>
      </c>
      <c r="D4309" s="7" t="s">
        <v>19</v>
      </c>
      <c r="E4309" s="104">
        <v>10925</v>
      </c>
      <c r="F4309" s="104">
        <f t="shared" si="47"/>
        <v>218500</v>
      </c>
      <c r="G4309" s="25"/>
      <c r="H4309" s="11"/>
      <c r="I4309" s="21"/>
      <c r="J4309" s="21"/>
      <c r="K4309" s="21"/>
      <c r="L4309" s="21"/>
      <c r="M4309" s="21"/>
      <c r="N4309" s="21"/>
    </row>
    <row r="4310" spans="1:14" ht="15.75" customHeight="1" x14ac:dyDescent="0.25">
      <c r="A4310" s="7">
        <v>5</v>
      </c>
      <c r="B4310" s="35" t="s">
        <v>1625</v>
      </c>
      <c r="C4310" s="136">
        <v>3</v>
      </c>
      <c r="D4310" s="7" t="s">
        <v>19</v>
      </c>
      <c r="E4310" s="104">
        <v>164825</v>
      </c>
      <c r="F4310" s="104">
        <f t="shared" si="47"/>
        <v>494475</v>
      </c>
      <c r="G4310" s="25"/>
      <c r="H4310" s="11"/>
      <c r="I4310" s="21"/>
      <c r="J4310" s="21"/>
      <c r="K4310" s="21"/>
      <c r="L4310" s="21"/>
      <c r="M4310" s="21"/>
      <c r="N4310" s="21"/>
    </row>
    <row r="4311" spans="1:14" ht="15.75" customHeight="1" x14ac:dyDescent="0.25">
      <c r="A4311" s="7">
        <v>6</v>
      </c>
      <c r="B4311" s="38" t="s">
        <v>1626</v>
      </c>
      <c r="C4311" s="133">
        <v>4</v>
      </c>
      <c r="D4311" s="7" t="s">
        <v>19</v>
      </c>
      <c r="E4311" s="104">
        <v>67925</v>
      </c>
      <c r="F4311" s="104">
        <f t="shared" si="47"/>
        <v>271700</v>
      </c>
      <c r="G4311" s="25"/>
      <c r="H4311" s="11"/>
      <c r="I4311" s="21"/>
      <c r="J4311" s="21"/>
      <c r="K4311" s="21"/>
      <c r="L4311" s="21"/>
      <c r="M4311" s="21"/>
      <c r="N4311" s="21"/>
    </row>
    <row r="4312" spans="1:14" ht="15.75" customHeight="1" x14ac:dyDescent="0.25">
      <c r="A4312" s="7"/>
      <c r="B4312" s="346" t="s">
        <v>342</v>
      </c>
      <c r="C4312" s="347"/>
      <c r="D4312" s="347"/>
      <c r="E4312" s="348"/>
      <c r="F4312" s="104">
        <f>SUM(F4306:F4311)</f>
        <v>3158275</v>
      </c>
      <c r="G4312" s="25"/>
      <c r="H4312" s="11"/>
      <c r="I4312" s="21"/>
      <c r="J4312" s="21"/>
      <c r="K4312" s="21"/>
      <c r="L4312" s="21"/>
      <c r="M4312" s="21"/>
      <c r="N4312" s="21"/>
    </row>
    <row r="4313" spans="1:14" ht="15.75" customHeight="1" x14ac:dyDescent="0.25">
      <c r="A4313" s="7"/>
      <c r="B4313" s="343" t="s">
        <v>343</v>
      </c>
      <c r="C4313" s="344"/>
      <c r="D4313" s="344"/>
      <c r="E4313" s="334"/>
      <c r="F4313" s="108">
        <v>347410.25</v>
      </c>
      <c r="G4313" s="25"/>
      <c r="H4313" s="11"/>
      <c r="I4313" s="21"/>
      <c r="J4313" s="21"/>
      <c r="K4313" s="21"/>
      <c r="L4313" s="21"/>
      <c r="M4313" s="21"/>
      <c r="N4313" s="21"/>
    </row>
    <row r="4314" spans="1:14" ht="15.75" customHeight="1" x14ac:dyDescent="0.25">
      <c r="A4314" s="7"/>
      <c r="B4314" s="345" t="s">
        <v>344</v>
      </c>
      <c r="C4314" s="344"/>
      <c r="D4314" s="344"/>
      <c r="E4314" s="334"/>
      <c r="F4314" s="109">
        <f>SUM(F4312:F4313)</f>
        <v>3505685.25</v>
      </c>
      <c r="G4314" s="25"/>
      <c r="H4314" s="11"/>
      <c r="I4314" s="21"/>
      <c r="J4314" s="21"/>
      <c r="K4314" s="21"/>
      <c r="L4314" s="21"/>
      <c r="M4314" s="21"/>
      <c r="N4314" s="21"/>
    </row>
    <row r="4315" spans="1:14" ht="15.75" customHeight="1" x14ac:dyDescent="0.25">
      <c r="A4315" s="21"/>
      <c r="B4315" s="21"/>
      <c r="C4315" s="11"/>
      <c r="D4315" s="11"/>
      <c r="E4315" s="21"/>
      <c r="F4315" s="21"/>
      <c r="G4315" s="25"/>
      <c r="H4315" s="11"/>
      <c r="I4315" s="21"/>
      <c r="J4315" s="21"/>
      <c r="K4315" s="21"/>
      <c r="L4315" s="21"/>
      <c r="M4315" s="21"/>
      <c r="N4315" s="21"/>
    </row>
    <row r="4316" spans="1:14" ht="15.75" customHeight="1" x14ac:dyDescent="0.25">
      <c r="A4316" s="31" t="s">
        <v>351</v>
      </c>
      <c r="B4316" s="31" t="s">
        <v>234</v>
      </c>
      <c r="C4316" s="31" t="s">
        <v>16</v>
      </c>
      <c r="D4316" s="31" t="s">
        <v>17</v>
      </c>
      <c r="E4316" s="31" t="s">
        <v>235</v>
      </c>
      <c r="F4316" s="31" t="s">
        <v>236</v>
      </c>
      <c r="G4316" s="25"/>
      <c r="H4316" s="11"/>
      <c r="I4316" s="21"/>
      <c r="J4316" s="21"/>
      <c r="K4316" s="21"/>
      <c r="L4316" s="21"/>
      <c r="M4316" s="21"/>
      <c r="N4316" s="21"/>
    </row>
    <row r="4317" spans="1:14" ht="15.75" customHeight="1" x14ac:dyDescent="0.25">
      <c r="A4317" s="7">
        <v>1</v>
      </c>
      <c r="B4317" s="38" t="s">
        <v>1627</v>
      </c>
      <c r="C4317" s="133">
        <v>100</v>
      </c>
      <c r="D4317" s="7" t="s">
        <v>406</v>
      </c>
      <c r="E4317" s="104">
        <v>17575</v>
      </c>
      <c r="F4317" s="104">
        <f>E4317*C4317</f>
        <v>1757500</v>
      </c>
      <c r="G4317" s="25"/>
      <c r="H4317" s="11"/>
      <c r="I4317" s="21"/>
      <c r="J4317" s="21"/>
      <c r="K4317" s="21"/>
      <c r="L4317" s="21"/>
      <c r="M4317" s="21"/>
      <c r="N4317" s="21"/>
    </row>
    <row r="4318" spans="1:14" ht="15.75" customHeight="1" x14ac:dyDescent="0.25">
      <c r="A4318" s="7">
        <v>2</v>
      </c>
      <c r="B4318" s="38" t="s">
        <v>1628</v>
      </c>
      <c r="C4318" s="133">
        <v>80</v>
      </c>
      <c r="D4318" s="7" t="s">
        <v>539</v>
      </c>
      <c r="E4318" s="104">
        <v>41800</v>
      </c>
      <c r="F4318" s="104">
        <f>E4318*C4318</f>
        <v>3344000</v>
      </c>
      <c r="G4318" s="25"/>
      <c r="H4318" s="11"/>
      <c r="I4318" s="21"/>
      <c r="J4318" s="21"/>
      <c r="K4318" s="21"/>
      <c r="L4318" s="21"/>
      <c r="M4318" s="21"/>
      <c r="N4318" s="21"/>
    </row>
    <row r="4319" spans="1:14" ht="15.75" customHeight="1" x14ac:dyDescent="0.25">
      <c r="A4319" s="7"/>
      <c r="B4319" s="346" t="s">
        <v>342</v>
      </c>
      <c r="C4319" s="347"/>
      <c r="D4319" s="347"/>
      <c r="E4319" s="348"/>
      <c r="F4319" s="104">
        <f>SUM(F4317:F4318)</f>
        <v>5101500</v>
      </c>
      <c r="G4319" s="25"/>
      <c r="H4319" s="11"/>
      <c r="I4319" s="21"/>
      <c r="J4319" s="21"/>
      <c r="K4319" s="21"/>
      <c r="L4319" s="21"/>
      <c r="M4319" s="21"/>
      <c r="N4319" s="21"/>
    </row>
    <row r="4320" spans="1:14" ht="15.75" customHeight="1" x14ac:dyDescent="0.25">
      <c r="A4320" s="7"/>
      <c r="B4320" s="343" t="s">
        <v>343</v>
      </c>
      <c r="C4320" s="344"/>
      <c r="D4320" s="344"/>
      <c r="E4320" s="334"/>
      <c r="F4320" s="104">
        <v>561165</v>
      </c>
      <c r="G4320" s="25"/>
      <c r="H4320" s="11"/>
      <c r="I4320" s="21"/>
      <c r="J4320" s="21"/>
      <c r="K4320" s="21"/>
      <c r="L4320" s="21"/>
      <c r="M4320" s="21"/>
      <c r="N4320" s="21"/>
    </row>
    <row r="4321" spans="1:14" ht="15.75" customHeight="1" x14ac:dyDescent="0.25">
      <c r="A4321" s="7"/>
      <c r="B4321" s="345" t="s">
        <v>344</v>
      </c>
      <c r="C4321" s="344"/>
      <c r="D4321" s="344"/>
      <c r="E4321" s="334"/>
      <c r="F4321" s="107">
        <f>SUM(F4319:F4320)</f>
        <v>5662665</v>
      </c>
      <c r="G4321" s="25"/>
      <c r="H4321" s="11"/>
      <c r="I4321" s="21"/>
      <c r="J4321" s="21"/>
      <c r="K4321" s="21"/>
      <c r="L4321" s="21"/>
      <c r="M4321" s="21"/>
      <c r="N4321" s="21"/>
    </row>
    <row r="4322" spans="1:14" ht="15.75" customHeight="1" x14ac:dyDescent="0.25">
      <c r="A4322" s="21"/>
      <c r="B4322" s="21"/>
      <c r="C4322" s="11"/>
      <c r="D4322" s="11"/>
      <c r="E4322" s="21"/>
      <c r="F4322" s="21"/>
      <c r="G4322" s="25"/>
      <c r="H4322" s="11"/>
      <c r="I4322" s="21"/>
      <c r="J4322" s="21"/>
      <c r="K4322" s="21"/>
      <c r="L4322" s="21"/>
      <c r="M4322" s="21"/>
      <c r="N4322" s="21"/>
    </row>
    <row r="4323" spans="1:14" ht="15.75" customHeight="1" x14ac:dyDescent="0.25">
      <c r="A4323" s="31" t="s">
        <v>14</v>
      </c>
      <c r="B4323" s="31" t="s">
        <v>234</v>
      </c>
      <c r="C4323" s="31" t="s">
        <v>16</v>
      </c>
      <c r="D4323" s="31" t="s">
        <v>17</v>
      </c>
      <c r="E4323" s="31" t="s">
        <v>235</v>
      </c>
      <c r="F4323" s="31" t="s">
        <v>236</v>
      </c>
      <c r="G4323" s="25"/>
      <c r="H4323" s="11"/>
      <c r="I4323" s="21"/>
      <c r="J4323" s="21"/>
      <c r="K4323" s="21"/>
      <c r="L4323" s="21"/>
      <c r="M4323" s="21"/>
      <c r="N4323" s="21"/>
    </row>
    <row r="4324" spans="1:14" ht="15.75" customHeight="1" x14ac:dyDescent="0.25">
      <c r="A4324" s="7">
        <v>1</v>
      </c>
      <c r="B4324" s="121" t="s">
        <v>1244</v>
      </c>
      <c r="C4324" s="129">
        <v>20</v>
      </c>
      <c r="D4324" s="7" t="s">
        <v>19</v>
      </c>
      <c r="E4324" s="130">
        <v>3325</v>
      </c>
      <c r="F4324" s="130">
        <f>E4324*C4324</f>
        <v>66500</v>
      </c>
      <c r="G4324" s="25"/>
      <c r="H4324" s="11"/>
      <c r="I4324" s="21"/>
      <c r="J4324" s="21"/>
      <c r="K4324" s="21"/>
      <c r="L4324" s="21"/>
      <c r="M4324" s="21"/>
      <c r="N4324" s="21"/>
    </row>
    <row r="4325" spans="1:14" ht="15.75" customHeight="1" x14ac:dyDescent="0.25">
      <c r="A4325" s="7">
        <v>2</v>
      </c>
      <c r="B4325" s="143" t="s">
        <v>1629</v>
      </c>
      <c r="C4325" s="129">
        <v>20</v>
      </c>
      <c r="D4325" s="7" t="s">
        <v>19</v>
      </c>
      <c r="E4325" s="130">
        <v>14065</v>
      </c>
      <c r="F4325" s="130">
        <f>E4325*C4325</f>
        <v>281300</v>
      </c>
      <c r="G4325" s="25"/>
      <c r="H4325" s="11"/>
      <c r="I4325" s="21"/>
      <c r="J4325" s="21"/>
      <c r="K4325" s="21"/>
      <c r="L4325" s="21"/>
      <c r="M4325" s="21"/>
      <c r="N4325" s="21"/>
    </row>
    <row r="4326" spans="1:14" ht="15.75" customHeight="1" x14ac:dyDescent="0.25">
      <c r="A4326" s="7">
        <v>3</v>
      </c>
      <c r="B4326" s="143" t="s">
        <v>1630</v>
      </c>
      <c r="C4326" s="129">
        <v>20</v>
      </c>
      <c r="D4326" s="7" t="s">
        <v>19</v>
      </c>
      <c r="E4326" s="130">
        <v>14065</v>
      </c>
      <c r="F4326" s="130">
        <f>E4326*C4326</f>
        <v>281300</v>
      </c>
      <c r="G4326" s="25"/>
      <c r="H4326" s="11"/>
      <c r="I4326" s="21"/>
      <c r="J4326" s="21"/>
      <c r="K4326" s="21"/>
      <c r="L4326" s="21"/>
      <c r="M4326" s="21"/>
      <c r="N4326" s="21"/>
    </row>
    <row r="4327" spans="1:14" ht="15.75" customHeight="1" x14ac:dyDescent="0.25">
      <c r="A4327" s="7">
        <v>4</v>
      </c>
      <c r="B4327" s="143" t="s">
        <v>1631</v>
      </c>
      <c r="C4327" s="129">
        <v>10</v>
      </c>
      <c r="D4327" s="7" t="s">
        <v>285</v>
      </c>
      <c r="E4327" s="130">
        <v>10925</v>
      </c>
      <c r="F4327" s="130">
        <f>E4327*C4327</f>
        <v>109250</v>
      </c>
      <c r="G4327" s="25"/>
      <c r="H4327" s="11"/>
      <c r="I4327" s="21"/>
      <c r="J4327" s="21"/>
      <c r="K4327" s="21"/>
      <c r="L4327" s="21"/>
      <c r="M4327" s="21"/>
      <c r="N4327" s="21"/>
    </row>
    <row r="4328" spans="1:14" ht="15.75" customHeight="1" x14ac:dyDescent="0.25">
      <c r="A4328" s="7">
        <v>5</v>
      </c>
      <c r="B4328" s="143" t="s">
        <v>1632</v>
      </c>
      <c r="C4328" s="129">
        <v>50</v>
      </c>
      <c r="D4328" s="7" t="s">
        <v>19</v>
      </c>
      <c r="E4328" s="130">
        <v>7125</v>
      </c>
      <c r="F4328" s="130">
        <f>E4328*C4328</f>
        <v>356250</v>
      </c>
      <c r="G4328" s="25"/>
      <c r="H4328" s="11"/>
      <c r="I4328" s="21"/>
      <c r="J4328" s="21"/>
      <c r="K4328" s="21"/>
      <c r="L4328" s="21"/>
      <c r="M4328" s="21"/>
      <c r="N4328" s="21"/>
    </row>
    <row r="4329" spans="1:14" ht="15.75" customHeight="1" x14ac:dyDescent="0.25">
      <c r="A4329" s="7"/>
      <c r="B4329" s="343" t="s">
        <v>342</v>
      </c>
      <c r="C4329" s="344"/>
      <c r="D4329" s="344"/>
      <c r="E4329" s="334"/>
      <c r="F4329" s="104">
        <f>SUM(F4324:F4328)</f>
        <v>1094600</v>
      </c>
      <c r="G4329" s="25"/>
      <c r="H4329" s="11"/>
      <c r="I4329" s="21"/>
      <c r="J4329" s="21"/>
      <c r="K4329" s="21"/>
      <c r="L4329" s="21"/>
      <c r="M4329" s="21"/>
      <c r="N4329" s="21"/>
    </row>
    <row r="4330" spans="1:14" ht="15.75" customHeight="1" x14ac:dyDescent="0.25">
      <c r="A4330" s="7"/>
      <c r="B4330" s="343" t="s">
        <v>343</v>
      </c>
      <c r="C4330" s="344"/>
      <c r="D4330" s="344"/>
      <c r="E4330" s="334"/>
      <c r="F4330" s="104">
        <v>120406</v>
      </c>
      <c r="G4330" s="25"/>
      <c r="H4330" s="11"/>
      <c r="I4330" s="21"/>
      <c r="J4330" s="21"/>
      <c r="K4330" s="21"/>
      <c r="L4330" s="21"/>
      <c r="M4330" s="21"/>
      <c r="N4330" s="21"/>
    </row>
    <row r="4331" spans="1:14" ht="15.75" customHeight="1" x14ac:dyDescent="0.25">
      <c r="A4331" s="7"/>
      <c r="B4331" s="345" t="s">
        <v>344</v>
      </c>
      <c r="C4331" s="344"/>
      <c r="D4331" s="344"/>
      <c r="E4331" s="334"/>
      <c r="F4331" s="107">
        <f>SUM(F4329:F4330)</f>
        <v>1215006</v>
      </c>
      <c r="G4331" s="25"/>
      <c r="H4331" s="11"/>
      <c r="I4331" s="21"/>
      <c r="J4331" s="21"/>
      <c r="K4331" s="21"/>
      <c r="L4331" s="21"/>
      <c r="M4331" s="21"/>
      <c r="N4331" s="21"/>
    </row>
    <row r="4332" spans="1:14" ht="15.75" customHeight="1" x14ac:dyDescent="0.25">
      <c r="A4332" s="21"/>
      <c r="B4332" s="21"/>
      <c r="C4332" s="11"/>
      <c r="D4332" s="11"/>
      <c r="E4332" s="21"/>
      <c r="F4332" s="21"/>
      <c r="G4332" s="25"/>
      <c r="H4332" s="11"/>
      <c r="I4332" s="21"/>
      <c r="J4332" s="21"/>
      <c r="K4332" s="21"/>
      <c r="L4332" s="21"/>
      <c r="M4332" s="21"/>
      <c r="N4332" s="21"/>
    </row>
    <row r="4333" spans="1:14" ht="15.75" customHeight="1" x14ac:dyDescent="0.25">
      <c r="A4333" s="31" t="s">
        <v>351</v>
      </c>
      <c r="B4333" s="31" t="s">
        <v>234</v>
      </c>
      <c r="C4333" s="31" t="s">
        <v>16</v>
      </c>
      <c r="D4333" s="31" t="s">
        <v>17</v>
      </c>
      <c r="E4333" s="31" t="s">
        <v>235</v>
      </c>
      <c r="F4333" s="31" t="s">
        <v>236</v>
      </c>
      <c r="G4333" s="25"/>
      <c r="H4333" s="11"/>
      <c r="I4333" s="21"/>
      <c r="J4333" s="21"/>
      <c r="K4333" s="21"/>
      <c r="L4333" s="21"/>
      <c r="M4333" s="21"/>
      <c r="N4333" s="21"/>
    </row>
    <row r="4334" spans="1:14" ht="15.75" customHeight="1" x14ac:dyDescent="0.25">
      <c r="A4334" s="7">
        <v>1</v>
      </c>
      <c r="B4334" s="38" t="s">
        <v>1633</v>
      </c>
      <c r="C4334" s="133">
        <v>4</v>
      </c>
      <c r="D4334" s="7" t="s">
        <v>19</v>
      </c>
      <c r="E4334" s="104">
        <v>607500</v>
      </c>
      <c r="F4334" s="104">
        <f>E4334*C4334</f>
        <v>2430000</v>
      </c>
      <c r="G4334" s="25"/>
      <c r="H4334" s="11"/>
      <c r="I4334" s="21"/>
      <c r="J4334" s="21"/>
      <c r="K4334" s="21"/>
      <c r="L4334" s="21"/>
      <c r="M4334" s="21"/>
      <c r="N4334" s="21"/>
    </row>
    <row r="4335" spans="1:14" ht="15.75" customHeight="1" x14ac:dyDescent="0.25">
      <c r="A4335" s="7">
        <v>2</v>
      </c>
      <c r="B4335" s="38" t="s">
        <v>1634</v>
      </c>
      <c r="C4335" s="133">
        <v>2</v>
      </c>
      <c r="D4335" s="7" t="s">
        <v>19</v>
      </c>
      <c r="E4335" s="104">
        <v>265500</v>
      </c>
      <c r="F4335" s="104">
        <f>E4335*C4335</f>
        <v>531000</v>
      </c>
      <c r="G4335" s="25"/>
      <c r="H4335" s="11"/>
      <c r="I4335" s="21"/>
      <c r="J4335" s="21"/>
      <c r="K4335" s="21"/>
      <c r="L4335" s="21"/>
      <c r="M4335" s="21"/>
      <c r="N4335" s="21"/>
    </row>
    <row r="4336" spans="1:14" ht="15.75" customHeight="1" x14ac:dyDescent="0.25">
      <c r="A4336" s="7"/>
      <c r="B4336" s="346" t="s">
        <v>342</v>
      </c>
      <c r="C4336" s="347"/>
      <c r="D4336" s="347"/>
      <c r="E4336" s="348"/>
      <c r="F4336" s="104">
        <f>SUM(F4334:F4335)</f>
        <v>2961000</v>
      </c>
      <c r="G4336" s="25"/>
      <c r="H4336" s="11"/>
      <c r="I4336" s="21"/>
      <c r="J4336" s="21"/>
      <c r="K4336" s="21"/>
      <c r="L4336" s="21"/>
      <c r="M4336" s="21"/>
      <c r="N4336" s="21"/>
    </row>
    <row r="4337" spans="1:14" ht="15.75" customHeight="1" x14ac:dyDescent="0.25">
      <c r="A4337" s="7"/>
      <c r="B4337" s="343" t="s">
        <v>343</v>
      </c>
      <c r="C4337" s="344"/>
      <c r="D4337" s="344"/>
      <c r="E4337" s="334"/>
      <c r="F4337" s="104">
        <v>325710</v>
      </c>
      <c r="G4337" s="25"/>
      <c r="H4337" s="11"/>
      <c r="I4337" s="21"/>
      <c r="J4337" s="21"/>
      <c r="K4337" s="21"/>
      <c r="L4337" s="21"/>
      <c r="M4337" s="21"/>
      <c r="N4337" s="21"/>
    </row>
    <row r="4338" spans="1:14" ht="15.75" customHeight="1" x14ac:dyDescent="0.25">
      <c r="A4338" s="7"/>
      <c r="B4338" s="345" t="s">
        <v>344</v>
      </c>
      <c r="C4338" s="344"/>
      <c r="D4338" s="344"/>
      <c r="E4338" s="334"/>
      <c r="F4338" s="107">
        <f>SUM(F4336:F4337)</f>
        <v>3286710</v>
      </c>
      <c r="G4338" s="25"/>
      <c r="H4338" s="11"/>
      <c r="I4338" s="21"/>
      <c r="J4338" s="21"/>
      <c r="K4338" s="21"/>
      <c r="L4338" s="21"/>
      <c r="M4338" s="21"/>
      <c r="N4338" s="21"/>
    </row>
    <row r="4339" spans="1:14" ht="15.75" customHeight="1" x14ac:dyDescent="0.25">
      <c r="A4339" s="21"/>
      <c r="B4339" s="21"/>
      <c r="C4339" s="11"/>
      <c r="D4339" s="11"/>
      <c r="E4339" s="21"/>
      <c r="F4339" s="21"/>
      <c r="G4339" s="25"/>
      <c r="H4339" s="11"/>
      <c r="I4339" s="21"/>
      <c r="J4339" s="21"/>
      <c r="K4339" s="21"/>
      <c r="L4339" s="21"/>
      <c r="M4339" s="21"/>
      <c r="N4339" s="21"/>
    </row>
    <row r="4340" spans="1:14" ht="15.75" customHeight="1" x14ac:dyDescent="0.25">
      <c r="A4340" s="31" t="s">
        <v>14</v>
      </c>
      <c r="B4340" s="31" t="s">
        <v>234</v>
      </c>
      <c r="C4340" s="31" t="s">
        <v>16</v>
      </c>
      <c r="D4340" s="31" t="s">
        <v>17</v>
      </c>
      <c r="E4340" s="31" t="s">
        <v>235</v>
      </c>
      <c r="F4340" s="31" t="s">
        <v>236</v>
      </c>
      <c r="G4340" s="25"/>
      <c r="H4340" s="11"/>
      <c r="I4340" s="21"/>
      <c r="J4340" s="21"/>
      <c r="K4340" s="21"/>
      <c r="L4340" s="21"/>
      <c r="M4340" s="21"/>
      <c r="N4340" s="21"/>
    </row>
    <row r="4341" spans="1:14" ht="15.75" customHeight="1" x14ac:dyDescent="0.25">
      <c r="A4341" s="7">
        <v>1</v>
      </c>
      <c r="B4341" s="41" t="s">
        <v>1635</v>
      </c>
      <c r="C4341" s="129">
        <v>10</v>
      </c>
      <c r="D4341" s="7" t="s">
        <v>370</v>
      </c>
      <c r="E4341" s="130">
        <v>185000</v>
      </c>
      <c r="F4341" s="130">
        <f>E4341*C4341</f>
        <v>1850000</v>
      </c>
      <c r="G4341" s="25"/>
      <c r="H4341" s="11"/>
      <c r="I4341" s="21"/>
      <c r="J4341" s="21"/>
      <c r="K4341" s="21"/>
      <c r="L4341" s="21"/>
      <c r="M4341" s="21"/>
      <c r="N4341" s="21"/>
    </row>
    <row r="4342" spans="1:14" ht="15.75" customHeight="1" x14ac:dyDescent="0.25">
      <c r="A4342" s="7"/>
      <c r="B4342" s="343" t="s">
        <v>342</v>
      </c>
      <c r="C4342" s="344"/>
      <c r="D4342" s="344"/>
      <c r="E4342" s="334"/>
      <c r="F4342" s="104">
        <f>SUM(F4341)</f>
        <v>1850000</v>
      </c>
      <c r="G4342" s="25"/>
      <c r="H4342" s="11"/>
      <c r="I4342" s="21"/>
      <c r="J4342" s="21"/>
      <c r="K4342" s="21"/>
      <c r="L4342" s="21"/>
      <c r="M4342" s="21"/>
      <c r="N4342" s="21"/>
    </row>
    <row r="4343" spans="1:14" ht="15.75" customHeight="1" x14ac:dyDescent="0.25">
      <c r="A4343" s="7"/>
      <c r="B4343" s="343" t="s">
        <v>343</v>
      </c>
      <c r="C4343" s="344"/>
      <c r="D4343" s="344"/>
      <c r="E4343" s="334"/>
      <c r="F4343" s="104">
        <v>203500</v>
      </c>
      <c r="G4343" s="25"/>
      <c r="H4343" s="11"/>
      <c r="I4343" s="21"/>
      <c r="J4343" s="21"/>
      <c r="K4343" s="21"/>
      <c r="L4343" s="21"/>
      <c r="M4343" s="21"/>
      <c r="N4343" s="21"/>
    </row>
    <row r="4344" spans="1:14" ht="15.75" customHeight="1" x14ac:dyDescent="0.25">
      <c r="A4344" s="7"/>
      <c r="B4344" s="345" t="s">
        <v>344</v>
      </c>
      <c r="C4344" s="344"/>
      <c r="D4344" s="344"/>
      <c r="E4344" s="334"/>
      <c r="F4344" s="107">
        <f>SUM(F4342:F4343)</f>
        <v>2053500</v>
      </c>
      <c r="G4344" s="25"/>
      <c r="H4344" s="11"/>
      <c r="I4344" s="21"/>
      <c r="J4344" s="21"/>
      <c r="K4344" s="21"/>
      <c r="L4344" s="21"/>
      <c r="M4344" s="21"/>
      <c r="N4344" s="21"/>
    </row>
    <row r="4345" spans="1:14" ht="15.75" customHeight="1" x14ac:dyDescent="0.25">
      <c r="A4345" s="21"/>
      <c r="B4345" s="21"/>
      <c r="C4345" s="11"/>
      <c r="D4345" s="11"/>
      <c r="E4345" s="21"/>
      <c r="F4345" s="21"/>
      <c r="G4345" s="25"/>
      <c r="H4345" s="11"/>
      <c r="I4345" s="21"/>
      <c r="J4345" s="21"/>
      <c r="K4345" s="21"/>
      <c r="L4345" s="21"/>
      <c r="M4345" s="21"/>
      <c r="N4345" s="21"/>
    </row>
    <row r="4346" spans="1:14" ht="15.75" customHeight="1" x14ac:dyDescent="0.25">
      <c r="A4346" s="31" t="s">
        <v>14</v>
      </c>
      <c r="B4346" s="31" t="s">
        <v>234</v>
      </c>
      <c r="C4346" s="31" t="s">
        <v>16</v>
      </c>
      <c r="D4346" s="31" t="s">
        <v>17</v>
      </c>
      <c r="E4346" s="31" t="s">
        <v>235</v>
      </c>
      <c r="F4346" s="31" t="s">
        <v>236</v>
      </c>
      <c r="G4346" s="25"/>
      <c r="H4346" s="11"/>
      <c r="I4346" s="21"/>
      <c r="J4346" s="21"/>
      <c r="K4346" s="21"/>
      <c r="L4346" s="21"/>
      <c r="M4346" s="21"/>
      <c r="N4346" s="21"/>
    </row>
    <row r="4347" spans="1:14" ht="15.75" customHeight="1" x14ac:dyDescent="0.25">
      <c r="A4347" s="10">
        <v>1</v>
      </c>
      <c r="B4347" s="41" t="s">
        <v>1636</v>
      </c>
      <c r="C4347" s="7">
        <v>4</v>
      </c>
      <c r="D4347" s="7" t="s">
        <v>19</v>
      </c>
      <c r="E4347" s="104">
        <v>64125</v>
      </c>
      <c r="F4347" s="104">
        <f t="shared" ref="F4347:F4355" si="48">E4347*C4347</f>
        <v>256500</v>
      </c>
      <c r="G4347" s="25"/>
      <c r="H4347" s="11"/>
      <c r="I4347" s="21"/>
      <c r="J4347" s="21"/>
      <c r="K4347" s="21"/>
      <c r="L4347" s="21"/>
      <c r="M4347" s="21"/>
      <c r="N4347" s="21"/>
    </row>
    <row r="4348" spans="1:14" ht="15.75" customHeight="1" x14ac:dyDescent="0.25">
      <c r="A4348" s="7">
        <v>2</v>
      </c>
      <c r="B4348" s="41" t="s">
        <v>1637</v>
      </c>
      <c r="C4348" s="7">
        <v>15</v>
      </c>
      <c r="D4348" s="7" t="s">
        <v>19</v>
      </c>
      <c r="E4348" s="104">
        <v>59375</v>
      </c>
      <c r="F4348" s="104">
        <f t="shared" si="48"/>
        <v>890625</v>
      </c>
      <c r="G4348" s="25"/>
      <c r="H4348" s="11"/>
      <c r="I4348" s="21"/>
      <c r="J4348" s="21"/>
      <c r="K4348" s="21"/>
      <c r="L4348" s="21"/>
      <c r="M4348" s="21"/>
      <c r="N4348" s="21"/>
    </row>
    <row r="4349" spans="1:14" ht="15.75" customHeight="1" x14ac:dyDescent="0.25">
      <c r="A4349" s="7">
        <v>3</v>
      </c>
      <c r="B4349" s="41" t="s">
        <v>1638</v>
      </c>
      <c r="C4349" s="7">
        <v>2</v>
      </c>
      <c r="D4349" s="7" t="s">
        <v>19</v>
      </c>
      <c r="E4349" s="104">
        <v>33250</v>
      </c>
      <c r="F4349" s="104">
        <f t="shared" si="48"/>
        <v>66500</v>
      </c>
      <c r="G4349" s="25"/>
      <c r="H4349" s="11"/>
      <c r="I4349" s="21"/>
      <c r="J4349" s="21"/>
      <c r="K4349" s="21"/>
      <c r="L4349" s="21"/>
      <c r="M4349" s="21"/>
      <c r="N4349" s="21"/>
    </row>
    <row r="4350" spans="1:14" ht="15.75" customHeight="1" x14ac:dyDescent="0.25">
      <c r="A4350" s="7">
        <v>4</v>
      </c>
      <c r="B4350" s="41" t="s">
        <v>1639</v>
      </c>
      <c r="C4350" s="7">
        <v>15</v>
      </c>
      <c r="D4350" s="7" t="s">
        <v>19</v>
      </c>
      <c r="E4350" s="104">
        <v>97375</v>
      </c>
      <c r="F4350" s="104">
        <f t="shared" si="48"/>
        <v>1460625</v>
      </c>
      <c r="G4350" s="25"/>
      <c r="H4350" s="11"/>
      <c r="I4350" s="21"/>
      <c r="J4350" s="21"/>
      <c r="K4350" s="21"/>
      <c r="L4350" s="21"/>
      <c r="M4350" s="21"/>
      <c r="N4350" s="21"/>
    </row>
    <row r="4351" spans="1:14" ht="15.75" customHeight="1" x14ac:dyDescent="0.25">
      <c r="A4351" s="7">
        <v>5</v>
      </c>
      <c r="B4351" s="41" t="s">
        <v>1640</v>
      </c>
      <c r="C4351" s="7">
        <v>9</v>
      </c>
      <c r="D4351" s="7" t="s">
        <v>973</v>
      </c>
      <c r="E4351" s="104">
        <v>45125</v>
      </c>
      <c r="F4351" s="104">
        <f t="shared" si="48"/>
        <v>406125</v>
      </c>
      <c r="G4351" s="25"/>
      <c r="H4351" s="11"/>
      <c r="I4351" s="21"/>
      <c r="J4351" s="21"/>
      <c r="K4351" s="21"/>
      <c r="L4351" s="21"/>
      <c r="M4351" s="21"/>
      <c r="N4351" s="21"/>
    </row>
    <row r="4352" spans="1:14" ht="15.75" customHeight="1" x14ac:dyDescent="0.25">
      <c r="A4352" s="7">
        <v>6</v>
      </c>
      <c r="B4352" s="41" t="s">
        <v>1641</v>
      </c>
      <c r="C4352" s="7">
        <v>75</v>
      </c>
      <c r="D4352" s="7" t="s">
        <v>19</v>
      </c>
      <c r="E4352" s="104">
        <v>6460</v>
      </c>
      <c r="F4352" s="104">
        <f t="shared" si="48"/>
        <v>484500</v>
      </c>
      <c r="G4352" s="25"/>
      <c r="H4352" s="11"/>
      <c r="I4352" s="21"/>
      <c r="J4352" s="21"/>
      <c r="K4352" s="21"/>
      <c r="L4352" s="21"/>
      <c r="M4352" s="21"/>
      <c r="N4352" s="21"/>
    </row>
    <row r="4353" spans="1:14" ht="15.75" customHeight="1" x14ac:dyDescent="0.25">
      <c r="A4353" s="7">
        <v>7</v>
      </c>
      <c r="B4353" s="41" t="s">
        <v>1642</v>
      </c>
      <c r="C4353" s="7">
        <v>8</v>
      </c>
      <c r="D4353" s="7" t="s">
        <v>19</v>
      </c>
      <c r="E4353" s="104">
        <v>4869</v>
      </c>
      <c r="F4353" s="104">
        <f t="shared" si="48"/>
        <v>38952</v>
      </c>
      <c r="G4353" s="25"/>
      <c r="H4353" s="11"/>
      <c r="I4353" s="21"/>
      <c r="J4353" s="21"/>
      <c r="K4353" s="21"/>
      <c r="L4353" s="21"/>
      <c r="M4353" s="21"/>
      <c r="N4353" s="21"/>
    </row>
    <row r="4354" spans="1:14" ht="15.75" customHeight="1" x14ac:dyDescent="0.25">
      <c r="A4354" s="7">
        <v>8</v>
      </c>
      <c r="B4354" s="41" t="s">
        <v>1643</v>
      </c>
      <c r="C4354" s="7">
        <v>4</v>
      </c>
      <c r="D4354" s="7" t="s">
        <v>19</v>
      </c>
      <c r="E4354" s="104">
        <v>405650</v>
      </c>
      <c r="F4354" s="104">
        <f t="shared" si="48"/>
        <v>1622600</v>
      </c>
      <c r="G4354" s="25"/>
      <c r="H4354" s="11"/>
      <c r="I4354" s="21"/>
      <c r="J4354" s="21"/>
      <c r="K4354" s="21"/>
      <c r="L4354" s="21"/>
      <c r="M4354" s="21"/>
      <c r="N4354" s="21"/>
    </row>
    <row r="4355" spans="1:14" ht="15.75" customHeight="1" x14ac:dyDescent="0.25">
      <c r="A4355" s="7">
        <v>9</v>
      </c>
      <c r="B4355" s="41" t="s">
        <v>1644</v>
      </c>
      <c r="C4355" s="7">
        <v>4</v>
      </c>
      <c r="D4355" s="7" t="s">
        <v>19</v>
      </c>
      <c r="E4355" s="104">
        <v>89110</v>
      </c>
      <c r="F4355" s="104">
        <f t="shared" si="48"/>
        <v>356440</v>
      </c>
      <c r="G4355" s="25"/>
      <c r="H4355" s="11"/>
      <c r="I4355" s="21"/>
      <c r="J4355" s="21"/>
      <c r="K4355" s="21"/>
      <c r="L4355" s="21"/>
      <c r="M4355" s="21"/>
      <c r="N4355" s="21"/>
    </row>
    <row r="4356" spans="1:14" ht="15.75" customHeight="1" x14ac:dyDescent="0.25">
      <c r="A4356" s="7"/>
      <c r="B4356" s="343" t="s">
        <v>342</v>
      </c>
      <c r="C4356" s="344"/>
      <c r="D4356" s="344"/>
      <c r="E4356" s="334"/>
      <c r="F4356" s="104">
        <f>SUM(F4347:F4355)</f>
        <v>5582867</v>
      </c>
      <c r="G4356" s="25"/>
      <c r="H4356" s="11"/>
      <c r="I4356" s="21"/>
      <c r="J4356" s="21"/>
      <c r="K4356" s="21"/>
      <c r="L4356" s="21"/>
      <c r="M4356" s="21"/>
      <c r="N4356" s="21"/>
    </row>
    <row r="4357" spans="1:14" ht="15.75" customHeight="1" x14ac:dyDescent="0.25">
      <c r="A4357" s="7"/>
      <c r="B4357" s="343" t="s">
        <v>343</v>
      </c>
      <c r="C4357" s="344"/>
      <c r="D4357" s="344"/>
      <c r="E4357" s="334"/>
      <c r="F4357" s="104">
        <v>614115</v>
      </c>
      <c r="G4357" s="25"/>
      <c r="H4357" s="11"/>
      <c r="I4357" s="21"/>
      <c r="J4357" s="21"/>
      <c r="K4357" s="21"/>
      <c r="L4357" s="21"/>
      <c r="M4357" s="21"/>
      <c r="N4357" s="21"/>
    </row>
    <row r="4358" spans="1:14" ht="15.75" customHeight="1" x14ac:dyDescent="0.25">
      <c r="A4358" s="7"/>
      <c r="B4358" s="345" t="s">
        <v>344</v>
      </c>
      <c r="C4358" s="344"/>
      <c r="D4358" s="344"/>
      <c r="E4358" s="334"/>
      <c r="F4358" s="107">
        <f>SUM(F4356:F4357)</f>
        <v>6196982</v>
      </c>
      <c r="G4358" s="25"/>
      <c r="H4358" s="11"/>
      <c r="I4358" s="21"/>
      <c r="J4358" s="21"/>
      <c r="K4358" s="21"/>
      <c r="L4358" s="21"/>
      <c r="M4358" s="21"/>
      <c r="N4358" s="21"/>
    </row>
    <row r="4359" spans="1:14" ht="15.75" customHeight="1" x14ac:dyDescent="0.25">
      <c r="A4359" s="21"/>
      <c r="B4359" s="21"/>
      <c r="C4359" s="11"/>
      <c r="D4359" s="11"/>
      <c r="E4359" s="21"/>
      <c r="F4359" s="21"/>
      <c r="G4359" s="25"/>
      <c r="H4359" s="11"/>
      <c r="I4359" s="21"/>
      <c r="J4359" s="21"/>
      <c r="K4359" s="21"/>
      <c r="L4359" s="21"/>
      <c r="M4359" s="21"/>
      <c r="N4359" s="21"/>
    </row>
    <row r="4360" spans="1:14" ht="15.75" customHeight="1" x14ac:dyDescent="0.25">
      <c r="A4360" s="31" t="s">
        <v>14</v>
      </c>
      <c r="B4360" s="31" t="s">
        <v>234</v>
      </c>
      <c r="C4360" s="31" t="s">
        <v>16</v>
      </c>
      <c r="D4360" s="31" t="s">
        <v>17</v>
      </c>
      <c r="E4360" s="31" t="s">
        <v>235</v>
      </c>
      <c r="F4360" s="31" t="s">
        <v>236</v>
      </c>
      <c r="G4360" s="25"/>
      <c r="H4360" s="11"/>
      <c r="I4360" s="21"/>
      <c r="J4360" s="21"/>
      <c r="K4360" s="21"/>
      <c r="L4360" s="21"/>
      <c r="M4360" s="21"/>
      <c r="N4360" s="21"/>
    </row>
    <row r="4361" spans="1:14" ht="15.75" customHeight="1" x14ac:dyDescent="0.25">
      <c r="A4361" s="10">
        <v>1</v>
      </c>
      <c r="B4361" s="41" t="s">
        <v>1645</v>
      </c>
      <c r="C4361" s="7">
        <v>9</v>
      </c>
      <c r="D4361" s="7" t="s">
        <v>19</v>
      </c>
      <c r="E4361" s="104">
        <v>90250</v>
      </c>
      <c r="F4361" s="104">
        <f t="shared" ref="F4361:F4367" si="49">E4361*C4361</f>
        <v>812250</v>
      </c>
      <c r="G4361" s="25"/>
      <c r="H4361" s="11"/>
      <c r="I4361" s="21"/>
      <c r="J4361" s="21"/>
      <c r="K4361" s="21"/>
      <c r="L4361" s="21"/>
      <c r="M4361" s="21"/>
      <c r="N4361" s="21"/>
    </row>
    <row r="4362" spans="1:14" ht="15.75" customHeight="1" x14ac:dyDescent="0.25">
      <c r="A4362" s="7">
        <v>2</v>
      </c>
      <c r="B4362" s="41" t="s">
        <v>1646</v>
      </c>
      <c r="C4362" s="7">
        <v>15</v>
      </c>
      <c r="D4362" s="7" t="s">
        <v>19</v>
      </c>
      <c r="E4362" s="104">
        <v>99045</v>
      </c>
      <c r="F4362" s="104">
        <f t="shared" si="49"/>
        <v>1485675</v>
      </c>
      <c r="G4362" s="25"/>
      <c r="H4362" s="11"/>
      <c r="I4362" s="21"/>
      <c r="J4362" s="21"/>
      <c r="K4362" s="21"/>
      <c r="L4362" s="21"/>
      <c r="M4362" s="21"/>
      <c r="N4362" s="21"/>
    </row>
    <row r="4363" spans="1:14" ht="15.75" customHeight="1" x14ac:dyDescent="0.25">
      <c r="A4363" s="7">
        <v>3</v>
      </c>
      <c r="B4363" s="41" t="s">
        <v>1647</v>
      </c>
      <c r="C4363" s="7">
        <v>2</v>
      </c>
      <c r="D4363" s="7" t="s">
        <v>19</v>
      </c>
      <c r="E4363" s="104">
        <v>37500</v>
      </c>
      <c r="F4363" s="104">
        <f t="shared" si="49"/>
        <v>75000</v>
      </c>
      <c r="G4363" s="25"/>
      <c r="H4363" s="11"/>
      <c r="I4363" s="21"/>
      <c r="J4363" s="21"/>
      <c r="K4363" s="21"/>
      <c r="L4363" s="21"/>
      <c r="M4363" s="21"/>
      <c r="N4363" s="21"/>
    </row>
    <row r="4364" spans="1:14" ht="15.75" customHeight="1" x14ac:dyDescent="0.25">
      <c r="A4364" s="7">
        <v>4</v>
      </c>
      <c r="B4364" s="41" t="s">
        <v>1648</v>
      </c>
      <c r="C4364" s="7">
        <v>15</v>
      </c>
      <c r="D4364" s="7" t="s">
        <v>19</v>
      </c>
      <c r="E4364" s="104">
        <v>156250</v>
      </c>
      <c r="F4364" s="104">
        <f t="shared" si="49"/>
        <v>2343750</v>
      </c>
      <c r="G4364" s="25"/>
      <c r="H4364" s="11"/>
      <c r="I4364" s="21"/>
      <c r="J4364" s="21"/>
      <c r="K4364" s="21"/>
      <c r="L4364" s="21"/>
      <c r="M4364" s="21"/>
      <c r="N4364" s="21"/>
    </row>
    <row r="4365" spans="1:14" ht="15.75" customHeight="1" x14ac:dyDescent="0.25">
      <c r="A4365" s="7">
        <v>5</v>
      </c>
      <c r="B4365" s="41" t="s">
        <v>1649</v>
      </c>
      <c r="C4365" s="7">
        <v>9</v>
      </c>
      <c r="D4365" s="7" t="s">
        <v>19</v>
      </c>
      <c r="E4365" s="104">
        <v>45500</v>
      </c>
      <c r="F4365" s="104">
        <f t="shared" si="49"/>
        <v>409500</v>
      </c>
      <c r="G4365" s="25"/>
      <c r="H4365" s="11"/>
      <c r="I4365" s="21"/>
      <c r="J4365" s="21"/>
      <c r="K4365" s="21"/>
      <c r="L4365" s="21"/>
      <c r="M4365" s="21"/>
      <c r="N4365" s="21"/>
    </row>
    <row r="4366" spans="1:14" ht="15.75" customHeight="1" x14ac:dyDescent="0.25">
      <c r="A4366" s="7">
        <v>6</v>
      </c>
      <c r="B4366" s="41" t="s">
        <v>1650</v>
      </c>
      <c r="C4366" s="7">
        <v>120</v>
      </c>
      <c r="D4366" s="7" t="s">
        <v>19</v>
      </c>
      <c r="E4366" s="104">
        <v>7500</v>
      </c>
      <c r="F4366" s="104">
        <f t="shared" si="49"/>
        <v>900000</v>
      </c>
      <c r="G4366" s="25"/>
      <c r="H4366" s="11"/>
      <c r="I4366" s="21"/>
      <c r="J4366" s="21"/>
      <c r="K4366" s="21"/>
      <c r="L4366" s="21"/>
      <c r="M4366" s="21"/>
      <c r="N4366" s="21"/>
    </row>
    <row r="4367" spans="1:14" ht="15.75" customHeight="1" x14ac:dyDescent="0.25">
      <c r="A4367" s="7">
        <v>7</v>
      </c>
      <c r="B4367" s="41" t="s">
        <v>1651</v>
      </c>
      <c r="C4367" s="7">
        <v>8</v>
      </c>
      <c r="D4367" s="7" t="s">
        <v>19</v>
      </c>
      <c r="E4367" s="104">
        <v>3200</v>
      </c>
      <c r="F4367" s="104">
        <f t="shared" si="49"/>
        <v>25600</v>
      </c>
      <c r="G4367" s="25"/>
      <c r="H4367" s="11"/>
      <c r="I4367" s="21"/>
      <c r="J4367" s="21"/>
      <c r="K4367" s="21"/>
      <c r="L4367" s="21"/>
      <c r="M4367" s="21"/>
      <c r="N4367" s="21"/>
    </row>
    <row r="4368" spans="1:14" ht="15.75" customHeight="1" x14ac:dyDescent="0.25">
      <c r="A4368" s="7"/>
      <c r="B4368" s="343" t="s">
        <v>342</v>
      </c>
      <c r="C4368" s="344"/>
      <c r="D4368" s="344"/>
      <c r="E4368" s="334"/>
      <c r="F4368" s="104">
        <f>SUM(F4361:F4367)</f>
        <v>6051775</v>
      </c>
      <c r="G4368" s="25"/>
      <c r="H4368" s="11"/>
      <c r="I4368" s="21"/>
      <c r="J4368" s="21"/>
      <c r="K4368" s="21"/>
      <c r="L4368" s="21"/>
      <c r="M4368" s="21"/>
      <c r="N4368" s="21"/>
    </row>
    <row r="4369" spans="1:14" ht="15.75" customHeight="1" x14ac:dyDescent="0.25">
      <c r="A4369" s="7"/>
      <c r="B4369" s="343" t="s">
        <v>343</v>
      </c>
      <c r="C4369" s="344"/>
      <c r="D4369" s="344"/>
      <c r="E4369" s="334"/>
      <c r="F4369" s="104">
        <v>665695.25</v>
      </c>
      <c r="G4369" s="25"/>
      <c r="H4369" s="11"/>
      <c r="I4369" s="21"/>
      <c r="J4369" s="21"/>
      <c r="K4369" s="21"/>
      <c r="L4369" s="21"/>
      <c r="M4369" s="21"/>
      <c r="N4369" s="21"/>
    </row>
    <row r="4370" spans="1:14" ht="15.75" customHeight="1" x14ac:dyDescent="0.25">
      <c r="A4370" s="7"/>
      <c r="B4370" s="345" t="s">
        <v>344</v>
      </c>
      <c r="C4370" s="344"/>
      <c r="D4370" s="344"/>
      <c r="E4370" s="334"/>
      <c r="F4370" s="107">
        <f>SUM(F4368:F4369)</f>
        <v>6717470.25</v>
      </c>
      <c r="G4370" s="25"/>
      <c r="H4370" s="11"/>
      <c r="I4370" s="21"/>
      <c r="J4370" s="21"/>
      <c r="K4370" s="21"/>
      <c r="L4370" s="21"/>
      <c r="M4370" s="21"/>
      <c r="N4370" s="21"/>
    </row>
    <row r="4371" spans="1:14" ht="15.75" customHeight="1" x14ac:dyDescent="0.25">
      <c r="A4371" s="21"/>
      <c r="B4371" s="21"/>
      <c r="C4371" s="11"/>
      <c r="D4371" s="11"/>
      <c r="E4371" s="21"/>
      <c r="F4371" s="21"/>
      <c r="G4371" s="25"/>
      <c r="H4371" s="11"/>
      <c r="I4371" s="21"/>
      <c r="J4371" s="21"/>
      <c r="K4371" s="21"/>
      <c r="L4371" s="21"/>
      <c r="M4371" s="21"/>
      <c r="N4371" s="21"/>
    </row>
    <row r="4372" spans="1:14" ht="15.75" customHeight="1" x14ac:dyDescent="0.25">
      <c r="A4372" s="31" t="s">
        <v>14</v>
      </c>
      <c r="B4372" s="31" t="s">
        <v>234</v>
      </c>
      <c r="C4372" s="31" t="s">
        <v>16</v>
      </c>
      <c r="D4372" s="31" t="s">
        <v>17</v>
      </c>
      <c r="E4372" s="31" t="s">
        <v>235</v>
      </c>
      <c r="F4372" s="31" t="s">
        <v>236</v>
      </c>
      <c r="G4372" s="25"/>
      <c r="H4372" s="11"/>
      <c r="I4372" s="21"/>
      <c r="J4372" s="21"/>
      <c r="K4372" s="21"/>
      <c r="L4372" s="21"/>
      <c r="M4372" s="21"/>
      <c r="N4372" s="21"/>
    </row>
    <row r="4373" spans="1:14" ht="15.75" customHeight="1" x14ac:dyDescent="0.25">
      <c r="A4373" s="7">
        <v>1</v>
      </c>
      <c r="B4373" s="41" t="s">
        <v>1652</v>
      </c>
      <c r="C4373" s="158">
        <v>2</v>
      </c>
      <c r="D4373" s="7" t="s">
        <v>19</v>
      </c>
      <c r="E4373" s="104">
        <v>247500</v>
      </c>
      <c r="F4373" s="104">
        <f>E4373*C4373</f>
        <v>495000</v>
      </c>
      <c r="G4373" s="25"/>
      <c r="H4373" s="11"/>
      <c r="I4373" s="21"/>
      <c r="J4373" s="21"/>
      <c r="K4373" s="21"/>
      <c r="L4373" s="21"/>
      <c r="M4373" s="21"/>
      <c r="N4373" s="21"/>
    </row>
    <row r="4374" spans="1:14" ht="15.75" customHeight="1" x14ac:dyDescent="0.25">
      <c r="A4374" s="7">
        <v>2</v>
      </c>
      <c r="B4374" s="41" t="s">
        <v>1653</v>
      </c>
      <c r="C4374" s="133">
        <v>100</v>
      </c>
      <c r="D4374" s="7" t="s">
        <v>19</v>
      </c>
      <c r="E4374" s="104">
        <v>7500</v>
      </c>
      <c r="F4374" s="104">
        <f>E4374*C4374</f>
        <v>750000</v>
      </c>
      <c r="G4374" s="25"/>
      <c r="H4374" s="11"/>
      <c r="I4374" s="21"/>
      <c r="J4374" s="21"/>
      <c r="K4374" s="21"/>
      <c r="L4374" s="21"/>
      <c r="M4374" s="21"/>
      <c r="N4374" s="21"/>
    </row>
    <row r="4375" spans="1:14" ht="15.75" customHeight="1" x14ac:dyDescent="0.25">
      <c r="A4375" s="7">
        <v>3</v>
      </c>
      <c r="B4375" s="41" t="s">
        <v>1654</v>
      </c>
      <c r="C4375" s="151">
        <v>4</v>
      </c>
      <c r="D4375" s="133" t="s">
        <v>19</v>
      </c>
      <c r="E4375" s="104">
        <v>128500</v>
      </c>
      <c r="F4375" s="104">
        <f>E4375*C4375</f>
        <v>514000</v>
      </c>
      <c r="G4375" s="25"/>
      <c r="H4375" s="11"/>
      <c r="I4375" s="21"/>
      <c r="J4375" s="21"/>
      <c r="K4375" s="21"/>
      <c r="L4375" s="21"/>
      <c r="M4375" s="21"/>
      <c r="N4375" s="21"/>
    </row>
    <row r="4376" spans="1:14" ht="15.75" customHeight="1" x14ac:dyDescent="0.25">
      <c r="A4376" s="7"/>
      <c r="B4376" s="343" t="s">
        <v>342</v>
      </c>
      <c r="C4376" s="344"/>
      <c r="D4376" s="344"/>
      <c r="E4376" s="334"/>
      <c r="F4376" s="104">
        <f>SUM(F4373:F4375)</f>
        <v>1759000</v>
      </c>
      <c r="G4376" s="25"/>
      <c r="H4376" s="11"/>
      <c r="I4376" s="21"/>
      <c r="J4376" s="21"/>
      <c r="K4376" s="21"/>
      <c r="L4376" s="21"/>
      <c r="M4376" s="21"/>
      <c r="N4376" s="21"/>
    </row>
    <row r="4377" spans="1:14" ht="15.75" customHeight="1" x14ac:dyDescent="0.25">
      <c r="A4377" s="7"/>
      <c r="B4377" s="343" t="s">
        <v>343</v>
      </c>
      <c r="C4377" s="344"/>
      <c r="D4377" s="344"/>
      <c r="E4377" s="334"/>
      <c r="F4377" s="104">
        <v>193490</v>
      </c>
      <c r="G4377" s="25"/>
      <c r="H4377" s="11"/>
      <c r="I4377" s="21"/>
      <c r="J4377" s="21"/>
      <c r="K4377" s="21"/>
      <c r="L4377" s="21"/>
      <c r="M4377" s="21"/>
      <c r="N4377" s="21"/>
    </row>
    <row r="4378" spans="1:14" ht="15.75" customHeight="1" x14ac:dyDescent="0.25">
      <c r="A4378" s="7"/>
      <c r="B4378" s="345" t="s">
        <v>344</v>
      </c>
      <c r="C4378" s="344"/>
      <c r="D4378" s="344"/>
      <c r="E4378" s="334"/>
      <c r="F4378" s="107">
        <f>SUM(F4376:F4377)</f>
        <v>1952490</v>
      </c>
      <c r="G4378" s="25"/>
      <c r="H4378" s="11"/>
      <c r="I4378" s="21"/>
      <c r="J4378" s="21"/>
      <c r="K4378" s="21"/>
      <c r="L4378" s="21"/>
      <c r="M4378" s="21"/>
      <c r="N4378" s="21"/>
    </row>
    <row r="4379" spans="1:14" ht="15.75" customHeight="1" x14ac:dyDescent="0.25">
      <c r="A4379" s="21"/>
      <c r="B4379" s="21"/>
      <c r="C4379" s="11"/>
      <c r="D4379" s="11"/>
      <c r="E4379" s="21"/>
      <c r="F4379" s="21"/>
      <c r="G4379" s="25"/>
      <c r="H4379" s="11"/>
      <c r="I4379" s="21"/>
      <c r="J4379" s="21"/>
      <c r="K4379" s="21"/>
      <c r="L4379" s="21"/>
      <c r="M4379" s="21"/>
      <c r="N4379" s="21"/>
    </row>
    <row r="4380" spans="1:14" ht="15.75" customHeight="1" x14ac:dyDescent="0.25">
      <c r="A4380" s="31" t="s">
        <v>14</v>
      </c>
      <c r="B4380" s="31" t="s">
        <v>234</v>
      </c>
      <c r="C4380" s="31" t="s">
        <v>16</v>
      </c>
      <c r="D4380" s="31" t="s">
        <v>17</v>
      </c>
      <c r="E4380" s="31" t="s">
        <v>235</v>
      </c>
      <c r="F4380" s="31" t="s">
        <v>236</v>
      </c>
      <c r="G4380" s="25"/>
      <c r="H4380" s="11"/>
      <c r="I4380" s="21"/>
      <c r="J4380" s="21"/>
      <c r="K4380" s="21"/>
      <c r="L4380" s="21"/>
      <c r="M4380" s="21"/>
      <c r="N4380" s="21"/>
    </row>
    <row r="4381" spans="1:14" ht="15.75" customHeight="1" x14ac:dyDescent="0.25">
      <c r="A4381" s="7">
        <v>1</v>
      </c>
      <c r="B4381" s="41" t="s">
        <v>1655</v>
      </c>
      <c r="C4381" s="7">
        <v>1</v>
      </c>
      <c r="D4381" s="7" t="s">
        <v>355</v>
      </c>
      <c r="E4381" s="104">
        <v>4750000</v>
      </c>
      <c r="F4381" s="104">
        <f>E4381*C4381</f>
        <v>4750000</v>
      </c>
      <c r="G4381" s="25"/>
      <c r="H4381" s="11"/>
      <c r="I4381" s="21"/>
      <c r="J4381" s="21"/>
      <c r="K4381" s="21"/>
      <c r="L4381" s="21"/>
      <c r="M4381" s="21"/>
      <c r="N4381" s="21"/>
    </row>
    <row r="4382" spans="1:14" ht="15.75" customHeight="1" x14ac:dyDescent="0.25">
      <c r="A4382" s="7"/>
      <c r="B4382" s="343" t="s">
        <v>342</v>
      </c>
      <c r="C4382" s="344"/>
      <c r="D4382" s="344"/>
      <c r="E4382" s="334"/>
      <c r="F4382" s="104">
        <f>SUM(F4380:F4381)</f>
        <v>4750000</v>
      </c>
      <c r="G4382" s="25"/>
      <c r="H4382" s="11"/>
      <c r="I4382" s="21"/>
      <c r="J4382" s="21"/>
      <c r="K4382" s="21"/>
      <c r="L4382" s="21"/>
      <c r="M4382" s="21"/>
      <c r="N4382" s="21"/>
    </row>
    <row r="4383" spans="1:14" ht="15.75" customHeight="1" x14ac:dyDescent="0.25">
      <c r="A4383" s="7"/>
      <c r="B4383" s="343" t="s">
        <v>986</v>
      </c>
      <c r="C4383" s="344"/>
      <c r="D4383" s="344"/>
      <c r="E4383" s="334"/>
      <c r="F4383" s="104">
        <v>142500</v>
      </c>
      <c r="G4383" s="25"/>
      <c r="H4383" s="11"/>
      <c r="I4383" s="21"/>
      <c r="J4383" s="21"/>
      <c r="K4383" s="21"/>
      <c r="L4383" s="21"/>
      <c r="M4383" s="21"/>
      <c r="N4383" s="21"/>
    </row>
    <row r="4384" spans="1:14" ht="15.75" customHeight="1" x14ac:dyDescent="0.25">
      <c r="A4384" s="7"/>
      <c r="B4384" s="345" t="s">
        <v>342</v>
      </c>
      <c r="C4384" s="344"/>
      <c r="D4384" s="344"/>
      <c r="E4384" s="334"/>
      <c r="F4384" s="107">
        <f>F4382-F4383</f>
        <v>4607500</v>
      </c>
      <c r="G4384" s="25"/>
      <c r="H4384" s="11"/>
      <c r="I4384" s="21"/>
      <c r="J4384" s="21"/>
      <c r="K4384" s="21"/>
      <c r="L4384" s="21"/>
      <c r="M4384" s="21"/>
      <c r="N4384" s="21"/>
    </row>
    <row r="4385" spans="1:14" ht="15.75" customHeight="1" x14ac:dyDescent="0.25">
      <c r="A4385" s="7"/>
      <c r="B4385" s="343" t="s">
        <v>343</v>
      </c>
      <c r="C4385" s="344"/>
      <c r="D4385" s="344"/>
      <c r="E4385" s="334"/>
      <c r="F4385" s="104">
        <v>506825</v>
      </c>
      <c r="G4385" s="25"/>
      <c r="H4385" s="11"/>
      <c r="I4385" s="21"/>
      <c r="J4385" s="21"/>
      <c r="K4385" s="21"/>
      <c r="L4385" s="21"/>
      <c r="M4385" s="21"/>
      <c r="N4385" s="21"/>
    </row>
    <row r="4386" spans="1:14" ht="15.75" customHeight="1" x14ac:dyDescent="0.25">
      <c r="A4386" s="7"/>
      <c r="B4386" s="345" t="s">
        <v>344</v>
      </c>
      <c r="C4386" s="344"/>
      <c r="D4386" s="344"/>
      <c r="E4386" s="334"/>
      <c r="F4386" s="107">
        <f>SUM(F4384:F4385)</f>
        <v>5114325</v>
      </c>
      <c r="G4386" s="25"/>
      <c r="H4386" s="11"/>
      <c r="I4386" s="21"/>
      <c r="J4386" s="21"/>
      <c r="K4386" s="21"/>
      <c r="L4386" s="21"/>
      <c r="M4386" s="21"/>
      <c r="N4386" s="21"/>
    </row>
    <row r="4387" spans="1:14" ht="15.75" customHeight="1" x14ac:dyDescent="0.25">
      <c r="A4387" s="21"/>
      <c r="B4387" s="21"/>
      <c r="C4387" s="11"/>
      <c r="D4387" s="11"/>
      <c r="E4387" s="21"/>
      <c r="F4387" s="21"/>
      <c r="G4387" s="25"/>
      <c r="H4387" s="11"/>
      <c r="I4387" s="21"/>
      <c r="J4387" s="21"/>
      <c r="K4387" s="21"/>
      <c r="L4387" s="21"/>
      <c r="M4387" s="21"/>
      <c r="N4387" s="21"/>
    </row>
    <row r="4388" spans="1:14" ht="15.75" customHeight="1" x14ac:dyDescent="0.25">
      <c r="A4388" s="31" t="s">
        <v>14</v>
      </c>
      <c r="B4388" s="31" t="s">
        <v>234</v>
      </c>
      <c r="C4388" s="31" t="s">
        <v>16</v>
      </c>
      <c r="D4388" s="31" t="s">
        <v>17</v>
      </c>
      <c r="E4388" s="31" t="s">
        <v>235</v>
      </c>
      <c r="F4388" s="31" t="s">
        <v>236</v>
      </c>
      <c r="G4388" s="25"/>
      <c r="H4388" s="11"/>
      <c r="I4388" s="21"/>
      <c r="J4388" s="21"/>
      <c r="K4388" s="21"/>
      <c r="L4388" s="21"/>
      <c r="M4388" s="21"/>
      <c r="N4388" s="21"/>
    </row>
    <row r="4389" spans="1:14" ht="15.75" customHeight="1" x14ac:dyDescent="0.25">
      <c r="A4389" s="7">
        <v>1</v>
      </c>
      <c r="B4389" s="41" t="s">
        <v>1656</v>
      </c>
      <c r="C4389" s="129">
        <v>400</v>
      </c>
      <c r="D4389" s="7" t="s">
        <v>370</v>
      </c>
      <c r="E4389" s="130">
        <v>5200</v>
      </c>
      <c r="F4389" s="130">
        <f>E4389*C4389</f>
        <v>2080000</v>
      </c>
      <c r="G4389" s="25"/>
      <c r="H4389" s="11"/>
      <c r="I4389" s="21"/>
      <c r="J4389" s="21"/>
      <c r="K4389" s="21"/>
      <c r="L4389" s="21"/>
      <c r="M4389" s="21"/>
      <c r="N4389" s="21"/>
    </row>
    <row r="4390" spans="1:14" ht="15.75" customHeight="1" x14ac:dyDescent="0.25">
      <c r="A4390" s="7"/>
      <c r="B4390" s="343" t="s">
        <v>342</v>
      </c>
      <c r="C4390" s="344"/>
      <c r="D4390" s="344"/>
      <c r="E4390" s="334"/>
      <c r="F4390" s="104">
        <f>SUM(F4389)</f>
        <v>2080000</v>
      </c>
      <c r="G4390" s="25"/>
      <c r="H4390" s="11"/>
      <c r="I4390" s="21"/>
      <c r="J4390" s="21"/>
      <c r="K4390" s="21"/>
      <c r="L4390" s="21"/>
      <c r="M4390" s="21"/>
      <c r="N4390" s="21"/>
    </row>
    <row r="4391" spans="1:14" ht="15.75" customHeight="1" x14ac:dyDescent="0.25">
      <c r="A4391" s="7"/>
      <c r="B4391" s="343" t="s">
        <v>343</v>
      </c>
      <c r="C4391" s="344"/>
      <c r="D4391" s="344"/>
      <c r="E4391" s="334"/>
      <c r="F4391" s="104">
        <v>228800</v>
      </c>
      <c r="G4391" s="25"/>
      <c r="H4391" s="11"/>
      <c r="I4391" s="21"/>
      <c r="J4391" s="21"/>
      <c r="K4391" s="21"/>
      <c r="L4391" s="21"/>
      <c r="M4391" s="21"/>
      <c r="N4391" s="21"/>
    </row>
    <row r="4392" spans="1:14" ht="15.75" customHeight="1" x14ac:dyDescent="0.25">
      <c r="A4392" s="7"/>
      <c r="B4392" s="345" t="s">
        <v>344</v>
      </c>
      <c r="C4392" s="344"/>
      <c r="D4392" s="344"/>
      <c r="E4392" s="334"/>
      <c r="F4392" s="107">
        <f>SUM(F4390:F4391)</f>
        <v>2308800</v>
      </c>
      <c r="G4392" s="25"/>
      <c r="H4392" s="11"/>
      <c r="I4392" s="21"/>
      <c r="J4392" s="21"/>
      <c r="K4392" s="21"/>
      <c r="L4392" s="21"/>
      <c r="M4392" s="21"/>
      <c r="N4392" s="21"/>
    </row>
    <row r="4393" spans="1:14" ht="15.75" customHeight="1" x14ac:dyDescent="0.25">
      <c r="A4393" s="21"/>
      <c r="B4393" s="21"/>
      <c r="C4393" s="11"/>
      <c r="D4393" s="11"/>
      <c r="E4393" s="21"/>
      <c r="F4393" s="21"/>
      <c r="G4393" s="25"/>
      <c r="H4393" s="11"/>
      <c r="I4393" s="21"/>
      <c r="J4393" s="21"/>
      <c r="K4393" s="21"/>
      <c r="L4393" s="21"/>
      <c r="M4393" s="21"/>
      <c r="N4393" s="21"/>
    </row>
    <row r="4394" spans="1:14" ht="15.75" customHeight="1" x14ac:dyDescent="0.25">
      <c r="A4394" s="31" t="s">
        <v>14</v>
      </c>
      <c r="B4394" s="31" t="s">
        <v>234</v>
      </c>
      <c r="C4394" s="31" t="s">
        <v>16</v>
      </c>
      <c r="D4394" s="31" t="s">
        <v>17</v>
      </c>
      <c r="E4394" s="31" t="s">
        <v>235</v>
      </c>
      <c r="F4394" s="31" t="s">
        <v>236</v>
      </c>
      <c r="G4394" s="25"/>
      <c r="H4394" s="11"/>
      <c r="I4394" s="21"/>
      <c r="J4394" s="21"/>
      <c r="K4394" s="21"/>
      <c r="L4394" s="21"/>
      <c r="M4394" s="21"/>
      <c r="N4394" s="21"/>
    </row>
    <row r="4395" spans="1:14" ht="15.75" customHeight="1" x14ac:dyDescent="0.25">
      <c r="A4395" s="7">
        <v>1</v>
      </c>
      <c r="B4395" s="41" t="s">
        <v>1657</v>
      </c>
      <c r="C4395" s="129">
        <v>12</v>
      </c>
      <c r="D4395" s="7" t="s">
        <v>19</v>
      </c>
      <c r="E4395" s="130">
        <v>51840</v>
      </c>
      <c r="F4395" s="130">
        <f>E4395*C4395</f>
        <v>622080</v>
      </c>
      <c r="G4395" s="25"/>
      <c r="H4395" s="11"/>
      <c r="I4395" s="21"/>
      <c r="J4395" s="21"/>
      <c r="K4395" s="21"/>
      <c r="L4395" s="21"/>
      <c r="M4395" s="21"/>
      <c r="N4395" s="21"/>
    </row>
    <row r="4396" spans="1:14" ht="15.75" customHeight="1" x14ac:dyDescent="0.25">
      <c r="A4396" s="7"/>
      <c r="B4396" s="343" t="s">
        <v>342</v>
      </c>
      <c r="C4396" s="344"/>
      <c r="D4396" s="344"/>
      <c r="E4396" s="334"/>
      <c r="F4396" s="104">
        <f>SUM(F4395)</f>
        <v>622080</v>
      </c>
      <c r="G4396" s="25"/>
      <c r="H4396" s="11"/>
      <c r="I4396" s="21"/>
      <c r="J4396" s="21"/>
      <c r="K4396" s="21"/>
      <c r="L4396" s="21"/>
      <c r="M4396" s="21"/>
      <c r="N4396" s="21"/>
    </row>
    <row r="4397" spans="1:14" ht="15.75" customHeight="1" x14ac:dyDescent="0.25">
      <c r="A4397" s="7"/>
      <c r="B4397" s="343" t="s">
        <v>343</v>
      </c>
      <c r="C4397" s="344"/>
      <c r="D4397" s="344"/>
      <c r="E4397" s="334"/>
      <c r="F4397" s="108">
        <v>68428.800000000003</v>
      </c>
      <c r="G4397" s="25"/>
      <c r="H4397" s="11"/>
      <c r="I4397" s="21"/>
      <c r="J4397" s="21"/>
      <c r="K4397" s="21"/>
      <c r="L4397" s="21"/>
      <c r="M4397" s="21"/>
      <c r="N4397" s="21"/>
    </row>
    <row r="4398" spans="1:14" ht="15.75" customHeight="1" x14ac:dyDescent="0.25">
      <c r="A4398" s="7"/>
      <c r="B4398" s="345" t="s">
        <v>344</v>
      </c>
      <c r="C4398" s="344"/>
      <c r="D4398" s="344"/>
      <c r="E4398" s="334"/>
      <c r="F4398" s="109">
        <f>SUM(F4396:F4397)</f>
        <v>690508.80000000005</v>
      </c>
      <c r="G4398" s="25"/>
      <c r="H4398" s="11"/>
      <c r="I4398" s="21"/>
      <c r="J4398" s="21"/>
      <c r="K4398" s="21"/>
      <c r="L4398" s="21"/>
      <c r="M4398" s="21"/>
      <c r="N4398" s="21"/>
    </row>
    <row r="4399" spans="1:14" ht="15.75" customHeight="1" x14ac:dyDescent="0.25">
      <c r="A4399" s="21"/>
      <c r="B4399" s="21"/>
      <c r="C4399" s="11"/>
      <c r="D4399" s="11"/>
      <c r="E4399" s="21"/>
      <c r="F4399" s="21"/>
      <c r="G4399" s="25"/>
      <c r="H4399" s="11"/>
      <c r="I4399" s="21"/>
      <c r="J4399" s="21"/>
      <c r="K4399" s="21"/>
      <c r="L4399" s="21"/>
      <c r="M4399" s="21"/>
      <c r="N4399" s="21"/>
    </row>
    <row r="4400" spans="1:14" ht="15.75" customHeight="1" x14ac:dyDescent="0.25">
      <c r="A4400" s="31" t="s">
        <v>14</v>
      </c>
      <c r="B4400" s="31" t="s">
        <v>234</v>
      </c>
      <c r="C4400" s="31" t="s">
        <v>16</v>
      </c>
      <c r="D4400" s="31" t="s">
        <v>17</v>
      </c>
      <c r="E4400" s="31" t="s">
        <v>235</v>
      </c>
      <c r="F4400" s="31" t="s">
        <v>236</v>
      </c>
      <c r="G4400" s="25"/>
      <c r="H4400" s="11"/>
      <c r="I4400" s="21"/>
      <c r="J4400" s="21"/>
      <c r="K4400" s="21"/>
      <c r="L4400" s="21"/>
      <c r="M4400" s="21"/>
      <c r="N4400" s="21"/>
    </row>
    <row r="4401" spans="1:14" ht="15.75" customHeight="1" x14ac:dyDescent="0.25">
      <c r="A4401" s="7">
        <v>1</v>
      </c>
      <c r="B4401" s="120" t="s">
        <v>1658</v>
      </c>
      <c r="C4401" s="129">
        <v>10</v>
      </c>
      <c r="D4401" s="7" t="s">
        <v>243</v>
      </c>
      <c r="E4401" s="130">
        <v>44152010</v>
      </c>
      <c r="F4401" s="130">
        <f>E4401*C4401</f>
        <v>441520100</v>
      </c>
      <c r="G4401" s="25"/>
      <c r="H4401" s="11"/>
      <c r="I4401" s="21"/>
      <c r="J4401" s="21"/>
      <c r="K4401" s="21"/>
      <c r="L4401" s="21"/>
      <c r="M4401" s="21"/>
      <c r="N4401" s="21"/>
    </row>
    <row r="4402" spans="1:14" ht="15.75" customHeight="1" x14ac:dyDescent="0.25">
      <c r="A4402" s="7">
        <v>2</v>
      </c>
      <c r="B4402" s="131" t="s">
        <v>1659</v>
      </c>
      <c r="C4402" s="129">
        <v>5</v>
      </c>
      <c r="D4402" s="7" t="s">
        <v>243</v>
      </c>
      <c r="E4402" s="130">
        <v>61206600</v>
      </c>
      <c r="F4402" s="130">
        <f>E4402*C4402</f>
        <v>306033000</v>
      </c>
      <c r="G4402" s="25"/>
      <c r="H4402" s="11"/>
      <c r="I4402" s="21"/>
      <c r="J4402" s="21"/>
      <c r="K4402" s="21"/>
      <c r="L4402" s="21"/>
      <c r="M4402" s="21"/>
      <c r="N4402" s="21"/>
    </row>
    <row r="4403" spans="1:14" ht="15.75" customHeight="1" x14ac:dyDescent="0.25">
      <c r="A4403" s="7"/>
      <c r="B4403" s="343" t="s">
        <v>342</v>
      </c>
      <c r="C4403" s="344"/>
      <c r="D4403" s="344"/>
      <c r="E4403" s="334"/>
      <c r="F4403" s="104">
        <f>SUM(F4400:F4402)</f>
        <v>747553100</v>
      </c>
      <c r="G4403" s="25"/>
      <c r="H4403" s="11"/>
      <c r="I4403" s="21"/>
      <c r="J4403" s="21"/>
      <c r="K4403" s="21"/>
      <c r="L4403" s="21"/>
      <c r="M4403" s="21"/>
      <c r="N4403" s="21"/>
    </row>
    <row r="4404" spans="1:14" ht="15.75" customHeight="1" x14ac:dyDescent="0.25">
      <c r="A4404" s="7"/>
      <c r="B4404" s="345" t="s">
        <v>1660</v>
      </c>
      <c r="C4404" s="344"/>
      <c r="D4404" s="344"/>
      <c r="E4404" s="334"/>
      <c r="F4404" s="107">
        <v>224265930</v>
      </c>
      <c r="G4404" s="25"/>
      <c r="H4404" s="11"/>
      <c r="I4404" s="21"/>
      <c r="J4404" s="21"/>
      <c r="K4404" s="21"/>
      <c r="L4404" s="21"/>
      <c r="M4404" s="21"/>
      <c r="N4404" s="21"/>
    </row>
    <row r="4405" spans="1:14" ht="15.75" customHeight="1" x14ac:dyDescent="0.25">
      <c r="A4405" s="7"/>
      <c r="B4405" s="105" t="s">
        <v>343</v>
      </c>
      <c r="C4405" s="164"/>
      <c r="D4405" s="164"/>
      <c r="E4405" s="126"/>
      <c r="F4405" s="104">
        <v>24669252</v>
      </c>
      <c r="G4405" s="25"/>
      <c r="H4405" s="11"/>
      <c r="I4405" s="21"/>
      <c r="J4405" s="21"/>
      <c r="K4405" s="21"/>
      <c r="L4405" s="21"/>
      <c r="M4405" s="21"/>
      <c r="N4405" s="21"/>
    </row>
    <row r="4406" spans="1:14" ht="15.75" customHeight="1" x14ac:dyDescent="0.25">
      <c r="A4406" s="7"/>
      <c r="B4406" s="345" t="s">
        <v>344</v>
      </c>
      <c r="C4406" s="344"/>
      <c r="D4406" s="344"/>
      <c r="E4406" s="334"/>
      <c r="F4406" s="107">
        <f>SUM(F4404:F4405)</f>
        <v>248935182</v>
      </c>
      <c r="G4406" s="25"/>
      <c r="H4406" s="11"/>
      <c r="I4406" s="21"/>
      <c r="J4406" s="21"/>
      <c r="K4406" s="21"/>
      <c r="L4406" s="21"/>
      <c r="M4406" s="21"/>
      <c r="N4406" s="21"/>
    </row>
    <row r="4407" spans="1:14" ht="15.75" customHeight="1" x14ac:dyDescent="0.25">
      <c r="A4407" s="7"/>
      <c r="B4407" s="345"/>
      <c r="C4407" s="344"/>
      <c r="D4407" s="344"/>
      <c r="E4407" s="334"/>
      <c r="F4407" s="107"/>
      <c r="G4407" s="25"/>
      <c r="H4407" s="11"/>
      <c r="I4407" s="21"/>
      <c r="J4407" s="21"/>
      <c r="K4407" s="21"/>
      <c r="L4407" s="21"/>
      <c r="M4407" s="21"/>
      <c r="N4407" s="21"/>
    </row>
    <row r="4408" spans="1:14" ht="15.75" customHeight="1" x14ac:dyDescent="0.25">
      <c r="A4408" s="21"/>
      <c r="B4408" s="21"/>
      <c r="C4408" s="11"/>
      <c r="D4408" s="11"/>
      <c r="E4408" s="21"/>
      <c r="F4408" s="21"/>
      <c r="G4408" s="25"/>
      <c r="H4408" s="11"/>
      <c r="I4408" s="21"/>
      <c r="J4408" s="21"/>
      <c r="K4408" s="21"/>
      <c r="L4408" s="21"/>
      <c r="M4408" s="21"/>
      <c r="N4408" s="21"/>
    </row>
    <row r="4409" spans="1:14" ht="15.75" customHeight="1" x14ac:dyDescent="0.25">
      <c r="A4409" s="31" t="s">
        <v>14</v>
      </c>
      <c r="B4409" s="31" t="s">
        <v>234</v>
      </c>
      <c r="C4409" s="31" t="s">
        <v>16</v>
      </c>
      <c r="D4409" s="31" t="s">
        <v>17</v>
      </c>
      <c r="E4409" s="31" t="s">
        <v>235</v>
      </c>
      <c r="F4409" s="31" t="s">
        <v>236</v>
      </c>
      <c r="G4409" s="25"/>
      <c r="H4409" s="11"/>
      <c r="I4409" s="21"/>
      <c r="J4409" s="21"/>
      <c r="K4409" s="21"/>
      <c r="L4409" s="21"/>
      <c r="M4409" s="21"/>
      <c r="N4409" s="21"/>
    </row>
    <row r="4410" spans="1:14" ht="15.75" customHeight="1" x14ac:dyDescent="0.25">
      <c r="A4410" s="10">
        <v>1</v>
      </c>
      <c r="B4410" s="35" t="s">
        <v>1661</v>
      </c>
      <c r="C4410" s="7">
        <v>50</v>
      </c>
      <c r="D4410" s="7" t="s">
        <v>19</v>
      </c>
      <c r="E4410" s="37">
        <v>39150</v>
      </c>
      <c r="F4410" s="104">
        <f t="shared" ref="F4410:F4421" si="50">E4410*C4410</f>
        <v>1957500</v>
      </c>
      <c r="G4410" s="25"/>
      <c r="H4410" s="11"/>
      <c r="I4410" s="21"/>
      <c r="J4410" s="21"/>
      <c r="K4410" s="21"/>
      <c r="L4410" s="21"/>
      <c r="M4410" s="21"/>
      <c r="N4410" s="21"/>
    </row>
    <row r="4411" spans="1:14" ht="15.75" customHeight="1" x14ac:dyDescent="0.25">
      <c r="A4411" s="7">
        <v>2</v>
      </c>
      <c r="B4411" s="38" t="s">
        <v>1662</v>
      </c>
      <c r="C4411" s="7">
        <v>100</v>
      </c>
      <c r="D4411" s="7" t="s">
        <v>370</v>
      </c>
      <c r="E4411" s="37">
        <v>10620</v>
      </c>
      <c r="F4411" s="104">
        <f t="shared" si="50"/>
        <v>1062000</v>
      </c>
      <c r="G4411" s="25"/>
      <c r="H4411" s="11"/>
      <c r="I4411" s="21"/>
      <c r="J4411" s="21"/>
      <c r="K4411" s="21"/>
      <c r="L4411" s="21"/>
      <c r="M4411" s="21"/>
      <c r="N4411" s="21"/>
    </row>
    <row r="4412" spans="1:14" ht="15.75" customHeight="1" x14ac:dyDescent="0.25">
      <c r="A4412" s="7">
        <v>3</v>
      </c>
      <c r="B4412" s="35" t="s">
        <v>1663</v>
      </c>
      <c r="C4412" s="7">
        <v>30</v>
      </c>
      <c r="D4412" s="7" t="s">
        <v>19</v>
      </c>
      <c r="E4412" s="37">
        <v>5400</v>
      </c>
      <c r="F4412" s="104">
        <f t="shared" si="50"/>
        <v>162000</v>
      </c>
      <c r="G4412" s="25"/>
      <c r="H4412" s="11"/>
      <c r="I4412" s="21"/>
      <c r="J4412" s="21"/>
      <c r="K4412" s="21"/>
      <c r="L4412" s="21"/>
      <c r="M4412" s="21"/>
      <c r="N4412" s="21"/>
    </row>
    <row r="4413" spans="1:14" ht="15.75" customHeight="1" x14ac:dyDescent="0.25">
      <c r="A4413" s="7">
        <v>4</v>
      </c>
      <c r="B4413" s="38" t="s">
        <v>1664</v>
      </c>
      <c r="C4413" s="7">
        <v>30</v>
      </c>
      <c r="D4413" s="7" t="s">
        <v>19</v>
      </c>
      <c r="E4413" s="37">
        <v>25920</v>
      </c>
      <c r="F4413" s="104">
        <f t="shared" si="50"/>
        <v>777600</v>
      </c>
      <c r="G4413" s="25"/>
      <c r="H4413" s="11"/>
      <c r="I4413" s="21"/>
      <c r="J4413" s="21"/>
      <c r="K4413" s="21"/>
      <c r="L4413" s="21"/>
      <c r="M4413" s="21"/>
      <c r="N4413" s="21"/>
    </row>
    <row r="4414" spans="1:14" ht="15.75" customHeight="1" x14ac:dyDescent="0.25">
      <c r="A4414" s="7">
        <v>5</v>
      </c>
      <c r="B4414" s="35" t="s">
        <v>1665</v>
      </c>
      <c r="C4414" s="7">
        <v>30</v>
      </c>
      <c r="D4414" s="7" t="s">
        <v>19</v>
      </c>
      <c r="E4414" s="37">
        <v>20520</v>
      </c>
      <c r="F4414" s="104">
        <f t="shared" si="50"/>
        <v>615600</v>
      </c>
      <c r="G4414" s="25"/>
      <c r="H4414" s="11"/>
      <c r="I4414" s="21"/>
      <c r="J4414" s="21"/>
      <c r="K4414" s="21"/>
      <c r="L4414" s="21"/>
      <c r="M4414" s="21"/>
      <c r="N4414" s="21"/>
    </row>
    <row r="4415" spans="1:14" ht="15.75" customHeight="1" x14ac:dyDescent="0.25">
      <c r="A4415" s="7">
        <v>6</v>
      </c>
      <c r="B4415" s="38" t="s">
        <v>1666</v>
      </c>
      <c r="C4415" s="7">
        <v>30</v>
      </c>
      <c r="D4415" s="7" t="s">
        <v>19</v>
      </c>
      <c r="E4415" s="37">
        <v>9450</v>
      </c>
      <c r="F4415" s="104">
        <f t="shared" si="50"/>
        <v>283500</v>
      </c>
      <c r="G4415" s="25"/>
      <c r="H4415" s="11"/>
      <c r="I4415" s="21"/>
      <c r="J4415" s="21"/>
      <c r="K4415" s="21"/>
      <c r="L4415" s="21"/>
      <c r="M4415" s="21"/>
      <c r="N4415" s="21"/>
    </row>
    <row r="4416" spans="1:14" ht="15.75" customHeight="1" x14ac:dyDescent="0.25">
      <c r="A4416" s="7">
        <v>7</v>
      </c>
      <c r="B4416" s="35" t="s">
        <v>1667</v>
      </c>
      <c r="C4416" s="7">
        <v>50</v>
      </c>
      <c r="D4416" s="7" t="s">
        <v>19</v>
      </c>
      <c r="E4416" s="37">
        <v>27000</v>
      </c>
      <c r="F4416" s="104">
        <f t="shared" si="50"/>
        <v>1350000</v>
      </c>
      <c r="G4416" s="25"/>
      <c r="H4416" s="11"/>
      <c r="I4416" s="21"/>
      <c r="J4416" s="21"/>
      <c r="K4416" s="21"/>
      <c r="L4416" s="21"/>
      <c r="M4416" s="21"/>
      <c r="N4416" s="21"/>
    </row>
    <row r="4417" spans="1:14" ht="15.75" customHeight="1" x14ac:dyDescent="0.25">
      <c r="A4417" s="7">
        <v>8</v>
      </c>
      <c r="B4417" s="38" t="s">
        <v>1668</v>
      </c>
      <c r="C4417" s="7">
        <v>50</v>
      </c>
      <c r="D4417" s="7" t="s">
        <v>19</v>
      </c>
      <c r="E4417" s="37">
        <v>9450</v>
      </c>
      <c r="F4417" s="104">
        <f t="shared" si="50"/>
        <v>472500</v>
      </c>
      <c r="G4417" s="25"/>
      <c r="H4417" s="11"/>
      <c r="I4417" s="21"/>
      <c r="J4417" s="21"/>
      <c r="K4417" s="21"/>
      <c r="L4417" s="21"/>
      <c r="M4417" s="21"/>
      <c r="N4417" s="21"/>
    </row>
    <row r="4418" spans="1:14" ht="15.75" customHeight="1" x14ac:dyDescent="0.25">
      <c r="A4418" s="7">
        <v>9</v>
      </c>
      <c r="B4418" s="38" t="s">
        <v>1669</v>
      </c>
      <c r="C4418" s="7">
        <v>50</v>
      </c>
      <c r="D4418" s="7" t="s">
        <v>19</v>
      </c>
      <c r="E4418" s="37">
        <v>19800</v>
      </c>
      <c r="F4418" s="104">
        <f t="shared" si="50"/>
        <v>990000</v>
      </c>
      <c r="G4418" s="25"/>
      <c r="H4418" s="11"/>
      <c r="I4418" s="21"/>
      <c r="J4418" s="21"/>
      <c r="K4418" s="21"/>
      <c r="L4418" s="21"/>
      <c r="M4418" s="21"/>
      <c r="N4418" s="21"/>
    </row>
    <row r="4419" spans="1:14" ht="15.75" customHeight="1" x14ac:dyDescent="0.25">
      <c r="A4419" s="7">
        <v>10</v>
      </c>
      <c r="B4419" s="35" t="s">
        <v>1670</v>
      </c>
      <c r="C4419" s="7">
        <v>50</v>
      </c>
      <c r="D4419" s="7" t="s">
        <v>19</v>
      </c>
      <c r="E4419" s="37">
        <v>76500</v>
      </c>
      <c r="F4419" s="104">
        <f t="shared" si="50"/>
        <v>3825000</v>
      </c>
      <c r="G4419" s="25"/>
      <c r="H4419" s="11"/>
      <c r="I4419" s="21"/>
      <c r="J4419" s="21"/>
      <c r="K4419" s="21"/>
      <c r="L4419" s="21"/>
      <c r="M4419" s="21"/>
      <c r="N4419" s="21"/>
    </row>
    <row r="4420" spans="1:14" ht="15.75" customHeight="1" x14ac:dyDescent="0.25">
      <c r="A4420" s="7">
        <v>11</v>
      </c>
      <c r="B4420" s="38" t="s">
        <v>1671</v>
      </c>
      <c r="C4420" s="7">
        <v>4</v>
      </c>
      <c r="D4420" s="7" t="s">
        <v>19</v>
      </c>
      <c r="E4420" s="37">
        <v>24750</v>
      </c>
      <c r="F4420" s="104">
        <f t="shared" si="50"/>
        <v>99000</v>
      </c>
      <c r="G4420" s="25"/>
      <c r="H4420" s="11"/>
      <c r="I4420" s="21"/>
      <c r="J4420" s="21"/>
      <c r="K4420" s="21"/>
      <c r="L4420" s="21"/>
      <c r="M4420" s="21"/>
      <c r="N4420" s="21"/>
    </row>
    <row r="4421" spans="1:14" ht="15.75" customHeight="1" x14ac:dyDescent="0.25">
      <c r="A4421" s="7">
        <v>12</v>
      </c>
      <c r="B4421" s="38" t="s">
        <v>1672</v>
      </c>
      <c r="C4421" s="7">
        <v>1</v>
      </c>
      <c r="D4421" s="7" t="s">
        <v>19</v>
      </c>
      <c r="E4421" s="37">
        <v>29250</v>
      </c>
      <c r="F4421" s="104">
        <f t="shared" si="50"/>
        <v>29250</v>
      </c>
      <c r="G4421" s="25"/>
      <c r="H4421" s="11"/>
      <c r="I4421" s="21"/>
      <c r="J4421" s="21"/>
      <c r="K4421" s="21"/>
      <c r="L4421" s="21"/>
      <c r="M4421" s="21"/>
      <c r="N4421" s="21"/>
    </row>
    <row r="4422" spans="1:14" ht="15.75" customHeight="1" x14ac:dyDescent="0.25">
      <c r="A4422" s="7"/>
      <c r="B4422" s="343" t="s">
        <v>342</v>
      </c>
      <c r="C4422" s="344"/>
      <c r="D4422" s="344"/>
      <c r="E4422" s="334"/>
      <c r="F4422" s="104">
        <f>SUM(F4408:F4421)</f>
        <v>11623950</v>
      </c>
      <c r="G4422" s="25"/>
      <c r="H4422" s="11"/>
      <c r="I4422" s="21"/>
      <c r="J4422" s="21"/>
      <c r="K4422" s="21"/>
      <c r="L4422" s="21"/>
      <c r="M4422" s="21"/>
      <c r="N4422" s="21"/>
    </row>
    <row r="4423" spans="1:14" ht="15.75" customHeight="1" x14ac:dyDescent="0.25">
      <c r="A4423" s="7"/>
      <c r="B4423" s="343" t="s">
        <v>343</v>
      </c>
      <c r="C4423" s="344"/>
      <c r="D4423" s="344"/>
      <c r="E4423" s="334"/>
      <c r="F4423" s="108">
        <v>1278634.5</v>
      </c>
      <c r="G4423" s="25"/>
      <c r="H4423" s="11"/>
      <c r="I4423" s="21"/>
      <c r="J4423" s="21"/>
      <c r="K4423" s="21"/>
      <c r="L4423" s="21"/>
      <c r="M4423" s="21"/>
      <c r="N4423" s="21"/>
    </row>
    <row r="4424" spans="1:14" ht="15.75" customHeight="1" x14ac:dyDescent="0.25">
      <c r="A4424" s="7"/>
      <c r="B4424" s="345" t="s">
        <v>344</v>
      </c>
      <c r="C4424" s="344"/>
      <c r="D4424" s="344"/>
      <c r="E4424" s="334"/>
      <c r="F4424" s="109">
        <f>SUM(F4422:F4423)</f>
        <v>12902584.5</v>
      </c>
      <c r="G4424" s="25"/>
      <c r="H4424" s="11"/>
      <c r="I4424" s="21"/>
      <c r="J4424" s="21"/>
      <c r="K4424" s="21"/>
      <c r="L4424" s="21"/>
      <c r="M4424" s="21"/>
      <c r="N4424" s="21"/>
    </row>
    <row r="4425" spans="1:14" ht="15.75" customHeight="1" x14ac:dyDescent="0.25">
      <c r="A4425" s="21"/>
      <c r="B4425" s="21"/>
      <c r="C4425" s="11"/>
      <c r="D4425" s="11"/>
      <c r="E4425" s="21"/>
      <c r="F4425" s="21"/>
      <c r="G4425" s="25"/>
      <c r="H4425" s="11"/>
      <c r="I4425" s="21"/>
      <c r="J4425" s="21"/>
      <c r="K4425" s="21"/>
      <c r="L4425" s="21"/>
      <c r="M4425" s="21"/>
      <c r="N4425" s="21"/>
    </row>
    <row r="4426" spans="1:14" ht="15.75" customHeight="1" x14ac:dyDescent="0.25">
      <c r="A4426" s="21"/>
      <c r="B4426" s="21"/>
      <c r="C4426" s="11"/>
      <c r="D4426" s="11"/>
      <c r="E4426" s="21"/>
      <c r="F4426" s="21"/>
      <c r="G4426" s="25"/>
      <c r="H4426" s="11"/>
      <c r="I4426" s="21"/>
      <c r="J4426" s="21"/>
      <c r="K4426" s="21"/>
      <c r="L4426" s="21"/>
      <c r="M4426" s="21"/>
      <c r="N4426" s="21"/>
    </row>
    <row r="4427" spans="1:14" ht="15.75" customHeight="1" x14ac:dyDescent="0.25">
      <c r="A4427" s="21"/>
      <c r="B4427" s="21"/>
      <c r="C4427" s="11"/>
      <c r="D4427" s="11"/>
      <c r="E4427" s="21"/>
      <c r="F4427" s="21"/>
      <c r="G4427" s="25"/>
      <c r="H4427" s="11"/>
      <c r="I4427" s="21"/>
      <c r="J4427" s="21"/>
      <c r="K4427" s="21"/>
      <c r="L4427" s="21"/>
      <c r="M4427" s="21"/>
      <c r="N4427" s="21"/>
    </row>
    <row r="4428" spans="1:14" ht="15.75" customHeight="1" x14ac:dyDescent="0.25">
      <c r="A4428" s="21"/>
      <c r="B4428" s="21"/>
      <c r="C4428" s="11"/>
      <c r="D4428" s="11"/>
      <c r="E4428" s="21"/>
      <c r="F4428" s="21"/>
      <c r="G4428" s="25"/>
      <c r="H4428" s="11"/>
      <c r="I4428" s="21"/>
      <c r="J4428" s="21"/>
      <c r="K4428" s="21"/>
      <c r="L4428" s="21"/>
      <c r="M4428" s="21"/>
      <c r="N4428" s="21"/>
    </row>
    <row r="4429" spans="1:14" ht="15.75" customHeight="1" x14ac:dyDescent="0.25">
      <c r="A4429" s="21"/>
      <c r="B4429" s="21"/>
      <c r="C4429" s="11"/>
      <c r="D4429" s="11"/>
      <c r="E4429" s="21"/>
      <c r="F4429" s="21"/>
      <c r="G4429" s="25"/>
      <c r="H4429" s="11"/>
      <c r="I4429" s="21"/>
      <c r="J4429" s="21"/>
      <c r="K4429" s="21"/>
      <c r="L4429" s="21"/>
      <c r="M4429" s="21"/>
      <c r="N4429" s="21"/>
    </row>
    <row r="4430" spans="1:14" ht="15.75" customHeight="1" x14ac:dyDescent="0.25">
      <c r="A4430" s="21"/>
      <c r="B4430" s="21"/>
      <c r="C4430" s="11"/>
      <c r="D4430" s="11"/>
      <c r="E4430" s="21"/>
      <c r="F4430" s="21"/>
      <c r="G4430" s="25"/>
      <c r="H4430" s="11"/>
      <c r="I4430" s="21"/>
      <c r="J4430" s="21"/>
      <c r="K4430" s="21"/>
      <c r="L4430" s="21"/>
      <c r="M4430" s="21"/>
      <c r="N4430" s="21"/>
    </row>
    <row r="4431" spans="1:14" ht="15.75" customHeight="1" x14ac:dyDescent="0.25">
      <c r="A4431" s="21"/>
      <c r="B4431" s="21"/>
      <c r="C4431" s="11"/>
      <c r="D4431" s="11"/>
      <c r="E4431" s="21"/>
      <c r="F4431" s="21"/>
      <c r="G4431" s="25"/>
      <c r="H4431" s="11"/>
      <c r="I4431" s="21"/>
      <c r="J4431" s="21"/>
      <c r="K4431" s="21"/>
      <c r="L4431" s="21"/>
      <c r="M4431" s="21"/>
      <c r="N4431" s="21"/>
    </row>
    <row r="4432" spans="1:14" ht="15.75" customHeight="1" x14ac:dyDescent="0.25">
      <c r="A4432" s="21"/>
      <c r="B4432" s="21"/>
      <c r="C4432" s="11"/>
      <c r="D4432" s="11"/>
      <c r="E4432" s="21"/>
      <c r="F4432" s="21"/>
      <c r="G4432" s="25"/>
      <c r="H4432" s="11"/>
      <c r="I4432" s="21"/>
      <c r="J4432" s="21"/>
      <c r="K4432" s="21"/>
      <c r="L4432" s="21"/>
      <c r="M4432" s="21"/>
      <c r="N4432" s="21"/>
    </row>
    <row r="4433" spans="1:14" ht="15.75" customHeight="1" x14ac:dyDescent="0.25">
      <c r="A4433" s="31" t="s">
        <v>14</v>
      </c>
      <c r="B4433" s="31" t="s">
        <v>234</v>
      </c>
      <c r="C4433" s="31" t="s">
        <v>16</v>
      </c>
      <c r="D4433" s="31" t="s">
        <v>17</v>
      </c>
      <c r="E4433" s="31" t="s">
        <v>235</v>
      </c>
      <c r="F4433" s="31" t="s">
        <v>236</v>
      </c>
      <c r="G4433" s="25"/>
      <c r="H4433" s="11"/>
      <c r="I4433" s="21"/>
      <c r="J4433" s="21"/>
      <c r="K4433" s="21"/>
      <c r="L4433" s="21"/>
      <c r="M4433" s="21"/>
      <c r="N4433" s="21"/>
    </row>
    <row r="4434" spans="1:14" ht="15.75" customHeight="1" x14ac:dyDescent="0.25">
      <c r="A4434" s="7">
        <v>1</v>
      </c>
      <c r="B4434" s="124" t="s">
        <v>1673</v>
      </c>
      <c r="C4434" s="129">
        <v>6</v>
      </c>
      <c r="D4434" s="7" t="s">
        <v>1319</v>
      </c>
      <c r="E4434" s="130">
        <v>11578125</v>
      </c>
      <c r="F4434" s="130">
        <f>E4434*C4434</f>
        <v>69468750</v>
      </c>
      <c r="G4434" s="25"/>
      <c r="H4434" s="11"/>
      <c r="I4434" s="21"/>
      <c r="J4434" s="21"/>
      <c r="K4434" s="21"/>
      <c r="L4434" s="21"/>
      <c r="M4434" s="21"/>
      <c r="N4434" s="21"/>
    </row>
    <row r="4435" spans="1:14" ht="15.75" customHeight="1" x14ac:dyDescent="0.25">
      <c r="A4435" s="7"/>
      <c r="B4435" s="343" t="s">
        <v>342</v>
      </c>
      <c r="C4435" s="344"/>
      <c r="D4435" s="344"/>
      <c r="E4435" s="334"/>
      <c r="F4435" s="104">
        <f>SUM(F4434)</f>
        <v>69468750</v>
      </c>
      <c r="G4435" s="25"/>
      <c r="H4435" s="11"/>
      <c r="I4435" s="21"/>
      <c r="J4435" s="21"/>
      <c r="K4435" s="21"/>
      <c r="L4435" s="21"/>
      <c r="M4435" s="21"/>
      <c r="N4435" s="21"/>
    </row>
    <row r="4436" spans="1:14" ht="15.75" customHeight="1" x14ac:dyDescent="0.25">
      <c r="A4436" s="7"/>
      <c r="B4436" s="343" t="s">
        <v>343</v>
      </c>
      <c r="C4436" s="344"/>
      <c r="D4436" s="344"/>
      <c r="E4436" s="334"/>
      <c r="F4436" s="108">
        <v>7641562.5</v>
      </c>
      <c r="G4436" s="25"/>
      <c r="H4436" s="11"/>
      <c r="I4436" s="21"/>
      <c r="J4436" s="21"/>
      <c r="K4436" s="21"/>
      <c r="L4436" s="21"/>
      <c r="M4436" s="21"/>
      <c r="N4436" s="21"/>
    </row>
    <row r="4437" spans="1:14" ht="15.75" customHeight="1" x14ac:dyDescent="0.25">
      <c r="A4437" s="7"/>
      <c r="B4437" s="345" t="s">
        <v>344</v>
      </c>
      <c r="C4437" s="344"/>
      <c r="D4437" s="344"/>
      <c r="E4437" s="334"/>
      <c r="F4437" s="109">
        <f>SUM(F4435:F4436)</f>
        <v>77110312.5</v>
      </c>
      <c r="G4437" s="25"/>
      <c r="H4437" s="11"/>
      <c r="I4437" s="21"/>
      <c r="J4437" s="21"/>
      <c r="K4437" s="21"/>
      <c r="L4437" s="21"/>
      <c r="M4437" s="21"/>
      <c r="N4437" s="21"/>
    </row>
    <row r="4438" spans="1:14" ht="15.75" customHeight="1" x14ac:dyDescent="0.25">
      <c r="A4438" s="21"/>
      <c r="B4438" s="21"/>
      <c r="C4438" s="11"/>
      <c r="D4438" s="11"/>
      <c r="E4438" s="21"/>
      <c r="F4438" s="21"/>
      <c r="G4438" s="25"/>
      <c r="H4438" s="11"/>
      <c r="I4438" s="21"/>
      <c r="J4438" s="21"/>
      <c r="K4438" s="21"/>
      <c r="L4438" s="21"/>
      <c r="M4438" s="21"/>
      <c r="N4438" s="21"/>
    </row>
    <row r="4439" spans="1:14" ht="15.75" customHeight="1" x14ac:dyDescent="0.25">
      <c r="A4439" s="31" t="s">
        <v>14</v>
      </c>
      <c r="B4439" s="31" t="s">
        <v>234</v>
      </c>
      <c r="C4439" s="31" t="s">
        <v>16</v>
      </c>
      <c r="D4439" s="31" t="s">
        <v>17</v>
      </c>
      <c r="E4439" s="31" t="s">
        <v>235</v>
      </c>
      <c r="F4439" s="31" t="s">
        <v>236</v>
      </c>
      <c r="G4439" s="25"/>
      <c r="H4439" s="11"/>
      <c r="I4439" s="21"/>
      <c r="J4439" s="21"/>
      <c r="K4439" s="21"/>
      <c r="L4439" s="21"/>
      <c r="M4439" s="21"/>
      <c r="N4439" s="21"/>
    </row>
    <row r="4440" spans="1:14" ht="15.75" customHeight="1" x14ac:dyDescent="0.25">
      <c r="A4440" s="7">
        <v>1</v>
      </c>
      <c r="B4440" s="120" t="s">
        <v>1674</v>
      </c>
      <c r="C4440" s="129">
        <v>1</v>
      </c>
      <c r="D4440" s="7" t="s">
        <v>243</v>
      </c>
      <c r="E4440" s="130">
        <v>20064000</v>
      </c>
      <c r="F4440" s="130">
        <f>E4440*C4440</f>
        <v>20064000</v>
      </c>
      <c r="G4440" s="25"/>
      <c r="H4440" s="11"/>
      <c r="I4440" s="21"/>
      <c r="J4440" s="21"/>
      <c r="K4440" s="21"/>
      <c r="L4440" s="21"/>
      <c r="M4440" s="21"/>
      <c r="N4440" s="21"/>
    </row>
    <row r="4441" spans="1:14" ht="15.75" customHeight="1" x14ac:dyDescent="0.25">
      <c r="A4441" s="7">
        <v>2</v>
      </c>
      <c r="B4441" s="131" t="s">
        <v>1675</v>
      </c>
      <c r="C4441" s="129">
        <v>1</v>
      </c>
      <c r="D4441" s="7" t="s">
        <v>243</v>
      </c>
      <c r="E4441" s="130">
        <v>44074110</v>
      </c>
      <c r="F4441" s="130">
        <f>E4441*C4441</f>
        <v>44074110</v>
      </c>
      <c r="G4441" s="25"/>
      <c r="H4441" s="11"/>
      <c r="I4441" s="21"/>
      <c r="J4441" s="21"/>
      <c r="K4441" s="21"/>
      <c r="L4441" s="21"/>
      <c r="M4441" s="21"/>
      <c r="N4441" s="21"/>
    </row>
    <row r="4442" spans="1:14" ht="15.75" customHeight="1" x14ac:dyDescent="0.25">
      <c r="A4442" s="7"/>
      <c r="B4442" s="343" t="s">
        <v>342</v>
      </c>
      <c r="C4442" s="344"/>
      <c r="D4442" s="344"/>
      <c r="E4442" s="334"/>
      <c r="F4442" s="104">
        <f>SUM(F4439:F4441)</f>
        <v>64138110</v>
      </c>
      <c r="G4442" s="25"/>
      <c r="H4442" s="11"/>
      <c r="I4442" s="21"/>
      <c r="J4442" s="21"/>
      <c r="K4442" s="21"/>
      <c r="L4442" s="21"/>
      <c r="M4442" s="21"/>
      <c r="N4442" s="21"/>
    </row>
    <row r="4443" spans="1:14" ht="15.75" customHeight="1" x14ac:dyDescent="0.25">
      <c r="A4443" s="7"/>
      <c r="B4443" s="345" t="s">
        <v>1660</v>
      </c>
      <c r="C4443" s="344"/>
      <c r="D4443" s="344"/>
      <c r="E4443" s="334"/>
      <c r="F4443" s="107">
        <v>19241433</v>
      </c>
      <c r="G4443" s="25"/>
      <c r="H4443" s="11"/>
      <c r="I4443" s="21"/>
      <c r="J4443" s="21"/>
      <c r="K4443" s="21"/>
      <c r="L4443" s="21"/>
      <c r="M4443" s="21"/>
      <c r="N4443" s="21"/>
    </row>
    <row r="4444" spans="1:14" ht="15.75" customHeight="1" x14ac:dyDescent="0.25">
      <c r="A4444" s="7"/>
      <c r="B4444" s="105" t="s">
        <v>343</v>
      </c>
      <c r="C4444" s="164"/>
      <c r="D4444" s="164"/>
      <c r="E4444" s="126"/>
      <c r="F4444" s="104">
        <v>2116557.63</v>
      </c>
      <c r="G4444" s="25"/>
      <c r="H4444" s="11"/>
      <c r="I4444" s="21"/>
      <c r="J4444" s="21"/>
      <c r="K4444" s="21"/>
      <c r="L4444" s="21"/>
      <c r="M4444" s="21"/>
      <c r="N4444" s="21"/>
    </row>
    <row r="4445" spans="1:14" ht="15.75" customHeight="1" x14ac:dyDescent="0.25">
      <c r="A4445" s="7"/>
      <c r="B4445" s="345" t="s">
        <v>344</v>
      </c>
      <c r="C4445" s="344"/>
      <c r="D4445" s="344"/>
      <c r="E4445" s="334"/>
      <c r="F4445" s="107">
        <f>SUM(F4443:F4444)</f>
        <v>21357990.629999999</v>
      </c>
      <c r="G4445" s="25"/>
      <c r="H4445" s="11"/>
      <c r="I4445" s="21"/>
      <c r="J4445" s="21"/>
      <c r="K4445" s="21"/>
      <c r="L4445" s="21"/>
      <c r="M4445" s="21"/>
      <c r="N4445" s="21"/>
    </row>
    <row r="4446" spans="1:14" ht="15.75" customHeight="1" x14ac:dyDescent="0.25">
      <c r="A4446" s="21"/>
      <c r="B4446" s="21"/>
      <c r="C4446" s="11"/>
      <c r="D4446" s="11"/>
      <c r="E4446" s="21"/>
      <c r="F4446" s="21"/>
      <c r="G4446" s="25"/>
      <c r="H4446" s="11"/>
      <c r="I4446" s="21"/>
      <c r="J4446" s="21"/>
      <c r="K4446" s="21"/>
      <c r="L4446" s="21"/>
      <c r="M4446" s="21"/>
      <c r="N4446" s="21"/>
    </row>
    <row r="4447" spans="1:14" ht="15.75" customHeight="1" x14ac:dyDescent="0.25">
      <c r="A4447" s="31" t="s">
        <v>351</v>
      </c>
      <c r="B4447" s="31" t="s">
        <v>234</v>
      </c>
      <c r="C4447" s="31" t="s">
        <v>16</v>
      </c>
      <c r="D4447" s="31" t="s">
        <v>17</v>
      </c>
      <c r="E4447" s="31" t="s">
        <v>235</v>
      </c>
      <c r="F4447" s="31" t="s">
        <v>236</v>
      </c>
      <c r="G4447" s="25"/>
      <c r="H4447" s="11"/>
      <c r="I4447" s="21"/>
      <c r="J4447" s="21"/>
      <c r="K4447" s="21"/>
      <c r="L4447" s="21"/>
      <c r="M4447" s="21"/>
      <c r="N4447" s="21"/>
    </row>
    <row r="4448" spans="1:14" ht="15.75" customHeight="1" x14ac:dyDescent="0.25">
      <c r="A4448" s="7">
        <v>1</v>
      </c>
      <c r="B4448" s="41" t="s">
        <v>1676</v>
      </c>
      <c r="C4448" s="133">
        <v>8</v>
      </c>
      <c r="D4448" s="7" t="s">
        <v>19</v>
      </c>
      <c r="E4448" s="104">
        <v>130950</v>
      </c>
      <c r="F4448" s="104">
        <f>E4448*C4448</f>
        <v>1047600</v>
      </c>
      <c r="G4448" s="25"/>
      <c r="H4448" s="11"/>
      <c r="I4448" s="21"/>
      <c r="J4448" s="21"/>
      <c r="K4448" s="21"/>
      <c r="L4448" s="21"/>
      <c r="M4448" s="21"/>
      <c r="N4448" s="21"/>
    </row>
    <row r="4449" spans="1:14" ht="15.75" customHeight="1" x14ac:dyDescent="0.25">
      <c r="A4449" s="7">
        <v>2</v>
      </c>
      <c r="B4449" s="41" t="s">
        <v>1677</v>
      </c>
      <c r="C4449" s="133">
        <v>80</v>
      </c>
      <c r="D4449" s="7" t="s">
        <v>1458</v>
      </c>
      <c r="E4449" s="104">
        <v>21340</v>
      </c>
      <c r="F4449" s="104">
        <f>E4449*C4449</f>
        <v>1707200</v>
      </c>
      <c r="G4449" s="25"/>
      <c r="H4449" s="11"/>
      <c r="I4449" s="21"/>
      <c r="J4449" s="21"/>
      <c r="K4449" s="21"/>
      <c r="L4449" s="21"/>
      <c r="M4449" s="21"/>
      <c r="N4449" s="21"/>
    </row>
    <row r="4450" spans="1:14" ht="15.75" customHeight="1" x14ac:dyDescent="0.25">
      <c r="A4450" s="7"/>
      <c r="B4450" s="346" t="s">
        <v>342</v>
      </c>
      <c r="C4450" s="347"/>
      <c r="D4450" s="347"/>
      <c r="E4450" s="348"/>
      <c r="F4450" s="104">
        <f>SUM(F4448:F4449)</f>
        <v>2754800</v>
      </c>
      <c r="G4450" s="25"/>
      <c r="H4450" s="11"/>
      <c r="I4450" s="21"/>
      <c r="J4450" s="21"/>
      <c r="K4450" s="21"/>
      <c r="L4450" s="21"/>
      <c r="M4450" s="21"/>
      <c r="N4450" s="21"/>
    </row>
    <row r="4451" spans="1:14" ht="15.75" customHeight="1" x14ac:dyDescent="0.25">
      <c r="A4451" s="7"/>
      <c r="B4451" s="343" t="s">
        <v>343</v>
      </c>
      <c r="C4451" s="344"/>
      <c r="D4451" s="344"/>
      <c r="E4451" s="334"/>
      <c r="F4451" s="104">
        <v>303028</v>
      </c>
      <c r="G4451" s="25"/>
      <c r="H4451" s="11"/>
      <c r="I4451" s="21"/>
      <c r="J4451" s="21"/>
      <c r="K4451" s="21"/>
      <c r="L4451" s="21"/>
      <c r="M4451" s="21"/>
      <c r="N4451" s="21"/>
    </row>
    <row r="4452" spans="1:14" ht="15.75" customHeight="1" x14ac:dyDescent="0.25">
      <c r="A4452" s="7"/>
      <c r="B4452" s="345" t="s">
        <v>344</v>
      </c>
      <c r="C4452" s="344"/>
      <c r="D4452" s="344"/>
      <c r="E4452" s="334"/>
      <c r="F4452" s="107">
        <f>SUM(F4450:F4451)</f>
        <v>3057828</v>
      </c>
      <c r="G4452" s="25"/>
      <c r="H4452" s="11"/>
      <c r="I4452" s="21"/>
      <c r="J4452" s="21"/>
      <c r="K4452" s="21"/>
      <c r="L4452" s="21"/>
      <c r="M4452" s="21"/>
      <c r="N4452" s="21"/>
    </row>
    <row r="4453" spans="1:14" ht="15.75" customHeight="1" x14ac:dyDescent="0.25">
      <c r="A4453" s="21"/>
      <c r="B4453" s="21"/>
      <c r="C4453" s="11"/>
      <c r="D4453" s="11"/>
      <c r="E4453" s="21"/>
      <c r="F4453" s="21"/>
      <c r="G4453" s="25"/>
      <c r="H4453" s="11"/>
      <c r="I4453" s="21"/>
      <c r="J4453" s="21"/>
      <c r="K4453" s="21"/>
      <c r="L4453" s="21"/>
      <c r="M4453" s="21"/>
      <c r="N4453" s="21"/>
    </row>
    <row r="4454" spans="1:14" ht="15.75" customHeight="1" x14ac:dyDescent="0.25">
      <c r="A4454" s="31" t="s">
        <v>14</v>
      </c>
      <c r="B4454" s="31" t="s">
        <v>234</v>
      </c>
      <c r="C4454" s="31" t="s">
        <v>16</v>
      </c>
      <c r="D4454" s="31" t="s">
        <v>17</v>
      </c>
      <c r="E4454" s="31" t="s">
        <v>235</v>
      </c>
      <c r="F4454" s="31" t="s">
        <v>236</v>
      </c>
      <c r="G4454" s="25"/>
      <c r="H4454" s="11"/>
      <c r="I4454" s="21"/>
      <c r="J4454" s="21"/>
      <c r="K4454" s="21"/>
      <c r="L4454" s="21"/>
      <c r="M4454" s="21"/>
      <c r="N4454" s="21"/>
    </row>
    <row r="4455" spans="1:14" ht="15.75" customHeight="1" x14ac:dyDescent="0.25">
      <c r="A4455" s="7">
        <v>1</v>
      </c>
      <c r="B4455" s="41" t="s">
        <v>1057</v>
      </c>
      <c r="C4455" s="129">
        <v>20</v>
      </c>
      <c r="D4455" s="7" t="s">
        <v>426</v>
      </c>
      <c r="E4455" s="130">
        <v>71250</v>
      </c>
      <c r="F4455" s="130">
        <f>E4455*C4455</f>
        <v>1425000</v>
      </c>
      <c r="G4455" s="25"/>
      <c r="H4455" s="11"/>
      <c r="I4455" s="21"/>
      <c r="J4455" s="21"/>
      <c r="K4455" s="21"/>
      <c r="L4455" s="21"/>
      <c r="M4455" s="21"/>
      <c r="N4455" s="21"/>
    </row>
    <row r="4456" spans="1:14" ht="15.75" customHeight="1" x14ac:dyDescent="0.25">
      <c r="A4456" s="7"/>
      <c r="B4456" s="343" t="s">
        <v>342</v>
      </c>
      <c r="C4456" s="344"/>
      <c r="D4456" s="344"/>
      <c r="E4456" s="334"/>
      <c r="F4456" s="104">
        <f>SUM(F4455)</f>
        <v>1425000</v>
      </c>
      <c r="G4456" s="25"/>
      <c r="H4456" s="11"/>
      <c r="I4456" s="21"/>
      <c r="J4456" s="21"/>
      <c r="K4456" s="21"/>
      <c r="L4456" s="21"/>
      <c r="M4456" s="21"/>
      <c r="N4456" s="21"/>
    </row>
    <row r="4457" spans="1:14" ht="15.75" customHeight="1" x14ac:dyDescent="0.25">
      <c r="A4457" s="7"/>
      <c r="B4457" s="343" t="s">
        <v>343</v>
      </c>
      <c r="C4457" s="344"/>
      <c r="D4457" s="344"/>
      <c r="E4457" s="334"/>
      <c r="F4457" s="104">
        <v>156750</v>
      </c>
      <c r="G4457" s="165">
        <f>F4456*11%</f>
        <v>156750</v>
      </c>
      <c r="H4457" s="11"/>
      <c r="I4457" s="21"/>
      <c r="J4457" s="21"/>
      <c r="K4457" s="21"/>
      <c r="L4457" s="21"/>
      <c r="M4457" s="21"/>
      <c r="N4457" s="21"/>
    </row>
    <row r="4458" spans="1:14" ht="15.75" customHeight="1" x14ac:dyDescent="0.25">
      <c r="A4458" s="7"/>
      <c r="B4458" s="345" t="s">
        <v>344</v>
      </c>
      <c r="C4458" s="344"/>
      <c r="D4458" s="344"/>
      <c r="E4458" s="334"/>
      <c r="F4458" s="107">
        <f>SUM(F4456:F4457)</f>
        <v>1581750</v>
      </c>
      <c r="G4458" s="25"/>
      <c r="H4458" s="11"/>
      <c r="I4458" s="21"/>
      <c r="J4458" s="21"/>
      <c r="K4458" s="21"/>
      <c r="L4458" s="21"/>
      <c r="M4458" s="21"/>
      <c r="N4458" s="21"/>
    </row>
    <row r="4459" spans="1:14" ht="15.75" customHeight="1" x14ac:dyDescent="0.25">
      <c r="A4459" s="21"/>
      <c r="B4459" s="21"/>
      <c r="C4459" s="11"/>
      <c r="D4459" s="11"/>
      <c r="E4459" s="21"/>
      <c r="F4459" s="21"/>
      <c r="G4459" s="25"/>
      <c r="H4459" s="11"/>
      <c r="I4459" s="21"/>
      <c r="J4459" s="21"/>
      <c r="K4459" s="21"/>
      <c r="L4459" s="21"/>
      <c r="M4459" s="21"/>
      <c r="N4459" s="21"/>
    </row>
    <row r="4460" spans="1:14" ht="15.75" customHeight="1" x14ac:dyDescent="0.25">
      <c r="A4460" s="31" t="s">
        <v>14</v>
      </c>
      <c r="B4460" s="31" t="s">
        <v>234</v>
      </c>
      <c r="C4460" s="31" t="s">
        <v>16</v>
      </c>
      <c r="D4460" s="31" t="s">
        <v>17</v>
      </c>
      <c r="E4460" s="31" t="s">
        <v>235</v>
      </c>
      <c r="F4460" s="31" t="s">
        <v>236</v>
      </c>
      <c r="G4460" s="25"/>
      <c r="H4460" s="11"/>
      <c r="I4460" s="21"/>
      <c r="J4460" s="21"/>
      <c r="K4460" s="21"/>
      <c r="L4460" s="21"/>
      <c r="M4460" s="21"/>
      <c r="N4460" s="21"/>
    </row>
    <row r="4461" spans="1:14" ht="15.75" customHeight="1" x14ac:dyDescent="0.25">
      <c r="A4461" s="7">
        <v>1</v>
      </c>
      <c r="B4461" s="41" t="s">
        <v>1678</v>
      </c>
      <c r="C4461" s="129">
        <v>1</v>
      </c>
      <c r="D4461" s="7" t="s">
        <v>347</v>
      </c>
      <c r="E4461" s="130">
        <v>305188</v>
      </c>
      <c r="F4461" s="130">
        <f>E4461*C4461</f>
        <v>305188</v>
      </c>
      <c r="G4461" s="25"/>
      <c r="H4461" s="11"/>
      <c r="I4461" s="21"/>
      <c r="J4461" s="21"/>
      <c r="K4461" s="21"/>
      <c r="L4461" s="21"/>
      <c r="M4461" s="21"/>
      <c r="N4461" s="21"/>
    </row>
    <row r="4462" spans="1:14" ht="15.75" customHeight="1" x14ac:dyDescent="0.25">
      <c r="A4462" s="7"/>
      <c r="B4462" s="343" t="s">
        <v>342</v>
      </c>
      <c r="C4462" s="344"/>
      <c r="D4462" s="344"/>
      <c r="E4462" s="334"/>
      <c r="F4462" s="104">
        <f>SUM(F4461)</f>
        <v>305188</v>
      </c>
      <c r="G4462" s="25"/>
      <c r="H4462" s="11"/>
      <c r="I4462" s="21"/>
      <c r="J4462" s="21"/>
      <c r="K4462" s="21"/>
      <c r="L4462" s="21"/>
      <c r="M4462" s="21"/>
      <c r="N4462" s="21"/>
    </row>
    <row r="4463" spans="1:14" ht="15.75" customHeight="1" x14ac:dyDescent="0.25">
      <c r="A4463" s="7"/>
      <c r="B4463" s="343" t="s">
        <v>343</v>
      </c>
      <c r="C4463" s="344"/>
      <c r="D4463" s="344"/>
      <c r="E4463" s="334"/>
      <c r="F4463" s="104">
        <v>33570.68</v>
      </c>
      <c r="G4463" s="166">
        <f>F4462*11%</f>
        <v>33570.68</v>
      </c>
      <c r="H4463" s="11"/>
      <c r="I4463" s="21"/>
      <c r="J4463" s="21"/>
      <c r="K4463" s="21"/>
      <c r="L4463" s="21"/>
      <c r="M4463" s="21"/>
      <c r="N4463" s="21"/>
    </row>
    <row r="4464" spans="1:14" ht="15.75" customHeight="1" x14ac:dyDescent="0.25">
      <c r="A4464" s="7"/>
      <c r="B4464" s="345" t="s">
        <v>344</v>
      </c>
      <c r="C4464" s="344"/>
      <c r="D4464" s="344"/>
      <c r="E4464" s="334"/>
      <c r="F4464" s="107">
        <f>SUM(F4462:F4463)</f>
        <v>338758.68</v>
      </c>
      <c r="G4464" s="25"/>
      <c r="H4464" s="11"/>
      <c r="I4464" s="21"/>
      <c r="J4464" s="21"/>
      <c r="K4464" s="21"/>
      <c r="L4464" s="21"/>
      <c r="M4464" s="21"/>
      <c r="N4464" s="21"/>
    </row>
    <row r="4465" spans="1:14" ht="15.75" customHeight="1" x14ac:dyDescent="0.25">
      <c r="A4465" s="21"/>
      <c r="B4465" s="21"/>
      <c r="C4465" s="11"/>
      <c r="D4465" s="11"/>
      <c r="E4465" s="21"/>
      <c r="F4465" s="21"/>
      <c r="G4465" s="25"/>
      <c r="H4465" s="11"/>
      <c r="I4465" s="21"/>
      <c r="J4465" s="21"/>
      <c r="K4465" s="21"/>
      <c r="L4465" s="21"/>
      <c r="M4465" s="21"/>
      <c r="N4465" s="21"/>
    </row>
    <row r="4466" spans="1:14" ht="15.75" customHeight="1" x14ac:dyDescent="0.25">
      <c r="A4466" s="31" t="s">
        <v>14</v>
      </c>
      <c r="B4466" s="31" t="s">
        <v>234</v>
      </c>
      <c r="C4466" s="31" t="s">
        <v>16</v>
      </c>
      <c r="D4466" s="31" t="s">
        <v>17</v>
      </c>
      <c r="E4466" s="31" t="s">
        <v>235</v>
      </c>
      <c r="F4466" s="31" t="s">
        <v>236</v>
      </c>
      <c r="G4466" s="25"/>
      <c r="H4466" s="11"/>
      <c r="I4466" s="21"/>
      <c r="J4466" s="21"/>
      <c r="K4466" s="21"/>
      <c r="L4466" s="21"/>
      <c r="M4466" s="21"/>
      <c r="N4466" s="21"/>
    </row>
    <row r="4467" spans="1:14" ht="15.75" customHeight="1" x14ac:dyDescent="0.25">
      <c r="A4467" s="7">
        <v>1</v>
      </c>
      <c r="B4467" s="41" t="s">
        <v>1485</v>
      </c>
      <c r="C4467" s="129">
        <v>9</v>
      </c>
      <c r="D4467" s="7" t="s">
        <v>19</v>
      </c>
      <c r="E4467" s="130">
        <v>855000</v>
      </c>
      <c r="F4467" s="130">
        <f>E4467*C4467</f>
        <v>7695000</v>
      </c>
      <c r="G4467" s="25"/>
      <c r="H4467" s="11"/>
      <c r="I4467" s="21"/>
      <c r="J4467" s="21"/>
      <c r="K4467" s="21"/>
      <c r="L4467" s="21"/>
      <c r="M4467" s="21"/>
      <c r="N4467" s="21"/>
    </row>
    <row r="4468" spans="1:14" ht="15.75" customHeight="1" x14ac:dyDescent="0.25">
      <c r="A4468" s="7"/>
      <c r="B4468" s="343" t="s">
        <v>342</v>
      </c>
      <c r="C4468" s="344"/>
      <c r="D4468" s="344"/>
      <c r="E4468" s="334"/>
      <c r="F4468" s="104">
        <f>SUM(F4467)</f>
        <v>7695000</v>
      </c>
      <c r="G4468" s="25"/>
      <c r="H4468" s="11"/>
      <c r="I4468" s="21"/>
      <c r="J4468" s="21"/>
      <c r="K4468" s="21"/>
      <c r="L4468" s="21"/>
      <c r="M4468" s="21"/>
      <c r="N4468" s="21"/>
    </row>
    <row r="4469" spans="1:14" ht="15.75" customHeight="1" x14ac:dyDescent="0.25">
      <c r="A4469" s="7"/>
      <c r="B4469" s="343" t="s">
        <v>343</v>
      </c>
      <c r="C4469" s="344"/>
      <c r="D4469" s="344"/>
      <c r="E4469" s="334"/>
      <c r="F4469" s="104">
        <v>846450</v>
      </c>
      <c r="G4469" s="25"/>
      <c r="H4469" s="11"/>
      <c r="I4469" s="21"/>
      <c r="J4469" s="21"/>
      <c r="K4469" s="21"/>
      <c r="L4469" s="21"/>
      <c r="M4469" s="21"/>
      <c r="N4469" s="21"/>
    </row>
    <row r="4470" spans="1:14" ht="15.75" customHeight="1" x14ac:dyDescent="0.25">
      <c r="A4470" s="7"/>
      <c r="B4470" s="345" t="s">
        <v>344</v>
      </c>
      <c r="C4470" s="344"/>
      <c r="D4470" s="344"/>
      <c r="E4470" s="334"/>
      <c r="F4470" s="107">
        <f>SUM(F4468:F4469)</f>
        <v>8541450</v>
      </c>
      <c r="G4470" s="25"/>
      <c r="H4470" s="11"/>
      <c r="I4470" s="21"/>
      <c r="J4470" s="21"/>
      <c r="K4470" s="21"/>
      <c r="L4470" s="21"/>
      <c r="M4470" s="21"/>
      <c r="N4470" s="21"/>
    </row>
    <row r="4471" spans="1:14" ht="15.75" customHeight="1" x14ac:dyDescent="0.25">
      <c r="A4471" s="21"/>
      <c r="B4471" s="21"/>
      <c r="C4471" s="11"/>
      <c r="D4471" s="11"/>
      <c r="E4471" s="21"/>
      <c r="F4471" s="21"/>
      <c r="G4471" s="25"/>
      <c r="H4471" s="11"/>
      <c r="I4471" s="21"/>
      <c r="J4471" s="21"/>
      <c r="K4471" s="21"/>
      <c r="L4471" s="21"/>
      <c r="M4471" s="21"/>
      <c r="N4471" s="21"/>
    </row>
    <row r="4472" spans="1:14" ht="15.75" customHeight="1" x14ac:dyDescent="0.25">
      <c r="A4472" s="31" t="s">
        <v>351</v>
      </c>
      <c r="B4472" s="31" t="s">
        <v>234</v>
      </c>
      <c r="C4472" s="31" t="s">
        <v>16</v>
      </c>
      <c r="D4472" s="31" t="s">
        <v>17</v>
      </c>
      <c r="E4472" s="31" t="s">
        <v>235</v>
      </c>
      <c r="F4472" s="31" t="s">
        <v>236</v>
      </c>
      <c r="G4472" s="25"/>
      <c r="H4472" s="11"/>
      <c r="I4472" s="21"/>
      <c r="J4472" s="21"/>
      <c r="K4472" s="21"/>
      <c r="L4472" s="21"/>
      <c r="M4472" s="21"/>
      <c r="N4472" s="21"/>
    </row>
    <row r="4473" spans="1:14" ht="15.75" customHeight="1" x14ac:dyDescent="0.25">
      <c r="A4473" s="7">
        <v>1</v>
      </c>
      <c r="B4473" s="41" t="s">
        <v>1679</v>
      </c>
      <c r="C4473" s="133">
        <v>6</v>
      </c>
      <c r="D4473" s="7" t="s">
        <v>363</v>
      </c>
      <c r="E4473" s="104">
        <v>18800</v>
      </c>
      <c r="F4473" s="104">
        <f>E4473*C4473</f>
        <v>112800</v>
      </c>
      <c r="G4473" s="25"/>
      <c r="H4473" s="11"/>
      <c r="I4473" s="21"/>
      <c r="J4473" s="21"/>
      <c r="K4473" s="21"/>
      <c r="L4473" s="21"/>
      <c r="M4473" s="21"/>
      <c r="N4473" s="21"/>
    </row>
    <row r="4474" spans="1:14" ht="15.75" customHeight="1" x14ac:dyDescent="0.25">
      <c r="A4474" s="7">
        <v>2</v>
      </c>
      <c r="B4474" s="41" t="s">
        <v>1680</v>
      </c>
      <c r="C4474" s="133">
        <v>6</v>
      </c>
      <c r="D4474" s="7" t="s">
        <v>363</v>
      </c>
      <c r="E4474" s="104">
        <v>20000</v>
      </c>
      <c r="F4474" s="104">
        <f>E4474*C4474</f>
        <v>120000</v>
      </c>
      <c r="G4474" s="25"/>
      <c r="H4474" s="11"/>
      <c r="I4474" s="21"/>
      <c r="J4474" s="21"/>
      <c r="K4474" s="21"/>
      <c r="L4474" s="21"/>
      <c r="M4474" s="21"/>
      <c r="N4474" s="21"/>
    </row>
    <row r="4475" spans="1:14" ht="15.75" customHeight="1" x14ac:dyDescent="0.25">
      <c r="A4475" s="7"/>
      <c r="B4475" s="346" t="s">
        <v>342</v>
      </c>
      <c r="C4475" s="347"/>
      <c r="D4475" s="347"/>
      <c r="E4475" s="348"/>
      <c r="F4475" s="104">
        <f>SUM(F4473:F4474)</f>
        <v>232800</v>
      </c>
      <c r="G4475" s="25"/>
      <c r="H4475" s="11"/>
      <c r="I4475" s="21"/>
      <c r="J4475" s="21"/>
      <c r="K4475" s="21"/>
      <c r="L4475" s="21"/>
      <c r="M4475" s="21"/>
      <c r="N4475" s="21"/>
    </row>
    <row r="4476" spans="1:14" ht="15.75" customHeight="1" x14ac:dyDescent="0.25">
      <c r="A4476" s="7"/>
      <c r="B4476" s="343" t="s">
        <v>343</v>
      </c>
      <c r="C4476" s="344"/>
      <c r="D4476" s="344"/>
      <c r="E4476" s="334"/>
      <c r="F4476" s="104">
        <v>25608</v>
      </c>
      <c r="G4476" s="25"/>
      <c r="H4476" s="11"/>
      <c r="I4476" s="21"/>
      <c r="J4476" s="21"/>
      <c r="K4476" s="21"/>
      <c r="L4476" s="21"/>
      <c r="M4476" s="21"/>
      <c r="N4476" s="21"/>
    </row>
    <row r="4477" spans="1:14" ht="15.75" customHeight="1" x14ac:dyDescent="0.25">
      <c r="A4477" s="7"/>
      <c r="B4477" s="345" t="s">
        <v>344</v>
      </c>
      <c r="C4477" s="344"/>
      <c r="D4477" s="344"/>
      <c r="E4477" s="334"/>
      <c r="F4477" s="107">
        <f>SUM(F4475:F4476)</f>
        <v>258408</v>
      </c>
      <c r="G4477" s="25"/>
      <c r="H4477" s="11"/>
      <c r="I4477" s="21"/>
      <c r="J4477" s="21"/>
      <c r="K4477" s="21"/>
      <c r="L4477" s="21"/>
      <c r="M4477" s="21"/>
      <c r="N4477" s="21"/>
    </row>
    <row r="4478" spans="1:14" ht="15.75" customHeight="1" x14ac:dyDescent="0.25">
      <c r="A4478" s="21"/>
      <c r="B4478" s="21"/>
      <c r="C4478" s="11"/>
      <c r="D4478" s="11"/>
      <c r="E4478" s="21"/>
      <c r="F4478" s="21"/>
      <c r="G4478" s="25"/>
      <c r="H4478" s="11"/>
      <c r="I4478" s="21"/>
      <c r="J4478" s="21"/>
      <c r="K4478" s="21"/>
      <c r="L4478" s="21"/>
      <c r="M4478" s="21"/>
      <c r="N4478" s="21"/>
    </row>
    <row r="4479" spans="1:14" ht="15.75" customHeight="1" x14ac:dyDescent="0.25">
      <c r="A4479" s="31" t="s">
        <v>351</v>
      </c>
      <c r="B4479" s="31" t="s">
        <v>234</v>
      </c>
      <c r="C4479" s="31" t="s">
        <v>16</v>
      </c>
      <c r="D4479" s="31" t="s">
        <v>17</v>
      </c>
      <c r="E4479" s="31" t="s">
        <v>235</v>
      </c>
      <c r="F4479" s="31" t="s">
        <v>236</v>
      </c>
      <c r="G4479" s="25"/>
      <c r="H4479" s="11"/>
      <c r="I4479" s="21"/>
      <c r="J4479" s="21"/>
      <c r="K4479" s="21"/>
      <c r="L4479" s="21"/>
      <c r="M4479" s="21"/>
      <c r="N4479" s="21"/>
    </row>
    <row r="4480" spans="1:14" ht="15.75" customHeight="1" x14ac:dyDescent="0.25">
      <c r="A4480" s="7">
        <v>1</v>
      </c>
      <c r="B4480" s="124" t="s">
        <v>1681</v>
      </c>
      <c r="C4480" s="133">
        <v>60</v>
      </c>
      <c r="D4480" s="7" t="s">
        <v>19</v>
      </c>
      <c r="E4480" s="104">
        <v>9025</v>
      </c>
      <c r="F4480" s="104">
        <f>E4480*C4480</f>
        <v>541500</v>
      </c>
      <c r="G4480" s="25"/>
      <c r="H4480" s="11"/>
      <c r="I4480" s="21"/>
      <c r="J4480" s="21"/>
      <c r="K4480" s="21"/>
      <c r="L4480" s="21"/>
      <c r="M4480" s="21"/>
      <c r="N4480" s="21"/>
    </row>
    <row r="4481" spans="1:14" ht="15.75" customHeight="1" x14ac:dyDescent="0.25">
      <c r="A4481" s="7">
        <v>2</v>
      </c>
      <c r="B4481" s="35" t="s">
        <v>1682</v>
      </c>
      <c r="C4481" s="133">
        <v>210</v>
      </c>
      <c r="D4481" s="7" t="s">
        <v>19</v>
      </c>
      <c r="E4481" s="104">
        <v>10260</v>
      </c>
      <c r="F4481" s="104">
        <f>E4481*C4481</f>
        <v>2154600</v>
      </c>
      <c r="G4481" s="25"/>
      <c r="H4481" s="11"/>
      <c r="I4481" s="21"/>
      <c r="J4481" s="21"/>
      <c r="K4481" s="21"/>
      <c r="L4481" s="21"/>
      <c r="M4481" s="21"/>
      <c r="N4481" s="21"/>
    </row>
    <row r="4482" spans="1:14" ht="15.75" customHeight="1" x14ac:dyDescent="0.25">
      <c r="A4482" s="7"/>
      <c r="B4482" s="346" t="s">
        <v>342</v>
      </c>
      <c r="C4482" s="347"/>
      <c r="D4482" s="347"/>
      <c r="E4482" s="348"/>
      <c r="F4482" s="104">
        <f>SUM(F4480:F4481)</f>
        <v>2696100</v>
      </c>
      <c r="G4482" s="25"/>
      <c r="H4482" s="11"/>
      <c r="I4482" s="21"/>
      <c r="J4482" s="21"/>
      <c r="K4482" s="21"/>
      <c r="L4482" s="21"/>
      <c r="M4482" s="21"/>
      <c r="N4482" s="21"/>
    </row>
    <row r="4483" spans="1:14" ht="15.75" customHeight="1" x14ac:dyDescent="0.25">
      <c r="A4483" s="7"/>
      <c r="B4483" s="343" t="s">
        <v>343</v>
      </c>
      <c r="C4483" s="344"/>
      <c r="D4483" s="344"/>
      <c r="E4483" s="334"/>
      <c r="F4483" s="104">
        <v>296571</v>
      </c>
      <c r="G4483" s="165">
        <f>F4482*11%</f>
        <v>296571</v>
      </c>
      <c r="H4483" s="11"/>
      <c r="I4483" s="21"/>
      <c r="J4483" s="21"/>
      <c r="K4483" s="21"/>
      <c r="L4483" s="21"/>
      <c r="M4483" s="21"/>
      <c r="N4483" s="21"/>
    </row>
    <row r="4484" spans="1:14" ht="15.75" customHeight="1" x14ac:dyDescent="0.25">
      <c r="A4484" s="7"/>
      <c r="B4484" s="345" t="s">
        <v>344</v>
      </c>
      <c r="C4484" s="344"/>
      <c r="D4484" s="344"/>
      <c r="E4484" s="334"/>
      <c r="F4484" s="107">
        <f>SUM(F4482:F4483)</f>
        <v>2992671</v>
      </c>
      <c r="G4484" s="25" t="s">
        <v>1683</v>
      </c>
      <c r="H4484" s="11"/>
      <c r="I4484" s="21"/>
      <c r="J4484" s="21"/>
      <c r="K4484" s="21"/>
      <c r="L4484" s="21"/>
      <c r="M4484" s="21"/>
      <c r="N4484" s="21"/>
    </row>
    <row r="4485" spans="1:14" ht="15.75" customHeight="1" x14ac:dyDescent="0.25">
      <c r="A4485" s="21"/>
      <c r="B4485" s="21"/>
      <c r="C4485" s="11"/>
      <c r="D4485" s="11"/>
      <c r="E4485" s="21"/>
      <c r="F4485" s="21"/>
      <c r="G4485" s="25"/>
      <c r="H4485" s="11"/>
      <c r="I4485" s="21"/>
      <c r="J4485" s="21"/>
      <c r="K4485" s="21"/>
      <c r="L4485" s="21"/>
      <c r="M4485" s="21"/>
      <c r="N4485" s="21"/>
    </row>
    <row r="4486" spans="1:14" ht="15.75" customHeight="1" x14ac:dyDescent="0.25">
      <c r="A4486" s="31" t="s">
        <v>351</v>
      </c>
      <c r="B4486" s="31" t="s">
        <v>234</v>
      </c>
      <c r="C4486" s="31" t="s">
        <v>16</v>
      </c>
      <c r="D4486" s="31" t="s">
        <v>17</v>
      </c>
      <c r="E4486" s="31" t="s">
        <v>235</v>
      </c>
      <c r="F4486" s="31" t="s">
        <v>236</v>
      </c>
      <c r="G4486" s="25"/>
      <c r="H4486" s="11"/>
      <c r="I4486" s="21"/>
      <c r="J4486" s="21"/>
      <c r="K4486" s="21"/>
      <c r="L4486" s="21"/>
      <c r="M4486" s="21"/>
      <c r="N4486" s="21"/>
    </row>
    <row r="4487" spans="1:14" ht="15.75" customHeight="1" x14ac:dyDescent="0.25">
      <c r="A4487" s="7">
        <v>1</v>
      </c>
      <c r="B4487" s="41" t="s">
        <v>1684</v>
      </c>
      <c r="C4487" s="133">
        <v>6</v>
      </c>
      <c r="D4487" s="7" t="s">
        <v>973</v>
      </c>
      <c r="E4487" s="104">
        <v>395000</v>
      </c>
      <c r="F4487" s="104">
        <f>E4487*C4487</f>
        <v>2370000</v>
      </c>
      <c r="G4487" s="25"/>
      <c r="H4487" s="11"/>
      <c r="I4487" s="21"/>
      <c r="J4487" s="21"/>
      <c r="K4487" s="21"/>
      <c r="L4487" s="21"/>
      <c r="M4487" s="21"/>
      <c r="N4487" s="21"/>
    </row>
    <row r="4488" spans="1:14" ht="15.75" customHeight="1" x14ac:dyDescent="0.25">
      <c r="A4488" s="7">
        <v>2</v>
      </c>
      <c r="B4488" s="41" t="s">
        <v>1685</v>
      </c>
      <c r="C4488" s="133">
        <v>8</v>
      </c>
      <c r="D4488" s="7" t="s">
        <v>19</v>
      </c>
      <c r="E4488" s="104">
        <v>850000</v>
      </c>
      <c r="F4488" s="104">
        <f>E4488*C4488</f>
        <v>6800000</v>
      </c>
      <c r="G4488" s="25"/>
      <c r="H4488" s="11"/>
      <c r="I4488" s="21"/>
      <c r="J4488" s="21"/>
      <c r="K4488" s="21"/>
      <c r="L4488" s="21"/>
      <c r="M4488" s="21"/>
      <c r="N4488" s="21"/>
    </row>
    <row r="4489" spans="1:14" ht="15.75" customHeight="1" x14ac:dyDescent="0.25">
      <c r="A4489" s="7"/>
      <c r="B4489" s="343" t="s">
        <v>342</v>
      </c>
      <c r="C4489" s="344"/>
      <c r="D4489" s="344"/>
      <c r="E4489" s="334"/>
      <c r="F4489" s="104">
        <f>SUM(F4487:F4488)</f>
        <v>9170000</v>
      </c>
      <c r="G4489" s="165">
        <f>SUM(F4487:F4488)*11%</f>
        <v>1008700</v>
      </c>
      <c r="H4489" s="11"/>
      <c r="I4489" s="21"/>
      <c r="J4489" s="21"/>
      <c r="K4489" s="21"/>
      <c r="L4489" s="21"/>
      <c r="M4489" s="21"/>
      <c r="N4489" s="21"/>
    </row>
    <row r="4490" spans="1:14" ht="15.75" customHeight="1" x14ac:dyDescent="0.25">
      <c r="A4490" s="7"/>
      <c r="B4490" s="343" t="s">
        <v>343</v>
      </c>
      <c r="C4490" s="344"/>
      <c r="D4490" s="344"/>
      <c r="E4490" s="334"/>
      <c r="F4490" s="104">
        <f>F4489*11%</f>
        <v>1008700</v>
      </c>
      <c r="G4490" s="25"/>
      <c r="H4490" s="11"/>
      <c r="I4490" s="21"/>
      <c r="J4490" s="21"/>
      <c r="K4490" s="21"/>
      <c r="L4490" s="21"/>
      <c r="M4490" s="21"/>
      <c r="N4490" s="21"/>
    </row>
    <row r="4491" spans="1:14" ht="15.75" customHeight="1" x14ac:dyDescent="0.25">
      <c r="A4491" s="7"/>
      <c r="B4491" s="345" t="s">
        <v>344</v>
      </c>
      <c r="C4491" s="344"/>
      <c r="D4491" s="344"/>
      <c r="E4491" s="334"/>
      <c r="F4491" s="107">
        <f>SUM(F4489:F4490)</f>
        <v>10178700</v>
      </c>
      <c r="G4491" s="25"/>
      <c r="H4491" s="11"/>
      <c r="I4491" s="21"/>
      <c r="J4491" s="21"/>
      <c r="K4491" s="21"/>
      <c r="L4491" s="21"/>
      <c r="M4491" s="21"/>
      <c r="N4491" s="21"/>
    </row>
    <row r="4492" spans="1:14" ht="15.75" customHeight="1" x14ac:dyDescent="0.25">
      <c r="A4492" s="21"/>
      <c r="B4492" s="21"/>
      <c r="C4492" s="11"/>
      <c r="D4492" s="11"/>
      <c r="E4492" s="21"/>
      <c r="F4492" s="21"/>
      <c r="G4492" s="25"/>
      <c r="H4492" s="11"/>
      <c r="I4492" s="21"/>
      <c r="J4492" s="21"/>
      <c r="K4492" s="21"/>
      <c r="L4492" s="21"/>
      <c r="M4492" s="21"/>
      <c r="N4492" s="21"/>
    </row>
    <row r="4493" spans="1:14" ht="15.75" customHeight="1" x14ac:dyDescent="0.25">
      <c r="A4493" s="31" t="s">
        <v>14</v>
      </c>
      <c r="B4493" s="31" t="s">
        <v>234</v>
      </c>
      <c r="C4493" s="31" t="s">
        <v>16</v>
      </c>
      <c r="D4493" s="31" t="s">
        <v>17</v>
      </c>
      <c r="E4493" s="31" t="s">
        <v>235</v>
      </c>
      <c r="F4493" s="31" t="s">
        <v>236</v>
      </c>
      <c r="G4493" s="25"/>
      <c r="H4493" s="11"/>
      <c r="I4493" s="21"/>
      <c r="J4493" s="21"/>
      <c r="K4493" s="21"/>
      <c r="L4493" s="21"/>
      <c r="M4493" s="21"/>
      <c r="N4493" s="21"/>
    </row>
    <row r="4494" spans="1:14" ht="15.75" customHeight="1" x14ac:dyDescent="0.25">
      <c r="A4494" s="7">
        <v>1</v>
      </c>
      <c r="B4494" s="41" t="s">
        <v>1686</v>
      </c>
      <c r="C4494" s="129">
        <v>7</v>
      </c>
      <c r="D4494" s="7" t="s">
        <v>363</v>
      </c>
      <c r="E4494" s="130">
        <v>48800</v>
      </c>
      <c r="F4494" s="130">
        <f>E4494*C4494</f>
        <v>341600</v>
      </c>
      <c r="G4494" s="25"/>
      <c r="H4494" s="11"/>
      <c r="I4494" s="21"/>
      <c r="J4494" s="21"/>
      <c r="K4494" s="21"/>
      <c r="L4494" s="21"/>
      <c r="M4494" s="21"/>
      <c r="N4494" s="21"/>
    </row>
    <row r="4495" spans="1:14" ht="15.75" customHeight="1" x14ac:dyDescent="0.25">
      <c r="A4495" s="7"/>
      <c r="B4495" s="343" t="s">
        <v>342</v>
      </c>
      <c r="C4495" s="344"/>
      <c r="D4495" s="344"/>
      <c r="E4495" s="334"/>
      <c r="F4495" s="104">
        <f>SUM(F4494)</f>
        <v>341600</v>
      </c>
      <c r="G4495" s="25"/>
      <c r="H4495" s="11"/>
      <c r="I4495" s="21"/>
      <c r="J4495" s="21"/>
      <c r="K4495" s="21"/>
      <c r="L4495" s="21"/>
      <c r="M4495" s="21"/>
      <c r="N4495" s="21"/>
    </row>
    <row r="4496" spans="1:14" ht="15.75" customHeight="1" x14ac:dyDescent="0.25">
      <c r="A4496" s="7"/>
      <c r="B4496" s="343" t="s">
        <v>343</v>
      </c>
      <c r="C4496" s="344"/>
      <c r="D4496" s="344"/>
      <c r="E4496" s="334"/>
      <c r="F4496" s="104">
        <f>F4495*11%</f>
        <v>37576</v>
      </c>
      <c r="G4496" s="25"/>
      <c r="H4496" s="11"/>
      <c r="I4496" s="21"/>
      <c r="J4496" s="21"/>
      <c r="K4496" s="21"/>
      <c r="L4496" s="21"/>
      <c r="M4496" s="21"/>
      <c r="N4496" s="21"/>
    </row>
    <row r="4497" spans="1:14" ht="15.75" customHeight="1" x14ac:dyDescent="0.25">
      <c r="A4497" s="7"/>
      <c r="B4497" s="345" t="s">
        <v>344</v>
      </c>
      <c r="C4497" s="344"/>
      <c r="D4497" s="344"/>
      <c r="E4497" s="334"/>
      <c r="F4497" s="107">
        <f>SUM(F4495:F4496)</f>
        <v>379176</v>
      </c>
      <c r="G4497" s="25"/>
      <c r="H4497" s="11"/>
      <c r="I4497" s="21"/>
      <c r="J4497" s="21"/>
      <c r="K4497" s="21"/>
      <c r="L4497" s="21"/>
      <c r="M4497" s="21"/>
      <c r="N4497" s="21"/>
    </row>
    <row r="4498" spans="1:14" ht="15.75" customHeight="1" x14ac:dyDescent="0.25">
      <c r="A4498" s="21"/>
      <c r="B4498" s="21"/>
      <c r="C4498" s="11"/>
      <c r="D4498" s="11"/>
      <c r="E4498" s="21"/>
      <c r="F4498" s="21"/>
      <c r="G4498" s="25"/>
      <c r="H4498" s="11"/>
      <c r="I4498" s="21"/>
      <c r="J4498" s="21"/>
      <c r="K4498" s="21"/>
      <c r="L4498" s="21"/>
      <c r="M4498" s="21"/>
      <c r="N4498" s="21"/>
    </row>
    <row r="4499" spans="1:14" ht="15.75" customHeight="1" x14ac:dyDescent="0.25">
      <c r="A4499" s="31" t="s">
        <v>14</v>
      </c>
      <c r="B4499" s="31" t="s">
        <v>234</v>
      </c>
      <c r="C4499" s="31" t="s">
        <v>16</v>
      </c>
      <c r="D4499" s="31" t="s">
        <v>17</v>
      </c>
      <c r="E4499" s="31" t="s">
        <v>235</v>
      </c>
      <c r="F4499" s="31" t="s">
        <v>236</v>
      </c>
      <c r="G4499" s="25"/>
      <c r="H4499" s="11"/>
      <c r="I4499" s="21"/>
      <c r="J4499" s="21"/>
      <c r="K4499" s="21"/>
      <c r="L4499" s="21"/>
      <c r="M4499" s="21"/>
      <c r="N4499" s="21"/>
    </row>
    <row r="4500" spans="1:14" ht="15.75" customHeight="1" x14ac:dyDescent="0.25">
      <c r="A4500" s="7">
        <v>1</v>
      </c>
      <c r="B4500" s="41" t="s">
        <v>688</v>
      </c>
      <c r="C4500" s="129">
        <v>30</v>
      </c>
      <c r="D4500" s="7" t="s">
        <v>363</v>
      </c>
      <c r="E4500" s="130">
        <v>122500</v>
      </c>
      <c r="F4500" s="130">
        <f>E4500*C4500</f>
        <v>3675000</v>
      </c>
      <c r="G4500" s="25"/>
      <c r="H4500" s="11"/>
      <c r="I4500" s="21"/>
      <c r="J4500" s="21"/>
      <c r="K4500" s="21"/>
      <c r="L4500" s="21"/>
      <c r="M4500" s="21"/>
      <c r="N4500" s="21"/>
    </row>
    <row r="4501" spans="1:14" ht="15.75" customHeight="1" x14ac:dyDescent="0.25">
      <c r="A4501" s="7"/>
      <c r="B4501" s="343" t="s">
        <v>342</v>
      </c>
      <c r="C4501" s="344"/>
      <c r="D4501" s="344"/>
      <c r="E4501" s="334"/>
      <c r="F4501" s="104">
        <f>SUM(F4500)</f>
        <v>3675000</v>
      </c>
      <c r="G4501" s="25"/>
      <c r="H4501" s="11"/>
      <c r="I4501" s="21"/>
      <c r="J4501" s="21"/>
      <c r="K4501" s="21"/>
      <c r="L4501" s="21"/>
      <c r="M4501" s="21"/>
      <c r="N4501" s="21"/>
    </row>
    <row r="4502" spans="1:14" ht="15.75" customHeight="1" x14ac:dyDescent="0.25">
      <c r="A4502" s="7"/>
      <c r="B4502" s="343" t="s">
        <v>343</v>
      </c>
      <c r="C4502" s="344"/>
      <c r="D4502" s="344"/>
      <c r="E4502" s="334"/>
      <c r="F4502" s="104">
        <f>F4501*11%</f>
        <v>404250</v>
      </c>
      <c r="G4502" s="25"/>
      <c r="H4502" s="11"/>
      <c r="I4502" s="21"/>
      <c r="J4502" s="21"/>
      <c r="K4502" s="21"/>
      <c r="L4502" s="21"/>
      <c r="M4502" s="21"/>
      <c r="N4502" s="21"/>
    </row>
    <row r="4503" spans="1:14" ht="15.75" customHeight="1" x14ac:dyDescent="0.25">
      <c r="A4503" s="7"/>
      <c r="B4503" s="345" t="s">
        <v>344</v>
      </c>
      <c r="C4503" s="344"/>
      <c r="D4503" s="344"/>
      <c r="E4503" s="334"/>
      <c r="F4503" s="107">
        <f>SUM(F4501:F4502)</f>
        <v>4079250</v>
      </c>
      <c r="G4503" s="25"/>
      <c r="H4503" s="11"/>
      <c r="I4503" s="21"/>
      <c r="J4503" s="21"/>
      <c r="K4503" s="21"/>
      <c r="L4503" s="21"/>
      <c r="M4503" s="21"/>
      <c r="N4503" s="21"/>
    </row>
    <row r="4504" spans="1:14" ht="15.75" customHeight="1" x14ac:dyDescent="0.25">
      <c r="A4504" s="21"/>
      <c r="B4504" s="21"/>
      <c r="C4504" s="11"/>
      <c r="D4504" s="11"/>
      <c r="E4504" s="21"/>
      <c r="F4504" s="21"/>
      <c r="G4504" s="25"/>
      <c r="H4504" s="11"/>
      <c r="I4504" s="21"/>
      <c r="J4504" s="21"/>
      <c r="K4504" s="21"/>
      <c r="L4504" s="21"/>
      <c r="M4504" s="21"/>
      <c r="N4504" s="21"/>
    </row>
    <row r="4505" spans="1:14" ht="15.75" customHeight="1" x14ac:dyDescent="0.25">
      <c r="A4505" s="31" t="s">
        <v>14</v>
      </c>
      <c r="B4505" s="31" t="s">
        <v>234</v>
      </c>
      <c r="C4505" s="31" t="s">
        <v>16</v>
      </c>
      <c r="D4505" s="31" t="s">
        <v>17</v>
      </c>
      <c r="E4505" s="31" t="s">
        <v>235</v>
      </c>
      <c r="F4505" s="31" t="s">
        <v>236</v>
      </c>
      <c r="G4505" s="25"/>
      <c r="H4505" s="11"/>
      <c r="I4505" s="21"/>
      <c r="J4505" s="21"/>
      <c r="K4505" s="21"/>
      <c r="L4505" s="21"/>
      <c r="M4505" s="21"/>
      <c r="N4505" s="21"/>
    </row>
    <row r="4506" spans="1:14" ht="15.75" customHeight="1" x14ac:dyDescent="0.25">
      <c r="A4506" s="7">
        <v>1</v>
      </c>
      <c r="B4506" s="35" t="s">
        <v>1687</v>
      </c>
      <c r="C4506" s="7">
        <v>100</v>
      </c>
      <c r="D4506" s="7" t="s">
        <v>19</v>
      </c>
      <c r="E4506" s="108">
        <v>5174.95</v>
      </c>
      <c r="F4506" s="108">
        <f>E4506*C4506</f>
        <v>517495</v>
      </c>
      <c r="G4506" s="25"/>
      <c r="H4506" s="11"/>
      <c r="I4506" s="21"/>
      <c r="J4506" s="21"/>
      <c r="K4506" s="21"/>
      <c r="L4506" s="21"/>
      <c r="M4506" s="21"/>
      <c r="N4506" s="21"/>
    </row>
    <row r="4507" spans="1:14" ht="15.75" customHeight="1" x14ac:dyDescent="0.25">
      <c r="A4507" s="7"/>
      <c r="B4507" s="343" t="s">
        <v>342</v>
      </c>
      <c r="C4507" s="344"/>
      <c r="D4507" s="344"/>
      <c r="E4507" s="334"/>
      <c r="F4507" s="167">
        <f>SUM(F4506)</f>
        <v>517495</v>
      </c>
      <c r="G4507" s="25"/>
      <c r="H4507" s="11"/>
      <c r="I4507" s="21"/>
      <c r="J4507" s="21"/>
      <c r="K4507" s="21"/>
      <c r="L4507" s="21"/>
      <c r="M4507" s="21"/>
      <c r="N4507" s="21"/>
    </row>
    <row r="4508" spans="1:14" ht="15.75" customHeight="1" x14ac:dyDescent="0.25">
      <c r="A4508" s="7"/>
      <c r="B4508" s="343" t="s">
        <v>343</v>
      </c>
      <c r="C4508" s="344"/>
      <c r="D4508" s="344"/>
      <c r="E4508" s="334"/>
      <c r="F4508" s="167">
        <f>F4507*11%</f>
        <v>56924.45</v>
      </c>
      <c r="G4508" s="25"/>
      <c r="H4508" s="11"/>
      <c r="I4508" s="21"/>
      <c r="J4508" s="21"/>
      <c r="K4508" s="21"/>
      <c r="L4508" s="21"/>
      <c r="M4508" s="21"/>
      <c r="N4508" s="21"/>
    </row>
    <row r="4509" spans="1:14" ht="15.75" customHeight="1" x14ac:dyDescent="0.25">
      <c r="A4509" s="7"/>
      <c r="B4509" s="345" t="s">
        <v>344</v>
      </c>
      <c r="C4509" s="344"/>
      <c r="D4509" s="344"/>
      <c r="E4509" s="334"/>
      <c r="F4509" s="168">
        <f>SUM(F4507:F4508)</f>
        <v>574419.44999999995</v>
      </c>
      <c r="G4509" s="25"/>
      <c r="H4509" s="11"/>
      <c r="I4509" s="21"/>
      <c r="J4509" s="21"/>
      <c r="K4509" s="21"/>
      <c r="L4509" s="21"/>
      <c r="M4509" s="21"/>
      <c r="N4509" s="21"/>
    </row>
    <row r="4510" spans="1:14" ht="15.75" customHeight="1" x14ac:dyDescent="0.25">
      <c r="A4510" s="21"/>
      <c r="B4510" s="21"/>
      <c r="C4510" s="11"/>
      <c r="D4510" s="11"/>
      <c r="E4510" s="21"/>
      <c r="F4510" s="21"/>
      <c r="G4510" s="25"/>
      <c r="H4510" s="11"/>
      <c r="I4510" s="21"/>
      <c r="J4510" s="21"/>
      <c r="K4510" s="21"/>
      <c r="L4510" s="21"/>
      <c r="M4510" s="21"/>
      <c r="N4510" s="21"/>
    </row>
    <row r="4511" spans="1:14" ht="15.75" customHeight="1" x14ac:dyDescent="0.25">
      <c r="A4511" s="31" t="s">
        <v>14</v>
      </c>
      <c r="B4511" s="31" t="s">
        <v>234</v>
      </c>
      <c r="C4511" s="31" t="s">
        <v>16</v>
      </c>
      <c r="D4511" s="31" t="s">
        <v>17</v>
      </c>
      <c r="E4511" s="31" t="s">
        <v>235</v>
      </c>
      <c r="F4511" s="31" t="s">
        <v>236</v>
      </c>
      <c r="G4511" s="25"/>
      <c r="H4511" s="11"/>
      <c r="I4511" s="21"/>
      <c r="J4511" s="21"/>
      <c r="K4511" s="21"/>
      <c r="L4511" s="21"/>
      <c r="M4511" s="21"/>
      <c r="N4511" s="21"/>
    </row>
    <row r="4512" spans="1:14" ht="15.75" customHeight="1" x14ac:dyDescent="0.25">
      <c r="A4512" s="7">
        <v>1</v>
      </c>
      <c r="B4512" s="35" t="s">
        <v>1688</v>
      </c>
      <c r="C4512" s="7">
        <v>96</v>
      </c>
      <c r="D4512" s="7" t="s">
        <v>19</v>
      </c>
      <c r="E4512" s="108">
        <v>276450</v>
      </c>
      <c r="F4512" s="108">
        <f>E4512*C4512</f>
        <v>26539200</v>
      </c>
      <c r="G4512" s="25"/>
      <c r="H4512" s="11"/>
      <c r="I4512" s="21"/>
      <c r="J4512" s="21"/>
      <c r="K4512" s="21"/>
      <c r="L4512" s="21"/>
      <c r="M4512" s="21"/>
      <c r="N4512" s="21"/>
    </row>
    <row r="4513" spans="1:14" ht="15.75" customHeight="1" x14ac:dyDescent="0.25">
      <c r="A4513" s="7"/>
      <c r="B4513" s="343" t="s">
        <v>342</v>
      </c>
      <c r="C4513" s="344"/>
      <c r="D4513" s="344"/>
      <c r="E4513" s="334"/>
      <c r="F4513" s="167">
        <f>SUM(F4512)</f>
        <v>26539200</v>
      </c>
      <c r="G4513" s="25"/>
      <c r="H4513" s="11"/>
      <c r="I4513" s="21"/>
      <c r="J4513" s="21"/>
      <c r="K4513" s="21"/>
      <c r="L4513" s="21"/>
      <c r="M4513" s="21"/>
      <c r="N4513" s="21"/>
    </row>
    <row r="4514" spans="1:14" ht="15.75" customHeight="1" x14ac:dyDescent="0.25">
      <c r="A4514" s="7"/>
      <c r="B4514" s="343" t="s">
        <v>343</v>
      </c>
      <c r="C4514" s="344"/>
      <c r="D4514" s="344"/>
      <c r="E4514" s="334"/>
      <c r="F4514" s="167">
        <f>F4513*11%</f>
        <v>2919312</v>
      </c>
      <c r="G4514" s="25"/>
      <c r="H4514" s="11"/>
      <c r="I4514" s="21"/>
      <c r="J4514" s="21"/>
      <c r="K4514" s="21"/>
      <c r="L4514" s="21"/>
      <c r="M4514" s="21"/>
      <c r="N4514" s="21"/>
    </row>
    <row r="4515" spans="1:14" ht="15.75" customHeight="1" x14ac:dyDescent="0.25">
      <c r="A4515" s="7"/>
      <c r="B4515" s="345" t="s">
        <v>344</v>
      </c>
      <c r="C4515" s="344"/>
      <c r="D4515" s="344"/>
      <c r="E4515" s="334"/>
      <c r="F4515" s="168">
        <f>SUM(F4513:F4514)</f>
        <v>29458512</v>
      </c>
      <c r="G4515" s="25"/>
      <c r="H4515" s="11"/>
      <c r="I4515" s="21"/>
      <c r="J4515" s="21"/>
      <c r="K4515" s="21"/>
      <c r="L4515" s="21"/>
      <c r="M4515" s="21"/>
      <c r="N4515" s="21"/>
    </row>
    <row r="4516" spans="1:14" ht="15.75" customHeight="1" x14ac:dyDescent="0.25">
      <c r="A4516" s="21"/>
      <c r="B4516" s="21"/>
      <c r="C4516" s="11"/>
      <c r="D4516" s="11"/>
      <c r="E4516" s="21"/>
      <c r="F4516" s="21"/>
      <c r="G4516" s="25"/>
      <c r="H4516" s="11"/>
      <c r="I4516" s="21"/>
      <c r="J4516" s="21"/>
      <c r="K4516" s="21"/>
      <c r="L4516" s="21"/>
      <c r="M4516" s="21"/>
      <c r="N4516" s="21"/>
    </row>
    <row r="4517" spans="1:14" ht="15.75" customHeight="1" x14ac:dyDescent="0.25">
      <c r="A4517" s="21"/>
      <c r="B4517" s="21"/>
      <c r="C4517" s="11"/>
      <c r="D4517" s="11"/>
      <c r="E4517" s="21"/>
      <c r="F4517" s="21"/>
      <c r="G4517" s="25"/>
      <c r="H4517" s="11"/>
      <c r="I4517" s="21"/>
      <c r="J4517" s="21"/>
      <c r="K4517" s="21"/>
      <c r="L4517" s="21"/>
      <c r="M4517" s="21"/>
      <c r="N4517" s="21"/>
    </row>
    <row r="4518" spans="1:14" ht="15.75" customHeight="1" x14ac:dyDescent="0.25">
      <c r="A4518" s="31" t="s">
        <v>14</v>
      </c>
      <c r="B4518" s="31" t="s">
        <v>234</v>
      </c>
      <c r="C4518" s="31" t="s">
        <v>16</v>
      </c>
      <c r="D4518" s="31" t="s">
        <v>17</v>
      </c>
      <c r="E4518" s="31" t="s">
        <v>235</v>
      </c>
      <c r="F4518" s="31" t="s">
        <v>236</v>
      </c>
      <c r="G4518" s="25"/>
      <c r="H4518" s="11"/>
      <c r="I4518" s="21"/>
      <c r="J4518" s="21"/>
      <c r="K4518" s="21"/>
      <c r="L4518" s="21"/>
      <c r="M4518" s="21"/>
      <c r="N4518" s="21"/>
    </row>
    <row r="4519" spans="1:14" ht="15.75" customHeight="1" x14ac:dyDescent="0.25">
      <c r="A4519" s="7">
        <v>1</v>
      </c>
      <c r="B4519" s="124" t="s">
        <v>1689</v>
      </c>
      <c r="C4519" s="7">
        <v>2</v>
      </c>
      <c r="D4519" s="7" t="s">
        <v>251</v>
      </c>
      <c r="E4519" s="169">
        <v>2681375</v>
      </c>
      <c r="F4519" s="108">
        <f>E4519*C4519</f>
        <v>5362750</v>
      </c>
      <c r="G4519" s="25"/>
      <c r="H4519" s="11"/>
      <c r="I4519" s="21"/>
      <c r="J4519" s="21"/>
      <c r="K4519" s="21"/>
      <c r="L4519" s="21"/>
      <c r="M4519" s="21"/>
      <c r="N4519" s="21"/>
    </row>
    <row r="4520" spans="1:14" ht="15.75" customHeight="1" x14ac:dyDescent="0.25">
      <c r="A4520" s="7">
        <v>2</v>
      </c>
      <c r="B4520" s="120" t="s">
        <v>1690</v>
      </c>
      <c r="C4520" s="7">
        <v>1</v>
      </c>
      <c r="D4520" s="7" t="s">
        <v>251</v>
      </c>
      <c r="E4520" s="169">
        <v>289750</v>
      </c>
      <c r="F4520" s="108">
        <f>E4520*C4520</f>
        <v>289750</v>
      </c>
      <c r="G4520" s="25"/>
      <c r="H4520" s="11"/>
      <c r="I4520" s="21"/>
      <c r="J4520" s="21"/>
      <c r="K4520" s="21"/>
      <c r="L4520" s="21"/>
      <c r="M4520" s="21"/>
      <c r="N4520" s="21"/>
    </row>
    <row r="4521" spans="1:14" ht="15.75" customHeight="1" x14ac:dyDescent="0.25">
      <c r="A4521" s="7">
        <v>3</v>
      </c>
      <c r="B4521" s="131" t="s">
        <v>1691</v>
      </c>
      <c r="C4521" s="7">
        <v>1</v>
      </c>
      <c r="D4521" s="7" t="s">
        <v>19</v>
      </c>
      <c r="E4521" s="169">
        <v>18596250</v>
      </c>
      <c r="F4521" s="108">
        <f>E4521*C4521</f>
        <v>18596250</v>
      </c>
      <c r="G4521" s="25"/>
      <c r="H4521" s="11"/>
      <c r="I4521" s="21"/>
      <c r="J4521" s="21"/>
      <c r="K4521" s="21"/>
      <c r="L4521" s="21"/>
      <c r="M4521" s="21"/>
      <c r="N4521" s="21"/>
    </row>
    <row r="4522" spans="1:14" ht="15.75" customHeight="1" x14ac:dyDescent="0.25">
      <c r="A4522" s="7"/>
      <c r="B4522" s="343" t="s">
        <v>342</v>
      </c>
      <c r="C4522" s="344"/>
      <c r="D4522" s="344"/>
      <c r="E4522" s="334"/>
      <c r="F4522" s="167">
        <f>SUM(F4519:F4521)</f>
        <v>24248750</v>
      </c>
      <c r="G4522" s="25"/>
      <c r="H4522" s="11"/>
      <c r="I4522" s="21"/>
      <c r="J4522" s="21"/>
      <c r="K4522" s="21"/>
      <c r="L4522" s="21"/>
      <c r="M4522" s="21"/>
      <c r="N4522" s="21"/>
    </row>
    <row r="4523" spans="1:14" ht="15.75" customHeight="1" x14ac:dyDescent="0.25">
      <c r="A4523" s="7"/>
      <c r="B4523" s="343" t="s">
        <v>343</v>
      </c>
      <c r="C4523" s="344"/>
      <c r="D4523" s="344"/>
      <c r="E4523" s="334"/>
      <c r="F4523" s="167">
        <f>F4522*11%</f>
        <v>2667362.5</v>
      </c>
      <c r="G4523" s="25"/>
      <c r="H4523" s="11"/>
      <c r="I4523" s="21"/>
      <c r="J4523" s="21"/>
      <c r="K4523" s="21"/>
      <c r="L4523" s="21"/>
      <c r="M4523" s="21"/>
      <c r="N4523" s="21"/>
    </row>
    <row r="4524" spans="1:14" ht="15.75" customHeight="1" x14ac:dyDescent="0.25">
      <c r="A4524" s="7"/>
      <c r="B4524" s="345" t="s">
        <v>344</v>
      </c>
      <c r="C4524" s="344"/>
      <c r="D4524" s="344"/>
      <c r="E4524" s="334"/>
      <c r="F4524" s="168">
        <f>SUM(F4522:F4523)</f>
        <v>26916112.5</v>
      </c>
      <c r="G4524" s="25"/>
      <c r="H4524" s="11"/>
      <c r="I4524" s="21"/>
      <c r="J4524" s="21"/>
      <c r="K4524" s="21"/>
      <c r="L4524" s="21"/>
      <c r="M4524" s="21"/>
      <c r="N4524" s="21"/>
    </row>
    <row r="4525" spans="1:14" ht="15.75" customHeight="1" x14ac:dyDescent="0.25">
      <c r="A4525" s="21"/>
      <c r="B4525" s="21"/>
      <c r="C4525" s="11"/>
      <c r="D4525" s="11"/>
      <c r="E4525" s="21"/>
      <c r="F4525" s="21"/>
      <c r="G4525" s="25"/>
      <c r="H4525" s="11"/>
      <c r="I4525" s="21"/>
      <c r="J4525" s="21"/>
      <c r="K4525" s="21"/>
      <c r="L4525" s="21"/>
      <c r="M4525" s="21"/>
      <c r="N4525" s="21"/>
    </row>
    <row r="4526" spans="1:14" ht="15.75" customHeight="1" x14ac:dyDescent="0.25">
      <c r="A4526" s="31" t="s">
        <v>14</v>
      </c>
      <c r="B4526" s="31" t="s">
        <v>234</v>
      </c>
      <c r="C4526" s="31" t="s">
        <v>16</v>
      </c>
      <c r="D4526" s="31" t="s">
        <v>17</v>
      </c>
      <c r="E4526" s="31" t="s">
        <v>235</v>
      </c>
      <c r="F4526" s="31" t="s">
        <v>236</v>
      </c>
      <c r="G4526" s="25"/>
      <c r="H4526" s="11"/>
      <c r="I4526" s="21"/>
      <c r="J4526" s="21"/>
      <c r="K4526" s="21"/>
      <c r="L4526" s="21"/>
      <c r="M4526" s="21"/>
      <c r="N4526" s="21"/>
    </row>
    <row r="4527" spans="1:14" ht="15.75" customHeight="1" x14ac:dyDescent="0.25">
      <c r="A4527" s="7">
        <v>1</v>
      </c>
      <c r="B4527" s="35" t="s">
        <v>1692</v>
      </c>
      <c r="C4527" s="7">
        <v>1</v>
      </c>
      <c r="D4527" s="7" t="s">
        <v>19</v>
      </c>
      <c r="E4527" s="169">
        <v>635350</v>
      </c>
      <c r="F4527" s="108">
        <f>E4527*C4527</f>
        <v>635350</v>
      </c>
      <c r="G4527" s="25"/>
      <c r="H4527" s="11"/>
      <c r="I4527" s="21"/>
      <c r="J4527" s="21"/>
      <c r="K4527" s="21"/>
      <c r="L4527" s="21"/>
      <c r="M4527" s="21"/>
      <c r="N4527" s="21"/>
    </row>
    <row r="4528" spans="1:14" ht="15.75" customHeight="1" x14ac:dyDescent="0.25">
      <c r="A4528" s="7">
        <v>2</v>
      </c>
      <c r="B4528" s="35" t="s">
        <v>1693</v>
      </c>
      <c r="C4528" s="7">
        <v>1</v>
      </c>
      <c r="D4528" s="7" t="s">
        <v>243</v>
      </c>
      <c r="E4528" s="169">
        <v>323495</v>
      </c>
      <c r="F4528" s="108">
        <f>E4528*C4528</f>
        <v>323495</v>
      </c>
      <c r="G4528" s="25"/>
      <c r="H4528" s="11"/>
      <c r="I4528" s="21"/>
      <c r="J4528" s="21"/>
      <c r="K4528" s="21"/>
      <c r="L4528" s="21"/>
      <c r="M4528" s="21"/>
      <c r="N4528" s="21"/>
    </row>
    <row r="4529" spans="1:14" ht="15.75" customHeight="1" x14ac:dyDescent="0.25">
      <c r="A4529" s="7">
        <v>3</v>
      </c>
      <c r="B4529" s="35" t="s">
        <v>1694</v>
      </c>
      <c r="C4529" s="7">
        <v>2</v>
      </c>
      <c r="D4529" s="7" t="s">
        <v>19</v>
      </c>
      <c r="E4529" s="169">
        <v>91665</v>
      </c>
      <c r="F4529" s="108">
        <f>E4529*C4529</f>
        <v>183330</v>
      </c>
      <c r="G4529" s="25"/>
      <c r="H4529" s="11"/>
      <c r="I4529" s="21"/>
      <c r="J4529" s="21"/>
      <c r="K4529" s="21"/>
      <c r="L4529" s="21"/>
      <c r="M4529" s="21"/>
      <c r="N4529" s="21"/>
    </row>
    <row r="4530" spans="1:14" ht="15.75" customHeight="1" x14ac:dyDescent="0.25">
      <c r="A4530" s="7"/>
      <c r="B4530" s="343" t="s">
        <v>342</v>
      </c>
      <c r="C4530" s="344"/>
      <c r="D4530" s="344"/>
      <c r="E4530" s="334"/>
      <c r="F4530" s="167">
        <f>SUM(F4527:F4529)</f>
        <v>1142175</v>
      </c>
      <c r="G4530" s="25"/>
      <c r="H4530" s="11"/>
      <c r="I4530" s="21"/>
      <c r="J4530" s="21"/>
      <c r="K4530" s="21"/>
      <c r="L4530" s="21"/>
      <c r="M4530" s="21"/>
      <c r="N4530" s="21"/>
    </row>
    <row r="4531" spans="1:14" ht="15.75" customHeight="1" x14ac:dyDescent="0.25">
      <c r="A4531" s="7"/>
      <c r="B4531" s="343" t="s">
        <v>343</v>
      </c>
      <c r="C4531" s="344"/>
      <c r="D4531" s="344"/>
      <c r="E4531" s="334"/>
      <c r="F4531" s="167">
        <f>F4530*11%</f>
        <v>125639.25</v>
      </c>
      <c r="G4531" s="25"/>
      <c r="H4531" s="11"/>
      <c r="I4531" s="21"/>
      <c r="J4531" s="21"/>
      <c r="K4531" s="21"/>
      <c r="L4531" s="21"/>
      <c r="M4531" s="21"/>
      <c r="N4531" s="21"/>
    </row>
    <row r="4532" spans="1:14" ht="15.75" customHeight="1" x14ac:dyDescent="0.25">
      <c r="A4532" s="7"/>
      <c r="B4532" s="345" t="s">
        <v>344</v>
      </c>
      <c r="C4532" s="344"/>
      <c r="D4532" s="344"/>
      <c r="E4532" s="334"/>
      <c r="F4532" s="168">
        <f>SUM(F4530:F4531)</f>
        <v>1267814.25</v>
      </c>
      <c r="G4532" s="25"/>
      <c r="H4532" s="11"/>
      <c r="I4532" s="21"/>
      <c r="J4532" s="21"/>
      <c r="K4532" s="21"/>
      <c r="L4532" s="21"/>
      <c r="M4532" s="21"/>
      <c r="N4532" s="21"/>
    </row>
    <row r="4533" spans="1:14" ht="15.75" customHeight="1" x14ac:dyDescent="0.25">
      <c r="A4533" s="21"/>
      <c r="B4533" s="21"/>
      <c r="C4533" s="11"/>
      <c r="D4533" s="11"/>
      <c r="E4533" s="21"/>
      <c r="F4533" s="21"/>
      <c r="G4533" s="25"/>
      <c r="H4533" s="11"/>
      <c r="I4533" s="21"/>
      <c r="J4533" s="21"/>
      <c r="K4533" s="21"/>
      <c r="L4533" s="21"/>
      <c r="M4533" s="21"/>
      <c r="N4533" s="21"/>
    </row>
    <row r="4534" spans="1:14" ht="15.75" customHeight="1" x14ac:dyDescent="0.25">
      <c r="A4534" s="21"/>
      <c r="B4534" s="21"/>
      <c r="C4534" s="11"/>
      <c r="D4534" s="11"/>
      <c r="E4534" s="21"/>
      <c r="F4534" s="21"/>
      <c r="G4534" s="25"/>
      <c r="H4534" s="11"/>
      <c r="I4534" s="21"/>
      <c r="J4534" s="21"/>
      <c r="K4534" s="21"/>
      <c r="L4534" s="21"/>
      <c r="M4534" s="21"/>
      <c r="N4534" s="21"/>
    </row>
    <row r="4535" spans="1:14" ht="15.75" customHeight="1" x14ac:dyDescent="0.25">
      <c r="A4535" s="31" t="s">
        <v>14</v>
      </c>
      <c r="B4535" s="31" t="s">
        <v>234</v>
      </c>
      <c r="C4535" s="31" t="s">
        <v>16</v>
      </c>
      <c r="D4535" s="31" t="s">
        <v>17</v>
      </c>
      <c r="E4535" s="31" t="s">
        <v>235</v>
      </c>
      <c r="F4535" s="31" t="s">
        <v>236</v>
      </c>
      <c r="G4535" s="25"/>
      <c r="H4535" s="11"/>
      <c r="I4535" s="21"/>
      <c r="J4535" s="21"/>
      <c r="K4535" s="21"/>
      <c r="L4535" s="21"/>
      <c r="M4535" s="21"/>
      <c r="N4535" s="21"/>
    </row>
    <row r="4536" spans="1:14" ht="15.75" customHeight="1" x14ac:dyDescent="0.25">
      <c r="A4536" s="7">
        <v>1</v>
      </c>
      <c r="B4536" s="41" t="s">
        <v>1695</v>
      </c>
      <c r="C4536" s="7">
        <v>1</v>
      </c>
      <c r="D4536" s="7" t="s">
        <v>243</v>
      </c>
      <c r="E4536" s="169">
        <v>1392920</v>
      </c>
      <c r="F4536" s="108">
        <f>E4536*C4536</f>
        <v>1392920</v>
      </c>
      <c r="G4536" s="25"/>
      <c r="H4536" s="11"/>
      <c r="I4536" s="21"/>
      <c r="J4536" s="21"/>
      <c r="K4536" s="21"/>
      <c r="L4536" s="21"/>
      <c r="M4536" s="21"/>
      <c r="N4536" s="21"/>
    </row>
    <row r="4537" spans="1:14" ht="15.75" customHeight="1" x14ac:dyDescent="0.25">
      <c r="A4537" s="7">
        <v>2</v>
      </c>
      <c r="B4537" s="41" t="s">
        <v>1696</v>
      </c>
      <c r="C4537" s="7">
        <v>5</v>
      </c>
      <c r="D4537" s="7" t="s">
        <v>19</v>
      </c>
      <c r="E4537" s="169">
        <v>16000</v>
      </c>
      <c r="F4537" s="108">
        <f>E4537*C4537</f>
        <v>80000</v>
      </c>
      <c r="G4537" s="25"/>
      <c r="H4537" s="11"/>
      <c r="I4537" s="21"/>
      <c r="J4537" s="21"/>
      <c r="K4537" s="21"/>
      <c r="L4537" s="21"/>
      <c r="M4537" s="21"/>
      <c r="N4537" s="21"/>
    </row>
    <row r="4538" spans="1:14" ht="15.75" customHeight="1" x14ac:dyDescent="0.25">
      <c r="A4538" s="7"/>
      <c r="B4538" s="343" t="s">
        <v>342</v>
      </c>
      <c r="C4538" s="344"/>
      <c r="D4538" s="344"/>
      <c r="E4538" s="334"/>
      <c r="F4538" s="167">
        <f>SUM(F4536:F4537)</f>
        <v>1472920</v>
      </c>
      <c r="G4538" s="25"/>
      <c r="H4538" s="11"/>
      <c r="I4538" s="21"/>
      <c r="J4538" s="21"/>
      <c r="K4538" s="21"/>
      <c r="L4538" s="21"/>
      <c r="M4538" s="21"/>
      <c r="N4538" s="21"/>
    </row>
    <row r="4539" spans="1:14" ht="15.75" customHeight="1" x14ac:dyDescent="0.25">
      <c r="A4539" s="7"/>
      <c r="B4539" s="343" t="s">
        <v>343</v>
      </c>
      <c r="C4539" s="344"/>
      <c r="D4539" s="344"/>
      <c r="E4539" s="334"/>
      <c r="F4539" s="167">
        <f>F4538*11%</f>
        <v>162021.20000000001</v>
      </c>
      <c r="G4539" s="25"/>
      <c r="H4539" s="11"/>
      <c r="I4539" s="21"/>
      <c r="J4539" s="21"/>
      <c r="K4539" s="21"/>
      <c r="L4539" s="21"/>
      <c r="M4539" s="21"/>
      <c r="N4539" s="21"/>
    </row>
    <row r="4540" spans="1:14" ht="15.75" customHeight="1" x14ac:dyDescent="0.25">
      <c r="A4540" s="7"/>
      <c r="B4540" s="345" t="s">
        <v>344</v>
      </c>
      <c r="C4540" s="344"/>
      <c r="D4540" s="344"/>
      <c r="E4540" s="334"/>
      <c r="F4540" s="168">
        <f>SUM(F4538:F4539)</f>
        <v>1634941.2</v>
      </c>
      <c r="G4540" s="25"/>
      <c r="H4540" s="11"/>
      <c r="I4540" s="21"/>
      <c r="J4540" s="21"/>
      <c r="K4540" s="21"/>
      <c r="L4540" s="21"/>
      <c r="M4540" s="21"/>
      <c r="N4540" s="21"/>
    </row>
    <row r="4541" spans="1:14" ht="15.75" customHeight="1" x14ac:dyDescent="0.25">
      <c r="A4541" s="21"/>
      <c r="B4541" s="21"/>
      <c r="C4541" s="11"/>
      <c r="D4541" s="11"/>
      <c r="E4541" s="21"/>
      <c r="F4541" s="21"/>
      <c r="G4541" s="25"/>
      <c r="H4541" s="11"/>
      <c r="I4541" s="21"/>
      <c r="J4541" s="21"/>
      <c r="K4541" s="21"/>
      <c r="L4541" s="21"/>
      <c r="M4541" s="21"/>
      <c r="N4541" s="21"/>
    </row>
    <row r="4542" spans="1:14" ht="15.75" customHeight="1" x14ac:dyDescent="0.25">
      <c r="A4542" s="21"/>
      <c r="B4542" s="21"/>
      <c r="C4542" s="11"/>
      <c r="D4542" s="11"/>
      <c r="E4542" s="21"/>
      <c r="F4542" s="21"/>
      <c r="G4542" s="25"/>
      <c r="H4542" s="11"/>
      <c r="I4542" s="21"/>
      <c r="J4542" s="21"/>
      <c r="K4542" s="21"/>
      <c r="L4542" s="21"/>
      <c r="M4542" s="21"/>
      <c r="N4542" s="21"/>
    </row>
    <row r="4543" spans="1:14" ht="15.75" customHeight="1" x14ac:dyDescent="0.25">
      <c r="A4543" s="31" t="s">
        <v>14</v>
      </c>
      <c r="B4543" s="31" t="s">
        <v>234</v>
      </c>
      <c r="C4543" s="31" t="s">
        <v>16</v>
      </c>
      <c r="D4543" s="31" t="s">
        <v>17</v>
      </c>
      <c r="E4543" s="31" t="s">
        <v>235</v>
      </c>
      <c r="F4543" s="31" t="s">
        <v>236</v>
      </c>
      <c r="G4543" s="25"/>
      <c r="H4543" s="11"/>
      <c r="I4543" s="21"/>
      <c r="J4543" s="21"/>
      <c r="K4543" s="21"/>
      <c r="L4543" s="21"/>
      <c r="M4543" s="21"/>
      <c r="N4543" s="21"/>
    </row>
    <row r="4544" spans="1:14" ht="15.75" customHeight="1" x14ac:dyDescent="0.25">
      <c r="A4544" s="7">
        <v>1</v>
      </c>
      <c r="B4544" s="35" t="s">
        <v>1697</v>
      </c>
      <c r="C4544" s="7">
        <v>100</v>
      </c>
      <c r="D4544" s="7" t="s">
        <v>370</v>
      </c>
      <c r="E4544" s="108">
        <v>15176.25</v>
      </c>
      <c r="F4544" s="108">
        <f>E4544*C4544</f>
        <v>1517625</v>
      </c>
      <c r="G4544" s="25"/>
      <c r="H4544" s="11"/>
      <c r="I4544" s="21"/>
      <c r="J4544" s="21"/>
      <c r="K4544" s="21"/>
      <c r="L4544" s="21"/>
      <c r="M4544" s="21"/>
      <c r="N4544" s="21"/>
    </row>
    <row r="4545" spans="1:14" ht="15.75" customHeight="1" x14ac:dyDescent="0.25">
      <c r="A4545" s="7"/>
      <c r="B4545" s="343" t="s">
        <v>342</v>
      </c>
      <c r="C4545" s="344"/>
      <c r="D4545" s="344"/>
      <c r="E4545" s="334"/>
      <c r="F4545" s="167">
        <f>SUM(F4544)</f>
        <v>1517625</v>
      </c>
      <c r="G4545" s="25"/>
      <c r="H4545" s="11"/>
      <c r="I4545" s="21"/>
      <c r="J4545" s="21"/>
      <c r="K4545" s="21"/>
      <c r="L4545" s="21"/>
      <c r="M4545" s="21"/>
      <c r="N4545" s="21"/>
    </row>
    <row r="4546" spans="1:14" ht="15.75" customHeight="1" x14ac:dyDescent="0.25">
      <c r="A4546" s="7"/>
      <c r="B4546" s="343" t="s">
        <v>343</v>
      </c>
      <c r="C4546" s="344"/>
      <c r="D4546" s="344"/>
      <c r="E4546" s="334"/>
      <c r="F4546" s="167">
        <f>F4545*11%</f>
        <v>166938.75</v>
      </c>
      <c r="G4546" s="25"/>
      <c r="H4546" s="11"/>
      <c r="I4546" s="21"/>
      <c r="J4546" s="21"/>
      <c r="K4546" s="21"/>
      <c r="L4546" s="21"/>
      <c r="M4546" s="21"/>
      <c r="N4546" s="21"/>
    </row>
    <row r="4547" spans="1:14" ht="15.75" customHeight="1" x14ac:dyDescent="0.25">
      <c r="A4547" s="7"/>
      <c r="B4547" s="345" t="s">
        <v>344</v>
      </c>
      <c r="C4547" s="344"/>
      <c r="D4547" s="344"/>
      <c r="E4547" s="334"/>
      <c r="F4547" s="168">
        <f>SUM(F4545:F4546)</f>
        <v>1684563.75</v>
      </c>
      <c r="G4547" s="25"/>
      <c r="H4547" s="11"/>
      <c r="I4547" s="21"/>
      <c r="J4547" s="21"/>
      <c r="K4547" s="21"/>
      <c r="L4547" s="21"/>
      <c r="M4547" s="21"/>
      <c r="N4547" s="21"/>
    </row>
    <row r="4548" spans="1:14" ht="15.75" customHeight="1" x14ac:dyDescent="0.25">
      <c r="A4548" s="21"/>
      <c r="B4548" s="21"/>
      <c r="C4548" s="11"/>
      <c r="D4548" s="11"/>
      <c r="E4548" s="21"/>
      <c r="F4548" s="21"/>
      <c r="G4548" s="25"/>
      <c r="H4548" s="11"/>
      <c r="I4548" s="21"/>
      <c r="J4548" s="21"/>
      <c r="K4548" s="21"/>
      <c r="L4548" s="21"/>
      <c r="M4548" s="21"/>
      <c r="N4548" s="21"/>
    </row>
    <row r="4549" spans="1:14" ht="15.75" customHeight="1" x14ac:dyDescent="0.25">
      <c r="A4549" s="31" t="s">
        <v>14</v>
      </c>
      <c r="B4549" s="31" t="s">
        <v>234</v>
      </c>
      <c r="C4549" s="31" t="s">
        <v>16</v>
      </c>
      <c r="D4549" s="31" t="s">
        <v>17</v>
      </c>
      <c r="E4549" s="31" t="s">
        <v>235</v>
      </c>
      <c r="F4549" s="31" t="s">
        <v>236</v>
      </c>
      <c r="G4549" s="25"/>
      <c r="H4549" s="11"/>
      <c r="I4549" s="21"/>
      <c r="J4549" s="21"/>
      <c r="K4549" s="21"/>
      <c r="L4549" s="21"/>
      <c r="M4549" s="21"/>
      <c r="N4549" s="21"/>
    </row>
    <row r="4550" spans="1:14" ht="15.75" customHeight="1" x14ac:dyDescent="0.25">
      <c r="A4550" s="7">
        <v>1</v>
      </c>
      <c r="B4550" s="35" t="s">
        <v>1698</v>
      </c>
      <c r="C4550" s="7">
        <v>60</v>
      </c>
      <c r="D4550" s="7" t="s">
        <v>1135</v>
      </c>
      <c r="E4550" s="37">
        <v>18525</v>
      </c>
      <c r="F4550" s="37">
        <f>E4550*C4550</f>
        <v>1111500</v>
      </c>
      <c r="G4550" s="25"/>
      <c r="H4550" s="11"/>
      <c r="I4550" s="21"/>
      <c r="J4550" s="21"/>
      <c r="K4550" s="21"/>
      <c r="L4550" s="21"/>
      <c r="M4550" s="21"/>
      <c r="N4550" s="21"/>
    </row>
    <row r="4551" spans="1:14" ht="15.75" customHeight="1" x14ac:dyDescent="0.25">
      <c r="A4551" s="7"/>
      <c r="B4551" s="343" t="s">
        <v>342</v>
      </c>
      <c r="C4551" s="344"/>
      <c r="D4551" s="344"/>
      <c r="E4551" s="334"/>
      <c r="F4551" s="104">
        <f>SUM(F4550)</f>
        <v>1111500</v>
      </c>
      <c r="G4551" s="25"/>
      <c r="H4551" s="11"/>
      <c r="I4551" s="21"/>
      <c r="J4551" s="21"/>
      <c r="K4551" s="21"/>
      <c r="L4551" s="21"/>
      <c r="M4551" s="21"/>
      <c r="N4551" s="21"/>
    </row>
    <row r="4552" spans="1:14" ht="15.75" customHeight="1" x14ac:dyDescent="0.25">
      <c r="A4552" s="7"/>
      <c r="B4552" s="343" t="s">
        <v>343</v>
      </c>
      <c r="C4552" s="344"/>
      <c r="D4552" s="344"/>
      <c r="E4552" s="334"/>
      <c r="F4552" s="104">
        <f>F4551*11%</f>
        <v>122265</v>
      </c>
      <c r="G4552" s="25"/>
      <c r="H4552" s="11"/>
      <c r="I4552" s="21"/>
      <c r="J4552" s="21"/>
      <c r="K4552" s="21"/>
      <c r="L4552" s="21"/>
      <c r="M4552" s="21"/>
      <c r="N4552" s="21"/>
    </row>
    <row r="4553" spans="1:14" ht="15.75" customHeight="1" x14ac:dyDescent="0.25">
      <c r="A4553" s="7"/>
      <c r="B4553" s="345" t="s">
        <v>344</v>
      </c>
      <c r="C4553" s="344"/>
      <c r="D4553" s="344"/>
      <c r="E4553" s="334"/>
      <c r="F4553" s="107">
        <f>SUM(F4551:F4552)</f>
        <v>1233765</v>
      </c>
      <c r="G4553" s="25"/>
      <c r="H4553" s="11"/>
      <c r="I4553" s="21"/>
      <c r="J4553" s="21"/>
      <c r="K4553" s="21"/>
      <c r="L4553" s="21"/>
      <c r="M4553" s="21"/>
      <c r="N4553" s="21"/>
    </row>
    <row r="4554" spans="1:14" ht="15.75" customHeight="1" x14ac:dyDescent="0.25">
      <c r="A4554" s="21"/>
      <c r="B4554" s="21"/>
      <c r="C4554" s="11"/>
      <c r="D4554" s="11"/>
      <c r="E4554" s="21"/>
      <c r="F4554" s="21"/>
      <c r="G4554" s="25"/>
      <c r="H4554" s="11"/>
      <c r="I4554" s="21"/>
      <c r="J4554" s="21"/>
      <c r="K4554" s="21"/>
      <c r="L4554" s="21"/>
      <c r="M4554" s="21"/>
      <c r="N4554" s="21"/>
    </row>
    <row r="4555" spans="1:14" ht="15.75" customHeight="1" x14ac:dyDescent="0.25">
      <c r="A4555" s="21"/>
      <c r="B4555" s="21"/>
      <c r="C4555" s="11"/>
      <c r="D4555" s="11"/>
      <c r="E4555" s="21"/>
      <c r="F4555" s="21"/>
      <c r="G4555" s="25"/>
      <c r="H4555" s="11"/>
      <c r="I4555" s="21"/>
      <c r="J4555" s="21"/>
      <c r="K4555" s="21"/>
      <c r="L4555" s="21"/>
      <c r="M4555" s="21"/>
      <c r="N4555" s="21"/>
    </row>
    <row r="4556" spans="1:14" ht="15.75" customHeight="1" x14ac:dyDescent="0.25">
      <c r="A4556" s="21"/>
      <c r="B4556" s="21"/>
      <c r="C4556" s="11"/>
      <c r="D4556" s="11"/>
      <c r="E4556" s="21"/>
      <c r="F4556" s="21"/>
      <c r="G4556" s="25"/>
      <c r="H4556" s="11"/>
      <c r="I4556" s="21"/>
      <c r="J4556" s="21"/>
      <c r="K4556" s="21"/>
      <c r="L4556" s="21"/>
      <c r="M4556" s="21"/>
      <c r="N4556" s="21"/>
    </row>
    <row r="4557" spans="1:14" ht="15.75" customHeight="1" x14ac:dyDescent="0.25">
      <c r="A4557" s="31" t="s">
        <v>14</v>
      </c>
      <c r="B4557" s="31" t="s">
        <v>234</v>
      </c>
      <c r="C4557" s="31" t="s">
        <v>16</v>
      </c>
      <c r="D4557" s="31" t="s">
        <v>17</v>
      </c>
      <c r="E4557" s="31" t="s">
        <v>235</v>
      </c>
      <c r="F4557" s="31" t="s">
        <v>236</v>
      </c>
      <c r="G4557" s="25"/>
      <c r="H4557" s="11"/>
      <c r="I4557" s="21"/>
      <c r="J4557" s="21"/>
      <c r="K4557" s="21"/>
      <c r="L4557" s="21"/>
      <c r="M4557" s="21"/>
      <c r="N4557" s="21"/>
    </row>
    <row r="4558" spans="1:14" ht="15.75" customHeight="1" x14ac:dyDescent="0.25">
      <c r="A4558" s="7">
        <v>1</v>
      </c>
      <c r="B4558" s="124" t="s">
        <v>1699</v>
      </c>
      <c r="C4558" s="170" t="s">
        <v>1700</v>
      </c>
      <c r="D4558" s="7" t="s">
        <v>1357</v>
      </c>
      <c r="E4558" s="36">
        <v>7125</v>
      </c>
      <c r="F4558" s="36">
        <f>E4558*100</f>
        <v>712500</v>
      </c>
      <c r="G4558" s="25"/>
      <c r="H4558" s="11"/>
      <c r="I4558" s="21"/>
      <c r="J4558" s="21"/>
      <c r="K4558" s="21"/>
      <c r="L4558" s="21"/>
      <c r="M4558" s="21"/>
      <c r="N4558" s="21"/>
    </row>
    <row r="4559" spans="1:14" ht="15.75" customHeight="1" x14ac:dyDescent="0.25">
      <c r="A4559" s="7">
        <v>2</v>
      </c>
      <c r="B4559" s="124" t="s">
        <v>1701</v>
      </c>
      <c r="C4559" s="7">
        <v>100</v>
      </c>
      <c r="D4559" s="7" t="s">
        <v>247</v>
      </c>
      <c r="E4559" s="36">
        <v>1092</v>
      </c>
      <c r="F4559" s="36">
        <f>E4559*100</f>
        <v>109200</v>
      </c>
      <c r="G4559" s="25"/>
      <c r="H4559" s="11"/>
      <c r="I4559" s="21"/>
      <c r="J4559" s="21"/>
      <c r="K4559" s="21"/>
      <c r="L4559" s="21"/>
      <c r="M4559" s="21"/>
      <c r="N4559" s="21"/>
    </row>
    <row r="4560" spans="1:14" ht="15.75" customHeight="1" x14ac:dyDescent="0.25">
      <c r="A4560" s="7">
        <v>3</v>
      </c>
      <c r="B4560" s="124" t="s">
        <v>1702</v>
      </c>
      <c r="C4560" s="170" t="s">
        <v>1700</v>
      </c>
      <c r="D4560" s="7" t="s">
        <v>1357</v>
      </c>
      <c r="E4560" s="36">
        <v>6876</v>
      </c>
      <c r="F4560" s="36">
        <f>E4560*100</f>
        <v>687600</v>
      </c>
      <c r="G4560" s="25"/>
      <c r="H4560" s="11"/>
      <c r="I4560" s="21"/>
      <c r="J4560" s="21"/>
      <c r="K4560" s="21"/>
      <c r="L4560" s="21"/>
      <c r="M4560" s="21"/>
      <c r="N4560" s="21"/>
    </row>
    <row r="4561" spans="1:14" ht="15.75" customHeight="1" x14ac:dyDescent="0.25">
      <c r="A4561" s="7">
        <v>4</v>
      </c>
      <c r="B4561" s="131" t="s">
        <v>1703</v>
      </c>
      <c r="C4561" s="7">
        <v>5</v>
      </c>
      <c r="D4561" s="7" t="s">
        <v>247</v>
      </c>
      <c r="E4561" s="36">
        <v>49875</v>
      </c>
      <c r="F4561" s="36">
        <f>E4561*C4561</f>
        <v>249375</v>
      </c>
      <c r="G4561" s="25"/>
      <c r="H4561" s="11"/>
      <c r="I4561" s="21"/>
      <c r="J4561" s="21"/>
      <c r="K4561" s="21"/>
      <c r="L4561" s="21"/>
      <c r="M4561" s="21"/>
      <c r="N4561" s="21"/>
    </row>
    <row r="4562" spans="1:14" ht="15.75" customHeight="1" x14ac:dyDescent="0.25">
      <c r="A4562" s="7"/>
      <c r="B4562" s="343" t="s">
        <v>342</v>
      </c>
      <c r="C4562" s="344"/>
      <c r="D4562" s="344"/>
      <c r="E4562" s="334"/>
      <c r="F4562" s="104">
        <f>SUM(F4558:F4561)</f>
        <v>1758675</v>
      </c>
      <c r="G4562" s="25"/>
      <c r="H4562" s="11"/>
      <c r="I4562" s="21"/>
      <c r="J4562" s="21"/>
      <c r="K4562" s="21"/>
      <c r="L4562" s="21"/>
      <c r="M4562" s="21"/>
      <c r="N4562" s="21"/>
    </row>
    <row r="4563" spans="1:14" ht="15.75" customHeight="1" x14ac:dyDescent="0.25">
      <c r="A4563" s="7"/>
      <c r="B4563" s="343" t="s">
        <v>343</v>
      </c>
      <c r="C4563" s="344"/>
      <c r="D4563" s="344"/>
      <c r="E4563" s="334"/>
      <c r="F4563" s="104">
        <f>F4562*11%</f>
        <v>193454.25</v>
      </c>
      <c r="G4563" s="25"/>
      <c r="H4563" s="11"/>
      <c r="I4563" s="21"/>
      <c r="J4563" s="21"/>
      <c r="K4563" s="21"/>
      <c r="L4563" s="21"/>
      <c r="M4563" s="21"/>
      <c r="N4563" s="21"/>
    </row>
    <row r="4564" spans="1:14" ht="15.75" customHeight="1" x14ac:dyDescent="0.25">
      <c r="A4564" s="7"/>
      <c r="B4564" s="345" t="s">
        <v>344</v>
      </c>
      <c r="C4564" s="344"/>
      <c r="D4564" s="344"/>
      <c r="E4564" s="334"/>
      <c r="F4564" s="107">
        <f>SUM(F4562:F4563)</f>
        <v>1952129.25</v>
      </c>
      <c r="G4564" s="25"/>
      <c r="H4564" s="11"/>
      <c r="I4564" s="21"/>
      <c r="J4564" s="21"/>
      <c r="K4564" s="21"/>
      <c r="L4564" s="21"/>
      <c r="M4564" s="21"/>
      <c r="N4564" s="21"/>
    </row>
    <row r="4565" spans="1:14" ht="15.75" customHeight="1" x14ac:dyDescent="0.25">
      <c r="A4565" s="21"/>
      <c r="B4565" s="21"/>
      <c r="C4565" s="11"/>
      <c r="D4565" s="11"/>
      <c r="E4565" s="21"/>
      <c r="F4565" s="21"/>
      <c r="G4565" s="25"/>
      <c r="H4565" s="11"/>
      <c r="I4565" s="21"/>
      <c r="J4565" s="21"/>
      <c r="K4565" s="21"/>
      <c r="L4565" s="21"/>
      <c r="M4565" s="21"/>
      <c r="N4565" s="21"/>
    </row>
    <row r="4566" spans="1:14" ht="15.75" customHeight="1" x14ac:dyDescent="0.25">
      <c r="A4566" s="21"/>
      <c r="B4566" s="21"/>
      <c r="C4566" s="11"/>
      <c r="D4566" s="11"/>
      <c r="E4566" s="21"/>
      <c r="F4566" s="21"/>
      <c r="G4566" s="25"/>
      <c r="H4566" s="11"/>
      <c r="I4566" s="21"/>
      <c r="J4566" s="21"/>
      <c r="K4566" s="21"/>
      <c r="L4566" s="21"/>
      <c r="M4566" s="21"/>
      <c r="N4566" s="21"/>
    </row>
    <row r="4567" spans="1:14" ht="15.75" customHeight="1" x14ac:dyDescent="0.25">
      <c r="A4567" s="21"/>
      <c r="B4567" s="21"/>
      <c r="C4567" s="11"/>
      <c r="D4567" s="11"/>
      <c r="E4567" s="21"/>
      <c r="F4567" s="21"/>
      <c r="G4567" s="25"/>
      <c r="H4567" s="11"/>
      <c r="I4567" s="21"/>
      <c r="J4567" s="21"/>
      <c r="K4567" s="21"/>
      <c r="L4567" s="21"/>
      <c r="M4567" s="21"/>
      <c r="N4567" s="21"/>
    </row>
    <row r="4568" spans="1:14" ht="15.75" customHeight="1" x14ac:dyDescent="0.25">
      <c r="A4568" s="21"/>
      <c r="B4568" s="21"/>
      <c r="C4568" s="11"/>
      <c r="D4568" s="11"/>
      <c r="E4568" s="21"/>
      <c r="F4568" s="21"/>
      <c r="G4568" s="25"/>
      <c r="H4568" s="11"/>
      <c r="I4568" s="21"/>
      <c r="J4568" s="21"/>
      <c r="K4568" s="21"/>
      <c r="L4568" s="21"/>
      <c r="M4568" s="21"/>
      <c r="N4568" s="21"/>
    </row>
    <row r="4569" spans="1:14" ht="15.75" customHeight="1" x14ac:dyDescent="0.25">
      <c r="A4569" s="31" t="s">
        <v>14</v>
      </c>
      <c r="B4569" s="31" t="s">
        <v>234</v>
      </c>
      <c r="C4569" s="31" t="s">
        <v>16</v>
      </c>
      <c r="D4569" s="31" t="s">
        <v>17</v>
      </c>
      <c r="E4569" s="31" t="s">
        <v>235</v>
      </c>
      <c r="F4569" s="31" t="s">
        <v>236</v>
      </c>
      <c r="G4569" s="25"/>
      <c r="H4569" s="11"/>
      <c r="I4569" s="21"/>
      <c r="J4569" s="21"/>
      <c r="K4569" s="21"/>
      <c r="L4569" s="21"/>
      <c r="M4569" s="21"/>
      <c r="N4569" s="21"/>
    </row>
    <row r="4570" spans="1:14" ht="15.75" customHeight="1" x14ac:dyDescent="0.25">
      <c r="A4570" s="7">
        <v>1</v>
      </c>
      <c r="B4570" s="124" t="s">
        <v>1704</v>
      </c>
      <c r="C4570" s="7">
        <v>2</v>
      </c>
      <c r="D4570" s="7" t="s">
        <v>251</v>
      </c>
      <c r="E4570" s="108">
        <v>19522500</v>
      </c>
      <c r="F4570" s="108">
        <f>E4570*C4570</f>
        <v>39045000</v>
      </c>
      <c r="G4570" s="25"/>
      <c r="H4570" s="11"/>
      <c r="I4570" s="21"/>
      <c r="J4570" s="21"/>
      <c r="K4570" s="21"/>
      <c r="L4570" s="21"/>
      <c r="M4570" s="21"/>
      <c r="N4570" s="21"/>
    </row>
    <row r="4571" spans="1:14" ht="15.75" customHeight="1" x14ac:dyDescent="0.25">
      <c r="A4571" s="7"/>
      <c r="B4571" s="343" t="s">
        <v>342</v>
      </c>
      <c r="C4571" s="344"/>
      <c r="D4571" s="344"/>
      <c r="E4571" s="334"/>
      <c r="F4571" s="167">
        <f>SUM(F4570)</f>
        <v>39045000</v>
      </c>
      <c r="G4571" s="25"/>
      <c r="H4571" s="11"/>
      <c r="I4571" s="21"/>
      <c r="J4571" s="21"/>
      <c r="K4571" s="21"/>
      <c r="L4571" s="21"/>
      <c r="M4571" s="21"/>
      <c r="N4571" s="21"/>
    </row>
    <row r="4572" spans="1:14" ht="15.75" customHeight="1" x14ac:dyDescent="0.25">
      <c r="A4572" s="7"/>
      <c r="B4572" s="343" t="s">
        <v>343</v>
      </c>
      <c r="C4572" s="344"/>
      <c r="D4572" s="344"/>
      <c r="E4572" s="334"/>
      <c r="F4572" s="167">
        <f>F4571*11%</f>
        <v>4294950</v>
      </c>
      <c r="G4572" s="25"/>
      <c r="H4572" s="11"/>
      <c r="I4572" s="21"/>
      <c r="J4572" s="21"/>
      <c r="K4572" s="21"/>
      <c r="L4572" s="21"/>
      <c r="M4572" s="21"/>
      <c r="N4572" s="21"/>
    </row>
    <row r="4573" spans="1:14" ht="15.75" customHeight="1" x14ac:dyDescent="0.25">
      <c r="A4573" s="7"/>
      <c r="B4573" s="345" t="s">
        <v>344</v>
      </c>
      <c r="C4573" s="344"/>
      <c r="D4573" s="344"/>
      <c r="E4573" s="334"/>
      <c r="F4573" s="168">
        <f>SUM(F4571:F4572)</f>
        <v>43339950</v>
      </c>
      <c r="G4573" s="25"/>
      <c r="H4573" s="11"/>
      <c r="I4573" s="21"/>
      <c r="J4573" s="21"/>
      <c r="K4573" s="21"/>
      <c r="L4573" s="21"/>
      <c r="M4573" s="21"/>
      <c r="N4573" s="21"/>
    </row>
    <row r="4574" spans="1:14" ht="15.75" customHeight="1" x14ac:dyDescent="0.25">
      <c r="A4574" s="21"/>
      <c r="B4574" s="21"/>
      <c r="C4574" s="11"/>
      <c r="D4574" s="11"/>
      <c r="E4574" s="21"/>
      <c r="F4574" s="21"/>
      <c r="G4574" s="25"/>
      <c r="H4574" s="11"/>
      <c r="I4574" s="21"/>
      <c r="J4574" s="21"/>
      <c r="K4574" s="21"/>
      <c r="L4574" s="21"/>
      <c r="M4574" s="21"/>
      <c r="N4574" s="21"/>
    </row>
    <row r="4575" spans="1:14" ht="15.75" customHeight="1" x14ac:dyDescent="0.25">
      <c r="A4575" s="21"/>
      <c r="B4575" s="21"/>
      <c r="C4575" s="11"/>
      <c r="D4575" s="11"/>
      <c r="E4575" s="21"/>
      <c r="F4575" s="21"/>
      <c r="G4575" s="25"/>
      <c r="H4575" s="11"/>
      <c r="I4575" s="21"/>
      <c r="J4575" s="21"/>
      <c r="K4575" s="21"/>
      <c r="L4575" s="21"/>
      <c r="M4575" s="21"/>
      <c r="N4575" s="21"/>
    </row>
    <row r="4576" spans="1:14" ht="15.75" customHeight="1" x14ac:dyDescent="0.25">
      <c r="A4576" s="31" t="s">
        <v>14</v>
      </c>
      <c r="B4576" s="31" t="s">
        <v>234</v>
      </c>
      <c r="C4576" s="31" t="s">
        <v>16</v>
      </c>
      <c r="D4576" s="31" t="s">
        <v>17</v>
      </c>
      <c r="E4576" s="31" t="s">
        <v>235</v>
      </c>
      <c r="F4576" s="31" t="s">
        <v>236</v>
      </c>
      <c r="G4576" s="25"/>
      <c r="H4576" s="11"/>
      <c r="I4576" s="21"/>
      <c r="J4576" s="21"/>
      <c r="K4576" s="21"/>
      <c r="L4576" s="21"/>
      <c r="M4576" s="21"/>
      <c r="N4576" s="21"/>
    </row>
    <row r="4577" spans="1:14" ht="15.75" customHeight="1" x14ac:dyDescent="0.25">
      <c r="A4577" s="7">
        <v>1</v>
      </c>
      <c r="B4577" s="124" t="s">
        <v>1705</v>
      </c>
      <c r="C4577" s="7">
        <v>6</v>
      </c>
      <c r="D4577" s="7" t="s">
        <v>19</v>
      </c>
      <c r="E4577" s="37">
        <v>115000</v>
      </c>
      <c r="F4577" s="37">
        <f>E4577*C4577</f>
        <v>690000</v>
      </c>
      <c r="G4577" s="25"/>
      <c r="H4577" s="11"/>
      <c r="I4577" s="21"/>
      <c r="J4577" s="21"/>
      <c r="K4577" s="21"/>
      <c r="L4577" s="21"/>
      <c r="M4577" s="21"/>
      <c r="N4577" s="21"/>
    </row>
    <row r="4578" spans="1:14" ht="15.75" customHeight="1" x14ac:dyDescent="0.25">
      <c r="A4578" s="7"/>
      <c r="B4578" s="343" t="s">
        <v>342</v>
      </c>
      <c r="C4578" s="344"/>
      <c r="D4578" s="344"/>
      <c r="E4578" s="334"/>
      <c r="F4578" s="104">
        <f>SUM(F4577)</f>
        <v>690000</v>
      </c>
      <c r="G4578" s="25"/>
      <c r="H4578" s="11"/>
      <c r="I4578" s="21"/>
      <c r="J4578" s="21"/>
      <c r="K4578" s="21"/>
      <c r="L4578" s="21"/>
      <c r="M4578" s="21"/>
      <c r="N4578" s="21"/>
    </row>
    <row r="4579" spans="1:14" ht="15.75" customHeight="1" x14ac:dyDescent="0.25">
      <c r="A4579" s="7"/>
      <c r="B4579" s="343" t="s">
        <v>343</v>
      </c>
      <c r="C4579" s="344"/>
      <c r="D4579" s="344"/>
      <c r="E4579" s="334"/>
      <c r="F4579" s="104">
        <f>F4578*11%</f>
        <v>75900</v>
      </c>
      <c r="G4579" s="25"/>
      <c r="H4579" s="11"/>
      <c r="I4579" s="21"/>
      <c r="J4579" s="21"/>
      <c r="K4579" s="21"/>
      <c r="L4579" s="21"/>
      <c r="M4579" s="21"/>
      <c r="N4579" s="21"/>
    </row>
    <row r="4580" spans="1:14" ht="15.75" customHeight="1" x14ac:dyDescent="0.25">
      <c r="A4580" s="7"/>
      <c r="B4580" s="345" t="s">
        <v>344</v>
      </c>
      <c r="C4580" s="344"/>
      <c r="D4580" s="344"/>
      <c r="E4580" s="334"/>
      <c r="F4580" s="107">
        <f>SUM(F4578:F4579)</f>
        <v>765900</v>
      </c>
      <c r="G4580" s="25"/>
      <c r="H4580" s="11"/>
      <c r="I4580" s="21"/>
      <c r="J4580" s="21"/>
      <c r="K4580" s="21"/>
      <c r="L4580" s="21"/>
      <c r="M4580" s="21"/>
      <c r="N4580" s="21"/>
    </row>
    <row r="4581" spans="1:14" ht="15.75" customHeight="1" x14ac:dyDescent="0.25">
      <c r="A4581" s="21"/>
      <c r="B4581" s="21"/>
      <c r="C4581" s="11"/>
      <c r="D4581" s="11"/>
      <c r="E4581" s="21"/>
      <c r="F4581" s="21"/>
      <c r="G4581" s="25"/>
      <c r="H4581" s="11"/>
      <c r="I4581" s="21"/>
      <c r="J4581" s="21"/>
      <c r="K4581" s="21"/>
      <c r="L4581" s="21"/>
      <c r="M4581" s="21"/>
      <c r="N4581" s="21"/>
    </row>
    <row r="4582" spans="1:14" ht="15.75" customHeight="1" x14ac:dyDescent="0.25">
      <c r="A4582" s="31" t="s">
        <v>14</v>
      </c>
      <c r="B4582" s="31" t="s">
        <v>234</v>
      </c>
      <c r="C4582" s="31" t="s">
        <v>16</v>
      </c>
      <c r="D4582" s="31" t="s">
        <v>17</v>
      </c>
      <c r="E4582" s="31" t="s">
        <v>235</v>
      </c>
      <c r="F4582" s="31" t="s">
        <v>236</v>
      </c>
      <c r="G4582" s="25"/>
      <c r="H4582" s="11"/>
      <c r="I4582" s="21"/>
      <c r="J4582" s="21"/>
      <c r="K4582" s="21"/>
      <c r="L4582" s="21"/>
      <c r="M4582" s="21"/>
      <c r="N4582" s="21"/>
    </row>
    <row r="4583" spans="1:14" ht="15.75" customHeight="1" x14ac:dyDescent="0.25">
      <c r="A4583" s="7">
        <v>1</v>
      </c>
      <c r="B4583" s="41" t="s">
        <v>1240</v>
      </c>
      <c r="C4583" s="7">
        <v>6</v>
      </c>
      <c r="D4583" s="7" t="s">
        <v>19</v>
      </c>
      <c r="E4583" s="37">
        <v>41325</v>
      </c>
      <c r="F4583" s="37">
        <f>E4583*C4583</f>
        <v>247950</v>
      </c>
      <c r="G4583" s="25"/>
      <c r="H4583" s="11"/>
      <c r="I4583" s="21"/>
      <c r="J4583" s="21"/>
      <c r="K4583" s="21"/>
      <c r="L4583" s="21"/>
      <c r="M4583" s="21"/>
      <c r="N4583" s="21"/>
    </row>
    <row r="4584" spans="1:14" ht="15.75" customHeight="1" x14ac:dyDescent="0.25">
      <c r="A4584" s="7">
        <v>2</v>
      </c>
      <c r="B4584" s="41" t="s">
        <v>1706</v>
      </c>
      <c r="C4584" s="7">
        <v>10</v>
      </c>
      <c r="D4584" s="7" t="s">
        <v>19</v>
      </c>
      <c r="E4584" s="37">
        <v>204250</v>
      </c>
      <c r="F4584" s="37">
        <f>E4584*C4584</f>
        <v>2042500</v>
      </c>
      <c r="G4584" s="25"/>
      <c r="H4584" s="11"/>
      <c r="I4584" s="21"/>
      <c r="J4584" s="21"/>
      <c r="K4584" s="21"/>
      <c r="L4584" s="21"/>
      <c r="M4584" s="21"/>
      <c r="N4584" s="21"/>
    </row>
    <row r="4585" spans="1:14" ht="15.75" customHeight="1" x14ac:dyDescent="0.25">
      <c r="A4585" s="7"/>
      <c r="B4585" s="343" t="s">
        <v>342</v>
      </c>
      <c r="C4585" s="344"/>
      <c r="D4585" s="344"/>
      <c r="E4585" s="334"/>
      <c r="F4585" s="104">
        <f>SUM(F4583:F4584)</f>
        <v>2290450</v>
      </c>
      <c r="G4585" s="25"/>
      <c r="H4585" s="11"/>
      <c r="I4585" s="21"/>
      <c r="J4585" s="21"/>
      <c r="K4585" s="21"/>
      <c r="L4585" s="21"/>
      <c r="M4585" s="21"/>
      <c r="N4585" s="21"/>
    </row>
    <row r="4586" spans="1:14" ht="15.75" customHeight="1" x14ac:dyDescent="0.25">
      <c r="A4586" s="7"/>
      <c r="B4586" s="343" t="s">
        <v>343</v>
      </c>
      <c r="C4586" s="344"/>
      <c r="D4586" s="344"/>
      <c r="E4586" s="334"/>
      <c r="F4586" s="167">
        <f>F4585*11%</f>
        <v>251949.5</v>
      </c>
      <c r="G4586" s="25"/>
      <c r="H4586" s="11"/>
      <c r="I4586" s="21"/>
      <c r="J4586" s="21"/>
      <c r="K4586" s="21"/>
      <c r="L4586" s="21"/>
      <c r="M4586" s="21"/>
      <c r="N4586" s="21"/>
    </row>
    <row r="4587" spans="1:14" ht="15.75" customHeight="1" x14ac:dyDescent="0.25">
      <c r="A4587" s="7"/>
      <c r="B4587" s="345" t="s">
        <v>344</v>
      </c>
      <c r="C4587" s="344"/>
      <c r="D4587" s="344"/>
      <c r="E4587" s="334"/>
      <c r="F4587" s="168">
        <f>SUM(F4585:F4586)</f>
        <v>2542399.5</v>
      </c>
      <c r="G4587" s="25"/>
      <c r="H4587" s="11"/>
      <c r="I4587" s="21"/>
      <c r="J4587" s="21"/>
      <c r="K4587" s="21"/>
      <c r="L4587" s="21"/>
      <c r="M4587" s="21"/>
      <c r="N4587" s="21"/>
    </row>
    <row r="4588" spans="1:14" ht="15.75" customHeight="1" x14ac:dyDescent="0.25">
      <c r="A4588" s="21"/>
      <c r="B4588" s="21"/>
      <c r="C4588" s="11"/>
      <c r="D4588" s="11"/>
      <c r="E4588" s="21"/>
      <c r="F4588" s="21"/>
      <c r="G4588" s="25"/>
      <c r="H4588" s="11"/>
      <c r="I4588" s="21"/>
      <c r="J4588" s="21"/>
      <c r="K4588" s="21"/>
      <c r="L4588" s="21"/>
      <c r="M4588" s="21"/>
      <c r="N4588" s="21"/>
    </row>
    <row r="4589" spans="1:14" ht="15.75" customHeight="1" x14ac:dyDescent="0.25">
      <c r="A4589" s="31" t="s">
        <v>14</v>
      </c>
      <c r="B4589" s="31" t="s">
        <v>234</v>
      </c>
      <c r="C4589" s="31" t="s">
        <v>16</v>
      </c>
      <c r="D4589" s="31" t="s">
        <v>17</v>
      </c>
      <c r="E4589" s="31" t="s">
        <v>235</v>
      </c>
      <c r="F4589" s="31" t="s">
        <v>236</v>
      </c>
      <c r="G4589" s="25"/>
      <c r="H4589" s="11"/>
      <c r="I4589" s="21"/>
      <c r="J4589" s="21"/>
      <c r="K4589" s="21"/>
      <c r="L4589" s="21"/>
      <c r="M4589" s="21"/>
      <c r="N4589" s="21"/>
    </row>
    <row r="4590" spans="1:14" ht="15.75" customHeight="1" x14ac:dyDescent="0.25">
      <c r="A4590" s="7">
        <v>1</v>
      </c>
      <c r="B4590" s="41" t="s">
        <v>1707</v>
      </c>
      <c r="C4590" s="7">
        <v>2</v>
      </c>
      <c r="D4590" s="7" t="s">
        <v>372</v>
      </c>
      <c r="E4590" s="108">
        <v>71978.850000000006</v>
      </c>
      <c r="F4590" s="108">
        <f>E4590*C4590</f>
        <v>143957.70000000001</v>
      </c>
      <c r="G4590" s="25"/>
      <c r="H4590" s="11"/>
      <c r="I4590" s="21"/>
      <c r="J4590" s="21"/>
      <c r="K4590" s="21"/>
      <c r="L4590" s="21"/>
      <c r="M4590" s="21"/>
      <c r="N4590" s="21"/>
    </row>
    <row r="4591" spans="1:14" ht="15.75" customHeight="1" x14ac:dyDescent="0.25">
      <c r="A4591" s="7">
        <v>2</v>
      </c>
      <c r="B4591" s="41" t="s">
        <v>1708</v>
      </c>
      <c r="C4591" s="7">
        <v>1</v>
      </c>
      <c r="D4591" s="7" t="s">
        <v>19</v>
      </c>
      <c r="E4591" s="108">
        <v>77153.8</v>
      </c>
      <c r="F4591" s="108">
        <f>E4591*C4591</f>
        <v>77153.8</v>
      </c>
      <c r="G4591" s="25"/>
      <c r="H4591" s="11"/>
      <c r="I4591" s="21"/>
      <c r="J4591" s="21"/>
      <c r="K4591" s="21"/>
      <c r="L4591" s="21"/>
      <c r="M4591" s="21"/>
      <c r="N4591" s="21"/>
    </row>
    <row r="4592" spans="1:14" ht="15.75" customHeight="1" x14ac:dyDescent="0.25">
      <c r="A4592" s="7"/>
      <c r="B4592" s="343" t="s">
        <v>342</v>
      </c>
      <c r="C4592" s="344"/>
      <c r="D4592" s="344"/>
      <c r="E4592" s="334"/>
      <c r="F4592" s="167">
        <f>SUM(F4590:F4591)</f>
        <v>221111.5</v>
      </c>
      <c r="G4592" s="25"/>
      <c r="H4592" s="11"/>
      <c r="I4592" s="21"/>
      <c r="J4592" s="21"/>
      <c r="K4592" s="21"/>
      <c r="L4592" s="21"/>
      <c r="M4592" s="21"/>
      <c r="N4592" s="21"/>
    </row>
    <row r="4593" spans="1:14" ht="15.75" customHeight="1" x14ac:dyDescent="0.25">
      <c r="A4593" s="7"/>
      <c r="B4593" s="343" t="s">
        <v>343</v>
      </c>
      <c r="C4593" s="344"/>
      <c r="D4593" s="344"/>
      <c r="E4593" s="334"/>
      <c r="F4593" s="167">
        <f>F4592*11%</f>
        <v>24322.264999999999</v>
      </c>
      <c r="G4593" s="25"/>
      <c r="H4593" s="11"/>
      <c r="I4593" s="21"/>
      <c r="J4593" s="21"/>
      <c r="K4593" s="21"/>
      <c r="L4593" s="21"/>
      <c r="M4593" s="21"/>
      <c r="N4593" s="21"/>
    </row>
    <row r="4594" spans="1:14" ht="15.75" customHeight="1" x14ac:dyDescent="0.25">
      <c r="A4594" s="7"/>
      <c r="B4594" s="345" t="s">
        <v>344</v>
      </c>
      <c r="C4594" s="344"/>
      <c r="D4594" s="344"/>
      <c r="E4594" s="334"/>
      <c r="F4594" s="168">
        <f>SUM(F4592:F4593)</f>
        <v>245433.76500000001</v>
      </c>
      <c r="G4594" s="25"/>
      <c r="H4594" s="11"/>
      <c r="I4594" s="21"/>
      <c r="J4594" s="21"/>
      <c r="K4594" s="21"/>
      <c r="L4594" s="21"/>
      <c r="M4594" s="21"/>
      <c r="N4594" s="21"/>
    </row>
    <row r="4595" spans="1:14" ht="15.75" customHeight="1" x14ac:dyDescent="0.25">
      <c r="A4595" s="21"/>
      <c r="B4595" s="21"/>
      <c r="C4595" s="11"/>
      <c r="D4595" s="11"/>
      <c r="E4595" s="21"/>
      <c r="F4595" s="21"/>
      <c r="G4595" s="25"/>
      <c r="H4595" s="11"/>
      <c r="I4595" s="21"/>
      <c r="J4595" s="21"/>
      <c r="K4595" s="21"/>
      <c r="L4595" s="21"/>
      <c r="M4595" s="21"/>
      <c r="N4595" s="21"/>
    </row>
    <row r="4596" spans="1:14" ht="15.75" customHeight="1" x14ac:dyDescent="0.25">
      <c r="A4596" s="21"/>
      <c r="B4596" s="21"/>
      <c r="C4596" s="11"/>
      <c r="D4596" s="11"/>
      <c r="E4596" s="21"/>
      <c r="F4596" s="21"/>
      <c r="G4596" s="25"/>
      <c r="H4596" s="11"/>
      <c r="I4596" s="21"/>
      <c r="J4596" s="21"/>
      <c r="K4596" s="21"/>
      <c r="L4596" s="21"/>
      <c r="M4596" s="21"/>
      <c r="N4596" s="21"/>
    </row>
    <row r="4597" spans="1:14" ht="15.75" customHeight="1" x14ac:dyDescent="0.25">
      <c r="A4597" s="21"/>
      <c r="B4597" s="21"/>
      <c r="C4597" s="11"/>
      <c r="D4597" s="11"/>
      <c r="E4597" s="21"/>
      <c r="F4597" s="21"/>
      <c r="G4597" s="25"/>
      <c r="H4597" s="11"/>
      <c r="I4597" s="21"/>
      <c r="J4597" s="21"/>
      <c r="K4597" s="21"/>
      <c r="L4597" s="21"/>
      <c r="M4597" s="21"/>
      <c r="N4597" s="21"/>
    </row>
    <row r="4598" spans="1:14" ht="15.75" customHeight="1" x14ac:dyDescent="0.25">
      <c r="A4598" s="31" t="s">
        <v>14</v>
      </c>
      <c r="B4598" s="31" t="s">
        <v>234</v>
      </c>
      <c r="C4598" s="31" t="s">
        <v>16</v>
      </c>
      <c r="D4598" s="31" t="s">
        <v>17</v>
      </c>
      <c r="E4598" s="31" t="s">
        <v>235</v>
      </c>
      <c r="F4598" s="31" t="s">
        <v>236</v>
      </c>
      <c r="G4598" s="25"/>
      <c r="H4598" s="11"/>
      <c r="I4598" s="21"/>
      <c r="J4598" s="21"/>
      <c r="K4598" s="21"/>
      <c r="L4598" s="21"/>
      <c r="M4598" s="21"/>
      <c r="N4598" s="21"/>
    </row>
    <row r="4599" spans="1:14" ht="15.75" customHeight="1" x14ac:dyDescent="0.25">
      <c r="A4599" s="7">
        <v>1</v>
      </c>
      <c r="B4599" s="124" t="s">
        <v>1709</v>
      </c>
      <c r="C4599" s="7">
        <v>12</v>
      </c>
      <c r="D4599" s="7" t="s">
        <v>19</v>
      </c>
      <c r="E4599" s="36">
        <v>62550</v>
      </c>
      <c r="F4599" s="36">
        <f>E4599*C4599</f>
        <v>750600</v>
      </c>
      <c r="G4599" s="25"/>
      <c r="H4599" s="11"/>
      <c r="I4599" s="21"/>
      <c r="J4599" s="21"/>
      <c r="K4599" s="21"/>
      <c r="L4599" s="21"/>
      <c r="M4599" s="21"/>
      <c r="N4599" s="21"/>
    </row>
    <row r="4600" spans="1:14" ht="15.75" customHeight="1" x14ac:dyDescent="0.25">
      <c r="A4600" s="7">
        <v>2</v>
      </c>
      <c r="B4600" s="124" t="s">
        <v>1710</v>
      </c>
      <c r="C4600" s="7">
        <v>20</v>
      </c>
      <c r="D4600" s="7" t="s">
        <v>19</v>
      </c>
      <c r="E4600" s="36">
        <v>108500</v>
      </c>
      <c r="F4600" s="36">
        <f>E4600*C4600</f>
        <v>2170000</v>
      </c>
      <c r="G4600" s="25"/>
      <c r="H4600" s="11"/>
      <c r="I4600" s="21"/>
      <c r="J4600" s="21"/>
      <c r="K4600" s="21"/>
      <c r="L4600" s="21"/>
      <c r="M4600" s="21"/>
      <c r="N4600" s="21"/>
    </row>
    <row r="4601" spans="1:14" ht="15.75" customHeight="1" x14ac:dyDescent="0.25">
      <c r="A4601" s="7">
        <v>3</v>
      </c>
      <c r="B4601" s="124" t="s">
        <v>1711</v>
      </c>
      <c r="C4601" s="7">
        <v>24</v>
      </c>
      <c r="D4601" s="7" t="s">
        <v>19</v>
      </c>
      <c r="E4601" s="36">
        <v>5000</v>
      </c>
      <c r="F4601" s="36">
        <f>E4601*C4601</f>
        <v>120000</v>
      </c>
      <c r="G4601" s="25"/>
      <c r="H4601" s="11"/>
      <c r="I4601" s="21"/>
      <c r="J4601" s="21"/>
      <c r="K4601" s="21"/>
      <c r="L4601" s="21"/>
      <c r="M4601" s="21"/>
      <c r="N4601" s="21"/>
    </row>
    <row r="4602" spans="1:14" ht="15.75" customHeight="1" x14ac:dyDescent="0.25">
      <c r="A4602" s="7"/>
      <c r="B4602" s="343" t="s">
        <v>342</v>
      </c>
      <c r="C4602" s="344"/>
      <c r="D4602" s="344"/>
      <c r="E4602" s="334"/>
      <c r="F4602" s="104">
        <f>SUM(F4599:F4601)</f>
        <v>3040600</v>
      </c>
      <c r="G4602" s="25"/>
      <c r="H4602" s="11"/>
      <c r="I4602" s="21"/>
      <c r="J4602" s="21"/>
      <c r="K4602" s="21"/>
      <c r="L4602" s="21"/>
      <c r="M4602" s="21"/>
      <c r="N4602" s="21"/>
    </row>
    <row r="4603" spans="1:14" ht="15.75" customHeight="1" x14ac:dyDescent="0.25">
      <c r="A4603" s="7"/>
      <c r="B4603" s="343" t="s">
        <v>343</v>
      </c>
      <c r="C4603" s="344"/>
      <c r="D4603" s="344"/>
      <c r="E4603" s="334"/>
      <c r="F4603" s="104">
        <f>F4602*11%</f>
        <v>334466</v>
      </c>
      <c r="G4603" s="25"/>
      <c r="H4603" s="11"/>
      <c r="I4603" s="21"/>
      <c r="J4603" s="21"/>
      <c r="K4603" s="21"/>
      <c r="L4603" s="21"/>
      <c r="M4603" s="21"/>
      <c r="N4603" s="21"/>
    </row>
    <row r="4604" spans="1:14" ht="15.75" customHeight="1" x14ac:dyDescent="0.25">
      <c r="A4604" s="7"/>
      <c r="B4604" s="345" t="s">
        <v>344</v>
      </c>
      <c r="C4604" s="344"/>
      <c r="D4604" s="344"/>
      <c r="E4604" s="334"/>
      <c r="F4604" s="107">
        <f>SUM(F4602:F4603)</f>
        <v>3375066</v>
      </c>
      <c r="G4604" s="25"/>
      <c r="H4604" s="11"/>
      <c r="I4604" s="21"/>
      <c r="J4604" s="21"/>
      <c r="K4604" s="21"/>
      <c r="L4604" s="21"/>
      <c r="M4604" s="21"/>
      <c r="N4604" s="21"/>
    </row>
    <row r="4605" spans="1:14" ht="15.75" customHeight="1" x14ac:dyDescent="0.25">
      <c r="A4605" s="21"/>
      <c r="B4605" s="21"/>
      <c r="C4605" s="11"/>
      <c r="D4605" s="11"/>
      <c r="E4605" s="21"/>
      <c r="F4605" s="21"/>
      <c r="G4605" s="25"/>
      <c r="H4605" s="11"/>
      <c r="I4605" s="21"/>
      <c r="J4605" s="21"/>
      <c r="K4605" s="21"/>
      <c r="L4605" s="21"/>
      <c r="M4605" s="21"/>
      <c r="N4605" s="21"/>
    </row>
    <row r="4606" spans="1:14" ht="15.75" customHeight="1" x14ac:dyDescent="0.25">
      <c r="A4606" s="31" t="s">
        <v>14</v>
      </c>
      <c r="B4606" s="31" t="s">
        <v>234</v>
      </c>
      <c r="C4606" s="31" t="s">
        <v>16</v>
      </c>
      <c r="D4606" s="31" t="s">
        <v>17</v>
      </c>
      <c r="E4606" s="31" t="s">
        <v>235</v>
      </c>
      <c r="F4606" s="31" t="s">
        <v>236</v>
      </c>
      <c r="G4606" s="25"/>
      <c r="H4606" s="11"/>
      <c r="I4606" s="21"/>
      <c r="J4606" s="21"/>
      <c r="K4606" s="21"/>
      <c r="L4606" s="21"/>
      <c r="M4606" s="21"/>
      <c r="N4606" s="21"/>
    </row>
    <row r="4607" spans="1:14" ht="15.75" customHeight="1" x14ac:dyDescent="0.25">
      <c r="A4607" s="7">
        <v>1</v>
      </c>
      <c r="B4607" s="124" t="s">
        <v>1712</v>
      </c>
      <c r="C4607" s="7">
        <v>1</v>
      </c>
      <c r="D4607" s="7" t="s">
        <v>251</v>
      </c>
      <c r="E4607" s="36">
        <v>490960</v>
      </c>
      <c r="F4607" s="36">
        <f>E4607*C4607</f>
        <v>490960</v>
      </c>
      <c r="G4607" s="25"/>
      <c r="H4607" s="11"/>
      <c r="I4607" s="21"/>
      <c r="J4607" s="21"/>
      <c r="K4607" s="21"/>
      <c r="L4607" s="21"/>
      <c r="M4607" s="21"/>
      <c r="N4607" s="21"/>
    </row>
    <row r="4608" spans="1:14" ht="15.75" customHeight="1" x14ac:dyDescent="0.25">
      <c r="A4608" s="7">
        <v>2</v>
      </c>
      <c r="B4608" s="124" t="s">
        <v>1713</v>
      </c>
      <c r="C4608" s="7">
        <v>4</v>
      </c>
      <c r="D4608" s="7" t="s">
        <v>363</v>
      </c>
      <c r="E4608" s="36">
        <v>21375</v>
      </c>
      <c r="F4608" s="36">
        <f>E4608*C4608</f>
        <v>85500</v>
      </c>
      <c r="G4608" s="25"/>
      <c r="H4608" s="11"/>
      <c r="I4608" s="21"/>
      <c r="J4608" s="21"/>
      <c r="K4608" s="21"/>
      <c r="L4608" s="21"/>
      <c r="M4608" s="21"/>
      <c r="N4608" s="21"/>
    </row>
    <row r="4609" spans="1:14" ht="15.75" customHeight="1" x14ac:dyDescent="0.25">
      <c r="A4609" s="7">
        <v>3</v>
      </c>
      <c r="B4609" s="124" t="s">
        <v>1714</v>
      </c>
      <c r="C4609" s="7">
        <v>4</v>
      </c>
      <c r="D4609" s="7" t="s">
        <v>363</v>
      </c>
      <c r="E4609" s="36">
        <v>29260</v>
      </c>
      <c r="F4609" s="36">
        <f>E4609*C4609</f>
        <v>117040</v>
      </c>
      <c r="G4609" s="25"/>
      <c r="H4609" s="11"/>
      <c r="I4609" s="21"/>
      <c r="J4609" s="21"/>
      <c r="K4609" s="21"/>
      <c r="L4609" s="21"/>
      <c r="M4609" s="21"/>
      <c r="N4609" s="21"/>
    </row>
    <row r="4610" spans="1:14" ht="15.75" customHeight="1" x14ac:dyDescent="0.25">
      <c r="A4610" s="7"/>
      <c r="B4610" s="343" t="s">
        <v>342</v>
      </c>
      <c r="C4610" s="344"/>
      <c r="D4610" s="344"/>
      <c r="E4610" s="334"/>
      <c r="F4610" s="104">
        <f>SUM(F4607:F4609)</f>
        <v>693500</v>
      </c>
      <c r="G4610" s="25"/>
      <c r="H4610" s="11"/>
      <c r="I4610" s="21"/>
      <c r="J4610" s="21"/>
      <c r="K4610" s="21"/>
      <c r="L4610" s="21"/>
      <c r="M4610" s="21"/>
      <c r="N4610" s="21"/>
    </row>
    <row r="4611" spans="1:14" ht="15.75" customHeight="1" x14ac:dyDescent="0.25">
      <c r="A4611" s="7"/>
      <c r="B4611" s="343" t="s">
        <v>343</v>
      </c>
      <c r="C4611" s="344"/>
      <c r="D4611" s="344"/>
      <c r="E4611" s="334"/>
      <c r="F4611" s="104">
        <f>F4610*11%</f>
        <v>76285</v>
      </c>
      <c r="G4611" s="25"/>
      <c r="H4611" s="11"/>
      <c r="I4611" s="21"/>
      <c r="J4611" s="21"/>
      <c r="K4611" s="21"/>
      <c r="L4611" s="21"/>
      <c r="M4611" s="21"/>
      <c r="N4611" s="21"/>
    </row>
    <row r="4612" spans="1:14" ht="15.75" customHeight="1" x14ac:dyDescent="0.25">
      <c r="A4612" s="7"/>
      <c r="B4612" s="345" t="s">
        <v>344</v>
      </c>
      <c r="C4612" s="344"/>
      <c r="D4612" s="344"/>
      <c r="E4612" s="334"/>
      <c r="F4612" s="107">
        <f>SUM(F4610:F4611)</f>
        <v>769785</v>
      </c>
      <c r="G4612" s="25"/>
      <c r="H4612" s="11"/>
      <c r="I4612" s="21"/>
      <c r="J4612" s="21"/>
      <c r="K4612" s="21"/>
      <c r="L4612" s="21"/>
      <c r="M4612" s="21"/>
      <c r="N4612" s="21"/>
    </row>
    <row r="4613" spans="1:14" ht="15.75" customHeight="1" x14ac:dyDescent="0.25">
      <c r="A4613" s="21"/>
      <c r="B4613" s="21"/>
      <c r="C4613" s="11"/>
      <c r="D4613" s="11"/>
      <c r="E4613" s="21"/>
      <c r="F4613" s="21"/>
      <c r="G4613" s="25"/>
      <c r="H4613" s="11"/>
      <c r="I4613" s="21"/>
      <c r="J4613" s="21"/>
      <c r="K4613" s="21"/>
      <c r="L4613" s="21"/>
      <c r="M4613" s="21"/>
      <c r="N4613" s="21"/>
    </row>
    <row r="4614" spans="1:14" ht="15.75" customHeight="1" x14ac:dyDescent="0.25">
      <c r="A4614" s="21"/>
      <c r="B4614" s="21"/>
      <c r="C4614" s="11"/>
      <c r="D4614" s="11"/>
      <c r="E4614" s="21"/>
      <c r="F4614" s="21"/>
      <c r="G4614" s="25"/>
      <c r="H4614" s="11"/>
      <c r="I4614" s="21"/>
      <c r="J4614" s="21"/>
      <c r="K4614" s="21"/>
      <c r="L4614" s="21"/>
      <c r="M4614" s="21"/>
      <c r="N4614" s="21"/>
    </row>
    <row r="4615" spans="1:14" ht="15.75" customHeight="1" x14ac:dyDescent="0.25">
      <c r="A4615" s="21"/>
      <c r="B4615" s="21"/>
      <c r="C4615" s="11"/>
      <c r="D4615" s="11"/>
      <c r="E4615" s="21"/>
      <c r="F4615" s="21"/>
      <c r="G4615" s="25"/>
      <c r="H4615" s="11"/>
      <c r="I4615" s="21"/>
      <c r="J4615" s="21"/>
      <c r="K4615" s="21"/>
      <c r="L4615" s="21"/>
      <c r="M4615" s="21"/>
      <c r="N4615" s="21"/>
    </row>
    <row r="4616" spans="1:14" ht="15.75" customHeight="1" x14ac:dyDescent="0.25">
      <c r="A4616" s="31" t="s">
        <v>14</v>
      </c>
      <c r="B4616" s="31" t="s">
        <v>234</v>
      </c>
      <c r="C4616" s="31" t="s">
        <v>16</v>
      </c>
      <c r="D4616" s="31" t="s">
        <v>17</v>
      </c>
      <c r="E4616" s="31" t="s">
        <v>235</v>
      </c>
      <c r="F4616" s="31" t="s">
        <v>236</v>
      </c>
      <c r="G4616" s="25"/>
      <c r="H4616" s="11"/>
      <c r="I4616" s="21"/>
      <c r="J4616" s="21"/>
      <c r="K4616" s="21"/>
      <c r="L4616" s="21"/>
      <c r="M4616" s="21"/>
      <c r="N4616" s="21"/>
    </row>
    <row r="4617" spans="1:14" ht="15.75" customHeight="1" x14ac:dyDescent="0.25">
      <c r="A4617" s="7">
        <v>1</v>
      </c>
      <c r="B4617" s="124" t="s">
        <v>1715</v>
      </c>
      <c r="C4617" s="7">
        <v>3</v>
      </c>
      <c r="D4617" s="7" t="s">
        <v>251</v>
      </c>
      <c r="E4617" s="108">
        <v>80750</v>
      </c>
      <c r="F4617" s="108">
        <f>E4617*C4617</f>
        <v>242250</v>
      </c>
      <c r="G4617" s="25"/>
      <c r="H4617" s="11"/>
      <c r="I4617" s="21"/>
      <c r="J4617" s="21"/>
      <c r="K4617" s="21"/>
      <c r="L4617" s="21"/>
      <c r="M4617" s="21"/>
      <c r="N4617" s="21"/>
    </row>
    <row r="4618" spans="1:14" ht="15.75" customHeight="1" x14ac:dyDescent="0.25">
      <c r="A4618" s="7"/>
      <c r="B4618" s="343" t="s">
        <v>342</v>
      </c>
      <c r="C4618" s="344"/>
      <c r="D4618" s="344"/>
      <c r="E4618" s="334"/>
      <c r="F4618" s="167">
        <f>SUM(F4617)</f>
        <v>242250</v>
      </c>
      <c r="G4618" s="25"/>
      <c r="H4618" s="11"/>
      <c r="I4618" s="21"/>
      <c r="J4618" s="21"/>
      <c r="K4618" s="21"/>
      <c r="L4618" s="21"/>
      <c r="M4618" s="21"/>
      <c r="N4618" s="21"/>
    </row>
    <row r="4619" spans="1:14" ht="15.75" customHeight="1" x14ac:dyDescent="0.25">
      <c r="A4619" s="7"/>
      <c r="B4619" s="343" t="s">
        <v>343</v>
      </c>
      <c r="C4619" s="344"/>
      <c r="D4619" s="344"/>
      <c r="E4619" s="334"/>
      <c r="F4619" s="167">
        <f>F4618*11%</f>
        <v>26647.5</v>
      </c>
      <c r="G4619" s="25"/>
      <c r="H4619" s="11"/>
      <c r="I4619" s="21"/>
      <c r="J4619" s="21"/>
      <c r="K4619" s="21"/>
      <c r="L4619" s="21"/>
      <c r="M4619" s="21"/>
      <c r="N4619" s="21"/>
    </row>
    <row r="4620" spans="1:14" ht="15.75" customHeight="1" x14ac:dyDescent="0.25">
      <c r="A4620" s="7"/>
      <c r="B4620" s="345" t="s">
        <v>344</v>
      </c>
      <c r="C4620" s="344"/>
      <c r="D4620" s="344"/>
      <c r="E4620" s="334"/>
      <c r="F4620" s="168">
        <f>SUM(F4618:F4619)</f>
        <v>268897.5</v>
      </c>
      <c r="G4620" s="25"/>
      <c r="H4620" s="11"/>
      <c r="I4620" s="21"/>
      <c r="J4620" s="21"/>
      <c r="K4620" s="21"/>
      <c r="L4620" s="21"/>
      <c r="M4620" s="21"/>
      <c r="N4620" s="21"/>
    </row>
    <row r="4621" spans="1:14" ht="15.75" customHeight="1" x14ac:dyDescent="0.25">
      <c r="A4621" s="21"/>
      <c r="B4621" s="21"/>
      <c r="C4621" s="11"/>
      <c r="D4621" s="11"/>
      <c r="E4621" s="21"/>
      <c r="F4621" s="21"/>
      <c r="G4621" s="25"/>
      <c r="H4621" s="11"/>
      <c r="I4621" s="21"/>
      <c r="J4621" s="21"/>
      <c r="K4621" s="21"/>
      <c r="L4621" s="21"/>
      <c r="M4621" s="21"/>
      <c r="N4621" s="21"/>
    </row>
    <row r="4622" spans="1:14" ht="15.75" customHeight="1" x14ac:dyDescent="0.25">
      <c r="A4622" s="21"/>
      <c r="B4622" s="21"/>
      <c r="C4622" s="11"/>
      <c r="D4622" s="11"/>
      <c r="E4622" s="21"/>
      <c r="F4622" s="21"/>
      <c r="G4622" s="25"/>
      <c r="H4622" s="11"/>
      <c r="I4622" s="21"/>
      <c r="J4622" s="21"/>
      <c r="K4622" s="21"/>
      <c r="L4622" s="21"/>
      <c r="M4622" s="21"/>
      <c r="N4622" s="21"/>
    </row>
    <row r="4623" spans="1:14" ht="15.75" customHeight="1" x14ac:dyDescent="0.25">
      <c r="A4623" s="21"/>
      <c r="B4623" s="21"/>
      <c r="C4623" s="11"/>
      <c r="D4623" s="11"/>
      <c r="E4623" s="21"/>
      <c r="F4623" s="21"/>
      <c r="G4623" s="25"/>
      <c r="H4623" s="11"/>
      <c r="I4623" s="21"/>
      <c r="J4623" s="21"/>
      <c r="K4623" s="21"/>
      <c r="L4623" s="21"/>
      <c r="M4623" s="21"/>
      <c r="N4623" s="21"/>
    </row>
    <row r="4624" spans="1:14" ht="15.75" customHeight="1" x14ac:dyDescent="0.25">
      <c r="A4624" s="31" t="s">
        <v>14</v>
      </c>
      <c r="B4624" s="31" t="s">
        <v>234</v>
      </c>
      <c r="C4624" s="31" t="s">
        <v>16</v>
      </c>
      <c r="D4624" s="31" t="s">
        <v>17</v>
      </c>
      <c r="E4624" s="31" t="s">
        <v>235</v>
      </c>
      <c r="F4624" s="31" t="s">
        <v>236</v>
      </c>
      <c r="G4624" s="25"/>
      <c r="H4624" s="11"/>
      <c r="I4624" s="21"/>
      <c r="J4624" s="21"/>
      <c r="K4624" s="21"/>
      <c r="L4624" s="21"/>
      <c r="M4624" s="21"/>
      <c r="N4624" s="21"/>
    </row>
    <row r="4625" spans="1:14" ht="15.75" customHeight="1" x14ac:dyDescent="0.25">
      <c r="A4625" s="7">
        <v>1</v>
      </c>
      <c r="B4625" s="35" t="s">
        <v>531</v>
      </c>
      <c r="C4625" s="7">
        <v>12</v>
      </c>
      <c r="D4625" s="7" t="s">
        <v>363</v>
      </c>
      <c r="E4625" s="37">
        <v>58500</v>
      </c>
      <c r="F4625" s="37">
        <f t="shared" ref="F4625:F4631" si="51">E4625*C4625</f>
        <v>702000</v>
      </c>
      <c r="G4625" s="25"/>
      <c r="H4625" s="11"/>
      <c r="I4625" s="21"/>
      <c r="J4625" s="21"/>
      <c r="K4625" s="21"/>
      <c r="L4625" s="21"/>
      <c r="M4625" s="21"/>
      <c r="N4625" s="21"/>
    </row>
    <row r="4626" spans="1:14" ht="15.75" customHeight="1" x14ac:dyDescent="0.25">
      <c r="A4626" s="7">
        <v>2</v>
      </c>
      <c r="B4626" s="35" t="s">
        <v>1716</v>
      </c>
      <c r="C4626" s="7">
        <v>6</v>
      </c>
      <c r="D4626" s="7" t="s">
        <v>363</v>
      </c>
      <c r="E4626" s="37">
        <v>60500</v>
      </c>
      <c r="F4626" s="37">
        <f t="shared" si="51"/>
        <v>363000</v>
      </c>
      <c r="G4626" s="25"/>
      <c r="H4626" s="11"/>
      <c r="I4626" s="21"/>
      <c r="J4626" s="21"/>
      <c r="K4626" s="21"/>
      <c r="L4626" s="21"/>
      <c r="M4626" s="21"/>
      <c r="N4626" s="21"/>
    </row>
    <row r="4627" spans="1:14" ht="15.75" customHeight="1" x14ac:dyDescent="0.25">
      <c r="A4627" s="7">
        <v>3</v>
      </c>
      <c r="B4627" s="41" t="s">
        <v>1717</v>
      </c>
      <c r="C4627" s="7">
        <v>6</v>
      </c>
      <c r="D4627" s="7" t="s">
        <v>363</v>
      </c>
      <c r="E4627" s="37">
        <v>34800</v>
      </c>
      <c r="F4627" s="37">
        <f t="shared" si="51"/>
        <v>208800</v>
      </c>
      <c r="G4627" s="25"/>
      <c r="H4627" s="11"/>
      <c r="I4627" s="21"/>
      <c r="J4627" s="21"/>
      <c r="K4627" s="21"/>
      <c r="L4627" s="21"/>
      <c r="M4627" s="21"/>
      <c r="N4627" s="21"/>
    </row>
    <row r="4628" spans="1:14" ht="15.75" customHeight="1" x14ac:dyDescent="0.25">
      <c r="A4628" s="7">
        <v>4</v>
      </c>
      <c r="B4628" s="41" t="s">
        <v>1718</v>
      </c>
      <c r="C4628" s="7">
        <v>6</v>
      </c>
      <c r="D4628" s="7" t="s">
        <v>363</v>
      </c>
      <c r="E4628" s="37">
        <v>37500</v>
      </c>
      <c r="F4628" s="37">
        <f t="shared" si="51"/>
        <v>225000</v>
      </c>
      <c r="G4628" s="25"/>
      <c r="H4628" s="11"/>
      <c r="I4628" s="21"/>
      <c r="J4628" s="21"/>
      <c r="K4628" s="21"/>
      <c r="L4628" s="21"/>
      <c r="M4628" s="21"/>
      <c r="N4628" s="21"/>
    </row>
    <row r="4629" spans="1:14" ht="15.75" customHeight="1" x14ac:dyDescent="0.25">
      <c r="A4629" s="7">
        <v>5</v>
      </c>
      <c r="B4629" s="41" t="s">
        <v>1719</v>
      </c>
      <c r="C4629" s="7">
        <v>6</v>
      </c>
      <c r="D4629" s="7" t="s">
        <v>363</v>
      </c>
      <c r="E4629" s="37">
        <v>39800</v>
      </c>
      <c r="F4629" s="37">
        <f t="shared" si="51"/>
        <v>238800</v>
      </c>
      <c r="G4629" s="25"/>
      <c r="H4629" s="11"/>
      <c r="I4629" s="21"/>
      <c r="J4629" s="21"/>
      <c r="K4629" s="21"/>
      <c r="L4629" s="21"/>
      <c r="M4629" s="21"/>
      <c r="N4629" s="21"/>
    </row>
    <row r="4630" spans="1:14" ht="15.75" customHeight="1" x14ac:dyDescent="0.25">
      <c r="A4630" s="7">
        <v>6</v>
      </c>
      <c r="B4630" s="41" t="s">
        <v>1720</v>
      </c>
      <c r="C4630" s="7">
        <v>6</v>
      </c>
      <c r="D4630" s="7" t="s">
        <v>363</v>
      </c>
      <c r="E4630" s="37">
        <v>17500</v>
      </c>
      <c r="F4630" s="37">
        <f t="shared" si="51"/>
        <v>105000</v>
      </c>
      <c r="G4630" s="25"/>
      <c r="H4630" s="11"/>
      <c r="I4630" s="21"/>
      <c r="J4630" s="21"/>
      <c r="K4630" s="21"/>
      <c r="L4630" s="21"/>
      <c r="M4630" s="21"/>
      <c r="N4630" s="21"/>
    </row>
    <row r="4631" spans="1:14" ht="15.75" customHeight="1" x14ac:dyDescent="0.25">
      <c r="A4631" s="7">
        <v>7</v>
      </c>
      <c r="B4631" s="41" t="s">
        <v>1721</v>
      </c>
      <c r="C4631" s="7">
        <v>6</v>
      </c>
      <c r="D4631" s="7" t="s">
        <v>363</v>
      </c>
      <c r="E4631" s="37">
        <v>19500</v>
      </c>
      <c r="F4631" s="37">
        <f t="shared" si="51"/>
        <v>117000</v>
      </c>
      <c r="G4631" s="25"/>
      <c r="H4631" s="11"/>
      <c r="I4631" s="21"/>
      <c r="J4631" s="21"/>
      <c r="K4631" s="21"/>
      <c r="L4631" s="21"/>
      <c r="M4631" s="21"/>
      <c r="N4631" s="21"/>
    </row>
    <row r="4632" spans="1:14" ht="15.75" customHeight="1" x14ac:dyDescent="0.25">
      <c r="A4632" s="7"/>
      <c r="B4632" s="343" t="s">
        <v>342</v>
      </c>
      <c r="C4632" s="344"/>
      <c r="D4632" s="344"/>
      <c r="E4632" s="334"/>
      <c r="F4632" s="104">
        <f>SUM(F4625:F4631)</f>
        <v>1959600</v>
      </c>
      <c r="G4632" s="25"/>
      <c r="H4632" s="11"/>
      <c r="I4632" s="21"/>
      <c r="J4632" s="21"/>
      <c r="K4632" s="21"/>
      <c r="L4632" s="21"/>
      <c r="M4632" s="21"/>
      <c r="N4632" s="21"/>
    </row>
    <row r="4633" spans="1:14" ht="15.75" customHeight="1" x14ac:dyDescent="0.25">
      <c r="A4633" s="7"/>
      <c r="B4633" s="343" t="s">
        <v>343</v>
      </c>
      <c r="C4633" s="344"/>
      <c r="D4633" s="344"/>
      <c r="E4633" s="334"/>
      <c r="F4633" s="104">
        <v>98406</v>
      </c>
      <c r="G4633" s="25"/>
      <c r="H4633" s="11"/>
      <c r="I4633" s="21"/>
      <c r="J4633" s="21"/>
      <c r="K4633" s="21"/>
      <c r="L4633" s="21"/>
      <c r="M4633" s="21"/>
      <c r="N4633" s="21"/>
    </row>
    <row r="4634" spans="1:14" ht="15.75" customHeight="1" x14ac:dyDescent="0.25">
      <c r="A4634" s="7"/>
      <c r="B4634" s="345" t="s">
        <v>344</v>
      </c>
      <c r="C4634" s="344"/>
      <c r="D4634" s="344"/>
      <c r="E4634" s="334"/>
      <c r="F4634" s="107">
        <f>SUM(F4632:F4633)</f>
        <v>2058006</v>
      </c>
      <c r="G4634" s="25"/>
      <c r="H4634" s="11"/>
      <c r="I4634" s="21"/>
      <c r="J4634" s="21"/>
      <c r="K4634" s="21"/>
      <c r="L4634" s="21"/>
      <c r="M4634" s="21"/>
      <c r="N4634" s="21"/>
    </row>
    <row r="4635" spans="1:14" ht="15.75" customHeight="1" x14ac:dyDescent="0.25">
      <c r="A4635" s="21"/>
      <c r="B4635" s="21"/>
      <c r="C4635" s="11"/>
      <c r="D4635" s="11"/>
      <c r="E4635" s="21"/>
      <c r="F4635" s="21"/>
      <c r="G4635" s="25"/>
      <c r="H4635" s="11"/>
      <c r="I4635" s="21"/>
      <c r="J4635" s="21"/>
      <c r="K4635" s="21"/>
      <c r="L4635" s="21"/>
      <c r="M4635" s="21"/>
      <c r="N4635" s="21"/>
    </row>
    <row r="4636" spans="1:14" ht="15.75" customHeight="1" x14ac:dyDescent="0.25">
      <c r="A4636" s="21"/>
      <c r="B4636" s="21"/>
      <c r="C4636" s="11"/>
      <c r="D4636" s="11"/>
      <c r="E4636" s="21"/>
      <c r="F4636" s="21"/>
      <c r="G4636" s="25"/>
      <c r="H4636" s="11"/>
      <c r="I4636" s="21"/>
      <c r="J4636" s="21"/>
      <c r="K4636" s="21"/>
      <c r="L4636" s="21"/>
      <c r="M4636" s="21"/>
      <c r="N4636" s="21"/>
    </row>
    <row r="4637" spans="1:14" ht="15.75" customHeight="1" x14ac:dyDescent="0.25">
      <c r="A4637" s="31" t="s">
        <v>14</v>
      </c>
      <c r="B4637" s="31" t="s">
        <v>234</v>
      </c>
      <c r="C4637" s="31" t="s">
        <v>16</v>
      </c>
      <c r="D4637" s="31" t="s">
        <v>17</v>
      </c>
      <c r="E4637" s="31" t="s">
        <v>235</v>
      </c>
      <c r="F4637" s="31" t="s">
        <v>236</v>
      </c>
      <c r="G4637" s="144" t="s">
        <v>1722</v>
      </c>
      <c r="H4637" s="11"/>
      <c r="I4637" s="21"/>
      <c r="J4637" s="21"/>
      <c r="K4637" s="21"/>
      <c r="L4637" s="21"/>
      <c r="M4637" s="21"/>
      <c r="N4637" s="21"/>
    </row>
    <row r="4638" spans="1:14" ht="15.75" customHeight="1" x14ac:dyDescent="0.25">
      <c r="A4638" s="7">
        <v>1</v>
      </c>
      <c r="B4638" s="41" t="s">
        <v>1723</v>
      </c>
      <c r="C4638" s="7">
        <v>10</v>
      </c>
      <c r="D4638" s="7" t="s">
        <v>19</v>
      </c>
      <c r="E4638" s="37">
        <v>50925</v>
      </c>
      <c r="F4638" s="37">
        <f>E4638*C4638</f>
        <v>509250</v>
      </c>
      <c r="G4638" s="25"/>
      <c r="H4638" s="11"/>
      <c r="I4638" s="21"/>
      <c r="J4638" s="21"/>
      <c r="K4638" s="21"/>
      <c r="L4638" s="21"/>
      <c r="M4638" s="21"/>
      <c r="N4638" s="21"/>
    </row>
    <row r="4639" spans="1:14" ht="15.75" customHeight="1" x14ac:dyDescent="0.25">
      <c r="A4639" s="7"/>
      <c r="B4639" s="343" t="s">
        <v>342</v>
      </c>
      <c r="C4639" s="344"/>
      <c r="D4639" s="344"/>
      <c r="E4639" s="334"/>
      <c r="F4639" s="104">
        <f>SUM(F4638)</f>
        <v>509250</v>
      </c>
      <c r="G4639" s="25"/>
      <c r="H4639" s="11"/>
      <c r="I4639" s="21"/>
      <c r="J4639" s="21"/>
      <c r="K4639" s="21"/>
      <c r="L4639" s="21"/>
      <c r="M4639" s="21"/>
      <c r="N4639" s="21"/>
    </row>
    <row r="4640" spans="1:14" ht="15.75" customHeight="1" x14ac:dyDescent="0.25">
      <c r="A4640" s="7"/>
      <c r="B4640" s="343" t="s">
        <v>343</v>
      </c>
      <c r="C4640" s="344"/>
      <c r="D4640" s="344"/>
      <c r="E4640" s="334"/>
      <c r="F4640" s="167">
        <f>F4639*11%</f>
        <v>56017.5</v>
      </c>
      <c r="G4640" s="25"/>
      <c r="H4640" s="11"/>
      <c r="I4640" s="21"/>
      <c r="J4640" s="21"/>
      <c r="K4640" s="21"/>
      <c r="L4640" s="21"/>
      <c r="M4640" s="21"/>
      <c r="N4640" s="21"/>
    </row>
    <row r="4641" spans="1:14" ht="15.75" customHeight="1" x14ac:dyDescent="0.25">
      <c r="A4641" s="7"/>
      <c r="B4641" s="345" t="s">
        <v>344</v>
      </c>
      <c r="C4641" s="344"/>
      <c r="D4641" s="344"/>
      <c r="E4641" s="334"/>
      <c r="F4641" s="168">
        <f>SUM(F4639:F4640)</f>
        <v>565267.5</v>
      </c>
      <c r="G4641" s="25"/>
      <c r="H4641" s="11"/>
      <c r="I4641" s="21"/>
      <c r="J4641" s="21"/>
      <c r="K4641" s="21"/>
      <c r="L4641" s="21"/>
      <c r="M4641" s="21"/>
      <c r="N4641" s="21"/>
    </row>
    <row r="4642" spans="1:14" ht="15.75" customHeight="1" x14ac:dyDescent="0.25">
      <c r="A4642" s="21"/>
      <c r="B4642" s="21"/>
      <c r="C4642" s="11"/>
      <c r="D4642" s="11"/>
      <c r="E4642" s="21"/>
      <c r="F4642" s="21"/>
      <c r="G4642" s="25"/>
      <c r="H4642" s="11"/>
      <c r="I4642" s="21"/>
      <c r="J4642" s="21"/>
      <c r="K4642" s="21"/>
      <c r="L4642" s="21"/>
      <c r="M4642" s="21"/>
      <c r="N4642" s="21"/>
    </row>
    <row r="4643" spans="1:14" ht="15.75" customHeight="1" x14ac:dyDescent="0.25">
      <c r="A4643" s="21"/>
      <c r="B4643" s="21"/>
      <c r="C4643" s="11"/>
      <c r="D4643" s="11"/>
      <c r="E4643" s="21"/>
      <c r="F4643" s="21"/>
      <c r="G4643" s="25"/>
      <c r="H4643" s="11"/>
      <c r="I4643" s="21"/>
      <c r="J4643" s="21"/>
      <c r="K4643" s="21"/>
      <c r="L4643" s="21"/>
      <c r="M4643" s="21"/>
      <c r="N4643" s="21"/>
    </row>
    <row r="4644" spans="1:14" ht="15.75" customHeight="1" x14ac:dyDescent="0.25">
      <c r="A4644" s="31" t="s">
        <v>14</v>
      </c>
      <c r="B4644" s="31" t="s">
        <v>234</v>
      </c>
      <c r="C4644" s="31" t="s">
        <v>16</v>
      </c>
      <c r="D4644" s="31" t="s">
        <v>17</v>
      </c>
      <c r="E4644" s="31" t="s">
        <v>235</v>
      </c>
      <c r="F4644" s="31" t="s">
        <v>236</v>
      </c>
      <c r="G4644" s="144" t="s">
        <v>1724</v>
      </c>
      <c r="H4644" s="11"/>
      <c r="I4644" s="21"/>
      <c r="J4644" s="21"/>
      <c r="K4644" s="21"/>
      <c r="L4644" s="21"/>
      <c r="M4644" s="21"/>
      <c r="N4644" s="21"/>
    </row>
    <row r="4645" spans="1:14" ht="15.75" customHeight="1" x14ac:dyDescent="0.25">
      <c r="A4645" s="7">
        <v>1</v>
      </c>
      <c r="B4645" s="41" t="s">
        <v>1725</v>
      </c>
      <c r="C4645" s="7">
        <v>5</v>
      </c>
      <c r="D4645" s="7" t="s">
        <v>19</v>
      </c>
      <c r="E4645" s="37">
        <v>137800</v>
      </c>
      <c r="F4645" s="37">
        <f>E4645*C4645</f>
        <v>689000</v>
      </c>
      <c r="G4645" s="25"/>
      <c r="H4645" s="11"/>
      <c r="I4645" s="21"/>
      <c r="J4645" s="21"/>
      <c r="K4645" s="21"/>
      <c r="L4645" s="21"/>
      <c r="M4645" s="21"/>
      <c r="N4645" s="21"/>
    </row>
    <row r="4646" spans="1:14" ht="15.75" customHeight="1" x14ac:dyDescent="0.25">
      <c r="A4646" s="7"/>
      <c r="B4646" s="343" t="s">
        <v>342</v>
      </c>
      <c r="C4646" s="344"/>
      <c r="D4646" s="344"/>
      <c r="E4646" s="334"/>
      <c r="F4646" s="104">
        <f>SUM(F4645)</f>
        <v>689000</v>
      </c>
      <c r="G4646" s="25"/>
      <c r="H4646" s="11"/>
      <c r="I4646" s="21"/>
      <c r="J4646" s="21"/>
      <c r="K4646" s="21"/>
      <c r="L4646" s="21"/>
      <c r="M4646" s="21"/>
      <c r="N4646" s="21"/>
    </row>
    <row r="4647" spans="1:14" ht="15.75" customHeight="1" x14ac:dyDescent="0.25">
      <c r="A4647" s="7"/>
      <c r="B4647" s="343" t="s">
        <v>343</v>
      </c>
      <c r="C4647" s="344"/>
      <c r="D4647" s="344"/>
      <c r="E4647" s="334"/>
      <c r="F4647" s="104">
        <f>F4646*11%</f>
        <v>75790</v>
      </c>
      <c r="G4647" s="25"/>
      <c r="H4647" s="11"/>
      <c r="I4647" s="21"/>
      <c r="J4647" s="21"/>
      <c r="K4647" s="21"/>
      <c r="L4647" s="21"/>
      <c r="M4647" s="21"/>
      <c r="N4647" s="21"/>
    </row>
    <row r="4648" spans="1:14" ht="15.75" customHeight="1" x14ac:dyDescent="0.25">
      <c r="A4648" s="7"/>
      <c r="B4648" s="345" t="s">
        <v>344</v>
      </c>
      <c r="C4648" s="344"/>
      <c r="D4648" s="344"/>
      <c r="E4648" s="334"/>
      <c r="F4648" s="107">
        <f>SUM(F4646:F4647)</f>
        <v>764790</v>
      </c>
      <c r="G4648" s="25"/>
      <c r="H4648" s="11"/>
      <c r="I4648" s="21"/>
      <c r="J4648" s="21"/>
      <c r="K4648" s="21"/>
      <c r="L4648" s="21"/>
      <c r="M4648" s="21"/>
      <c r="N4648" s="21"/>
    </row>
    <row r="4649" spans="1:14" ht="15.75" customHeight="1" x14ac:dyDescent="0.25">
      <c r="A4649" s="21"/>
      <c r="B4649" s="21"/>
      <c r="C4649" s="11"/>
      <c r="D4649" s="11"/>
      <c r="E4649" s="21"/>
      <c r="F4649" s="21"/>
      <c r="G4649" s="25"/>
      <c r="H4649" s="11"/>
      <c r="I4649" s="21"/>
      <c r="J4649" s="21"/>
      <c r="K4649" s="21"/>
      <c r="L4649" s="21"/>
      <c r="M4649" s="21"/>
      <c r="N4649" s="21"/>
    </row>
    <row r="4650" spans="1:14" ht="15.75" customHeight="1" x14ac:dyDescent="0.25">
      <c r="A4650" s="21"/>
      <c r="B4650" s="21"/>
      <c r="C4650" s="11"/>
      <c r="D4650" s="11"/>
      <c r="E4650" s="21"/>
      <c r="F4650" s="21"/>
      <c r="G4650" s="25"/>
      <c r="H4650" s="11"/>
      <c r="I4650" s="21"/>
      <c r="J4650" s="21"/>
      <c r="K4650" s="21"/>
      <c r="L4650" s="21"/>
      <c r="M4650" s="21"/>
      <c r="N4650" s="21"/>
    </row>
    <row r="4651" spans="1:14" ht="15.75" customHeight="1" x14ac:dyDescent="0.25">
      <c r="A4651" s="21"/>
      <c r="B4651" s="21"/>
      <c r="C4651" s="11"/>
      <c r="D4651" s="11"/>
      <c r="E4651" s="21"/>
      <c r="F4651" s="21"/>
      <c r="G4651" s="25"/>
      <c r="H4651" s="11"/>
      <c r="I4651" s="21"/>
      <c r="J4651" s="21"/>
      <c r="K4651" s="21"/>
      <c r="L4651" s="21"/>
      <c r="M4651" s="21"/>
      <c r="N4651" s="21"/>
    </row>
    <row r="4652" spans="1:14" ht="15.75" customHeight="1" x14ac:dyDescent="0.25">
      <c r="A4652" s="21"/>
      <c r="B4652" s="21"/>
      <c r="C4652" s="11"/>
      <c r="D4652" s="11"/>
      <c r="E4652" s="21"/>
      <c r="F4652" s="21"/>
      <c r="G4652" s="25"/>
      <c r="H4652" s="11"/>
      <c r="I4652" s="21"/>
      <c r="J4652" s="21"/>
      <c r="K4652" s="21"/>
      <c r="L4652" s="21"/>
      <c r="M4652" s="21"/>
      <c r="N4652" s="21"/>
    </row>
    <row r="4653" spans="1:14" ht="15.75" customHeight="1" x14ac:dyDescent="0.25">
      <c r="A4653" s="31" t="s">
        <v>14</v>
      </c>
      <c r="B4653" s="31" t="s">
        <v>234</v>
      </c>
      <c r="C4653" s="31" t="s">
        <v>16</v>
      </c>
      <c r="D4653" s="31" t="s">
        <v>17</v>
      </c>
      <c r="E4653" s="31" t="s">
        <v>235</v>
      </c>
      <c r="F4653" s="31" t="s">
        <v>236</v>
      </c>
      <c r="G4653" s="25"/>
      <c r="H4653" s="11"/>
      <c r="I4653" s="21"/>
      <c r="J4653" s="21"/>
      <c r="K4653" s="21"/>
      <c r="L4653" s="21"/>
      <c r="M4653" s="21"/>
      <c r="N4653" s="21"/>
    </row>
    <row r="4654" spans="1:14" ht="15.75" customHeight="1" x14ac:dyDescent="0.25">
      <c r="A4654" s="7">
        <v>1</v>
      </c>
      <c r="B4654" s="41" t="s">
        <v>1726</v>
      </c>
      <c r="C4654" s="7">
        <v>6</v>
      </c>
      <c r="D4654" s="7" t="s">
        <v>19</v>
      </c>
      <c r="E4654" s="37">
        <v>30000</v>
      </c>
      <c r="F4654" s="37">
        <f>E4654*C4654</f>
        <v>180000</v>
      </c>
      <c r="G4654" s="25"/>
      <c r="H4654" s="11"/>
      <c r="I4654" s="21"/>
      <c r="J4654" s="21"/>
      <c r="K4654" s="21"/>
      <c r="L4654" s="21"/>
      <c r="M4654" s="21"/>
      <c r="N4654" s="21"/>
    </row>
    <row r="4655" spans="1:14" ht="15.75" customHeight="1" x14ac:dyDescent="0.25">
      <c r="A4655" s="7">
        <v>2</v>
      </c>
      <c r="B4655" s="41" t="s">
        <v>1727</v>
      </c>
      <c r="C4655" s="7">
        <v>4</v>
      </c>
      <c r="D4655" s="7" t="s">
        <v>19</v>
      </c>
      <c r="E4655" s="37">
        <v>313975</v>
      </c>
      <c r="F4655" s="37">
        <f>E4655*C4655</f>
        <v>1255900</v>
      </c>
      <c r="G4655" s="25"/>
      <c r="H4655" s="11"/>
      <c r="I4655" s="21"/>
      <c r="J4655" s="21"/>
      <c r="K4655" s="21"/>
      <c r="L4655" s="21"/>
      <c r="M4655" s="21"/>
      <c r="N4655" s="21"/>
    </row>
    <row r="4656" spans="1:14" ht="15.75" customHeight="1" x14ac:dyDescent="0.25">
      <c r="A4656" s="7">
        <v>3</v>
      </c>
      <c r="B4656" s="41" t="s">
        <v>1687</v>
      </c>
      <c r="C4656" s="7">
        <v>100</v>
      </c>
      <c r="D4656" s="7" t="s">
        <v>19</v>
      </c>
      <c r="E4656" s="37">
        <v>5175</v>
      </c>
      <c r="F4656" s="37">
        <f>E4656*C4656</f>
        <v>517500</v>
      </c>
      <c r="G4656" s="25"/>
      <c r="H4656" s="11"/>
      <c r="I4656" s="21"/>
      <c r="J4656" s="21"/>
      <c r="K4656" s="21"/>
      <c r="L4656" s="21"/>
      <c r="M4656" s="21"/>
      <c r="N4656" s="21"/>
    </row>
    <row r="4657" spans="1:14" ht="15.75" customHeight="1" x14ac:dyDescent="0.25">
      <c r="A4657" s="7"/>
      <c r="B4657" s="343" t="s">
        <v>342</v>
      </c>
      <c r="C4657" s="344"/>
      <c r="D4657" s="344"/>
      <c r="E4657" s="334"/>
      <c r="F4657" s="104">
        <f>SUM(F4654:F4656)</f>
        <v>1953400</v>
      </c>
      <c r="G4657" s="25"/>
      <c r="H4657" s="11"/>
      <c r="I4657" s="21"/>
      <c r="J4657" s="21"/>
      <c r="K4657" s="21"/>
      <c r="L4657" s="21"/>
      <c r="M4657" s="21"/>
      <c r="N4657" s="21"/>
    </row>
    <row r="4658" spans="1:14" ht="15.75" customHeight="1" x14ac:dyDescent="0.25">
      <c r="A4658" s="7"/>
      <c r="B4658" s="343" t="s">
        <v>343</v>
      </c>
      <c r="C4658" s="344"/>
      <c r="D4658" s="344"/>
      <c r="E4658" s="334"/>
      <c r="F4658" s="104">
        <f>F4657*11%</f>
        <v>214874</v>
      </c>
      <c r="G4658" s="25"/>
      <c r="H4658" s="11"/>
      <c r="I4658" s="21"/>
      <c r="J4658" s="21"/>
      <c r="K4658" s="21"/>
      <c r="L4658" s="21"/>
      <c r="M4658" s="21"/>
      <c r="N4658" s="21"/>
    </row>
    <row r="4659" spans="1:14" ht="15.75" customHeight="1" x14ac:dyDescent="0.25">
      <c r="A4659" s="7"/>
      <c r="B4659" s="345" t="s">
        <v>344</v>
      </c>
      <c r="C4659" s="344"/>
      <c r="D4659" s="344"/>
      <c r="E4659" s="334"/>
      <c r="F4659" s="107">
        <f>SUM(F4657:F4658)</f>
        <v>2168274</v>
      </c>
      <c r="G4659" s="25"/>
      <c r="H4659" s="11"/>
      <c r="I4659" s="21"/>
      <c r="J4659" s="21"/>
      <c r="K4659" s="21"/>
      <c r="L4659" s="21"/>
      <c r="M4659" s="21"/>
      <c r="N4659" s="21"/>
    </row>
    <row r="4660" spans="1:14" ht="15.75" customHeight="1" x14ac:dyDescent="0.25">
      <c r="A4660" s="21"/>
      <c r="B4660" s="21"/>
      <c r="C4660" s="11"/>
      <c r="D4660" s="11"/>
      <c r="E4660" s="21"/>
      <c r="F4660" s="21"/>
      <c r="G4660" s="25"/>
      <c r="H4660" s="11"/>
      <c r="I4660" s="21"/>
      <c r="J4660" s="21"/>
      <c r="K4660" s="21"/>
      <c r="L4660" s="21"/>
      <c r="M4660" s="21"/>
      <c r="N4660" s="21"/>
    </row>
    <row r="4661" spans="1:14" ht="15.75" customHeight="1" x14ac:dyDescent="0.25">
      <c r="A4661" s="31" t="s">
        <v>14</v>
      </c>
      <c r="B4661" s="31" t="s">
        <v>234</v>
      </c>
      <c r="C4661" s="31" t="s">
        <v>16</v>
      </c>
      <c r="D4661" s="31" t="s">
        <v>17</v>
      </c>
      <c r="E4661" s="31" t="s">
        <v>235</v>
      </c>
      <c r="F4661" s="31" t="s">
        <v>236</v>
      </c>
      <c r="G4661" s="25"/>
      <c r="H4661" s="11"/>
      <c r="I4661" s="21"/>
      <c r="J4661" s="21"/>
      <c r="K4661" s="21"/>
      <c r="L4661" s="21"/>
      <c r="M4661" s="21"/>
      <c r="N4661" s="21"/>
    </row>
    <row r="4662" spans="1:14" ht="15.75" customHeight="1" x14ac:dyDescent="0.25">
      <c r="A4662" s="7">
        <v>1</v>
      </c>
      <c r="B4662" s="41" t="s">
        <v>1728</v>
      </c>
      <c r="C4662" s="7">
        <v>60</v>
      </c>
      <c r="D4662" s="7" t="s">
        <v>1522</v>
      </c>
      <c r="E4662" s="37">
        <v>23000</v>
      </c>
      <c r="F4662" s="37">
        <f>E4662*C4662</f>
        <v>1380000</v>
      </c>
      <c r="G4662" s="25"/>
      <c r="H4662" s="11"/>
      <c r="I4662" s="21"/>
      <c r="J4662" s="21"/>
      <c r="K4662" s="21"/>
      <c r="L4662" s="21"/>
      <c r="M4662" s="21"/>
      <c r="N4662" s="21"/>
    </row>
    <row r="4663" spans="1:14" ht="15.75" customHeight="1" x14ac:dyDescent="0.25">
      <c r="A4663" s="7"/>
      <c r="B4663" s="343" t="s">
        <v>342</v>
      </c>
      <c r="C4663" s="344"/>
      <c r="D4663" s="344"/>
      <c r="E4663" s="334"/>
      <c r="F4663" s="104">
        <f>SUM(F4662)</f>
        <v>1380000</v>
      </c>
      <c r="G4663" s="25"/>
      <c r="H4663" s="11"/>
      <c r="I4663" s="21"/>
      <c r="J4663" s="21"/>
      <c r="K4663" s="21"/>
      <c r="L4663" s="21"/>
      <c r="M4663" s="21"/>
      <c r="N4663" s="21"/>
    </row>
    <row r="4664" spans="1:14" ht="15.75" customHeight="1" x14ac:dyDescent="0.25">
      <c r="A4664" s="7"/>
      <c r="B4664" s="343" t="s">
        <v>343</v>
      </c>
      <c r="C4664" s="344"/>
      <c r="D4664" s="344"/>
      <c r="E4664" s="334"/>
      <c r="F4664" s="104">
        <f>F4663*11%</f>
        <v>151800</v>
      </c>
      <c r="G4664" s="25"/>
      <c r="H4664" s="11"/>
      <c r="I4664" s="21"/>
      <c r="J4664" s="21"/>
      <c r="K4664" s="21"/>
      <c r="L4664" s="21"/>
      <c r="M4664" s="21"/>
      <c r="N4664" s="21"/>
    </row>
    <row r="4665" spans="1:14" ht="15.75" customHeight="1" x14ac:dyDescent="0.25">
      <c r="A4665" s="7"/>
      <c r="B4665" s="345" t="s">
        <v>344</v>
      </c>
      <c r="C4665" s="344"/>
      <c r="D4665" s="344"/>
      <c r="E4665" s="334"/>
      <c r="F4665" s="107">
        <f>SUM(F4663:F4664)</f>
        <v>1531800</v>
      </c>
      <c r="G4665" s="25"/>
      <c r="H4665" s="11"/>
      <c r="I4665" s="21"/>
      <c r="J4665" s="21"/>
      <c r="K4665" s="21"/>
      <c r="L4665" s="21"/>
      <c r="M4665" s="21"/>
      <c r="N4665" s="21"/>
    </row>
    <row r="4666" spans="1:14" ht="15.75" customHeight="1" x14ac:dyDescent="0.25">
      <c r="A4666" s="21"/>
      <c r="B4666" s="21"/>
      <c r="C4666" s="11"/>
      <c r="D4666" s="11"/>
      <c r="E4666" s="21"/>
      <c r="F4666" s="21"/>
      <c r="G4666" s="25"/>
      <c r="H4666" s="11"/>
      <c r="I4666" s="21"/>
      <c r="J4666" s="21"/>
      <c r="K4666" s="21"/>
      <c r="L4666" s="21"/>
      <c r="M4666" s="21"/>
      <c r="N4666" s="21"/>
    </row>
    <row r="4667" spans="1:14" ht="15.75" customHeight="1" x14ac:dyDescent="0.25">
      <c r="A4667" s="21"/>
      <c r="B4667" s="21"/>
      <c r="C4667" s="11"/>
      <c r="D4667" s="11"/>
      <c r="E4667" s="21"/>
      <c r="F4667" s="21"/>
      <c r="G4667" s="25"/>
      <c r="H4667" s="11"/>
      <c r="I4667" s="21"/>
      <c r="J4667" s="21"/>
      <c r="K4667" s="21"/>
      <c r="L4667" s="21"/>
      <c r="M4667" s="21"/>
      <c r="N4667" s="21"/>
    </row>
    <row r="4668" spans="1:14" ht="15.75" customHeight="1" x14ac:dyDescent="0.25">
      <c r="A4668" s="31" t="s">
        <v>14</v>
      </c>
      <c r="B4668" s="31" t="s">
        <v>234</v>
      </c>
      <c r="C4668" s="31" t="s">
        <v>16</v>
      </c>
      <c r="D4668" s="31" t="s">
        <v>17</v>
      </c>
      <c r="E4668" s="31" t="s">
        <v>235</v>
      </c>
      <c r="F4668" s="31" t="s">
        <v>236</v>
      </c>
      <c r="G4668" s="25"/>
      <c r="H4668" s="11"/>
      <c r="I4668" s="21"/>
      <c r="J4668" s="21"/>
      <c r="K4668" s="21"/>
      <c r="L4668" s="21"/>
      <c r="M4668" s="21"/>
      <c r="N4668" s="21"/>
    </row>
    <row r="4669" spans="1:14" ht="15.75" customHeight="1" x14ac:dyDescent="0.25">
      <c r="A4669" s="7">
        <v>1</v>
      </c>
      <c r="B4669" s="41" t="s">
        <v>1729</v>
      </c>
      <c r="C4669" s="7">
        <v>1</v>
      </c>
      <c r="D4669" s="7" t="s">
        <v>251</v>
      </c>
      <c r="E4669" s="37">
        <v>157625</v>
      </c>
      <c r="F4669" s="37">
        <f>E4669*C4669</f>
        <v>157625</v>
      </c>
      <c r="G4669" s="25"/>
      <c r="H4669" s="11"/>
      <c r="I4669" s="21"/>
      <c r="J4669" s="21"/>
      <c r="K4669" s="21"/>
      <c r="L4669" s="21"/>
      <c r="M4669" s="21"/>
      <c r="N4669" s="21"/>
    </row>
    <row r="4670" spans="1:14" ht="15.75" customHeight="1" x14ac:dyDescent="0.25">
      <c r="A4670" s="7"/>
      <c r="B4670" s="343" t="s">
        <v>342</v>
      </c>
      <c r="C4670" s="344"/>
      <c r="D4670" s="344"/>
      <c r="E4670" s="334"/>
      <c r="F4670" s="104">
        <f>SUM(F4669)</f>
        <v>157625</v>
      </c>
      <c r="G4670" s="25"/>
      <c r="H4670" s="11"/>
      <c r="I4670" s="21"/>
      <c r="J4670" s="21"/>
      <c r="K4670" s="21"/>
      <c r="L4670" s="21"/>
      <c r="M4670" s="21"/>
      <c r="N4670" s="21"/>
    </row>
    <row r="4671" spans="1:14" ht="15.75" customHeight="1" x14ac:dyDescent="0.25">
      <c r="A4671" s="7"/>
      <c r="B4671" s="343" t="s">
        <v>343</v>
      </c>
      <c r="C4671" s="344"/>
      <c r="D4671" s="344"/>
      <c r="E4671" s="334"/>
      <c r="F4671" s="167">
        <f>F4670*11%</f>
        <v>17338.75</v>
      </c>
      <c r="G4671" s="25"/>
      <c r="H4671" s="11"/>
      <c r="I4671" s="21"/>
      <c r="J4671" s="21"/>
      <c r="K4671" s="21"/>
      <c r="L4671" s="21"/>
      <c r="M4671" s="21"/>
      <c r="N4671" s="21"/>
    </row>
    <row r="4672" spans="1:14" ht="15.75" customHeight="1" x14ac:dyDescent="0.25">
      <c r="A4672" s="7"/>
      <c r="B4672" s="345" t="s">
        <v>344</v>
      </c>
      <c r="C4672" s="344"/>
      <c r="D4672" s="344"/>
      <c r="E4672" s="334"/>
      <c r="F4672" s="168">
        <f>SUM(F4670:F4671)</f>
        <v>174963.75</v>
      </c>
      <c r="G4672" s="25"/>
      <c r="H4672" s="11"/>
      <c r="I4672" s="21"/>
      <c r="J4672" s="21"/>
      <c r="K4672" s="21"/>
      <c r="L4672" s="21"/>
      <c r="M4672" s="21"/>
      <c r="N4672" s="21"/>
    </row>
    <row r="4673" spans="1:14" ht="15.75" customHeight="1" x14ac:dyDescent="0.25">
      <c r="A4673" s="21"/>
      <c r="B4673" s="21"/>
      <c r="C4673" s="11"/>
      <c r="D4673" s="11"/>
      <c r="E4673" s="21"/>
      <c r="F4673" s="21"/>
      <c r="G4673" s="25"/>
      <c r="H4673" s="11"/>
      <c r="I4673" s="21"/>
      <c r="J4673" s="21"/>
      <c r="K4673" s="21"/>
      <c r="L4673" s="21"/>
      <c r="M4673" s="21"/>
      <c r="N4673" s="21"/>
    </row>
    <row r="4674" spans="1:14" ht="15.75" customHeight="1" x14ac:dyDescent="0.25">
      <c r="A4674" s="21"/>
      <c r="B4674" s="21"/>
      <c r="C4674" s="11"/>
      <c r="D4674" s="11"/>
      <c r="E4674" s="21"/>
      <c r="F4674" s="21"/>
      <c r="G4674" s="25"/>
      <c r="H4674" s="11"/>
      <c r="I4674" s="21"/>
      <c r="J4674" s="21"/>
      <c r="K4674" s="21"/>
      <c r="L4674" s="21"/>
      <c r="M4674" s="21"/>
      <c r="N4674" s="21"/>
    </row>
    <row r="4675" spans="1:14" ht="15.75" customHeight="1" x14ac:dyDescent="0.25">
      <c r="A4675" s="21"/>
      <c r="B4675" s="21"/>
      <c r="C4675" s="11"/>
      <c r="D4675" s="11"/>
      <c r="E4675" s="21"/>
      <c r="F4675" s="21"/>
      <c r="G4675" s="25"/>
      <c r="H4675" s="11"/>
      <c r="I4675" s="21"/>
      <c r="J4675" s="21"/>
      <c r="K4675" s="21"/>
      <c r="L4675" s="21"/>
      <c r="M4675" s="21"/>
      <c r="N4675" s="21"/>
    </row>
    <row r="4676" spans="1:14" ht="15.75" customHeight="1" x14ac:dyDescent="0.25">
      <c r="A4676" s="31" t="s">
        <v>14</v>
      </c>
      <c r="B4676" s="31" t="s">
        <v>234</v>
      </c>
      <c r="C4676" s="31" t="s">
        <v>16</v>
      </c>
      <c r="D4676" s="31" t="s">
        <v>17</v>
      </c>
      <c r="E4676" s="31" t="s">
        <v>235</v>
      </c>
      <c r="F4676" s="31" t="s">
        <v>236</v>
      </c>
      <c r="G4676" s="25"/>
      <c r="H4676" s="11"/>
      <c r="I4676" s="21"/>
      <c r="J4676" s="21"/>
      <c r="K4676" s="21"/>
      <c r="L4676" s="21"/>
      <c r="M4676" s="21"/>
      <c r="N4676" s="21"/>
    </row>
    <row r="4677" spans="1:14" ht="15.75" customHeight="1" x14ac:dyDescent="0.25">
      <c r="A4677" s="7">
        <v>1</v>
      </c>
      <c r="B4677" s="41" t="s">
        <v>1730</v>
      </c>
      <c r="C4677" s="7">
        <v>1</v>
      </c>
      <c r="D4677" s="7" t="s">
        <v>19</v>
      </c>
      <c r="E4677" s="37">
        <v>2025000</v>
      </c>
      <c r="F4677" s="37">
        <f t="shared" ref="F4677:F4692" si="52">E4677*C4677</f>
        <v>2025000</v>
      </c>
      <c r="G4677" s="25"/>
      <c r="H4677" s="11"/>
      <c r="I4677" s="21"/>
      <c r="J4677" s="21"/>
      <c r="K4677" s="21"/>
      <c r="L4677" s="21"/>
      <c r="M4677" s="21"/>
      <c r="N4677" s="21"/>
    </row>
    <row r="4678" spans="1:14" ht="15.75" customHeight="1" x14ac:dyDescent="0.25">
      <c r="A4678" s="7">
        <v>2</v>
      </c>
      <c r="B4678" s="41" t="s">
        <v>1731</v>
      </c>
      <c r="C4678" s="7">
        <v>1</v>
      </c>
      <c r="D4678" s="7" t="s">
        <v>19</v>
      </c>
      <c r="E4678" s="37">
        <v>2860000</v>
      </c>
      <c r="F4678" s="37">
        <f t="shared" si="52"/>
        <v>2860000</v>
      </c>
      <c r="G4678" s="25"/>
      <c r="H4678" s="11"/>
      <c r="I4678" s="21"/>
      <c r="J4678" s="21"/>
      <c r="K4678" s="21"/>
      <c r="L4678" s="21"/>
      <c r="M4678" s="21"/>
      <c r="N4678" s="21"/>
    </row>
    <row r="4679" spans="1:14" ht="15.75" customHeight="1" x14ac:dyDescent="0.25">
      <c r="A4679" s="7">
        <v>3</v>
      </c>
      <c r="B4679" s="41" t="s">
        <v>1732</v>
      </c>
      <c r="C4679" s="7">
        <v>3</v>
      </c>
      <c r="D4679" s="7" t="s">
        <v>19</v>
      </c>
      <c r="E4679" s="37">
        <v>742500</v>
      </c>
      <c r="F4679" s="37">
        <f t="shared" si="52"/>
        <v>2227500</v>
      </c>
      <c r="G4679" s="25"/>
      <c r="H4679" s="11"/>
      <c r="I4679" s="21"/>
      <c r="J4679" s="21"/>
      <c r="K4679" s="21"/>
      <c r="L4679" s="21"/>
      <c r="M4679" s="21"/>
      <c r="N4679" s="21"/>
    </row>
    <row r="4680" spans="1:14" ht="15.75" customHeight="1" x14ac:dyDescent="0.25">
      <c r="A4680" s="7">
        <v>4</v>
      </c>
      <c r="B4680" s="41" t="s">
        <v>1733</v>
      </c>
      <c r="C4680" s="7">
        <v>1</v>
      </c>
      <c r="D4680" s="7" t="s">
        <v>19</v>
      </c>
      <c r="E4680" s="37">
        <v>521000</v>
      </c>
      <c r="F4680" s="37">
        <f t="shared" si="52"/>
        <v>521000</v>
      </c>
      <c r="G4680" s="25"/>
      <c r="H4680" s="11"/>
      <c r="I4680" s="21"/>
      <c r="J4680" s="21"/>
      <c r="K4680" s="21"/>
      <c r="L4680" s="21"/>
      <c r="M4680" s="21"/>
      <c r="N4680" s="21"/>
    </row>
    <row r="4681" spans="1:14" ht="15.75" customHeight="1" x14ac:dyDescent="0.25">
      <c r="A4681" s="7">
        <v>5</v>
      </c>
      <c r="B4681" s="41" t="s">
        <v>1734</v>
      </c>
      <c r="C4681" s="7">
        <v>2</v>
      </c>
      <c r="D4681" s="7" t="s">
        <v>19</v>
      </c>
      <c r="E4681" s="37">
        <v>820000</v>
      </c>
      <c r="F4681" s="37">
        <f t="shared" si="52"/>
        <v>1640000</v>
      </c>
      <c r="G4681" s="25"/>
      <c r="H4681" s="11"/>
      <c r="I4681" s="21"/>
      <c r="J4681" s="21"/>
      <c r="K4681" s="21"/>
      <c r="L4681" s="21"/>
      <c r="M4681" s="21"/>
      <c r="N4681" s="21"/>
    </row>
    <row r="4682" spans="1:14" ht="15.75" customHeight="1" x14ac:dyDescent="0.25">
      <c r="A4682" s="7">
        <v>6</v>
      </c>
      <c r="B4682" s="41" t="s">
        <v>1735</v>
      </c>
      <c r="C4682" s="7">
        <v>1</v>
      </c>
      <c r="D4682" s="7" t="s">
        <v>19</v>
      </c>
      <c r="E4682" s="37">
        <v>964000</v>
      </c>
      <c r="F4682" s="37">
        <f t="shared" si="52"/>
        <v>964000</v>
      </c>
      <c r="G4682" s="25"/>
      <c r="H4682" s="11"/>
      <c r="I4682" s="21"/>
      <c r="J4682" s="21"/>
      <c r="K4682" s="21"/>
      <c r="L4682" s="21"/>
      <c r="M4682" s="21"/>
      <c r="N4682" s="21"/>
    </row>
    <row r="4683" spans="1:14" ht="15.75" customHeight="1" x14ac:dyDescent="0.25">
      <c r="A4683" s="7">
        <v>7</v>
      </c>
      <c r="B4683" s="41" t="s">
        <v>1736</v>
      </c>
      <c r="C4683" s="7">
        <v>7</v>
      </c>
      <c r="D4683" s="7" t="s">
        <v>19</v>
      </c>
      <c r="E4683" s="37">
        <v>721500</v>
      </c>
      <c r="F4683" s="37">
        <f t="shared" si="52"/>
        <v>5050500</v>
      </c>
      <c r="G4683" s="25"/>
      <c r="H4683" s="11"/>
      <c r="I4683" s="21"/>
      <c r="J4683" s="21"/>
      <c r="K4683" s="21"/>
      <c r="L4683" s="21"/>
      <c r="M4683" s="21"/>
      <c r="N4683" s="21"/>
    </row>
    <row r="4684" spans="1:14" ht="15.75" customHeight="1" x14ac:dyDescent="0.25">
      <c r="A4684" s="7">
        <v>8</v>
      </c>
      <c r="B4684" s="41" t="s">
        <v>1737</v>
      </c>
      <c r="C4684" s="7">
        <v>4</v>
      </c>
      <c r="D4684" s="7" t="s">
        <v>19</v>
      </c>
      <c r="E4684" s="37">
        <v>904500</v>
      </c>
      <c r="F4684" s="37">
        <f t="shared" si="52"/>
        <v>3618000</v>
      </c>
      <c r="G4684" s="25"/>
      <c r="H4684" s="11"/>
      <c r="I4684" s="21"/>
      <c r="J4684" s="21"/>
      <c r="K4684" s="21"/>
      <c r="L4684" s="21"/>
      <c r="M4684" s="21"/>
      <c r="N4684" s="21"/>
    </row>
    <row r="4685" spans="1:14" ht="15.75" customHeight="1" x14ac:dyDescent="0.25">
      <c r="A4685" s="7">
        <v>9</v>
      </c>
      <c r="B4685" s="41" t="s">
        <v>1738</v>
      </c>
      <c r="C4685" s="7">
        <v>4</v>
      </c>
      <c r="D4685" s="7" t="s">
        <v>19</v>
      </c>
      <c r="E4685" s="37">
        <v>461500</v>
      </c>
      <c r="F4685" s="37">
        <f t="shared" si="52"/>
        <v>1846000</v>
      </c>
      <c r="G4685" s="25"/>
      <c r="H4685" s="11"/>
      <c r="I4685" s="21"/>
      <c r="J4685" s="21"/>
      <c r="K4685" s="21"/>
      <c r="L4685" s="21"/>
      <c r="M4685" s="21"/>
      <c r="N4685" s="21"/>
    </row>
    <row r="4686" spans="1:14" ht="15.75" customHeight="1" x14ac:dyDescent="0.25">
      <c r="A4686" s="7">
        <v>10</v>
      </c>
      <c r="B4686" s="41" t="s">
        <v>1739</v>
      </c>
      <c r="C4686" s="7">
        <v>3</v>
      </c>
      <c r="D4686" s="7" t="s">
        <v>19</v>
      </c>
      <c r="E4686" s="37">
        <v>971250</v>
      </c>
      <c r="F4686" s="37">
        <f t="shared" si="52"/>
        <v>2913750</v>
      </c>
      <c r="G4686" s="25"/>
      <c r="H4686" s="11"/>
      <c r="I4686" s="21"/>
      <c r="J4686" s="21"/>
      <c r="K4686" s="21"/>
      <c r="L4686" s="21"/>
      <c r="M4686" s="21"/>
      <c r="N4686" s="21"/>
    </row>
    <row r="4687" spans="1:14" ht="15.75" customHeight="1" x14ac:dyDescent="0.25">
      <c r="A4687" s="7">
        <v>11</v>
      </c>
      <c r="B4687" s="35" t="s">
        <v>1740</v>
      </c>
      <c r="C4687" s="7">
        <v>34</v>
      </c>
      <c r="D4687" s="7" t="s">
        <v>19</v>
      </c>
      <c r="E4687" s="37">
        <v>194250</v>
      </c>
      <c r="F4687" s="37">
        <f t="shared" si="52"/>
        <v>6604500</v>
      </c>
      <c r="G4687" s="25"/>
      <c r="H4687" s="11"/>
      <c r="I4687" s="21"/>
      <c r="J4687" s="21"/>
      <c r="K4687" s="21"/>
      <c r="L4687" s="21"/>
      <c r="M4687" s="21"/>
      <c r="N4687" s="21"/>
    </row>
    <row r="4688" spans="1:14" ht="15.75" customHeight="1" x14ac:dyDescent="0.25">
      <c r="A4688" s="7">
        <v>12</v>
      </c>
      <c r="B4688" s="35" t="s">
        <v>1741</v>
      </c>
      <c r="C4688" s="7">
        <v>2</v>
      </c>
      <c r="D4688" s="7" t="s">
        <v>19</v>
      </c>
      <c r="E4688" s="37">
        <v>263500</v>
      </c>
      <c r="F4688" s="37">
        <f t="shared" si="52"/>
        <v>527000</v>
      </c>
      <c r="G4688" s="25"/>
      <c r="H4688" s="11"/>
      <c r="I4688" s="21"/>
      <c r="J4688" s="21"/>
      <c r="K4688" s="21"/>
      <c r="L4688" s="21"/>
      <c r="M4688" s="21"/>
      <c r="N4688" s="21"/>
    </row>
    <row r="4689" spans="1:14" ht="15.75" customHeight="1" x14ac:dyDescent="0.25">
      <c r="A4689" s="7">
        <v>13</v>
      </c>
      <c r="B4689" s="35" t="s">
        <v>1742</v>
      </c>
      <c r="C4689" s="7">
        <v>1</v>
      </c>
      <c r="D4689" s="7" t="s">
        <v>19</v>
      </c>
      <c r="E4689" s="37">
        <v>384800</v>
      </c>
      <c r="F4689" s="37">
        <f t="shared" si="52"/>
        <v>384800</v>
      </c>
      <c r="G4689" s="25"/>
      <c r="H4689" s="11"/>
      <c r="I4689" s="21"/>
      <c r="J4689" s="21"/>
      <c r="K4689" s="21"/>
      <c r="L4689" s="21"/>
      <c r="M4689" s="21"/>
      <c r="N4689" s="21"/>
    </row>
    <row r="4690" spans="1:14" ht="15.75" customHeight="1" x14ac:dyDescent="0.25">
      <c r="A4690" s="7">
        <v>14</v>
      </c>
      <c r="B4690" s="41" t="s">
        <v>1743</v>
      </c>
      <c r="C4690" s="7">
        <v>4</v>
      </c>
      <c r="D4690" s="7" t="s">
        <v>19</v>
      </c>
      <c r="E4690" s="37">
        <v>140000</v>
      </c>
      <c r="F4690" s="37">
        <f t="shared" si="52"/>
        <v>560000</v>
      </c>
      <c r="G4690" s="25"/>
      <c r="H4690" s="11"/>
      <c r="I4690" s="21"/>
      <c r="J4690" s="21"/>
      <c r="K4690" s="21"/>
      <c r="L4690" s="21"/>
      <c r="M4690" s="21"/>
      <c r="N4690" s="21"/>
    </row>
    <row r="4691" spans="1:14" ht="15.75" customHeight="1" x14ac:dyDescent="0.25">
      <c r="A4691" s="7">
        <v>15</v>
      </c>
      <c r="B4691" s="35" t="s">
        <v>1744</v>
      </c>
      <c r="C4691" s="7">
        <v>2</v>
      </c>
      <c r="D4691" s="7" t="s">
        <v>19</v>
      </c>
      <c r="E4691" s="37">
        <v>1484800</v>
      </c>
      <c r="F4691" s="37">
        <f t="shared" si="52"/>
        <v>2969600</v>
      </c>
      <c r="G4691" s="25"/>
      <c r="H4691" s="11"/>
      <c r="I4691" s="21"/>
      <c r="J4691" s="21"/>
      <c r="K4691" s="21"/>
      <c r="L4691" s="21"/>
      <c r="M4691" s="21"/>
      <c r="N4691" s="21"/>
    </row>
    <row r="4692" spans="1:14" ht="15.75" customHeight="1" x14ac:dyDescent="0.25">
      <c r="A4692" s="7">
        <v>16</v>
      </c>
      <c r="B4692" s="41" t="s">
        <v>1745</v>
      </c>
      <c r="C4692" s="7">
        <v>4</v>
      </c>
      <c r="D4692" s="7" t="s">
        <v>19</v>
      </c>
      <c r="E4692" s="37">
        <v>2398000</v>
      </c>
      <c r="F4692" s="37">
        <f t="shared" si="52"/>
        <v>9592000</v>
      </c>
      <c r="G4692" s="25"/>
      <c r="H4692" s="11"/>
      <c r="I4692" s="21"/>
      <c r="J4692" s="21"/>
      <c r="K4692" s="21"/>
      <c r="L4692" s="21"/>
      <c r="M4692" s="21"/>
      <c r="N4692" s="21"/>
    </row>
    <row r="4693" spans="1:14" ht="15.75" customHeight="1" x14ac:dyDescent="0.25">
      <c r="A4693" s="7"/>
      <c r="B4693" s="343" t="s">
        <v>342</v>
      </c>
      <c r="C4693" s="344"/>
      <c r="D4693" s="344"/>
      <c r="E4693" s="334"/>
      <c r="F4693" s="104">
        <f>SUM(F4677:F4692)</f>
        <v>44303650</v>
      </c>
      <c r="G4693" s="25"/>
      <c r="H4693" s="11"/>
      <c r="I4693" s="21"/>
      <c r="J4693" s="21"/>
      <c r="K4693" s="21"/>
      <c r="L4693" s="21"/>
      <c r="M4693" s="21"/>
      <c r="N4693" s="21"/>
    </row>
    <row r="4694" spans="1:14" ht="15.75" customHeight="1" x14ac:dyDescent="0.25">
      <c r="A4694" s="7"/>
      <c r="B4694" s="343" t="s">
        <v>343</v>
      </c>
      <c r="C4694" s="344"/>
      <c r="D4694" s="344"/>
      <c r="E4694" s="334"/>
      <c r="F4694" s="167">
        <f>F4693*11%</f>
        <v>4873401.5</v>
      </c>
      <c r="G4694" s="25"/>
      <c r="H4694" s="11"/>
      <c r="I4694" s="21"/>
      <c r="J4694" s="21"/>
      <c r="K4694" s="21"/>
      <c r="L4694" s="21"/>
      <c r="M4694" s="21"/>
      <c r="N4694" s="21"/>
    </row>
    <row r="4695" spans="1:14" ht="15.75" customHeight="1" x14ac:dyDescent="0.25">
      <c r="A4695" s="7"/>
      <c r="B4695" s="345" t="s">
        <v>344</v>
      </c>
      <c r="C4695" s="344"/>
      <c r="D4695" s="344"/>
      <c r="E4695" s="334"/>
      <c r="F4695" s="168">
        <f>SUM(F4693:F4694)</f>
        <v>49177051.5</v>
      </c>
      <c r="G4695" s="25"/>
      <c r="H4695" s="11"/>
      <c r="I4695" s="21"/>
      <c r="J4695" s="21"/>
      <c r="K4695" s="21"/>
      <c r="L4695" s="21"/>
      <c r="M4695" s="21"/>
      <c r="N4695" s="21"/>
    </row>
    <row r="4696" spans="1:14" ht="15.75" customHeight="1" x14ac:dyDescent="0.25">
      <c r="A4696" s="21"/>
      <c r="B4696" s="21"/>
      <c r="C4696" s="11"/>
      <c r="D4696" s="11"/>
      <c r="E4696" s="21"/>
      <c r="F4696" s="21"/>
      <c r="G4696" s="25"/>
      <c r="H4696" s="11"/>
      <c r="I4696" s="21"/>
      <c r="J4696" s="21"/>
      <c r="K4696" s="21"/>
      <c r="L4696" s="21"/>
      <c r="M4696" s="21"/>
      <c r="N4696" s="21"/>
    </row>
    <row r="4697" spans="1:14" ht="15.75" customHeight="1" x14ac:dyDescent="0.25">
      <c r="A4697" s="21"/>
      <c r="B4697" s="21"/>
      <c r="C4697" s="11"/>
      <c r="D4697" s="11"/>
      <c r="E4697" s="21"/>
      <c r="F4697" s="21"/>
      <c r="G4697" s="25"/>
      <c r="H4697" s="11"/>
      <c r="I4697" s="21"/>
      <c r="J4697" s="21"/>
      <c r="K4697" s="21"/>
      <c r="L4697" s="21"/>
      <c r="M4697" s="21"/>
      <c r="N4697" s="21"/>
    </row>
    <row r="4698" spans="1:14" ht="15.75" customHeight="1" x14ac:dyDescent="0.25">
      <c r="A4698" s="31" t="s">
        <v>14</v>
      </c>
      <c r="B4698" s="31" t="s">
        <v>234</v>
      </c>
      <c r="C4698" s="31" t="s">
        <v>16</v>
      </c>
      <c r="D4698" s="31" t="s">
        <v>17</v>
      </c>
      <c r="E4698" s="31" t="s">
        <v>235</v>
      </c>
      <c r="F4698" s="31" t="s">
        <v>236</v>
      </c>
      <c r="G4698" s="144" t="s">
        <v>1746</v>
      </c>
      <c r="H4698" s="11"/>
      <c r="I4698" s="21"/>
      <c r="J4698" s="21"/>
      <c r="K4698" s="21"/>
      <c r="L4698" s="21"/>
      <c r="M4698" s="21"/>
      <c r="N4698" s="21"/>
    </row>
    <row r="4699" spans="1:14" ht="15.75" customHeight="1" x14ac:dyDescent="0.25">
      <c r="A4699" s="7">
        <v>1</v>
      </c>
      <c r="B4699" s="41" t="s">
        <v>1747</v>
      </c>
      <c r="C4699" s="7">
        <v>1</v>
      </c>
      <c r="D4699" s="7" t="s">
        <v>243</v>
      </c>
      <c r="E4699" s="37">
        <v>8640000</v>
      </c>
      <c r="F4699" s="37">
        <f>E4699*C4699</f>
        <v>8640000</v>
      </c>
      <c r="G4699" s="25"/>
      <c r="H4699" s="11"/>
      <c r="I4699" s="21"/>
      <c r="J4699" s="21"/>
      <c r="K4699" s="21"/>
      <c r="L4699" s="21"/>
      <c r="M4699" s="21"/>
      <c r="N4699" s="21"/>
    </row>
    <row r="4700" spans="1:14" ht="15.75" customHeight="1" x14ac:dyDescent="0.25">
      <c r="A4700" s="7"/>
      <c r="B4700" s="343" t="s">
        <v>342</v>
      </c>
      <c r="C4700" s="344"/>
      <c r="D4700" s="344"/>
      <c r="E4700" s="334"/>
      <c r="F4700" s="104">
        <f>SUM(F4699)</f>
        <v>8640000</v>
      </c>
      <c r="G4700" s="25"/>
      <c r="H4700" s="11"/>
      <c r="I4700" s="21"/>
      <c r="J4700" s="21"/>
      <c r="K4700" s="21"/>
      <c r="L4700" s="21"/>
      <c r="M4700" s="21"/>
      <c r="N4700" s="21"/>
    </row>
    <row r="4701" spans="1:14" ht="15.75" customHeight="1" x14ac:dyDescent="0.25">
      <c r="A4701" s="7"/>
      <c r="B4701" s="343" t="s">
        <v>343</v>
      </c>
      <c r="C4701" s="344"/>
      <c r="D4701" s="344"/>
      <c r="E4701" s="334"/>
      <c r="F4701" s="104">
        <f>F4700*11%</f>
        <v>950400</v>
      </c>
      <c r="G4701" s="25"/>
      <c r="H4701" s="11"/>
      <c r="I4701" s="21"/>
      <c r="J4701" s="21"/>
      <c r="K4701" s="21"/>
      <c r="L4701" s="21"/>
      <c r="M4701" s="21"/>
      <c r="N4701" s="21"/>
    </row>
    <row r="4702" spans="1:14" ht="15.75" customHeight="1" x14ac:dyDescent="0.25">
      <c r="A4702" s="7"/>
      <c r="B4702" s="345" t="s">
        <v>344</v>
      </c>
      <c r="C4702" s="344"/>
      <c r="D4702" s="344"/>
      <c r="E4702" s="334"/>
      <c r="F4702" s="107">
        <f>SUM(F4700:F4701)</f>
        <v>9590400</v>
      </c>
      <c r="G4702" s="25"/>
      <c r="H4702" s="11"/>
      <c r="I4702" s="21"/>
      <c r="J4702" s="21"/>
      <c r="K4702" s="21"/>
      <c r="L4702" s="21"/>
      <c r="M4702" s="21"/>
      <c r="N4702" s="21"/>
    </row>
    <row r="4703" spans="1:14" ht="15.75" customHeight="1" x14ac:dyDescent="0.25">
      <c r="A4703" s="21"/>
      <c r="B4703" s="21"/>
      <c r="C4703" s="11"/>
      <c r="D4703" s="11"/>
      <c r="E4703" s="21"/>
      <c r="F4703" s="21"/>
      <c r="G4703" s="25"/>
      <c r="H4703" s="11"/>
      <c r="I4703" s="21"/>
      <c r="J4703" s="21"/>
      <c r="K4703" s="21"/>
      <c r="L4703" s="21"/>
      <c r="M4703" s="21"/>
      <c r="N4703" s="21"/>
    </row>
    <row r="4704" spans="1:14" ht="15.75" customHeight="1" x14ac:dyDescent="0.25">
      <c r="A4704" s="21"/>
      <c r="B4704" s="21"/>
      <c r="C4704" s="11"/>
      <c r="D4704" s="11"/>
      <c r="E4704" s="21"/>
      <c r="F4704" s="21"/>
      <c r="G4704" s="25"/>
      <c r="H4704" s="11"/>
      <c r="I4704" s="21"/>
      <c r="J4704" s="21"/>
      <c r="K4704" s="21"/>
      <c r="L4704" s="21"/>
      <c r="M4704" s="21"/>
      <c r="N4704" s="21"/>
    </row>
    <row r="4705" spans="1:14" ht="15.75" customHeight="1" x14ac:dyDescent="0.25">
      <c r="A4705" s="21"/>
      <c r="B4705" s="21"/>
      <c r="C4705" s="11"/>
      <c r="D4705" s="11"/>
      <c r="E4705" s="21"/>
      <c r="F4705" s="21"/>
      <c r="G4705" s="25"/>
      <c r="H4705" s="11"/>
      <c r="I4705" s="21"/>
      <c r="J4705" s="21"/>
      <c r="K4705" s="21"/>
      <c r="L4705" s="21"/>
      <c r="M4705" s="21"/>
      <c r="N4705" s="21"/>
    </row>
    <row r="4706" spans="1:14" ht="15.75" customHeight="1" x14ac:dyDescent="0.25">
      <c r="A4706" s="31" t="s">
        <v>14</v>
      </c>
      <c r="B4706" s="31" t="s">
        <v>234</v>
      </c>
      <c r="C4706" s="31" t="s">
        <v>16</v>
      </c>
      <c r="D4706" s="31" t="s">
        <v>17</v>
      </c>
      <c r="E4706" s="31" t="s">
        <v>235</v>
      </c>
      <c r="F4706" s="31" t="s">
        <v>236</v>
      </c>
      <c r="G4706" s="171" t="s">
        <v>1748</v>
      </c>
      <c r="H4706" s="11"/>
      <c r="I4706" s="21"/>
      <c r="J4706" s="21"/>
      <c r="K4706" s="21"/>
      <c r="L4706" s="21"/>
      <c r="M4706" s="21"/>
      <c r="N4706" s="21"/>
    </row>
    <row r="4707" spans="1:14" ht="15.75" customHeight="1" x14ac:dyDescent="0.25">
      <c r="A4707" s="7">
        <v>1</v>
      </c>
      <c r="B4707" s="41" t="s">
        <v>1554</v>
      </c>
      <c r="C4707" s="7">
        <v>50</v>
      </c>
      <c r="D4707" s="7" t="s">
        <v>19</v>
      </c>
      <c r="E4707" s="37">
        <v>8500</v>
      </c>
      <c r="F4707" s="37">
        <f>E4707*C4707</f>
        <v>425000</v>
      </c>
      <c r="G4707" s="171" t="s">
        <v>1749</v>
      </c>
      <c r="H4707" s="11"/>
      <c r="I4707" s="21"/>
      <c r="J4707" s="21"/>
      <c r="K4707" s="21"/>
      <c r="L4707" s="21"/>
      <c r="M4707" s="21"/>
      <c r="N4707" s="21"/>
    </row>
    <row r="4708" spans="1:14" ht="15.75" customHeight="1" x14ac:dyDescent="0.25">
      <c r="A4708" s="7">
        <v>2</v>
      </c>
      <c r="B4708" s="41" t="s">
        <v>1553</v>
      </c>
      <c r="C4708" s="7">
        <v>50</v>
      </c>
      <c r="D4708" s="7" t="s">
        <v>19</v>
      </c>
      <c r="E4708" s="37">
        <v>6500</v>
      </c>
      <c r="F4708" s="37">
        <f>E4708*C4708</f>
        <v>325000</v>
      </c>
      <c r="G4708" s="171" t="s">
        <v>1750</v>
      </c>
      <c r="H4708" s="11"/>
      <c r="I4708" s="21"/>
      <c r="J4708" s="21"/>
      <c r="K4708" s="21"/>
      <c r="L4708" s="21"/>
      <c r="M4708" s="21"/>
      <c r="N4708" s="21"/>
    </row>
    <row r="4709" spans="1:14" ht="15.75" customHeight="1" x14ac:dyDescent="0.25">
      <c r="A4709" s="7">
        <v>3</v>
      </c>
      <c r="B4709" s="41" t="s">
        <v>1751</v>
      </c>
      <c r="C4709" s="7">
        <v>50</v>
      </c>
      <c r="D4709" s="7" t="s">
        <v>19</v>
      </c>
      <c r="E4709" s="37">
        <v>8000</v>
      </c>
      <c r="F4709" s="37">
        <f>E4709*C4709</f>
        <v>400000</v>
      </c>
      <c r="G4709" s="171" t="s">
        <v>1752</v>
      </c>
      <c r="H4709" s="11"/>
      <c r="I4709" s="21"/>
      <c r="J4709" s="21"/>
      <c r="K4709" s="21"/>
      <c r="L4709" s="21"/>
      <c r="M4709" s="21"/>
      <c r="N4709" s="21"/>
    </row>
    <row r="4710" spans="1:14" ht="15.75" customHeight="1" x14ac:dyDescent="0.25">
      <c r="A4710" s="7">
        <v>4</v>
      </c>
      <c r="B4710" s="41" t="s">
        <v>1753</v>
      </c>
      <c r="C4710" s="7">
        <v>200</v>
      </c>
      <c r="D4710" s="7" t="s">
        <v>19</v>
      </c>
      <c r="E4710" s="37">
        <v>5000</v>
      </c>
      <c r="F4710" s="37">
        <f>E4710*C4710</f>
        <v>1000000</v>
      </c>
      <c r="G4710" s="25"/>
      <c r="H4710" s="11"/>
      <c r="I4710" s="21"/>
      <c r="J4710" s="21"/>
      <c r="K4710" s="21"/>
      <c r="L4710" s="21"/>
      <c r="M4710" s="21"/>
      <c r="N4710" s="21"/>
    </row>
    <row r="4711" spans="1:14" ht="15.75" customHeight="1" x14ac:dyDescent="0.25">
      <c r="A4711" s="7">
        <v>5</v>
      </c>
      <c r="B4711" s="41" t="s">
        <v>1754</v>
      </c>
      <c r="C4711" s="7">
        <v>4</v>
      </c>
      <c r="D4711" s="7" t="s">
        <v>19</v>
      </c>
      <c r="E4711" s="37">
        <v>525500</v>
      </c>
      <c r="F4711" s="37">
        <f>E4711*C4711</f>
        <v>2102000</v>
      </c>
      <c r="G4711" s="25"/>
      <c r="H4711" s="11"/>
      <c r="I4711" s="21"/>
      <c r="J4711" s="21"/>
      <c r="K4711" s="21"/>
      <c r="L4711" s="21"/>
      <c r="M4711" s="21"/>
      <c r="N4711" s="21"/>
    </row>
    <row r="4712" spans="1:14" ht="15.75" customHeight="1" x14ac:dyDescent="0.25">
      <c r="A4712" s="7"/>
      <c r="B4712" s="343" t="s">
        <v>342</v>
      </c>
      <c r="C4712" s="344"/>
      <c r="D4712" s="344"/>
      <c r="E4712" s="334"/>
      <c r="F4712" s="104">
        <f>SUM(F4707:F4711)</f>
        <v>4252000</v>
      </c>
      <c r="G4712" s="25"/>
      <c r="H4712" s="11"/>
      <c r="I4712" s="21"/>
      <c r="J4712" s="21"/>
      <c r="K4712" s="21"/>
      <c r="L4712" s="21"/>
      <c r="M4712" s="21"/>
      <c r="N4712" s="21"/>
    </row>
    <row r="4713" spans="1:14" ht="15.75" customHeight="1" x14ac:dyDescent="0.25">
      <c r="A4713" s="7"/>
      <c r="B4713" s="343" t="s">
        <v>343</v>
      </c>
      <c r="C4713" s="344"/>
      <c r="D4713" s="344"/>
      <c r="E4713" s="334"/>
      <c r="F4713" s="104">
        <f>F4712*11%</f>
        <v>467720</v>
      </c>
      <c r="G4713" s="25"/>
      <c r="H4713" s="11"/>
      <c r="I4713" s="21"/>
      <c r="J4713" s="21"/>
      <c r="K4713" s="21"/>
      <c r="L4713" s="21"/>
      <c r="M4713" s="21"/>
      <c r="N4713" s="21"/>
    </row>
    <row r="4714" spans="1:14" ht="15.75" customHeight="1" x14ac:dyDescent="0.25">
      <c r="A4714" s="7"/>
      <c r="B4714" s="345" t="s">
        <v>344</v>
      </c>
      <c r="C4714" s="344"/>
      <c r="D4714" s="344"/>
      <c r="E4714" s="334"/>
      <c r="F4714" s="107">
        <f>SUM(F4712:F4713)</f>
        <v>4719720</v>
      </c>
      <c r="G4714" s="25"/>
      <c r="H4714" s="11"/>
      <c r="I4714" s="21"/>
      <c r="J4714" s="21"/>
      <c r="K4714" s="21"/>
      <c r="L4714" s="21"/>
      <c r="M4714" s="21"/>
      <c r="N4714" s="21"/>
    </row>
    <row r="4715" spans="1:14" ht="15.75" customHeight="1" x14ac:dyDescent="0.25">
      <c r="A4715" s="21"/>
      <c r="B4715" s="21"/>
      <c r="C4715" s="11"/>
      <c r="D4715" s="11"/>
      <c r="E4715" s="21"/>
      <c r="F4715" s="21"/>
      <c r="G4715" s="25"/>
      <c r="H4715" s="11"/>
      <c r="I4715" s="21"/>
      <c r="J4715" s="21"/>
      <c r="K4715" s="21"/>
      <c r="L4715" s="21"/>
      <c r="M4715" s="21"/>
      <c r="N4715" s="21"/>
    </row>
    <row r="4716" spans="1:14" ht="15.75" customHeight="1" x14ac:dyDescent="0.25">
      <c r="A4716" s="31" t="s">
        <v>14</v>
      </c>
      <c r="B4716" s="31" t="s">
        <v>234</v>
      </c>
      <c r="C4716" s="31" t="s">
        <v>16</v>
      </c>
      <c r="D4716" s="31" t="s">
        <v>17</v>
      </c>
      <c r="E4716" s="31" t="s">
        <v>235</v>
      </c>
      <c r="F4716" s="31" t="s">
        <v>236</v>
      </c>
      <c r="G4716" s="144" t="s">
        <v>1748</v>
      </c>
      <c r="H4716" s="11"/>
      <c r="I4716" s="21"/>
      <c r="J4716" s="21"/>
      <c r="K4716" s="21"/>
      <c r="L4716" s="21"/>
      <c r="M4716" s="21"/>
      <c r="N4716" s="21"/>
    </row>
    <row r="4717" spans="1:14" ht="15.75" customHeight="1" x14ac:dyDescent="0.25">
      <c r="A4717" s="7">
        <v>1</v>
      </c>
      <c r="B4717" s="41" t="s">
        <v>1755</v>
      </c>
      <c r="C4717" s="7">
        <v>2</v>
      </c>
      <c r="D4717" s="7" t="s">
        <v>973</v>
      </c>
      <c r="E4717" s="37">
        <v>902876</v>
      </c>
      <c r="F4717" s="37">
        <f>E4717*C4717</f>
        <v>1805752</v>
      </c>
      <c r="G4717" s="171" t="s">
        <v>1756</v>
      </c>
      <c r="H4717" s="11"/>
      <c r="I4717" s="21"/>
      <c r="J4717" s="21"/>
      <c r="K4717" s="21"/>
      <c r="L4717" s="21"/>
      <c r="M4717" s="21"/>
      <c r="N4717" s="21"/>
    </row>
    <row r="4718" spans="1:14" ht="15.75" customHeight="1" x14ac:dyDescent="0.25">
      <c r="A4718" s="7">
        <v>2</v>
      </c>
      <c r="B4718" s="41" t="s">
        <v>1757</v>
      </c>
      <c r="C4718" s="7">
        <v>7</v>
      </c>
      <c r="D4718" s="7" t="s">
        <v>19</v>
      </c>
      <c r="E4718" s="37">
        <v>145500</v>
      </c>
      <c r="F4718" s="37">
        <f>E4718*C4718</f>
        <v>1018500</v>
      </c>
      <c r="G4718" s="25" t="s">
        <v>1758</v>
      </c>
      <c r="H4718" s="11"/>
      <c r="I4718" s="21"/>
      <c r="J4718" s="21"/>
      <c r="K4718" s="21"/>
      <c r="L4718" s="21"/>
      <c r="M4718" s="21"/>
      <c r="N4718" s="21"/>
    </row>
    <row r="4719" spans="1:14" ht="15.75" customHeight="1" x14ac:dyDescent="0.25">
      <c r="A4719" s="7">
        <v>3</v>
      </c>
      <c r="B4719" s="41" t="s">
        <v>1759</v>
      </c>
      <c r="C4719" s="7">
        <v>2</v>
      </c>
      <c r="D4719" s="7" t="s">
        <v>19</v>
      </c>
      <c r="E4719" s="37">
        <v>194000</v>
      </c>
      <c r="F4719" s="37">
        <f>E4719*C4719</f>
        <v>388000</v>
      </c>
      <c r="G4719" s="25" t="s">
        <v>1752</v>
      </c>
      <c r="H4719" s="11"/>
      <c r="I4719" s="21"/>
      <c r="J4719" s="21"/>
      <c r="K4719" s="21"/>
      <c r="L4719" s="21"/>
      <c r="M4719" s="21"/>
      <c r="N4719" s="21"/>
    </row>
    <row r="4720" spans="1:14" ht="15.75" customHeight="1" x14ac:dyDescent="0.25">
      <c r="A4720" s="7"/>
      <c r="B4720" s="343" t="s">
        <v>342</v>
      </c>
      <c r="C4720" s="344"/>
      <c r="D4720" s="344"/>
      <c r="E4720" s="334"/>
      <c r="F4720" s="104">
        <f>SUM(F4717:F4719)</f>
        <v>3212252</v>
      </c>
      <c r="G4720" s="25"/>
      <c r="H4720" s="11"/>
      <c r="I4720" s="21"/>
      <c r="J4720" s="21"/>
      <c r="K4720" s="21"/>
      <c r="L4720" s="21"/>
      <c r="M4720" s="21"/>
      <c r="N4720" s="21"/>
    </row>
    <row r="4721" spans="1:14" ht="15.75" customHeight="1" x14ac:dyDescent="0.25">
      <c r="A4721" s="7"/>
      <c r="B4721" s="343" t="s">
        <v>343</v>
      </c>
      <c r="C4721" s="344"/>
      <c r="D4721" s="344"/>
      <c r="E4721" s="334"/>
      <c r="F4721" s="167">
        <f>F4720*11%</f>
        <v>353347.72000000003</v>
      </c>
      <c r="G4721" s="25"/>
      <c r="H4721" s="11"/>
      <c r="I4721" s="21"/>
      <c r="J4721" s="21"/>
      <c r="K4721" s="21"/>
      <c r="L4721" s="21"/>
      <c r="M4721" s="21"/>
      <c r="N4721" s="21"/>
    </row>
    <row r="4722" spans="1:14" ht="15.75" customHeight="1" x14ac:dyDescent="0.25">
      <c r="A4722" s="7"/>
      <c r="B4722" s="345" t="s">
        <v>344</v>
      </c>
      <c r="C4722" s="344"/>
      <c r="D4722" s="344"/>
      <c r="E4722" s="334"/>
      <c r="F4722" s="168">
        <f>SUM(F4720:F4721)</f>
        <v>3565599.72</v>
      </c>
      <c r="G4722" s="25"/>
      <c r="H4722" s="11"/>
      <c r="I4722" s="21"/>
      <c r="J4722" s="21"/>
      <c r="K4722" s="21"/>
      <c r="L4722" s="21"/>
      <c r="M4722" s="21"/>
      <c r="N4722" s="21"/>
    </row>
    <row r="4723" spans="1:14" ht="15.75" customHeight="1" x14ac:dyDescent="0.25">
      <c r="A4723" s="21"/>
      <c r="B4723" s="21"/>
      <c r="C4723" s="11"/>
      <c r="D4723" s="11"/>
      <c r="E4723" s="21"/>
      <c r="F4723" s="21"/>
      <c r="G4723" s="25"/>
      <c r="H4723" s="11"/>
      <c r="I4723" s="21"/>
      <c r="J4723" s="21"/>
      <c r="K4723" s="21"/>
      <c r="L4723" s="21"/>
      <c r="M4723" s="21"/>
      <c r="N4723" s="21"/>
    </row>
    <row r="4724" spans="1:14" ht="15.75" customHeight="1" x14ac:dyDescent="0.25">
      <c r="A4724" s="21"/>
      <c r="B4724" s="21"/>
      <c r="C4724" s="11"/>
      <c r="D4724" s="11"/>
      <c r="E4724" s="21"/>
      <c r="F4724" s="21"/>
      <c r="G4724" s="25"/>
      <c r="H4724" s="11"/>
      <c r="I4724" s="21"/>
      <c r="J4724" s="21"/>
      <c r="K4724" s="21"/>
      <c r="L4724" s="21"/>
      <c r="M4724" s="21"/>
      <c r="N4724" s="21"/>
    </row>
    <row r="4725" spans="1:14" ht="15.75" customHeight="1" x14ac:dyDescent="0.25">
      <c r="A4725" s="31" t="s">
        <v>14</v>
      </c>
      <c r="B4725" s="31" t="s">
        <v>234</v>
      </c>
      <c r="C4725" s="31" t="s">
        <v>16</v>
      </c>
      <c r="D4725" s="31" t="s">
        <v>17</v>
      </c>
      <c r="E4725" s="31" t="s">
        <v>235</v>
      </c>
      <c r="F4725" s="31" t="s">
        <v>236</v>
      </c>
      <c r="G4725" s="144" t="s">
        <v>1748</v>
      </c>
      <c r="H4725" s="11"/>
      <c r="I4725" s="21"/>
      <c r="J4725" s="21"/>
      <c r="K4725" s="21"/>
      <c r="L4725" s="21"/>
      <c r="M4725" s="21"/>
      <c r="N4725" s="21"/>
    </row>
    <row r="4726" spans="1:14" ht="15.75" customHeight="1" x14ac:dyDescent="0.25">
      <c r="A4726" s="7">
        <v>1</v>
      </c>
      <c r="B4726" s="124" t="s">
        <v>1760</v>
      </c>
      <c r="C4726" s="7">
        <v>2</v>
      </c>
      <c r="D4726" s="7" t="s">
        <v>363</v>
      </c>
      <c r="E4726" s="37">
        <v>11000</v>
      </c>
      <c r="F4726" s="37">
        <f>E4726*C4726</f>
        <v>22000</v>
      </c>
      <c r="G4726" s="171" t="s">
        <v>1758</v>
      </c>
      <c r="H4726" s="11"/>
      <c r="I4726" s="21"/>
      <c r="J4726" s="21"/>
      <c r="K4726" s="21"/>
      <c r="L4726" s="21"/>
      <c r="M4726" s="21"/>
      <c r="N4726" s="21"/>
    </row>
    <row r="4727" spans="1:14" ht="15.75" customHeight="1" x14ac:dyDescent="0.25">
      <c r="A4727" s="7">
        <v>2</v>
      </c>
      <c r="B4727" s="124" t="s">
        <v>1761</v>
      </c>
      <c r="C4727" s="7">
        <v>2</v>
      </c>
      <c r="D4727" s="7" t="s">
        <v>363</v>
      </c>
      <c r="E4727" s="37">
        <v>27000</v>
      </c>
      <c r="F4727" s="37">
        <f>E4727*C4727</f>
        <v>54000</v>
      </c>
      <c r="G4727" s="171" t="s">
        <v>1762</v>
      </c>
      <c r="H4727" s="11"/>
      <c r="I4727" s="21"/>
      <c r="J4727" s="21"/>
      <c r="K4727" s="21"/>
      <c r="L4727" s="21"/>
      <c r="M4727" s="21"/>
      <c r="N4727" s="21"/>
    </row>
    <row r="4728" spans="1:14" ht="15.75" customHeight="1" x14ac:dyDescent="0.25">
      <c r="A4728" s="7">
        <v>3</v>
      </c>
      <c r="B4728" s="124" t="s">
        <v>1763</v>
      </c>
      <c r="C4728" s="7">
        <v>35</v>
      </c>
      <c r="D4728" s="7" t="s">
        <v>406</v>
      </c>
      <c r="E4728" s="37">
        <v>3000</v>
      </c>
      <c r="F4728" s="37">
        <f>E4728*C4728</f>
        <v>105000</v>
      </c>
      <c r="G4728" s="25" t="s">
        <v>1752</v>
      </c>
      <c r="H4728" s="11"/>
      <c r="I4728" s="21"/>
      <c r="J4728" s="21"/>
      <c r="K4728" s="21"/>
      <c r="L4728" s="21"/>
      <c r="M4728" s="21"/>
      <c r="N4728" s="21"/>
    </row>
    <row r="4729" spans="1:14" ht="15.75" customHeight="1" x14ac:dyDescent="0.25">
      <c r="A4729" s="7">
        <v>4</v>
      </c>
      <c r="B4729" s="124" t="s">
        <v>1197</v>
      </c>
      <c r="C4729" s="7">
        <v>2</v>
      </c>
      <c r="D4729" s="7" t="s">
        <v>550</v>
      </c>
      <c r="E4729" s="37">
        <v>93800</v>
      </c>
      <c r="F4729" s="37">
        <f>E4729*C4729</f>
        <v>187600</v>
      </c>
      <c r="G4729" s="25"/>
      <c r="H4729" s="11"/>
      <c r="I4729" s="21"/>
      <c r="J4729" s="21"/>
      <c r="K4729" s="21"/>
      <c r="L4729" s="21"/>
      <c r="M4729" s="21"/>
      <c r="N4729" s="21"/>
    </row>
    <row r="4730" spans="1:14" ht="15.75" customHeight="1" x14ac:dyDescent="0.25">
      <c r="A4730" s="7"/>
      <c r="B4730" s="343" t="s">
        <v>342</v>
      </c>
      <c r="C4730" s="344"/>
      <c r="D4730" s="344"/>
      <c r="E4730" s="334"/>
      <c r="F4730" s="104">
        <f>SUM(F4726:F4729)</f>
        <v>368600</v>
      </c>
      <c r="G4730" s="25"/>
      <c r="H4730" s="11"/>
      <c r="I4730" s="21"/>
      <c r="J4730" s="21"/>
      <c r="K4730" s="21"/>
      <c r="L4730" s="21"/>
      <c r="M4730" s="21"/>
      <c r="N4730" s="21"/>
    </row>
    <row r="4731" spans="1:14" ht="15.75" customHeight="1" x14ac:dyDescent="0.25">
      <c r="A4731" s="7"/>
      <c r="B4731" s="343" t="s">
        <v>343</v>
      </c>
      <c r="C4731" s="344"/>
      <c r="D4731" s="344"/>
      <c r="E4731" s="334"/>
      <c r="F4731" s="104">
        <f>F4730*11%</f>
        <v>40546</v>
      </c>
      <c r="G4731" s="25"/>
      <c r="H4731" s="11"/>
      <c r="I4731" s="21"/>
      <c r="J4731" s="21"/>
      <c r="K4731" s="21"/>
      <c r="L4731" s="21"/>
      <c r="M4731" s="21"/>
      <c r="N4731" s="21"/>
    </row>
    <row r="4732" spans="1:14" ht="15.75" customHeight="1" x14ac:dyDescent="0.25">
      <c r="A4732" s="7"/>
      <c r="B4732" s="345" t="s">
        <v>344</v>
      </c>
      <c r="C4732" s="344"/>
      <c r="D4732" s="344"/>
      <c r="E4732" s="334"/>
      <c r="F4732" s="107">
        <f>SUM(F4730:F4731)</f>
        <v>409146</v>
      </c>
      <c r="G4732" s="25"/>
      <c r="H4732" s="11"/>
      <c r="I4732" s="21"/>
      <c r="J4732" s="21"/>
      <c r="K4732" s="21"/>
      <c r="L4732" s="21"/>
      <c r="M4732" s="21"/>
      <c r="N4732" s="21"/>
    </row>
    <row r="4733" spans="1:14" ht="15.75" customHeight="1" x14ac:dyDescent="0.25">
      <c r="A4733" s="21"/>
      <c r="B4733" s="21"/>
      <c r="C4733" s="11"/>
      <c r="D4733" s="11"/>
      <c r="E4733" s="21"/>
      <c r="F4733" s="21"/>
      <c r="G4733" s="25"/>
      <c r="H4733" s="11"/>
      <c r="I4733" s="21"/>
      <c r="J4733" s="21"/>
      <c r="K4733" s="21"/>
      <c r="L4733" s="21"/>
      <c r="M4733" s="21"/>
      <c r="N4733" s="21"/>
    </row>
    <row r="4734" spans="1:14" ht="15.75" customHeight="1" x14ac:dyDescent="0.25">
      <c r="A4734" s="31" t="s">
        <v>14</v>
      </c>
      <c r="B4734" s="31" t="s">
        <v>234</v>
      </c>
      <c r="C4734" s="31" t="s">
        <v>16</v>
      </c>
      <c r="D4734" s="31" t="s">
        <v>17</v>
      </c>
      <c r="E4734" s="31" t="s">
        <v>235</v>
      </c>
      <c r="F4734" s="31" t="s">
        <v>236</v>
      </c>
      <c r="G4734" s="144" t="s">
        <v>1748</v>
      </c>
      <c r="H4734" s="11"/>
      <c r="I4734" s="21"/>
      <c r="J4734" s="21"/>
      <c r="K4734" s="21"/>
      <c r="L4734" s="21"/>
      <c r="M4734" s="21"/>
      <c r="N4734" s="21"/>
    </row>
    <row r="4735" spans="1:14" ht="15.75" customHeight="1" x14ac:dyDescent="0.25">
      <c r="A4735" s="7">
        <v>1</v>
      </c>
      <c r="B4735" s="41" t="s">
        <v>1764</v>
      </c>
      <c r="C4735" s="7">
        <v>4</v>
      </c>
      <c r="D4735" s="7" t="s">
        <v>363</v>
      </c>
      <c r="E4735" s="37">
        <v>85000</v>
      </c>
      <c r="F4735" s="37">
        <f t="shared" ref="F4735:F4741" si="53">E4735*C4735</f>
        <v>340000</v>
      </c>
      <c r="G4735" s="171" t="s">
        <v>1758</v>
      </c>
      <c r="H4735" s="11"/>
      <c r="I4735" s="21"/>
      <c r="J4735" s="21"/>
      <c r="K4735" s="21"/>
      <c r="L4735" s="21"/>
      <c r="M4735" s="21"/>
      <c r="N4735" s="21"/>
    </row>
    <row r="4736" spans="1:14" ht="15.75" customHeight="1" x14ac:dyDescent="0.25">
      <c r="A4736" s="7">
        <v>2</v>
      </c>
      <c r="B4736" s="41" t="s">
        <v>1765</v>
      </c>
      <c r="C4736" s="7">
        <v>6</v>
      </c>
      <c r="D4736" s="7" t="s">
        <v>363</v>
      </c>
      <c r="E4736" s="37">
        <v>35000</v>
      </c>
      <c r="F4736" s="37">
        <f t="shared" si="53"/>
        <v>210000</v>
      </c>
      <c r="G4736" s="171" t="s">
        <v>1766</v>
      </c>
      <c r="H4736" s="11"/>
      <c r="I4736" s="21"/>
      <c r="J4736" s="21"/>
      <c r="K4736" s="21"/>
      <c r="L4736" s="21"/>
      <c r="M4736" s="21"/>
      <c r="N4736" s="21"/>
    </row>
    <row r="4737" spans="1:14" ht="15.75" customHeight="1" x14ac:dyDescent="0.25">
      <c r="A4737" s="7">
        <v>3</v>
      </c>
      <c r="B4737" s="41" t="s">
        <v>1767</v>
      </c>
      <c r="C4737" s="7">
        <v>6</v>
      </c>
      <c r="D4737" s="7" t="s">
        <v>363</v>
      </c>
      <c r="E4737" s="37">
        <v>47500</v>
      </c>
      <c r="F4737" s="37">
        <f t="shared" si="53"/>
        <v>285000</v>
      </c>
      <c r="G4737" s="25" t="s">
        <v>1752</v>
      </c>
      <c r="H4737" s="11"/>
      <c r="I4737" s="21"/>
      <c r="J4737" s="21"/>
      <c r="K4737" s="21"/>
      <c r="L4737" s="21"/>
      <c r="M4737" s="21"/>
      <c r="N4737" s="21"/>
    </row>
    <row r="4738" spans="1:14" ht="15.75" customHeight="1" x14ac:dyDescent="0.25">
      <c r="A4738" s="7">
        <v>4</v>
      </c>
      <c r="B4738" s="41" t="s">
        <v>1768</v>
      </c>
      <c r="C4738" s="7">
        <v>6</v>
      </c>
      <c r="D4738" s="7" t="s">
        <v>363</v>
      </c>
      <c r="E4738" s="37">
        <v>50500</v>
      </c>
      <c r="F4738" s="37">
        <f t="shared" si="53"/>
        <v>303000</v>
      </c>
      <c r="G4738" s="25"/>
      <c r="H4738" s="11"/>
      <c r="I4738" s="21"/>
      <c r="J4738" s="21"/>
      <c r="K4738" s="21"/>
      <c r="L4738" s="21"/>
      <c r="M4738" s="21"/>
      <c r="N4738" s="21"/>
    </row>
    <row r="4739" spans="1:14" ht="15.75" customHeight="1" x14ac:dyDescent="0.25">
      <c r="A4739" s="7">
        <v>5</v>
      </c>
      <c r="B4739" s="35" t="s">
        <v>1769</v>
      </c>
      <c r="C4739" s="7">
        <v>4</v>
      </c>
      <c r="D4739" s="7" t="s">
        <v>363</v>
      </c>
      <c r="E4739" s="37">
        <v>67500</v>
      </c>
      <c r="F4739" s="37">
        <f t="shared" si="53"/>
        <v>270000</v>
      </c>
      <c r="G4739" s="25"/>
      <c r="H4739" s="11"/>
      <c r="I4739" s="21"/>
      <c r="J4739" s="21"/>
      <c r="K4739" s="21"/>
      <c r="L4739" s="21"/>
      <c r="M4739" s="21"/>
      <c r="N4739" s="21"/>
    </row>
    <row r="4740" spans="1:14" ht="15.75" customHeight="1" x14ac:dyDescent="0.25">
      <c r="A4740" s="7">
        <v>6</v>
      </c>
      <c r="B4740" s="41" t="s">
        <v>1770</v>
      </c>
      <c r="C4740" s="7">
        <v>4</v>
      </c>
      <c r="D4740" s="7" t="s">
        <v>363</v>
      </c>
      <c r="E4740" s="37">
        <v>18000</v>
      </c>
      <c r="F4740" s="37">
        <f t="shared" si="53"/>
        <v>72000</v>
      </c>
      <c r="G4740" s="25"/>
      <c r="H4740" s="11"/>
      <c r="I4740" s="21"/>
      <c r="J4740" s="21"/>
      <c r="K4740" s="21"/>
      <c r="L4740" s="21"/>
      <c r="M4740" s="21"/>
      <c r="N4740" s="21"/>
    </row>
    <row r="4741" spans="1:14" ht="15.75" customHeight="1" x14ac:dyDescent="0.25">
      <c r="A4741" s="7">
        <v>7</v>
      </c>
      <c r="B4741" s="35" t="s">
        <v>1771</v>
      </c>
      <c r="C4741" s="7">
        <v>4</v>
      </c>
      <c r="D4741" s="7" t="s">
        <v>363</v>
      </c>
      <c r="E4741" s="37">
        <v>20500</v>
      </c>
      <c r="F4741" s="37">
        <f t="shared" si="53"/>
        <v>82000</v>
      </c>
      <c r="G4741" s="25"/>
      <c r="H4741" s="11"/>
      <c r="I4741" s="21"/>
      <c r="J4741" s="21"/>
      <c r="K4741" s="21"/>
      <c r="L4741" s="21"/>
      <c r="M4741" s="21"/>
      <c r="N4741" s="21"/>
    </row>
    <row r="4742" spans="1:14" ht="15.75" customHeight="1" x14ac:dyDescent="0.25">
      <c r="A4742" s="7"/>
      <c r="B4742" s="343" t="s">
        <v>342</v>
      </c>
      <c r="C4742" s="344"/>
      <c r="D4742" s="344"/>
      <c r="E4742" s="334"/>
      <c r="F4742" s="104">
        <f>SUM(F4735:F4741)</f>
        <v>1562000</v>
      </c>
      <c r="G4742" s="25"/>
      <c r="H4742" s="11"/>
      <c r="I4742" s="21"/>
      <c r="J4742" s="21"/>
      <c r="K4742" s="21"/>
      <c r="L4742" s="21"/>
      <c r="M4742" s="21"/>
      <c r="N4742" s="21"/>
    </row>
    <row r="4743" spans="1:14" ht="15.75" customHeight="1" x14ac:dyDescent="0.25">
      <c r="A4743" s="7"/>
      <c r="B4743" s="343" t="s">
        <v>343</v>
      </c>
      <c r="C4743" s="344"/>
      <c r="D4743" s="344"/>
      <c r="E4743" s="334"/>
      <c r="F4743" s="104">
        <f>F4742*11%</f>
        <v>171820</v>
      </c>
      <c r="G4743" s="25"/>
      <c r="H4743" s="11"/>
      <c r="I4743" s="21"/>
      <c r="J4743" s="21"/>
      <c r="K4743" s="21"/>
      <c r="L4743" s="21"/>
      <c r="M4743" s="21"/>
      <c r="N4743" s="21"/>
    </row>
    <row r="4744" spans="1:14" ht="15.75" customHeight="1" x14ac:dyDescent="0.25">
      <c r="A4744" s="7"/>
      <c r="B4744" s="345" t="s">
        <v>344</v>
      </c>
      <c r="C4744" s="344"/>
      <c r="D4744" s="344"/>
      <c r="E4744" s="334"/>
      <c r="F4744" s="107">
        <f>SUM(F4742:F4743)</f>
        <v>1733820</v>
      </c>
      <c r="G4744" s="25"/>
      <c r="H4744" s="11"/>
      <c r="I4744" s="21"/>
      <c r="J4744" s="21"/>
      <c r="K4744" s="21"/>
      <c r="L4744" s="21"/>
      <c r="M4744" s="21"/>
      <c r="N4744" s="21"/>
    </row>
    <row r="4745" spans="1:14" ht="15.75" customHeight="1" x14ac:dyDescent="0.25">
      <c r="A4745" s="21"/>
      <c r="B4745" s="21"/>
      <c r="C4745" s="11"/>
      <c r="D4745" s="11"/>
      <c r="E4745" s="21"/>
      <c r="F4745" s="21"/>
      <c r="G4745" s="25"/>
      <c r="H4745" s="11"/>
      <c r="I4745" s="21"/>
      <c r="J4745" s="21"/>
      <c r="K4745" s="21"/>
      <c r="L4745" s="21"/>
      <c r="M4745" s="21"/>
      <c r="N4745" s="21"/>
    </row>
    <row r="4746" spans="1:14" ht="15.75" customHeight="1" x14ac:dyDescent="0.25">
      <c r="A4746" s="31" t="s">
        <v>14</v>
      </c>
      <c r="B4746" s="31" t="s">
        <v>234</v>
      </c>
      <c r="C4746" s="31" t="s">
        <v>16</v>
      </c>
      <c r="D4746" s="31" t="s">
        <v>17</v>
      </c>
      <c r="E4746" s="31" t="s">
        <v>235</v>
      </c>
      <c r="F4746" s="31" t="s">
        <v>236</v>
      </c>
      <c r="G4746" s="144" t="s">
        <v>1748</v>
      </c>
      <c r="H4746" s="11"/>
      <c r="I4746" s="21"/>
      <c r="J4746" s="21"/>
      <c r="K4746" s="21"/>
      <c r="L4746" s="21"/>
      <c r="M4746" s="21"/>
      <c r="N4746" s="21"/>
    </row>
    <row r="4747" spans="1:14" ht="15.75" customHeight="1" x14ac:dyDescent="0.25">
      <c r="A4747" s="7">
        <v>1</v>
      </c>
      <c r="B4747" s="124" t="s">
        <v>1772</v>
      </c>
      <c r="C4747" s="7">
        <v>3</v>
      </c>
      <c r="D4747" s="7" t="s">
        <v>363</v>
      </c>
      <c r="E4747" s="37">
        <v>755000</v>
      </c>
      <c r="F4747" s="37">
        <f>E4747*C4747</f>
        <v>2265000</v>
      </c>
      <c r="G4747" s="40">
        <v>45627</v>
      </c>
      <c r="H4747" s="11"/>
      <c r="I4747" s="21"/>
      <c r="J4747" s="21"/>
      <c r="K4747" s="21"/>
      <c r="L4747" s="21"/>
      <c r="M4747" s="21"/>
      <c r="N4747" s="21"/>
    </row>
    <row r="4748" spans="1:14" ht="15.75" customHeight="1" x14ac:dyDescent="0.25">
      <c r="A4748" s="7">
        <v>2</v>
      </c>
      <c r="B4748" s="124" t="s">
        <v>1773</v>
      </c>
      <c r="C4748" s="7">
        <v>2</v>
      </c>
      <c r="D4748" s="7" t="s">
        <v>363</v>
      </c>
      <c r="E4748" s="37">
        <v>128500</v>
      </c>
      <c r="F4748" s="37">
        <f>E4748*C4748</f>
        <v>257000</v>
      </c>
      <c r="G4748" s="25">
        <v>24900045</v>
      </c>
      <c r="H4748" s="11"/>
      <c r="I4748" s="21"/>
      <c r="J4748" s="21"/>
      <c r="K4748" s="21"/>
      <c r="L4748" s="21"/>
      <c r="M4748" s="21"/>
      <c r="N4748" s="21"/>
    </row>
    <row r="4749" spans="1:14" ht="15.75" customHeight="1" x14ac:dyDescent="0.25">
      <c r="A4749" s="7">
        <v>3</v>
      </c>
      <c r="B4749" s="124" t="s">
        <v>1774</v>
      </c>
      <c r="C4749" s="7">
        <v>2</v>
      </c>
      <c r="D4749" s="7" t="s">
        <v>363</v>
      </c>
      <c r="E4749" s="37">
        <v>216500</v>
      </c>
      <c r="F4749" s="37">
        <f>E4749*C4749</f>
        <v>433000</v>
      </c>
      <c r="G4749" s="25" t="s">
        <v>1752</v>
      </c>
      <c r="H4749" s="11"/>
      <c r="I4749" s="21"/>
      <c r="J4749" s="21"/>
      <c r="K4749" s="21"/>
      <c r="L4749" s="21"/>
      <c r="M4749" s="21"/>
      <c r="N4749" s="21"/>
    </row>
    <row r="4750" spans="1:14" ht="15.75" customHeight="1" x14ac:dyDescent="0.25">
      <c r="A4750" s="7">
        <v>4</v>
      </c>
      <c r="B4750" s="124" t="s">
        <v>1775</v>
      </c>
      <c r="C4750" s="7">
        <v>2</v>
      </c>
      <c r="D4750" s="7" t="s">
        <v>363</v>
      </c>
      <c r="E4750" s="37">
        <v>85500</v>
      </c>
      <c r="F4750" s="37">
        <f>E4750*C4750</f>
        <v>171000</v>
      </c>
      <c r="G4750" s="25"/>
      <c r="H4750" s="11"/>
      <c r="I4750" s="21"/>
      <c r="J4750" s="21"/>
      <c r="K4750" s="21"/>
      <c r="L4750" s="21"/>
      <c r="M4750" s="21"/>
      <c r="N4750" s="21"/>
    </row>
    <row r="4751" spans="1:14" ht="15.75" customHeight="1" x14ac:dyDescent="0.25">
      <c r="A4751" s="7"/>
      <c r="B4751" s="343" t="s">
        <v>342</v>
      </c>
      <c r="C4751" s="344"/>
      <c r="D4751" s="344"/>
      <c r="E4751" s="334"/>
      <c r="F4751" s="104">
        <f>SUM(F4747:F4750)</f>
        <v>3126000</v>
      </c>
      <c r="G4751" s="25"/>
      <c r="H4751" s="11"/>
      <c r="I4751" s="21"/>
      <c r="J4751" s="21"/>
      <c r="K4751" s="21"/>
      <c r="L4751" s="21"/>
      <c r="M4751" s="21"/>
      <c r="N4751" s="21"/>
    </row>
    <row r="4752" spans="1:14" ht="15.75" customHeight="1" x14ac:dyDescent="0.25">
      <c r="A4752" s="7"/>
      <c r="B4752" s="343" t="s">
        <v>343</v>
      </c>
      <c r="C4752" s="344"/>
      <c r="D4752" s="344"/>
      <c r="E4752" s="334"/>
      <c r="F4752" s="104">
        <f>F4751*11%</f>
        <v>343860</v>
      </c>
      <c r="G4752" s="25"/>
      <c r="H4752" s="11"/>
      <c r="I4752" s="21"/>
      <c r="J4752" s="21"/>
      <c r="K4752" s="21"/>
      <c r="L4752" s="21"/>
      <c r="M4752" s="21"/>
      <c r="N4752" s="21"/>
    </row>
    <row r="4753" spans="1:14" ht="15.75" customHeight="1" x14ac:dyDescent="0.25">
      <c r="A4753" s="7"/>
      <c r="B4753" s="345" t="s">
        <v>344</v>
      </c>
      <c r="C4753" s="344"/>
      <c r="D4753" s="344"/>
      <c r="E4753" s="334"/>
      <c r="F4753" s="107">
        <f>SUM(F4751:F4752)</f>
        <v>3469860</v>
      </c>
      <c r="G4753" s="25"/>
      <c r="H4753" s="11"/>
      <c r="I4753" s="21"/>
      <c r="J4753" s="21"/>
      <c r="K4753" s="21"/>
      <c r="L4753" s="21"/>
      <c r="M4753" s="21"/>
      <c r="N4753" s="21"/>
    </row>
    <row r="4754" spans="1:14" ht="15.75" customHeight="1" x14ac:dyDescent="0.25">
      <c r="A4754" s="21"/>
      <c r="B4754" s="21"/>
      <c r="C4754" s="11"/>
      <c r="D4754" s="11"/>
      <c r="E4754" s="21"/>
      <c r="F4754" s="21"/>
      <c r="G4754" s="25"/>
      <c r="H4754" s="11"/>
      <c r="I4754" s="21"/>
      <c r="J4754" s="21"/>
      <c r="K4754" s="21"/>
      <c r="L4754" s="21"/>
      <c r="M4754" s="21"/>
      <c r="N4754" s="21"/>
    </row>
    <row r="4755" spans="1:14" ht="15.75" customHeight="1" x14ac:dyDescent="0.25">
      <c r="A4755" s="21"/>
      <c r="B4755" s="21"/>
      <c r="C4755" s="11"/>
      <c r="D4755" s="11"/>
      <c r="E4755" s="21"/>
      <c r="F4755" s="21"/>
      <c r="G4755" s="25"/>
      <c r="H4755" s="11"/>
      <c r="I4755" s="21"/>
      <c r="J4755" s="21"/>
      <c r="K4755" s="21"/>
      <c r="L4755" s="21"/>
      <c r="M4755" s="21"/>
      <c r="N4755" s="21"/>
    </row>
    <row r="4756" spans="1:14" ht="15.75" customHeight="1" x14ac:dyDescent="0.25">
      <c r="A4756" s="31" t="s">
        <v>14</v>
      </c>
      <c r="B4756" s="31" t="s">
        <v>234</v>
      </c>
      <c r="C4756" s="31" t="s">
        <v>16</v>
      </c>
      <c r="D4756" s="31" t="s">
        <v>17</v>
      </c>
      <c r="E4756" s="31" t="s">
        <v>235</v>
      </c>
      <c r="F4756" s="31" t="s">
        <v>236</v>
      </c>
      <c r="G4756" s="144" t="s">
        <v>1722</v>
      </c>
      <c r="H4756" s="11"/>
      <c r="I4756" s="21"/>
      <c r="J4756" s="21"/>
      <c r="K4756" s="21"/>
      <c r="L4756" s="21"/>
      <c r="M4756" s="21"/>
      <c r="N4756" s="21"/>
    </row>
    <row r="4757" spans="1:14" ht="15.75" customHeight="1" x14ac:dyDescent="0.25">
      <c r="A4757" s="7">
        <v>1</v>
      </c>
      <c r="B4757" s="41" t="s">
        <v>1776</v>
      </c>
      <c r="C4757" s="7">
        <v>24</v>
      </c>
      <c r="D4757" s="7" t="s">
        <v>1135</v>
      </c>
      <c r="E4757" s="37">
        <v>41800</v>
      </c>
      <c r="F4757" s="37">
        <f>E4757*C4757</f>
        <v>1003200</v>
      </c>
      <c r="G4757" s="25" t="s">
        <v>1777</v>
      </c>
      <c r="H4757" s="11"/>
      <c r="I4757" s="21"/>
      <c r="J4757" s="21"/>
      <c r="K4757" s="21"/>
      <c r="L4757" s="21"/>
      <c r="M4757" s="21"/>
      <c r="N4757" s="21"/>
    </row>
    <row r="4758" spans="1:14" ht="15.75" customHeight="1" x14ac:dyDescent="0.25">
      <c r="A4758" s="7">
        <v>2</v>
      </c>
      <c r="B4758" s="41" t="s">
        <v>1778</v>
      </c>
      <c r="C4758" s="7">
        <v>100</v>
      </c>
      <c r="D4758" s="7" t="s">
        <v>19</v>
      </c>
      <c r="E4758" s="37">
        <v>65550</v>
      </c>
      <c r="F4758" s="37">
        <f>E4758*C4758</f>
        <v>6555000</v>
      </c>
      <c r="G4758" s="171" t="s">
        <v>1779</v>
      </c>
      <c r="H4758" s="11"/>
      <c r="I4758" s="21"/>
      <c r="J4758" s="21"/>
      <c r="K4758" s="21"/>
      <c r="L4758" s="21"/>
      <c r="M4758" s="21"/>
      <c r="N4758" s="21"/>
    </row>
    <row r="4759" spans="1:14" ht="15.75" customHeight="1" x14ac:dyDescent="0.25">
      <c r="A4759" s="7"/>
      <c r="B4759" s="343" t="s">
        <v>342</v>
      </c>
      <c r="C4759" s="344"/>
      <c r="D4759" s="344"/>
      <c r="E4759" s="334"/>
      <c r="F4759" s="104">
        <f>SUM(F4757:F4758)</f>
        <v>7558200</v>
      </c>
      <c r="G4759" s="25" t="s">
        <v>1780</v>
      </c>
      <c r="H4759" s="11"/>
      <c r="I4759" s="21"/>
      <c r="J4759" s="21"/>
      <c r="K4759" s="21"/>
      <c r="L4759" s="21"/>
      <c r="M4759" s="21"/>
      <c r="N4759" s="21"/>
    </row>
    <row r="4760" spans="1:14" ht="15.75" customHeight="1" x14ac:dyDescent="0.25">
      <c r="A4760" s="7"/>
      <c r="B4760" s="343" t="s">
        <v>343</v>
      </c>
      <c r="C4760" s="344"/>
      <c r="D4760" s="344"/>
      <c r="E4760" s="334"/>
      <c r="F4760" s="104">
        <f>F4759*11%</f>
        <v>831402</v>
      </c>
      <c r="G4760" s="25"/>
      <c r="H4760" s="11"/>
      <c r="I4760" s="21"/>
      <c r="J4760" s="21"/>
      <c r="K4760" s="21"/>
      <c r="L4760" s="21"/>
      <c r="M4760" s="21"/>
      <c r="N4760" s="21"/>
    </row>
    <row r="4761" spans="1:14" ht="15.75" customHeight="1" x14ac:dyDescent="0.25">
      <c r="A4761" s="7"/>
      <c r="B4761" s="345" t="s">
        <v>344</v>
      </c>
      <c r="C4761" s="344"/>
      <c r="D4761" s="344"/>
      <c r="E4761" s="334"/>
      <c r="F4761" s="107">
        <f>SUM(F4759:F4760)</f>
        <v>8389602</v>
      </c>
      <c r="G4761" s="25"/>
      <c r="H4761" s="11"/>
      <c r="I4761" s="21"/>
      <c r="J4761" s="21"/>
      <c r="K4761" s="21"/>
      <c r="L4761" s="21"/>
      <c r="M4761" s="21"/>
      <c r="N4761" s="21"/>
    </row>
    <row r="4762" spans="1:14" ht="15.75" customHeight="1" x14ac:dyDescent="0.25">
      <c r="A4762" s="21"/>
      <c r="B4762" s="21"/>
      <c r="C4762" s="11"/>
      <c r="D4762" s="11"/>
      <c r="E4762" s="21"/>
      <c r="F4762" s="21"/>
      <c r="G4762" s="25"/>
      <c r="H4762" s="11"/>
      <c r="I4762" s="21"/>
      <c r="J4762" s="21"/>
      <c r="K4762" s="21"/>
      <c r="L4762" s="21"/>
      <c r="M4762" s="21"/>
      <c r="N4762" s="21"/>
    </row>
    <row r="4763" spans="1:14" ht="15.75" customHeight="1" x14ac:dyDescent="0.25">
      <c r="A4763" s="21"/>
      <c r="B4763" s="21"/>
      <c r="C4763" s="11"/>
      <c r="D4763" s="11"/>
      <c r="E4763" s="21"/>
      <c r="F4763" s="21"/>
      <c r="G4763" s="25"/>
      <c r="H4763" s="11"/>
      <c r="I4763" s="21"/>
      <c r="J4763" s="21"/>
      <c r="K4763" s="21"/>
      <c r="L4763" s="21"/>
      <c r="M4763" s="21"/>
      <c r="N4763" s="21"/>
    </row>
    <row r="4764" spans="1:14" ht="15.75" customHeight="1" x14ac:dyDescent="0.25">
      <c r="A4764" s="21"/>
      <c r="B4764" s="21"/>
      <c r="C4764" s="11"/>
      <c r="D4764" s="11"/>
      <c r="E4764" s="21"/>
      <c r="F4764" s="21"/>
      <c r="G4764" s="25"/>
      <c r="H4764" s="11"/>
      <c r="I4764" s="21"/>
      <c r="J4764" s="21"/>
      <c r="K4764" s="21"/>
      <c r="L4764" s="21"/>
      <c r="M4764" s="21"/>
      <c r="N4764" s="21"/>
    </row>
    <row r="4765" spans="1:14" ht="15.75" customHeight="1" x14ac:dyDescent="0.25">
      <c r="A4765" s="21"/>
      <c r="B4765" s="21"/>
      <c r="C4765" s="11"/>
      <c r="D4765" s="11"/>
      <c r="E4765" s="21"/>
      <c r="F4765" s="21"/>
      <c r="G4765" s="25"/>
      <c r="H4765" s="11"/>
      <c r="I4765" s="21"/>
      <c r="J4765" s="21"/>
      <c r="K4765" s="21"/>
      <c r="L4765" s="21"/>
      <c r="M4765" s="21"/>
      <c r="N4765" s="21"/>
    </row>
    <row r="4766" spans="1:14" ht="15.75" customHeight="1" x14ac:dyDescent="0.25">
      <c r="A4766" s="31" t="s">
        <v>14</v>
      </c>
      <c r="B4766" s="31" t="s">
        <v>234</v>
      </c>
      <c r="C4766" s="31" t="s">
        <v>16</v>
      </c>
      <c r="D4766" s="31" t="s">
        <v>17</v>
      </c>
      <c r="E4766" s="31" t="s">
        <v>235</v>
      </c>
      <c r="F4766" s="31" t="s">
        <v>236</v>
      </c>
      <c r="G4766" s="144" t="s">
        <v>1781</v>
      </c>
      <c r="H4766" s="11"/>
      <c r="I4766" s="21"/>
      <c r="J4766" s="21"/>
      <c r="K4766" s="21"/>
      <c r="L4766" s="21"/>
      <c r="M4766" s="21"/>
      <c r="N4766" s="21"/>
    </row>
    <row r="4767" spans="1:14" ht="15.75" customHeight="1" x14ac:dyDescent="0.25">
      <c r="A4767" s="7">
        <v>1</v>
      </c>
      <c r="B4767" s="41" t="s">
        <v>1782</v>
      </c>
      <c r="C4767" s="7">
        <v>100</v>
      </c>
      <c r="D4767" s="7" t="s">
        <v>19</v>
      </c>
      <c r="E4767" s="37">
        <v>27360</v>
      </c>
      <c r="F4767" s="37">
        <f>E4767*C4767</f>
        <v>2736000</v>
      </c>
      <c r="G4767" s="25" t="s">
        <v>1783</v>
      </c>
      <c r="H4767" s="11"/>
      <c r="I4767" s="21"/>
      <c r="J4767" s="21"/>
      <c r="K4767" s="21"/>
      <c r="L4767" s="21"/>
      <c r="M4767" s="21"/>
      <c r="N4767" s="21"/>
    </row>
    <row r="4768" spans="1:14" ht="15.75" customHeight="1" x14ac:dyDescent="0.25">
      <c r="A4768" s="7">
        <v>2</v>
      </c>
      <c r="B4768" s="41" t="s">
        <v>1784</v>
      </c>
      <c r="C4768" s="7">
        <v>80</v>
      </c>
      <c r="D4768" s="7" t="s">
        <v>19</v>
      </c>
      <c r="E4768" s="37">
        <v>40500</v>
      </c>
      <c r="F4768" s="37">
        <f>E4768*C4768</f>
        <v>3240000</v>
      </c>
      <c r="G4768" s="171" t="s">
        <v>1785</v>
      </c>
      <c r="H4768" s="11"/>
      <c r="I4768" s="21"/>
      <c r="J4768" s="21"/>
      <c r="K4768" s="21"/>
      <c r="L4768" s="21"/>
      <c r="M4768" s="21"/>
      <c r="N4768" s="21"/>
    </row>
    <row r="4769" spans="1:14" ht="15.75" customHeight="1" x14ac:dyDescent="0.25">
      <c r="A4769" s="7"/>
      <c r="B4769" s="343" t="s">
        <v>342</v>
      </c>
      <c r="C4769" s="344"/>
      <c r="D4769" s="344"/>
      <c r="E4769" s="334"/>
      <c r="F4769" s="104">
        <f>SUM(F4767:F4768)</f>
        <v>5976000</v>
      </c>
      <c r="G4769" s="25" t="s">
        <v>1780</v>
      </c>
      <c r="H4769" s="11"/>
      <c r="I4769" s="21"/>
      <c r="J4769" s="21"/>
      <c r="K4769" s="21"/>
      <c r="L4769" s="21"/>
      <c r="M4769" s="21"/>
      <c r="N4769" s="21"/>
    </row>
    <row r="4770" spans="1:14" ht="15.75" customHeight="1" x14ac:dyDescent="0.25">
      <c r="A4770" s="7"/>
      <c r="B4770" s="343" t="s">
        <v>343</v>
      </c>
      <c r="C4770" s="344"/>
      <c r="D4770" s="344"/>
      <c r="E4770" s="334"/>
      <c r="F4770" s="104">
        <f>F4769*11%</f>
        <v>657360</v>
      </c>
      <c r="G4770" s="25"/>
      <c r="H4770" s="11"/>
      <c r="I4770" s="21"/>
      <c r="J4770" s="21"/>
      <c r="K4770" s="21"/>
      <c r="L4770" s="21"/>
      <c r="M4770" s="21"/>
      <c r="N4770" s="21"/>
    </row>
    <row r="4771" spans="1:14" ht="15.75" customHeight="1" x14ac:dyDescent="0.25">
      <c r="A4771" s="7"/>
      <c r="B4771" s="345" t="s">
        <v>344</v>
      </c>
      <c r="C4771" s="344"/>
      <c r="D4771" s="344"/>
      <c r="E4771" s="334"/>
      <c r="F4771" s="107">
        <f>SUM(F4769:F4770)</f>
        <v>6633360</v>
      </c>
      <c r="G4771" s="25"/>
      <c r="H4771" s="11"/>
      <c r="I4771" s="21"/>
      <c r="J4771" s="21"/>
      <c r="K4771" s="21"/>
      <c r="L4771" s="21"/>
      <c r="M4771" s="21"/>
      <c r="N4771" s="21"/>
    </row>
    <row r="4772" spans="1:14" ht="15.75" customHeight="1" x14ac:dyDescent="0.25">
      <c r="A4772" s="21"/>
      <c r="B4772" s="21"/>
      <c r="C4772" s="11"/>
      <c r="D4772" s="11"/>
      <c r="E4772" s="21"/>
      <c r="F4772" s="21"/>
      <c r="G4772" s="25"/>
      <c r="H4772" s="11"/>
      <c r="I4772" s="21"/>
      <c r="J4772" s="21"/>
      <c r="K4772" s="21"/>
      <c r="L4772" s="21"/>
      <c r="M4772" s="21"/>
      <c r="N4772" s="21"/>
    </row>
    <row r="4773" spans="1:14" ht="15.75" customHeight="1" x14ac:dyDescent="0.25">
      <c r="A4773" s="31" t="s">
        <v>14</v>
      </c>
      <c r="B4773" s="31" t="s">
        <v>234</v>
      </c>
      <c r="C4773" s="31" t="s">
        <v>16</v>
      </c>
      <c r="D4773" s="31" t="s">
        <v>17</v>
      </c>
      <c r="E4773" s="31" t="s">
        <v>235</v>
      </c>
      <c r="F4773" s="31" t="s">
        <v>236</v>
      </c>
      <c r="G4773" s="144" t="s">
        <v>1722</v>
      </c>
      <c r="H4773" s="11"/>
      <c r="I4773" s="21"/>
      <c r="J4773" s="21"/>
      <c r="K4773" s="21"/>
      <c r="L4773" s="21"/>
      <c r="M4773" s="21"/>
      <c r="N4773" s="21"/>
    </row>
    <row r="4774" spans="1:14" ht="15.75" customHeight="1" x14ac:dyDescent="0.25">
      <c r="A4774" s="7">
        <v>1</v>
      </c>
      <c r="B4774" s="41" t="s">
        <v>1786</v>
      </c>
      <c r="C4774" s="7">
        <v>10</v>
      </c>
      <c r="D4774" s="7" t="s">
        <v>19</v>
      </c>
      <c r="E4774" s="37">
        <v>51895</v>
      </c>
      <c r="F4774" s="37">
        <f>E4774*C4774</f>
        <v>518950</v>
      </c>
      <c r="G4774" s="25" t="s">
        <v>1783</v>
      </c>
      <c r="H4774" s="11"/>
      <c r="I4774" s="21"/>
      <c r="J4774" s="21"/>
      <c r="K4774" s="21"/>
      <c r="L4774" s="21"/>
      <c r="M4774" s="21"/>
      <c r="N4774" s="21"/>
    </row>
    <row r="4775" spans="1:14" ht="15.75" customHeight="1" x14ac:dyDescent="0.25">
      <c r="A4775" s="7"/>
      <c r="B4775" s="343" t="s">
        <v>342</v>
      </c>
      <c r="C4775" s="344"/>
      <c r="D4775" s="344"/>
      <c r="E4775" s="334"/>
      <c r="F4775" s="104">
        <f>SUM(F4774)</f>
        <v>518950</v>
      </c>
      <c r="G4775" s="171" t="s">
        <v>1787</v>
      </c>
      <c r="H4775" s="11"/>
      <c r="I4775" s="21"/>
      <c r="J4775" s="21"/>
      <c r="K4775" s="21"/>
      <c r="L4775" s="21"/>
      <c r="M4775" s="21"/>
      <c r="N4775" s="21"/>
    </row>
    <row r="4776" spans="1:14" ht="15.75" customHeight="1" x14ac:dyDescent="0.25">
      <c r="A4776" s="7"/>
      <c r="B4776" s="343" t="s">
        <v>343</v>
      </c>
      <c r="C4776" s="344"/>
      <c r="D4776" s="344"/>
      <c r="E4776" s="334"/>
      <c r="F4776" s="167">
        <f>F4775*11%</f>
        <v>57084.5</v>
      </c>
      <c r="G4776" s="25" t="s">
        <v>1780</v>
      </c>
      <c r="H4776" s="11"/>
      <c r="I4776" s="21"/>
      <c r="J4776" s="21"/>
      <c r="K4776" s="21"/>
      <c r="L4776" s="21"/>
      <c r="M4776" s="21"/>
      <c r="N4776" s="21"/>
    </row>
    <row r="4777" spans="1:14" ht="15.75" customHeight="1" x14ac:dyDescent="0.25">
      <c r="A4777" s="7"/>
      <c r="B4777" s="345" t="s">
        <v>344</v>
      </c>
      <c r="C4777" s="344"/>
      <c r="D4777" s="344"/>
      <c r="E4777" s="334"/>
      <c r="F4777" s="168">
        <f>SUM(F4775:F4776)</f>
        <v>576034.5</v>
      </c>
      <c r="G4777" s="25"/>
      <c r="H4777" s="11"/>
      <c r="I4777" s="21"/>
      <c r="J4777" s="21"/>
      <c r="K4777" s="21"/>
      <c r="L4777" s="21"/>
      <c r="M4777" s="21"/>
      <c r="N4777" s="21"/>
    </row>
    <row r="4778" spans="1:14" ht="15.75" customHeight="1" x14ac:dyDescent="0.25">
      <c r="A4778" s="21"/>
      <c r="B4778" s="21"/>
      <c r="C4778" s="11"/>
      <c r="D4778" s="11"/>
      <c r="E4778" s="21"/>
      <c r="F4778" s="21"/>
      <c r="G4778" s="25"/>
      <c r="H4778" s="11"/>
      <c r="I4778" s="21"/>
      <c r="J4778" s="21"/>
      <c r="K4778" s="21"/>
      <c r="L4778" s="21"/>
      <c r="M4778" s="21"/>
      <c r="N4778" s="21"/>
    </row>
    <row r="4779" spans="1:14" ht="15.75" customHeight="1" x14ac:dyDescent="0.25">
      <c r="A4779" s="21"/>
      <c r="B4779" s="21"/>
      <c r="C4779" s="11"/>
      <c r="D4779" s="11"/>
      <c r="E4779" s="21"/>
      <c r="F4779" s="21"/>
      <c r="G4779" s="25"/>
      <c r="H4779" s="11"/>
      <c r="I4779" s="21"/>
      <c r="J4779" s="21"/>
      <c r="K4779" s="21"/>
      <c r="L4779" s="21"/>
      <c r="M4779" s="21"/>
      <c r="N4779" s="21"/>
    </row>
    <row r="4780" spans="1:14" ht="15.75" customHeight="1" x14ac:dyDescent="0.25">
      <c r="A4780" s="31" t="s">
        <v>14</v>
      </c>
      <c r="B4780" s="31" t="s">
        <v>234</v>
      </c>
      <c r="C4780" s="31" t="s">
        <v>16</v>
      </c>
      <c r="D4780" s="31" t="s">
        <v>17</v>
      </c>
      <c r="E4780" s="31" t="s">
        <v>235</v>
      </c>
      <c r="F4780" s="31" t="s">
        <v>236</v>
      </c>
      <c r="G4780" s="144" t="s">
        <v>1781</v>
      </c>
      <c r="H4780" s="11"/>
      <c r="I4780" s="21"/>
      <c r="J4780" s="21"/>
      <c r="K4780" s="21"/>
      <c r="L4780" s="21"/>
      <c r="M4780" s="21"/>
      <c r="N4780" s="21"/>
    </row>
    <row r="4781" spans="1:14" ht="15.75" customHeight="1" x14ac:dyDescent="0.25">
      <c r="A4781" s="7">
        <v>1</v>
      </c>
      <c r="B4781" s="41" t="s">
        <v>1106</v>
      </c>
      <c r="C4781" s="7">
        <v>60</v>
      </c>
      <c r="D4781" s="7" t="s">
        <v>539</v>
      </c>
      <c r="E4781" s="37">
        <v>213400</v>
      </c>
      <c r="F4781" s="37">
        <f>E4781*C4781</f>
        <v>12804000</v>
      </c>
      <c r="G4781" s="172">
        <v>45314</v>
      </c>
      <c r="H4781" s="11"/>
      <c r="I4781" s="21"/>
      <c r="J4781" s="21"/>
      <c r="K4781" s="21"/>
      <c r="L4781" s="21"/>
      <c r="M4781" s="21"/>
      <c r="N4781" s="21"/>
    </row>
    <row r="4782" spans="1:14" ht="15.75" customHeight="1" x14ac:dyDescent="0.25">
      <c r="A4782" s="7">
        <v>2</v>
      </c>
      <c r="B4782" s="41" t="s">
        <v>1788</v>
      </c>
      <c r="C4782" s="7">
        <v>60</v>
      </c>
      <c r="D4782" s="7" t="s">
        <v>539</v>
      </c>
      <c r="E4782" s="37">
        <v>213400</v>
      </c>
      <c r="F4782" s="37">
        <f>E4782*C4782</f>
        <v>12804000</v>
      </c>
      <c r="G4782" s="171" t="s">
        <v>1789</v>
      </c>
      <c r="H4782" s="11"/>
      <c r="I4782" s="21"/>
      <c r="J4782" s="21"/>
      <c r="K4782" s="21"/>
      <c r="L4782" s="21"/>
      <c r="M4782" s="21"/>
      <c r="N4782" s="21"/>
    </row>
    <row r="4783" spans="1:14" ht="15.75" customHeight="1" x14ac:dyDescent="0.25">
      <c r="A4783" s="7"/>
      <c r="B4783" s="343" t="s">
        <v>342</v>
      </c>
      <c r="C4783" s="344"/>
      <c r="D4783" s="344"/>
      <c r="E4783" s="334"/>
      <c r="F4783" s="104">
        <f>SUM(F4781:F4782)</f>
        <v>25608000</v>
      </c>
      <c r="G4783" s="25" t="s">
        <v>1780</v>
      </c>
      <c r="H4783" s="11"/>
      <c r="I4783" s="21"/>
      <c r="J4783" s="21"/>
      <c r="K4783" s="21"/>
      <c r="L4783" s="21"/>
      <c r="M4783" s="21"/>
      <c r="N4783" s="21"/>
    </row>
    <row r="4784" spans="1:14" ht="15.75" customHeight="1" x14ac:dyDescent="0.25">
      <c r="A4784" s="7"/>
      <c r="B4784" s="343" t="s">
        <v>343</v>
      </c>
      <c r="C4784" s="344"/>
      <c r="D4784" s="344"/>
      <c r="E4784" s="334"/>
      <c r="F4784" s="104">
        <f>F4783*11%</f>
        <v>2816880</v>
      </c>
      <c r="G4784" s="25"/>
      <c r="H4784" s="11"/>
      <c r="I4784" s="21"/>
      <c r="J4784" s="21"/>
      <c r="K4784" s="21"/>
      <c r="L4784" s="21"/>
      <c r="M4784" s="21"/>
      <c r="N4784" s="21"/>
    </row>
    <row r="4785" spans="1:14" ht="15.75" customHeight="1" x14ac:dyDescent="0.25">
      <c r="A4785" s="7"/>
      <c r="B4785" s="345" t="s">
        <v>344</v>
      </c>
      <c r="C4785" s="344"/>
      <c r="D4785" s="344"/>
      <c r="E4785" s="334"/>
      <c r="F4785" s="107">
        <f>SUM(F4783:F4784)</f>
        <v>28424880</v>
      </c>
      <c r="G4785" s="25"/>
      <c r="H4785" s="11"/>
      <c r="I4785" s="21"/>
      <c r="J4785" s="21"/>
      <c r="K4785" s="21"/>
      <c r="L4785" s="21"/>
      <c r="M4785" s="21"/>
      <c r="N4785" s="21"/>
    </row>
    <row r="4786" spans="1:14" ht="15.75" customHeight="1" x14ac:dyDescent="0.25">
      <c r="A4786" s="21"/>
      <c r="B4786" s="21"/>
      <c r="C4786" s="11"/>
      <c r="D4786" s="11"/>
      <c r="E4786" s="21"/>
      <c r="F4786" s="21"/>
      <c r="G4786" s="25"/>
      <c r="H4786" s="11"/>
      <c r="I4786" s="21"/>
      <c r="J4786" s="21"/>
      <c r="K4786" s="21"/>
      <c r="L4786" s="21"/>
      <c r="M4786" s="21"/>
      <c r="N4786" s="21"/>
    </row>
    <row r="4787" spans="1:14" ht="15.75" customHeight="1" x14ac:dyDescent="0.25">
      <c r="A4787" s="31" t="s">
        <v>14</v>
      </c>
      <c r="B4787" s="31" t="s">
        <v>234</v>
      </c>
      <c r="C4787" s="31" t="s">
        <v>16</v>
      </c>
      <c r="D4787" s="31" t="s">
        <v>17</v>
      </c>
      <c r="E4787" s="31" t="s">
        <v>235</v>
      </c>
      <c r="F4787" s="31" t="s">
        <v>236</v>
      </c>
      <c r="G4787" s="144" t="s">
        <v>1722</v>
      </c>
      <c r="H4787" s="11"/>
      <c r="I4787" s="21"/>
      <c r="J4787" s="21"/>
      <c r="K4787" s="21"/>
      <c r="L4787" s="21"/>
      <c r="M4787" s="21"/>
      <c r="N4787" s="21"/>
    </row>
    <row r="4788" spans="1:14" ht="15.75" customHeight="1" x14ac:dyDescent="0.25">
      <c r="A4788" s="7">
        <v>1</v>
      </c>
      <c r="B4788" s="41" t="s">
        <v>1790</v>
      </c>
      <c r="C4788" s="7">
        <v>3</v>
      </c>
      <c r="D4788" s="7" t="s">
        <v>19</v>
      </c>
      <c r="E4788" s="37">
        <v>4571610</v>
      </c>
      <c r="F4788" s="37">
        <f>E4788*C4788</f>
        <v>13714830</v>
      </c>
      <c r="G4788" s="172">
        <v>45316</v>
      </c>
      <c r="H4788" s="11"/>
      <c r="I4788" s="21"/>
      <c r="J4788" s="21"/>
      <c r="K4788" s="21"/>
      <c r="L4788" s="21"/>
      <c r="M4788" s="21"/>
      <c r="N4788" s="21"/>
    </row>
    <row r="4789" spans="1:14" ht="15.75" customHeight="1" x14ac:dyDescent="0.25">
      <c r="A4789" s="7"/>
      <c r="B4789" s="343" t="s">
        <v>342</v>
      </c>
      <c r="C4789" s="344"/>
      <c r="D4789" s="344"/>
      <c r="E4789" s="334"/>
      <c r="F4789" s="104">
        <f>SUM(F4788)</f>
        <v>13714830</v>
      </c>
      <c r="G4789" s="25" t="s">
        <v>1791</v>
      </c>
      <c r="H4789" s="11"/>
      <c r="I4789" s="21"/>
      <c r="J4789" s="21"/>
      <c r="K4789" s="21"/>
      <c r="L4789" s="21"/>
      <c r="M4789" s="21"/>
      <c r="N4789" s="21"/>
    </row>
    <row r="4790" spans="1:14" ht="15.75" customHeight="1" x14ac:dyDescent="0.25">
      <c r="A4790" s="7"/>
      <c r="B4790" s="343" t="s">
        <v>343</v>
      </c>
      <c r="C4790" s="344"/>
      <c r="D4790" s="344"/>
      <c r="E4790" s="334"/>
      <c r="F4790" s="167">
        <f>F4789*11%</f>
        <v>1508631.3</v>
      </c>
      <c r="G4790" s="25" t="s">
        <v>1780</v>
      </c>
      <c r="H4790" s="11"/>
      <c r="I4790" s="21"/>
      <c r="J4790" s="21"/>
      <c r="K4790" s="21"/>
      <c r="L4790" s="21"/>
      <c r="M4790" s="21"/>
      <c r="N4790" s="21"/>
    </row>
    <row r="4791" spans="1:14" ht="15.75" customHeight="1" x14ac:dyDescent="0.25">
      <c r="A4791" s="7"/>
      <c r="B4791" s="345" t="s">
        <v>344</v>
      </c>
      <c r="C4791" s="344"/>
      <c r="D4791" s="344"/>
      <c r="E4791" s="334"/>
      <c r="F4791" s="168">
        <f>SUM(F4789:F4790)</f>
        <v>15223461.300000001</v>
      </c>
      <c r="G4791" s="25"/>
      <c r="H4791" s="11"/>
      <c r="I4791" s="21"/>
      <c r="J4791" s="21"/>
      <c r="K4791" s="21"/>
      <c r="L4791" s="21"/>
      <c r="M4791" s="21"/>
      <c r="N4791" s="21"/>
    </row>
    <row r="4792" spans="1:14" ht="15.75" customHeight="1" x14ac:dyDescent="0.25">
      <c r="A4792" s="21"/>
      <c r="B4792" s="21"/>
      <c r="C4792" s="11"/>
      <c r="D4792" s="11"/>
      <c r="E4792" s="21"/>
      <c r="F4792" s="21"/>
      <c r="G4792" s="25"/>
      <c r="H4792" s="11"/>
      <c r="I4792" s="21"/>
      <c r="J4792" s="21"/>
      <c r="K4792" s="21"/>
      <c r="L4792" s="21"/>
      <c r="M4792" s="21"/>
      <c r="N4792" s="21"/>
    </row>
    <row r="4793" spans="1:14" ht="15.75" customHeight="1" x14ac:dyDescent="0.25">
      <c r="A4793" s="21"/>
      <c r="B4793" s="21"/>
      <c r="C4793" s="11"/>
      <c r="D4793" s="11"/>
      <c r="E4793" s="21"/>
      <c r="F4793" s="21"/>
      <c r="G4793" s="25"/>
      <c r="H4793" s="11"/>
      <c r="I4793" s="21"/>
      <c r="J4793" s="21"/>
      <c r="K4793" s="21"/>
      <c r="L4793" s="21"/>
      <c r="M4793" s="21"/>
      <c r="N4793" s="21"/>
    </row>
    <row r="4794" spans="1:14" ht="15.75" customHeight="1" x14ac:dyDescent="0.25">
      <c r="A4794" s="31" t="s">
        <v>14</v>
      </c>
      <c r="B4794" s="31" t="s">
        <v>234</v>
      </c>
      <c r="C4794" s="31" t="s">
        <v>16</v>
      </c>
      <c r="D4794" s="31" t="s">
        <v>17</v>
      </c>
      <c r="E4794" s="31" t="s">
        <v>235</v>
      </c>
      <c r="F4794" s="31" t="s">
        <v>236</v>
      </c>
      <c r="G4794" s="144" t="s">
        <v>1748</v>
      </c>
      <c r="H4794" s="11"/>
      <c r="I4794" s="21"/>
      <c r="J4794" s="21"/>
      <c r="K4794" s="21"/>
      <c r="L4794" s="21"/>
      <c r="M4794" s="21"/>
      <c r="N4794" s="21"/>
    </row>
    <row r="4795" spans="1:14" ht="15.75" customHeight="1" x14ac:dyDescent="0.25">
      <c r="A4795" s="7">
        <v>1</v>
      </c>
      <c r="B4795" s="124" t="s">
        <v>1792</v>
      </c>
      <c r="C4795" s="7">
        <v>2</v>
      </c>
      <c r="D4795" s="7" t="s">
        <v>347</v>
      </c>
      <c r="E4795" s="37">
        <v>1662500</v>
      </c>
      <c r="F4795" s="37">
        <f>E4795*C4795</f>
        <v>3325000</v>
      </c>
      <c r="G4795" s="25" t="s">
        <v>1793</v>
      </c>
      <c r="H4795" s="11"/>
      <c r="I4795" s="21"/>
      <c r="J4795" s="21"/>
      <c r="K4795" s="21"/>
      <c r="L4795" s="21"/>
      <c r="M4795" s="21"/>
      <c r="N4795" s="21"/>
    </row>
    <row r="4796" spans="1:14" ht="15.75" customHeight="1" x14ac:dyDescent="0.25">
      <c r="A4796" s="7"/>
      <c r="B4796" s="343" t="s">
        <v>342</v>
      </c>
      <c r="C4796" s="344"/>
      <c r="D4796" s="344"/>
      <c r="E4796" s="334"/>
      <c r="F4796" s="104">
        <f>SUM(F4795)</f>
        <v>3325000</v>
      </c>
      <c r="G4796" s="171" t="s">
        <v>1794</v>
      </c>
      <c r="H4796" s="11"/>
      <c r="I4796" s="21"/>
      <c r="J4796" s="21"/>
      <c r="K4796" s="21"/>
      <c r="L4796" s="21"/>
      <c r="M4796" s="21"/>
      <c r="N4796" s="21"/>
    </row>
    <row r="4797" spans="1:14" ht="15.75" customHeight="1" x14ac:dyDescent="0.25">
      <c r="A4797" s="7"/>
      <c r="B4797" s="343" t="s">
        <v>343</v>
      </c>
      <c r="C4797" s="344"/>
      <c r="D4797" s="344"/>
      <c r="E4797" s="334"/>
      <c r="F4797" s="104">
        <f>F4796*11%</f>
        <v>365750</v>
      </c>
      <c r="G4797" s="25" t="s">
        <v>1752</v>
      </c>
      <c r="H4797" s="11"/>
      <c r="I4797" s="21"/>
      <c r="J4797" s="21"/>
      <c r="K4797" s="21"/>
      <c r="L4797" s="21"/>
      <c r="M4797" s="21"/>
      <c r="N4797" s="21"/>
    </row>
    <row r="4798" spans="1:14" ht="15.75" customHeight="1" x14ac:dyDescent="0.25">
      <c r="A4798" s="7"/>
      <c r="B4798" s="345" t="s">
        <v>344</v>
      </c>
      <c r="C4798" s="344"/>
      <c r="D4798" s="344"/>
      <c r="E4798" s="334"/>
      <c r="F4798" s="107">
        <f>SUM(F4796:F4797)</f>
        <v>3690750</v>
      </c>
      <c r="G4798" s="25"/>
      <c r="H4798" s="11"/>
      <c r="I4798" s="21"/>
      <c r="J4798" s="21"/>
      <c r="K4798" s="21"/>
      <c r="L4798" s="21"/>
      <c r="M4798" s="21"/>
      <c r="N4798" s="21"/>
    </row>
    <row r="4799" spans="1:14" ht="15.75" customHeight="1" x14ac:dyDescent="0.25">
      <c r="A4799" s="21"/>
      <c r="B4799" s="21"/>
      <c r="C4799" s="11"/>
      <c r="D4799" s="11"/>
      <c r="E4799" s="21"/>
      <c r="F4799" s="21"/>
      <c r="G4799" s="25"/>
      <c r="H4799" s="11"/>
      <c r="I4799" s="21"/>
      <c r="J4799" s="21"/>
      <c r="K4799" s="21"/>
      <c r="L4799" s="21"/>
      <c r="M4799" s="21"/>
      <c r="N4799" s="21"/>
    </row>
    <row r="4800" spans="1:14" ht="15.75" customHeight="1" x14ac:dyDescent="0.25">
      <c r="A4800" s="21"/>
      <c r="B4800" s="21"/>
      <c r="C4800" s="11"/>
      <c r="D4800" s="11"/>
      <c r="E4800" s="21"/>
      <c r="F4800" s="21"/>
      <c r="G4800" s="25"/>
      <c r="H4800" s="11"/>
      <c r="I4800" s="21"/>
      <c r="J4800" s="21"/>
      <c r="K4800" s="21"/>
      <c r="L4800" s="21"/>
      <c r="M4800" s="21"/>
      <c r="N4800" s="21"/>
    </row>
    <row r="4801" spans="1:14" ht="15.75" customHeight="1" x14ac:dyDescent="0.25">
      <c r="A4801" s="21"/>
      <c r="B4801" s="21"/>
      <c r="C4801" s="11"/>
      <c r="D4801" s="11"/>
      <c r="E4801" s="21"/>
      <c r="F4801" s="21"/>
      <c r="G4801" s="25"/>
      <c r="H4801" s="11"/>
      <c r="I4801" s="21"/>
      <c r="J4801" s="21"/>
      <c r="K4801" s="21"/>
      <c r="L4801" s="21"/>
      <c r="M4801" s="21"/>
      <c r="N4801" s="21"/>
    </row>
    <row r="4802" spans="1:14" ht="15.75" customHeight="1" x14ac:dyDescent="0.25">
      <c r="A4802" s="31" t="s">
        <v>14</v>
      </c>
      <c r="B4802" s="31" t="s">
        <v>234</v>
      </c>
      <c r="C4802" s="31" t="s">
        <v>16</v>
      </c>
      <c r="D4802" s="31" t="s">
        <v>17</v>
      </c>
      <c r="E4802" s="31" t="s">
        <v>235</v>
      </c>
      <c r="F4802" s="31" t="s">
        <v>236</v>
      </c>
      <c r="G4802" s="144" t="s">
        <v>1722</v>
      </c>
      <c r="H4802" s="11"/>
      <c r="I4802" s="21"/>
      <c r="J4802" s="21"/>
      <c r="K4802" s="21"/>
      <c r="L4802" s="21"/>
      <c r="M4802" s="21"/>
      <c r="N4802" s="21"/>
    </row>
    <row r="4803" spans="1:14" ht="15.75" customHeight="1" x14ac:dyDescent="0.25">
      <c r="A4803" s="7">
        <v>1</v>
      </c>
      <c r="B4803" s="124" t="s">
        <v>1795</v>
      </c>
      <c r="C4803" s="7">
        <v>2</v>
      </c>
      <c r="D4803" s="7" t="s">
        <v>19</v>
      </c>
      <c r="E4803" s="37">
        <v>2098075</v>
      </c>
      <c r="F4803" s="37">
        <f>E4803*C4803</f>
        <v>4196150</v>
      </c>
      <c r="G4803" s="25" t="s">
        <v>1783</v>
      </c>
      <c r="H4803" s="11"/>
      <c r="I4803" s="21"/>
      <c r="J4803" s="21"/>
      <c r="K4803" s="21"/>
      <c r="L4803" s="21"/>
      <c r="M4803" s="21"/>
      <c r="N4803" s="21"/>
    </row>
    <row r="4804" spans="1:14" ht="15.75" customHeight="1" x14ac:dyDescent="0.25">
      <c r="A4804" s="7"/>
      <c r="B4804" s="343" t="s">
        <v>342</v>
      </c>
      <c r="C4804" s="344"/>
      <c r="D4804" s="344"/>
      <c r="E4804" s="334"/>
      <c r="F4804" s="104">
        <f>SUM(F4803)</f>
        <v>4196150</v>
      </c>
      <c r="G4804" s="25" t="s">
        <v>1796</v>
      </c>
      <c r="H4804" s="11"/>
      <c r="I4804" s="21"/>
      <c r="J4804" s="21"/>
      <c r="K4804" s="21"/>
      <c r="L4804" s="21"/>
      <c r="M4804" s="21"/>
      <c r="N4804" s="21"/>
    </row>
    <row r="4805" spans="1:14" ht="15.75" customHeight="1" x14ac:dyDescent="0.25">
      <c r="A4805" s="7"/>
      <c r="B4805" s="343" t="s">
        <v>343</v>
      </c>
      <c r="C4805" s="344"/>
      <c r="D4805" s="344"/>
      <c r="E4805" s="334"/>
      <c r="F4805" s="167">
        <f>F4804*11%</f>
        <v>461576.5</v>
      </c>
      <c r="G4805" s="25"/>
      <c r="H4805" s="11"/>
      <c r="I4805" s="21"/>
      <c r="J4805" s="21"/>
      <c r="K4805" s="21"/>
      <c r="L4805" s="21"/>
      <c r="M4805" s="21"/>
      <c r="N4805" s="21"/>
    </row>
    <row r="4806" spans="1:14" ht="15.75" customHeight="1" x14ac:dyDescent="0.25">
      <c r="A4806" s="7"/>
      <c r="B4806" s="345" t="s">
        <v>344</v>
      </c>
      <c r="C4806" s="344"/>
      <c r="D4806" s="344"/>
      <c r="E4806" s="334"/>
      <c r="F4806" s="168">
        <f>SUM(F4804:F4805)</f>
        <v>4657726.5</v>
      </c>
      <c r="G4806" s="25"/>
      <c r="H4806" s="11"/>
      <c r="I4806" s="21"/>
      <c r="J4806" s="21"/>
      <c r="K4806" s="21"/>
      <c r="L4806" s="21"/>
      <c r="M4806" s="21"/>
      <c r="N4806" s="21"/>
    </row>
    <row r="4807" spans="1:14" ht="15.75" customHeight="1" x14ac:dyDescent="0.25">
      <c r="A4807" s="21"/>
      <c r="B4807" s="21"/>
      <c r="C4807" s="11"/>
      <c r="D4807" s="11"/>
      <c r="E4807" s="21"/>
      <c r="F4807" s="21"/>
      <c r="G4807" s="25"/>
      <c r="H4807" s="11"/>
      <c r="I4807" s="21"/>
      <c r="J4807" s="21"/>
      <c r="K4807" s="21"/>
      <c r="L4807" s="21"/>
      <c r="M4807" s="21"/>
      <c r="N4807" s="21"/>
    </row>
    <row r="4808" spans="1:14" ht="15.75" customHeight="1" x14ac:dyDescent="0.25">
      <c r="A4808" s="21"/>
      <c r="B4808" s="21"/>
      <c r="C4808" s="11"/>
      <c r="D4808" s="11"/>
      <c r="E4808" s="21"/>
      <c r="F4808" s="21"/>
      <c r="G4808" s="25"/>
      <c r="H4808" s="11"/>
      <c r="I4808" s="21"/>
      <c r="J4808" s="21"/>
      <c r="K4808" s="21"/>
      <c r="L4808" s="21"/>
      <c r="M4808" s="21"/>
      <c r="N4808" s="21"/>
    </row>
    <row r="4809" spans="1:14" ht="15.75" customHeight="1" x14ac:dyDescent="0.25">
      <c r="A4809" s="31" t="s">
        <v>14</v>
      </c>
      <c r="B4809" s="31" t="s">
        <v>234</v>
      </c>
      <c r="C4809" s="31" t="s">
        <v>16</v>
      </c>
      <c r="D4809" s="31" t="s">
        <v>17</v>
      </c>
      <c r="E4809" s="31" t="s">
        <v>235</v>
      </c>
      <c r="F4809" s="31" t="s">
        <v>236</v>
      </c>
      <c r="G4809" s="144" t="s">
        <v>1797</v>
      </c>
      <c r="H4809" s="11"/>
      <c r="I4809" s="21"/>
      <c r="J4809" s="21"/>
      <c r="K4809" s="21"/>
      <c r="L4809" s="21"/>
      <c r="M4809" s="21"/>
      <c r="N4809" s="21"/>
    </row>
    <row r="4810" spans="1:14" ht="15.75" customHeight="1" x14ac:dyDescent="0.25">
      <c r="A4810" s="7">
        <v>1</v>
      </c>
      <c r="B4810" s="124" t="s">
        <v>1798</v>
      </c>
      <c r="C4810" s="7">
        <v>4</v>
      </c>
      <c r="D4810" s="7" t="s">
        <v>329</v>
      </c>
      <c r="E4810" s="37">
        <v>290000</v>
      </c>
      <c r="F4810" s="37">
        <f>E4810*C4810</f>
        <v>1160000</v>
      </c>
      <c r="G4810" s="172">
        <v>45310</v>
      </c>
      <c r="H4810" s="11"/>
      <c r="I4810" s="21"/>
      <c r="J4810" s="21"/>
      <c r="K4810" s="21"/>
      <c r="L4810" s="21"/>
      <c r="M4810" s="21"/>
      <c r="N4810" s="21"/>
    </row>
    <row r="4811" spans="1:14" ht="15.75" customHeight="1" x14ac:dyDescent="0.25">
      <c r="A4811" s="7"/>
      <c r="B4811" s="343" t="s">
        <v>342</v>
      </c>
      <c r="C4811" s="344"/>
      <c r="D4811" s="344"/>
      <c r="E4811" s="334"/>
      <c r="F4811" s="104">
        <f>SUM(F4810)</f>
        <v>1160000</v>
      </c>
      <c r="G4811" s="171" t="s">
        <v>1799</v>
      </c>
      <c r="H4811" s="11"/>
      <c r="I4811" s="21"/>
      <c r="J4811" s="21"/>
      <c r="K4811" s="21"/>
      <c r="L4811" s="21"/>
      <c r="M4811" s="21"/>
      <c r="N4811" s="21"/>
    </row>
    <row r="4812" spans="1:14" ht="15.75" customHeight="1" x14ac:dyDescent="0.25">
      <c r="A4812" s="7"/>
      <c r="B4812" s="343" t="s">
        <v>343</v>
      </c>
      <c r="C4812" s="344"/>
      <c r="D4812" s="344"/>
      <c r="E4812" s="334"/>
      <c r="F4812" s="104">
        <f>F4811*11%</f>
        <v>127600</v>
      </c>
      <c r="G4812" s="25" t="s">
        <v>1780</v>
      </c>
      <c r="H4812" s="11"/>
      <c r="I4812" s="21"/>
      <c r="J4812" s="21"/>
      <c r="K4812" s="21"/>
      <c r="L4812" s="21"/>
      <c r="M4812" s="21"/>
      <c r="N4812" s="21"/>
    </row>
    <row r="4813" spans="1:14" ht="15.75" customHeight="1" x14ac:dyDescent="0.25">
      <c r="A4813" s="7"/>
      <c r="B4813" s="345" t="s">
        <v>344</v>
      </c>
      <c r="C4813" s="344"/>
      <c r="D4813" s="344"/>
      <c r="E4813" s="334"/>
      <c r="F4813" s="107">
        <f>SUM(F4811:F4812)</f>
        <v>1287600</v>
      </c>
      <c r="G4813" s="25"/>
      <c r="H4813" s="11"/>
      <c r="I4813" s="21"/>
      <c r="J4813" s="21"/>
      <c r="K4813" s="21"/>
      <c r="L4813" s="21"/>
      <c r="M4813" s="21"/>
      <c r="N4813" s="21"/>
    </row>
    <row r="4814" spans="1:14" ht="15.75" customHeight="1" x14ac:dyDescent="0.25">
      <c r="A4814" s="11"/>
      <c r="B4814" s="173"/>
      <c r="C4814" s="173"/>
      <c r="D4814" s="173"/>
      <c r="E4814" s="173"/>
      <c r="F4814" s="174"/>
      <c r="G4814" s="25"/>
      <c r="H4814" s="11"/>
      <c r="I4814" s="21"/>
      <c r="J4814" s="21"/>
      <c r="K4814" s="21"/>
      <c r="L4814" s="21"/>
      <c r="M4814" s="21"/>
      <c r="N4814" s="21"/>
    </row>
    <row r="4815" spans="1:14" ht="15.75" customHeight="1" x14ac:dyDescent="0.25">
      <c r="A4815" s="31" t="s">
        <v>14</v>
      </c>
      <c r="B4815" s="31" t="s">
        <v>234</v>
      </c>
      <c r="C4815" s="31" t="s">
        <v>16</v>
      </c>
      <c r="D4815" s="31" t="s">
        <v>17</v>
      </c>
      <c r="E4815" s="31" t="s">
        <v>235</v>
      </c>
      <c r="F4815" s="31" t="s">
        <v>236</v>
      </c>
      <c r="G4815" s="144" t="s">
        <v>1797</v>
      </c>
      <c r="H4815" s="11"/>
      <c r="I4815" s="21"/>
      <c r="J4815" s="21"/>
      <c r="K4815" s="21"/>
      <c r="L4815" s="21"/>
      <c r="M4815" s="21"/>
      <c r="N4815" s="21"/>
    </row>
    <row r="4816" spans="1:14" ht="15.75" customHeight="1" x14ac:dyDescent="0.25">
      <c r="A4816" s="7">
        <v>1</v>
      </c>
      <c r="B4816" s="124" t="s">
        <v>1800</v>
      </c>
      <c r="C4816" s="7">
        <v>1</v>
      </c>
      <c r="D4816" s="7" t="s">
        <v>19</v>
      </c>
      <c r="E4816" s="37">
        <v>840000</v>
      </c>
      <c r="F4816" s="37">
        <f>E4816*C4816</f>
        <v>840000</v>
      </c>
      <c r="G4816" s="172">
        <v>45320</v>
      </c>
      <c r="H4816" s="11"/>
      <c r="I4816" s="21"/>
      <c r="J4816" s="21"/>
      <c r="K4816" s="21"/>
      <c r="L4816" s="21"/>
      <c r="M4816" s="21"/>
      <c r="N4816" s="21"/>
    </row>
    <row r="4817" spans="1:14" ht="15.75" customHeight="1" x14ac:dyDescent="0.25">
      <c r="A4817" s="7"/>
      <c r="B4817" s="343" t="s">
        <v>342</v>
      </c>
      <c r="C4817" s="344"/>
      <c r="D4817" s="344"/>
      <c r="E4817" s="334"/>
      <c r="F4817" s="104">
        <f>SUM(F4816)</f>
        <v>840000</v>
      </c>
      <c r="G4817" s="171" t="s">
        <v>1801</v>
      </c>
      <c r="H4817" s="11"/>
      <c r="I4817" s="21"/>
      <c r="J4817" s="21"/>
      <c r="K4817" s="21"/>
      <c r="L4817" s="21"/>
      <c r="M4817" s="21"/>
      <c r="N4817" s="21"/>
    </row>
    <row r="4818" spans="1:14" ht="15.75" customHeight="1" x14ac:dyDescent="0.25">
      <c r="A4818" s="7"/>
      <c r="B4818" s="343" t="s">
        <v>343</v>
      </c>
      <c r="C4818" s="344"/>
      <c r="D4818" s="344"/>
      <c r="E4818" s="334"/>
      <c r="F4818" s="104">
        <f>F4817*11%</f>
        <v>92400</v>
      </c>
      <c r="G4818" s="25" t="s">
        <v>1780</v>
      </c>
      <c r="H4818" s="11"/>
      <c r="I4818" s="21"/>
      <c r="J4818" s="21"/>
      <c r="K4818" s="21"/>
      <c r="L4818" s="21"/>
      <c r="M4818" s="21"/>
      <c r="N4818" s="21"/>
    </row>
    <row r="4819" spans="1:14" ht="15.75" customHeight="1" x14ac:dyDescent="0.25">
      <c r="A4819" s="7"/>
      <c r="B4819" s="345" t="s">
        <v>344</v>
      </c>
      <c r="C4819" s="344"/>
      <c r="D4819" s="344"/>
      <c r="E4819" s="334"/>
      <c r="F4819" s="107">
        <f>SUM(F4817:F4818)</f>
        <v>932400</v>
      </c>
      <c r="G4819" s="25"/>
      <c r="H4819" s="11"/>
      <c r="I4819" s="21"/>
      <c r="J4819" s="21"/>
      <c r="K4819" s="21"/>
      <c r="L4819" s="21"/>
      <c r="M4819" s="21"/>
      <c r="N4819" s="21"/>
    </row>
    <row r="4820" spans="1:14" ht="15.75" customHeight="1" x14ac:dyDescent="0.25">
      <c r="A4820" s="21"/>
      <c r="B4820" s="21"/>
      <c r="C4820" s="11"/>
      <c r="D4820" s="11"/>
      <c r="E4820" s="21"/>
      <c r="F4820" s="21"/>
      <c r="G4820" s="25"/>
      <c r="H4820" s="11"/>
      <c r="I4820" s="21"/>
      <c r="J4820" s="21"/>
      <c r="K4820" s="21"/>
      <c r="L4820" s="21"/>
      <c r="M4820" s="21"/>
      <c r="N4820" s="21"/>
    </row>
    <row r="4821" spans="1:14" ht="15.75" customHeight="1" x14ac:dyDescent="0.25">
      <c r="A4821" s="31" t="s">
        <v>14</v>
      </c>
      <c r="B4821" s="31" t="s">
        <v>234</v>
      </c>
      <c r="C4821" s="31" t="s">
        <v>16</v>
      </c>
      <c r="D4821" s="31" t="s">
        <v>17</v>
      </c>
      <c r="E4821" s="31" t="s">
        <v>235</v>
      </c>
      <c r="F4821" s="31" t="s">
        <v>236</v>
      </c>
      <c r="G4821" s="144" t="s">
        <v>1797</v>
      </c>
      <c r="H4821" s="11"/>
      <c r="I4821" s="21"/>
      <c r="J4821" s="21"/>
      <c r="K4821" s="21"/>
      <c r="L4821" s="21"/>
      <c r="M4821" s="21"/>
      <c r="N4821" s="21"/>
    </row>
    <row r="4822" spans="1:14" ht="15.75" customHeight="1" x14ac:dyDescent="0.25">
      <c r="A4822" s="7">
        <v>1</v>
      </c>
      <c r="B4822" s="124" t="s">
        <v>1802</v>
      </c>
      <c r="C4822" s="7">
        <v>50</v>
      </c>
      <c r="D4822" s="7" t="s">
        <v>19</v>
      </c>
      <c r="E4822" s="37">
        <v>7125</v>
      </c>
      <c r="F4822" s="37">
        <f>E4822*C4822</f>
        <v>356250</v>
      </c>
      <c r="G4822" s="172">
        <v>45320</v>
      </c>
      <c r="H4822" s="11"/>
      <c r="I4822" s="21"/>
      <c r="J4822" s="21"/>
      <c r="K4822" s="21"/>
      <c r="L4822" s="21"/>
      <c r="M4822" s="21"/>
      <c r="N4822" s="21"/>
    </row>
    <row r="4823" spans="1:14" ht="15.75" customHeight="1" x14ac:dyDescent="0.25">
      <c r="A4823" s="7">
        <v>2</v>
      </c>
      <c r="B4823" s="124" t="s">
        <v>1506</v>
      </c>
      <c r="C4823" s="7">
        <v>12</v>
      </c>
      <c r="D4823" s="7" t="s">
        <v>19</v>
      </c>
      <c r="E4823" s="37">
        <v>10925</v>
      </c>
      <c r="F4823" s="37">
        <f>E4823*C4823</f>
        <v>131100</v>
      </c>
      <c r="G4823" s="171" t="s">
        <v>1803</v>
      </c>
      <c r="H4823" s="11"/>
      <c r="I4823" s="21"/>
      <c r="J4823" s="21"/>
      <c r="K4823" s="21"/>
      <c r="L4823" s="21"/>
      <c r="M4823" s="21"/>
      <c r="N4823" s="21"/>
    </row>
    <row r="4824" spans="1:14" ht="15.75" customHeight="1" x14ac:dyDescent="0.25">
      <c r="A4824" s="7">
        <v>3</v>
      </c>
      <c r="B4824" s="124" t="s">
        <v>1804</v>
      </c>
      <c r="C4824" s="7">
        <v>6</v>
      </c>
      <c r="D4824" s="7" t="s">
        <v>251</v>
      </c>
      <c r="E4824" s="37">
        <v>31825</v>
      </c>
      <c r="F4824" s="37">
        <f>E4824*C4824</f>
        <v>190950</v>
      </c>
      <c r="G4824" s="25" t="s">
        <v>1780</v>
      </c>
      <c r="H4824" s="11"/>
      <c r="I4824" s="21"/>
      <c r="J4824" s="21"/>
      <c r="K4824" s="21"/>
      <c r="L4824" s="21"/>
      <c r="M4824" s="21"/>
      <c r="N4824" s="21"/>
    </row>
    <row r="4825" spans="1:14" ht="15.75" customHeight="1" x14ac:dyDescent="0.25">
      <c r="A4825" s="7">
        <v>4</v>
      </c>
      <c r="B4825" s="124" t="s">
        <v>1805</v>
      </c>
      <c r="C4825" s="7">
        <v>4</v>
      </c>
      <c r="D4825" s="7" t="s">
        <v>19</v>
      </c>
      <c r="E4825" s="37">
        <v>24510</v>
      </c>
      <c r="F4825" s="37">
        <f>E4825*C4825</f>
        <v>98040</v>
      </c>
      <c r="G4825" s="25"/>
      <c r="H4825" s="11"/>
      <c r="I4825" s="21"/>
      <c r="J4825" s="21"/>
      <c r="K4825" s="21"/>
      <c r="L4825" s="21"/>
      <c r="M4825" s="21"/>
      <c r="N4825" s="21"/>
    </row>
    <row r="4826" spans="1:14" ht="15.75" customHeight="1" x14ac:dyDescent="0.25">
      <c r="A4826" s="7"/>
      <c r="B4826" s="343" t="s">
        <v>342</v>
      </c>
      <c r="C4826" s="344"/>
      <c r="D4826" s="344"/>
      <c r="E4826" s="334"/>
      <c r="F4826" s="104">
        <f>SUM(F4822:F4825)</f>
        <v>776340</v>
      </c>
      <c r="G4826" s="25"/>
      <c r="H4826" s="11"/>
      <c r="I4826" s="21"/>
      <c r="J4826" s="21"/>
      <c r="K4826" s="21"/>
      <c r="L4826" s="21"/>
      <c r="M4826" s="21"/>
      <c r="N4826" s="21"/>
    </row>
    <row r="4827" spans="1:14" ht="15.75" customHeight="1" x14ac:dyDescent="0.25">
      <c r="A4827" s="7"/>
      <c r="B4827" s="343" t="s">
        <v>343</v>
      </c>
      <c r="C4827" s="344"/>
      <c r="D4827" s="344"/>
      <c r="E4827" s="334"/>
      <c r="F4827" s="167">
        <f>F4826*11%</f>
        <v>85397.4</v>
      </c>
      <c r="G4827" s="25"/>
      <c r="H4827" s="11"/>
      <c r="I4827" s="21"/>
      <c r="J4827" s="21"/>
      <c r="K4827" s="21"/>
      <c r="L4827" s="21"/>
      <c r="M4827" s="21"/>
      <c r="N4827" s="21"/>
    </row>
    <row r="4828" spans="1:14" ht="15.75" customHeight="1" x14ac:dyDescent="0.25">
      <c r="A4828" s="7"/>
      <c r="B4828" s="345" t="s">
        <v>344</v>
      </c>
      <c r="C4828" s="344"/>
      <c r="D4828" s="344"/>
      <c r="E4828" s="334"/>
      <c r="F4828" s="168">
        <f>SUM(F4826:F4827)</f>
        <v>861737.4</v>
      </c>
      <c r="G4828" s="25"/>
      <c r="H4828" s="11"/>
      <c r="I4828" s="21"/>
      <c r="J4828" s="21"/>
      <c r="K4828" s="21"/>
      <c r="L4828" s="21"/>
      <c r="M4828" s="21"/>
      <c r="N4828" s="21"/>
    </row>
    <row r="4829" spans="1:14" ht="15.75" customHeight="1" x14ac:dyDescent="0.25">
      <c r="A4829" s="21"/>
      <c r="B4829" s="21"/>
      <c r="C4829" s="11"/>
      <c r="D4829" s="11"/>
      <c r="E4829" s="21"/>
      <c r="F4829" s="21"/>
      <c r="G4829" s="25"/>
      <c r="H4829" s="11"/>
      <c r="I4829" s="21"/>
      <c r="J4829" s="21"/>
      <c r="K4829" s="21"/>
      <c r="L4829" s="21"/>
      <c r="M4829" s="21"/>
      <c r="N4829" s="21"/>
    </row>
    <row r="4830" spans="1:14" ht="15.75" customHeight="1" x14ac:dyDescent="0.25">
      <c r="A4830" s="31" t="s">
        <v>14</v>
      </c>
      <c r="B4830" s="31" t="s">
        <v>234</v>
      </c>
      <c r="C4830" s="31" t="s">
        <v>16</v>
      </c>
      <c r="D4830" s="31" t="s">
        <v>17</v>
      </c>
      <c r="E4830" s="31" t="s">
        <v>235</v>
      </c>
      <c r="F4830" s="31" t="s">
        <v>236</v>
      </c>
      <c r="G4830" s="144" t="s">
        <v>1797</v>
      </c>
      <c r="H4830" s="11"/>
      <c r="I4830" s="21"/>
      <c r="J4830" s="21"/>
      <c r="K4830" s="21"/>
      <c r="L4830" s="21"/>
      <c r="M4830" s="21"/>
      <c r="N4830" s="21"/>
    </row>
    <row r="4831" spans="1:14" ht="15.75" customHeight="1" x14ac:dyDescent="0.25">
      <c r="A4831" s="7">
        <v>1</v>
      </c>
      <c r="B4831" s="124" t="s">
        <v>1806</v>
      </c>
      <c r="C4831" s="7">
        <v>10</v>
      </c>
      <c r="D4831" s="7" t="s">
        <v>19</v>
      </c>
      <c r="E4831" s="37">
        <v>7275</v>
      </c>
      <c r="F4831" s="37">
        <f>E4831*C4831</f>
        <v>72750</v>
      </c>
      <c r="G4831" s="172">
        <v>45320</v>
      </c>
      <c r="H4831" s="11"/>
      <c r="I4831" s="21"/>
      <c r="J4831" s="21"/>
      <c r="K4831" s="21"/>
      <c r="L4831" s="21"/>
      <c r="M4831" s="21"/>
      <c r="N4831" s="21"/>
    </row>
    <row r="4832" spans="1:14" ht="15.75" customHeight="1" x14ac:dyDescent="0.25">
      <c r="A4832" s="7">
        <v>2</v>
      </c>
      <c r="B4832" s="124" t="s">
        <v>1807</v>
      </c>
      <c r="C4832" s="7">
        <v>2</v>
      </c>
      <c r="D4832" s="7" t="s">
        <v>19</v>
      </c>
      <c r="E4832" s="37">
        <v>20855</v>
      </c>
      <c r="F4832" s="37">
        <f>E4832*C4832</f>
        <v>41710</v>
      </c>
      <c r="G4832" s="171" t="s">
        <v>1808</v>
      </c>
      <c r="H4832" s="11"/>
      <c r="I4832" s="21"/>
      <c r="J4832" s="21"/>
      <c r="K4832" s="21"/>
      <c r="L4832" s="21"/>
      <c r="M4832" s="21"/>
      <c r="N4832" s="21"/>
    </row>
    <row r="4833" spans="1:14" ht="15.75" customHeight="1" x14ac:dyDescent="0.25">
      <c r="A4833" s="7"/>
      <c r="B4833" s="343" t="s">
        <v>342</v>
      </c>
      <c r="C4833" s="344"/>
      <c r="D4833" s="344"/>
      <c r="E4833" s="334"/>
      <c r="F4833" s="104">
        <f>SUM(F4831:F4832)</f>
        <v>114460</v>
      </c>
      <c r="G4833" s="25" t="s">
        <v>1780</v>
      </c>
      <c r="H4833" s="11"/>
      <c r="I4833" s="21"/>
      <c r="J4833" s="21"/>
      <c r="K4833" s="21"/>
      <c r="L4833" s="21"/>
      <c r="M4833" s="21"/>
      <c r="N4833" s="21"/>
    </row>
    <row r="4834" spans="1:14" ht="15.75" customHeight="1" x14ac:dyDescent="0.25">
      <c r="A4834" s="7"/>
      <c r="B4834" s="343" t="s">
        <v>343</v>
      </c>
      <c r="C4834" s="344"/>
      <c r="D4834" s="344"/>
      <c r="E4834" s="334"/>
      <c r="F4834" s="167">
        <f>F4833*11%</f>
        <v>12590.6</v>
      </c>
      <c r="G4834" s="25"/>
      <c r="H4834" s="11"/>
      <c r="I4834" s="21"/>
      <c r="J4834" s="21"/>
      <c r="K4834" s="21"/>
      <c r="L4834" s="21"/>
      <c r="M4834" s="21"/>
      <c r="N4834" s="21"/>
    </row>
    <row r="4835" spans="1:14" ht="15.75" customHeight="1" x14ac:dyDescent="0.25">
      <c r="A4835" s="7"/>
      <c r="B4835" s="345" t="s">
        <v>344</v>
      </c>
      <c r="C4835" s="344"/>
      <c r="D4835" s="344"/>
      <c r="E4835" s="334"/>
      <c r="F4835" s="168">
        <f>SUM(F4833:F4834)</f>
        <v>127050.6</v>
      </c>
      <c r="G4835" s="25"/>
      <c r="H4835" s="11"/>
      <c r="I4835" s="21"/>
      <c r="J4835" s="21"/>
      <c r="K4835" s="21"/>
      <c r="L4835" s="21"/>
      <c r="M4835" s="21"/>
      <c r="N4835" s="21"/>
    </row>
    <row r="4836" spans="1:14" ht="15.75" customHeight="1" x14ac:dyDescent="0.25">
      <c r="A4836" s="21"/>
      <c r="B4836" s="21"/>
      <c r="C4836" s="11"/>
      <c r="D4836" s="11"/>
      <c r="E4836" s="21"/>
      <c r="F4836" s="21"/>
      <c r="G4836" s="25"/>
      <c r="H4836" s="11"/>
      <c r="I4836" s="21"/>
      <c r="J4836" s="21"/>
      <c r="K4836" s="21"/>
      <c r="L4836" s="21"/>
      <c r="M4836" s="21"/>
      <c r="N4836" s="21"/>
    </row>
    <row r="4837" spans="1:14" ht="15.75" customHeight="1" x14ac:dyDescent="0.25">
      <c r="A4837" s="21"/>
      <c r="B4837" s="21"/>
      <c r="C4837" s="11"/>
      <c r="D4837" s="11"/>
      <c r="E4837" s="21"/>
      <c r="F4837" s="21"/>
      <c r="G4837" s="25"/>
      <c r="H4837" s="11"/>
      <c r="I4837" s="21"/>
      <c r="J4837" s="21"/>
      <c r="K4837" s="21"/>
      <c r="L4837" s="21"/>
      <c r="M4837" s="21"/>
      <c r="N4837" s="21"/>
    </row>
    <row r="4838" spans="1:14" ht="15.75" customHeight="1" x14ac:dyDescent="0.25">
      <c r="A4838" s="31" t="s">
        <v>14</v>
      </c>
      <c r="B4838" s="31" t="s">
        <v>234</v>
      </c>
      <c r="C4838" s="31" t="s">
        <v>16</v>
      </c>
      <c r="D4838" s="31" t="s">
        <v>17</v>
      </c>
      <c r="E4838" s="31" t="s">
        <v>235</v>
      </c>
      <c r="F4838" s="31" t="s">
        <v>236</v>
      </c>
      <c r="G4838" s="144" t="s">
        <v>1797</v>
      </c>
      <c r="H4838" s="11"/>
      <c r="I4838" s="21"/>
      <c r="J4838" s="21"/>
      <c r="K4838" s="21"/>
      <c r="L4838" s="21"/>
      <c r="M4838" s="21"/>
      <c r="N4838" s="21"/>
    </row>
    <row r="4839" spans="1:14" ht="15.75" customHeight="1" x14ac:dyDescent="0.25">
      <c r="A4839" s="7">
        <v>1</v>
      </c>
      <c r="B4839" s="124" t="s">
        <v>1809</v>
      </c>
      <c r="C4839" s="7">
        <v>16</v>
      </c>
      <c r="D4839" s="7" t="s">
        <v>251</v>
      </c>
      <c r="E4839" s="37">
        <v>19475</v>
      </c>
      <c r="F4839" s="37">
        <f>E4839*C4839</f>
        <v>311600</v>
      </c>
      <c r="G4839" s="172">
        <v>45322</v>
      </c>
      <c r="H4839" s="11"/>
      <c r="I4839" s="21"/>
      <c r="J4839" s="21"/>
      <c r="K4839" s="21"/>
      <c r="L4839" s="21"/>
      <c r="M4839" s="21"/>
      <c r="N4839" s="21"/>
    </row>
    <row r="4840" spans="1:14" ht="15.75" customHeight="1" x14ac:dyDescent="0.25">
      <c r="A4840" s="7"/>
      <c r="B4840" s="343" t="s">
        <v>342</v>
      </c>
      <c r="C4840" s="344"/>
      <c r="D4840" s="344"/>
      <c r="E4840" s="334"/>
      <c r="F4840" s="104">
        <f>SUM(F4839)</f>
        <v>311600</v>
      </c>
      <c r="G4840" s="171" t="s">
        <v>1810</v>
      </c>
      <c r="H4840" s="11"/>
      <c r="I4840" s="21"/>
      <c r="J4840" s="21"/>
      <c r="K4840" s="21"/>
      <c r="L4840" s="21"/>
      <c r="M4840" s="21"/>
      <c r="N4840" s="21"/>
    </row>
    <row r="4841" spans="1:14" ht="15.75" customHeight="1" x14ac:dyDescent="0.25">
      <c r="A4841" s="7"/>
      <c r="B4841" s="343" t="s">
        <v>343</v>
      </c>
      <c r="C4841" s="344"/>
      <c r="D4841" s="344"/>
      <c r="E4841" s="334"/>
      <c r="F4841" s="104">
        <f>F4840*11%</f>
        <v>34276</v>
      </c>
      <c r="G4841" s="25" t="s">
        <v>1780</v>
      </c>
      <c r="H4841" s="11"/>
      <c r="I4841" s="21"/>
      <c r="J4841" s="21"/>
      <c r="K4841" s="21"/>
      <c r="L4841" s="21"/>
      <c r="M4841" s="21"/>
      <c r="N4841" s="21"/>
    </row>
    <row r="4842" spans="1:14" ht="15.75" customHeight="1" x14ac:dyDescent="0.25">
      <c r="A4842" s="7"/>
      <c r="B4842" s="345" t="s">
        <v>344</v>
      </c>
      <c r="C4842" s="344"/>
      <c r="D4842" s="344"/>
      <c r="E4842" s="334"/>
      <c r="F4842" s="107">
        <f>SUM(F4840:F4841)</f>
        <v>345876</v>
      </c>
      <c r="G4842" s="25"/>
      <c r="H4842" s="11"/>
      <c r="I4842" s="21"/>
      <c r="J4842" s="21"/>
      <c r="K4842" s="21"/>
      <c r="L4842" s="21"/>
      <c r="M4842" s="21"/>
      <c r="N4842" s="21"/>
    </row>
    <row r="4843" spans="1:14" ht="15.75" customHeight="1" x14ac:dyDescent="0.25">
      <c r="A4843" s="21"/>
      <c r="B4843" s="21"/>
      <c r="C4843" s="11"/>
      <c r="D4843" s="11"/>
      <c r="E4843" s="21"/>
      <c r="F4843" s="21"/>
      <c r="G4843" s="25"/>
      <c r="H4843" s="11"/>
      <c r="I4843" s="21"/>
      <c r="J4843" s="21"/>
      <c r="K4843" s="21"/>
      <c r="L4843" s="21"/>
      <c r="M4843" s="21"/>
      <c r="N4843" s="21"/>
    </row>
    <row r="4844" spans="1:14" ht="15.75" customHeight="1" x14ac:dyDescent="0.25">
      <c r="A4844" s="31" t="s">
        <v>14</v>
      </c>
      <c r="B4844" s="31" t="s">
        <v>234</v>
      </c>
      <c r="C4844" s="31" t="s">
        <v>16</v>
      </c>
      <c r="D4844" s="31" t="s">
        <v>17</v>
      </c>
      <c r="E4844" s="31" t="s">
        <v>235</v>
      </c>
      <c r="F4844" s="31" t="s">
        <v>236</v>
      </c>
      <c r="G4844" s="144" t="s">
        <v>1797</v>
      </c>
      <c r="H4844" s="11"/>
      <c r="I4844" s="21"/>
      <c r="J4844" s="21"/>
      <c r="K4844" s="21"/>
      <c r="L4844" s="21"/>
      <c r="M4844" s="21"/>
      <c r="N4844" s="21"/>
    </row>
    <row r="4845" spans="1:14" ht="15.75" customHeight="1" x14ac:dyDescent="0.25">
      <c r="A4845" s="7">
        <v>1</v>
      </c>
      <c r="B4845" s="124" t="s">
        <v>1811</v>
      </c>
      <c r="C4845" s="7">
        <v>200</v>
      </c>
      <c r="D4845" s="7" t="s">
        <v>1812</v>
      </c>
      <c r="E4845" s="37">
        <v>17480</v>
      </c>
      <c r="F4845" s="37">
        <f>E4845*C4845</f>
        <v>3496000</v>
      </c>
      <c r="G4845" s="25" t="s">
        <v>1813</v>
      </c>
      <c r="H4845" s="11"/>
      <c r="I4845" s="21"/>
      <c r="J4845" s="21"/>
      <c r="K4845" s="21"/>
      <c r="L4845" s="21"/>
      <c r="M4845" s="21"/>
      <c r="N4845" s="21"/>
    </row>
    <row r="4846" spans="1:14" ht="15.75" customHeight="1" x14ac:dyDescent="0.25">
      <c r="A4846" s="7"/>
      <c r="B4846" s="343" t="s">
        <v>342</v>
      </c>
      <c r="C4846" s="344"/>
      <c r="D4846" s="344"/>
      <c r="E4846" s="334"/>
      <c r="F4846" s="104">
        <f>SUM(F4845)</f>
        <v>3496000</v>
      </c>
      <c r="G4846" s="25" t="s">
        <v>1780</v>
      </c>
      <c r="H4846" s="11"/>
      <c r="I4846" s="21"/>
      <c r="J4846" s="21"/>
      <c r="K4846" s="21"/>
      <c r="L4846" s="21"/>
      <c r="M4846" s="21"/>
      <c r="N4846" s="21"/>
    </row>
    <row r="4847" spans="1:14" ht="15.75" customHeight="1" x14ac:dyDescent="0.25">
      <c r="A4847" s="7"/>
      <c r="B4847" s="343" t="s">
        <v>343</v>
      </c>
      <c r="C4847" s="344"/>
      <c r="D4847" s="344"/>
      <c r="E4847" s="334"/>
      <c r="F4847" s="104">
        <f>F4846*11%</f>
        <v>384560</v>
      </c>
      <c r="G4847" s="25"/>
      <c r="H4847" s="11"/>
      <c r="I4847" s="21"/>
      <c r="J4847" s="21"/>
      <c r="K4847" s="21"/>
      <c r="L4847" s="21"/>
      <c r="M4847" s="21"/>
      <c r="N4847" s="21"/>
    </row>
    <row r="4848" spans="1:14" ht="15.75" customHeight="1" x14ac:dyDescent="0.25">
      <c r="A4848" s="7"/>
      <c r="B4848" s="345" t="s">
        <v>344</v>
      </c>
      <c r="C4848" s="344"/>
      <c r="D4848" s="344"/>
      <c r="E4848" s="334"/>
      <c r="F4848" s="107">
        <f>SUM(F4846:F4847)</f>
        <v>3880560</v>
      </c>
      <c r="G4848" s="25"/>
      <c r="H4848" s="11"/>
      <c r="I4848" s="21"/>
      <c r="J4848" s="21"/>
      <c r="K4848" s="21"/>
      <c r="L4848" s="21"/>
      <c r="M4848" s="21"/>
      <c r="N4848" s="21"/>
    </row>
    <row r="4849" spans="1:14" ht="15.75" customHeight="1" x14ac:dyDescent="0.25">
      <c r="A4849" s="21"/>
      <c r="B4849" s="21"/>
      <c r="C4849" s="11"/>
      <c r="D4849" s="11"/>
      <c r="E4849" s="21"/>
      <c r="F4849" s="21"/>
      <c r="G4849" s="25"/>
      <c r="H4849" s="11"/>
      <c r="I4849" s="21"/>
      <c r="J4849" s="21"/>
      <c r="K4849" s="21"/>
      <c r="L4849" s="21"/>
      <c r="M4849" s="21"/>
      <c r="N4849" s="21"/>
    </row>
    <row r="4850" spans="1:14" ht="15.75" customHeight="1" x14ac:dyDescent="0.25">
      <c r="A4850" s="21"/>
      <c r="B4850" s="21"/>
      <c r="C4850" s="11"/>
      <c r="D4850" s="11"/>
      <c r="E4850" s="21"/>
      <c r="F4850" s="21"/>
      <c r="G4850" s="25"/>
      <c r="H4850" s="11"/>
      <c r="I4850" s="21"/>
      <c r="J4850" s="21"/>
      <c r="K4850" s="21"/>
      <c r="L4850" s="21"/>
      <c r="M4850" s="21"/>
      <c r="N4850" s="21"/>
    </row>
    <row r="4851" spans="1:14" ht="15.75" customHeight="1" x14ac:dyDescent="0.25">
      <c r="A4851" s="31" t="s">
        <v>14</v>
      </c>
      <c r="B4851" s="31" t="s">
        <v>234</v>
      </c>
      <c r="C4851" s="31" t="s">
        <v>16</v>
      </c>
      <c r="D4851" s="31" t="s">
        <v>17</v>
      </c>
      <c r="E4851" s="31" t="s">
        <v>235</v>
      </c>
      <c r="F4851" s="31" t="s">
        <v>236</v>
      </c>
      <c r="G4851" s="144" t="s">
        <v>1814</v>
      </c>
      <c r="H4851" s="11"/>
      <c r="I4851" s="21"/>
      <c r="J4851" s="21"/>
      <c r="K4851" s="21"/>
      <c r="L4851" s="21"/>
      <c r="M4851" s="21"/>
      <c r="N4851" s="21"/>
    </row>
    <row r="4852" spans="1:14" ht="15.75" customHeight="1" x14ac:dyDescent="0.25">
      <c r="A4852" s="7">
        <v>1</v>
      </c>
      <c r="B4852" s="124" t="s">
        <v>1815</v>
      </c>
      <c r="C4852" s="7">
        <v>24</v>
      </c>
      <c r="D4852" s="7" t="s">
        <v>19</v>
      </c>
      <c r="E4852" s="37">
        <v>16975</v>
      </c>
      <c r="F4852" s="37">
        <f>E4852*C4852</f>
        <v>407400</v>
      </c>
      <c r="G4852" s="172">
        <v>45301</v>
      </c>
      <c r="H4852" s="11"/>
      <c r="I4852" s="21"/>
      <c r="J4852" s="21"/>
      <c r="K4852" s="21"/>
      <c r="L4852" s="21"/>
      <c r="M4852" s="21"/>
      <c r="N4852" s="21"/>
    </row>
    <row r="4853" spans="1:14" ht="15.75" customHeight="1" x14ac:dyDescent="0.25">
      <c r="A4853" s="7"/>
      <c r="B4853" s="343" t="s">
        <v>342</v>
      </c>
      <c r="C4853" s="344"/>
      <c r="D4853" s="344"/>
      <c r="E4853" s="334"/>
      <c r="F4853" s="104">
        <f>SUM(F4852)</f>
        <v>407400</v>
      </c>
      <c r="G4853" s="25" t="s">
        <v>1816</v>
      </c>
      <c r="H4853" s="11"/>
      <c r="I4853" s="21"/>
      <c r="J4853" s="21"/>
      <c r="K4853" s="21"/>
      <c r="L4853" s="21"/>
      <c r="M4853" s="21"/>
      <c r="N4853" s="21"/>
    </row>
    <row r="4854" spans="1:14" ht="15.75" customHeight="1" x14ac:dyDescent="0.25">
      <c r="A4854" s="7"/>
      <c r="B4854" s="343" t="s">
        <v>343</v>
      </c>
      <c r="C4854" s="344"/>
      <c r="D4854" s="344"/>
      <c r="E4854" s="334"/>
      <c r="F4854" s="104">
        <f>F4853*11%</f>
        <v>44814</v>
      </c>
      <c r="G4854" s="25" t="s">
        <v>1780</v>
      </c>
      <c r="H4854" s="11"/>
      <c r="I4854" s="21"/>
      <c r="J4854" s="21"/>
      <c r="K4854" s="21"/>
      <c r="L4854" s="21"/>
      <c r="M4854" s="21"/>
      <c r="N4854" s="21"/>
    </row>
    <row r="4855" spans="1:14" ht="15.75" customHeight="1" x14ac:dyDescent="0.25">
      <c r="A4855" s="7"/>
      <c r="B4855" s="345" t="s">
        <v>344</v>
      </c>
      <c r="C4855" s="344"/>
      <c r="D4855" s="344"/>
      <c r="E4855" s="334"/>
      <c r="F4855" s="107">
        <f>SUM(F4853:F4854)</f>
        <v>452214</v>
      </c>
      <c r="G4855" s="25"/>
      <c r="H4855" s="11"/>
      <c r="I4855" s="21"/>
      <c r="J4855" s="21"/>
      <c r="K4855" s="21"/>
      <c r="L4855" s="21"/>
      <c r="M4855" s="21"/>
      <c r="N4855" s="21"/>
    </row>
    <row r="4856" spans="1:14" ht="15.75" customHeight="1" x14ac:dyDescent="0.25">
      <c r="A4856" s="21"/>
      <c r="B4856" s="21"/>
      <c r="C4856" s="11"/>
      <c r="D4856" s="11"/>
      <c r="E4856" s="21"/>
      <c r="F4856" s="21"/>
      <c r="G4856" s="25"/>
      <c r="H4856" s="11"/>
      <c r="I4856" s="21"/>
      <c r="J4856" s="21"/>
      <c r="K4856" s="21"/>
      <c r="L4856" s="21"/>
      <c r="M4856" s="21"/>
      <c r="N4856" s="21"/>
    </row>
    <row r="4857" spans="1:14" ht="15.75" customHeight="1" x14ac:dyDescent="0.25">
      <c r="A4857" s="31" t="s">
        <v>14</v>
      </c>
      <c r="B4857" s="31" t="s">
        <v>234</v>
      </c>
      <c r="C4857" s="31" t="s">
        <v>16</v>
      </c>
      <c r="D4857" s="31" t="s">
        <v>17</v>
      </c>
      <c r="E4857" s="31" t="s">
        <v>235</v>
      </c>
      <c r="F4857" s="31" t="s">
        <v>236</v>
      </c>
      <c r="G4857" s="144" t="s">
        <v>1797</v>
      </c>
      <c r="H4857" s="11"/>
      <c r="I4857" s="21"/>
      <c r="J4857" s="21"/>
      <c r="K4857" s="21"/>
      <c r="L4857" s="21"/>
      <c r="M4857" s="21"/>
      <c r="N4857" s="21"/>
    </row>
    <row r="4858" spans="1:14" ht="15.75" customHeight="1" x14ac:dyDescent="0.25">
      <c r="A4858" s="7">
        <v>1</v>
      </c>
      <c r="B4858" s="124" t="s">
        <v>1817</v>
      </c>
      <c r="C4858" s="7">
        <v>50</v>
      </c>
      <c r="D4858" s="7" t="s">
        <v>19</v>
      </c>
      <c r="E4858" s="37">
        <v>12125</v>
      </c>
      <c r="F4858" s="37">
        <f>E4858*C4858</f>
        <v>606250</v>
      </c>
      <c r="G4858" s="25" t="s">
        <v>1818</v>
      </c>
      <c r="H4858" s="11"/>
      <c r="I4858" s="21"/>
      <c r="J4858" s="21"/>
      <c r="K4858" s="21"/>
      <c r="L4858" s="21"/>
      <c r="M4858" s="21"/>
      <c r="N4858" s="21"/>
    </row>
    <row r="4859" spans="1:14" ht="15.75" customHeight="1" x14ac:dyDescent="0.25">
      <c r="A4859" s="7">
        <v>2</v>
      </c>
      <c r="B4859" s="124" t="s">
        <v>1819</v>
      </c>
      <c r="C4859" s="7">
        <v>12</v>
      </c>
      <c r="D4859" s="7" t="s">
        <v>19</v>
      </c>
      <c r="E4859" s="37">
        <v>44135</v>
      </c>
      <c r="F4859" s="37">
        <f>E4859*C4859</f>
        <v>529620</v>
      </c>
      <c r="G4859" s="25" t="s">
        <v>1820</v>
      </c>
      <c r="H4859" s="11"/>
      <c r="I4859" s="21"/>
      <c r="J4859" s="21"/>
      <c r="K4859" s="21"/>
      <c r="L4859" s="21"/>
      <c r="M4859" s="21"/>
      <c r="N4859" s="21"/>
    </row>
    <row r="4860" spans="1:14" ht="15.75" customHeight="1" x14ac:dyDescent="0.25">
      <c r="A4860" s="7">
        <v>3</v>
      </c>
      <c r="B4860" s="124" t="s">
        <v>1821</v>
      </c>
      <c r="C4860" s="7">
        <v>100</v>
      </c>
      <c r="D4860" s="7" t="s">
        <v>19</v>
      </c>
      <c r="E4860" s="37">
        <v>388</v>
      </c>
      <c r="F4860" s="37">
        <f>E4860*C4860</f>
        <v>38800</v>
      </c>
      <c r="G4860" s="25" t="s">
        <v>1780</v>
      </c>
      <c r="H4860" s="11"/>
      <c r="I4860" s="21"/>
      <c r="J4860" s="21"/>
      <c r="K4860" s="21"/>
      <c r="L4860" s="21"/>
      <c r="M4860" s="21"/>
      <c r="N4860" s="21"/>
    </row>
    <row r="4861" spans="1:14" ht="15.75" customHeight="1" x14ac:dyDescent="0.25">
      <c r="A4861" s="7"/>
      <c r="B4861" s="343" t="s">
        <v>342</v>
      </c>
      <c r="C4861" s="344"/>
      <c r="D4861" s="344"/>
      <c r="E4861" s="334"/>
      <c r="F4861" s="104">
        <f>SUM(F4858:F4860)</f>
        <v>1174670</v>
      </c>
      <c r="G4861" s="25"/>
      <c r="H4861" s="11"/>
      <c r="I4861" s="21"/>
      <c r="J4861" s="21"/>
      <c r="K4861" s="21"/>
      <c r="L4861" s="21"/>
      <c r="M4861" s="21"/>
      <c r="N4861" s="21"/>
    </row>
    <row r="4862" spans="1:14" ht="15.75" customHeight="1" x14ac:dyDescent="0.25">
      <c r="A4862" s="7"/>
      <c r="B4862" s="343" t="s">
        <v>343</v>
      </c>
      <c r="C4862" s="344"/>
      <c r="D4862" s="344"/>
      <c r="E4862" s="334"/>
      <c r="F4862" s="167">
        <f>F4861*11%</f>
        <v>129213.7</v>
      </c>
      <c r="G4862" s="25"/>
      <c r="H4862" s="11"/>
      <c r="I4862" s="21"/>
      <c r="J4862" s="21"/>
      <c r="K4862" s="21"/>
      <c r="L4862" s="21"/>
      <c r="M4862" s="21"/>
      <c r="N4862" s="21"/>
    </row>
    <row r="4863" spans="1:14" ht="15.75" customHeight="1" x14ac:dyDescent="0.25">
      <c r="A4863" s="7"/>
      <c r="B4863" s="345" t="s">
        <v>344</v>
      </c>
      <c r="C4863" s="344"/>
      <c r="D4863" s="344"/>
      <c r="E4863" s="334"/>
      <c r="F4863" s="168">
        <f>SUM(F4861:F4862)</f>
        <v>1303883.7</v>
      </c>
      <c r="G4863" s="25"/>
      <c r="H4863" s="11"/>
      <c r="I4863" s="21"/>
      <c r="J4863" s="21"/>
      <c r="K4863" s="21"/>
      <c r="L4863" s="21"/>
      <c r="M4863" s="21"/>
      <c r="N4863" s="21"/>
    </row>
    <row r="4864" spans="1:14" ht="15.75" customHeight="1" x14ac:dyDescent="0.25">
      <c r="A4864" s="21"/>
      <c r="B4864" s="21"/>
      <c r="C4864" s="11"/>
      <c r="D4864" s="11"/>
      <c r="E4864" s="21"/>
      <c r="F4864" s="21"/>
      <c r="G4864" s="25"/>
      <c r="H4864" s="11"/>
      <c r="I4864" s="21"/>
      <c r="J4864" s="21"/>
      <c r="K4864" s="21"/>
      <c r="L4864" s="21"/>
      <c r="M4864" s="21"/>
      <c r="N4864" s="21"/>
    </row>
    <row r="4865" spans="1:14" ht="15.75" customHeight="1" x14ac:dyDescent="0.25">
      <c r="A4865" s="21"/>
      <c r="B4865" s="21"/>
      <c r="C4865" s="11"/>
      <c r="D4865" s="11"/>
      <c r="E4865" s="21"/>
      <c r="F4865" s="21"/>
      <c r="G4865" s="25"/>
      <c r="H4865" s="11"/>
      <c r="I4865" s="21"/>
      <c r="J4865" s="21"/>
      <c r="K4865" s="21"/>
      <c r="L4865" s="21"/>
      <c r="M4865" s="21"/>
      <c r="N4865" s="21"/>
    </row>
    <row r="4866" spans="1:14" ht="15.75" customHeight="1" x14ac:dyDescent="0.25">
      <c r="A4866" s="31" t="s">
        <v>14</v>
      </c>
      <c r="B4866" s="31" t="s">
        <v>234</v>
      </c>
      <c r="C4866" s="31" t="s">
        <v>16</v>
      </c>
      <c r="D4866" s="31" t="s">
        <v>17</v>
      </c>
      <c r="E4866" s="31" t="s">
        <v>235</v>
      </c>
      <c r="F4866" s="31" t="s">
        <v>236</v>
      </c>
      <c r="G4866" s="144" t="s">
        <v>1748</v>
      </c>
      <c r="H4866" s="11"/>
      <c r="I4866" s="21"/>
      <c r="J4866" s="21"/>
      <c r="K4866" s="21"/>
      <c r="L4866" s="21"/>
      <c r="M4866" s="21"/>
      <c r="N4866" s="21"/>
    </row>
    <row r="4867" spans="1:14" ht="15.75" customHeight="1" x14ac:dyDescent="0.25">
      <c r="A4867" s="7">
        <v>1</v>
      </c>
      <c r="B4867" s="124" t="s">
        <v>1822</v>
      </c>
      <c r="C4867" s="7">
        <v>1</v>
      </c>
      <c r="D4867" s="7" t="s">
        <v>1823</v>
      </c>
      <c r="E4867" s="37">
        <v>902500</v>
      </c>
      <c r="F4867" s="37">
        <f>E4867*C4867</f>
        <v>902500</v>
      </c>
      <c r="G4867" s="172">
        <v>45311</v>
      </c>
      <c r="H4867" s="11"/>
      <c r="I4867" s="21"/>
      <c r="J4867" s="21"/>
      <c r="K4867" s="21"/>
      <c r="L4867" s="21"/>
      <c r="M4867" s="21"/>
      <c r="N4867" s="21"/>
    </row>
    <row r="4868" spans="1:14" ht="15.75" customHeight="1" x14ac:dyDescent="0.25">
      <c r="A4868" s="7">
        <v>2</v>
      </c>
      <c r="B4868" s="124" t="s">
        <v>1824</v>
      </c>
      <c r="C4868" s="7">
        <v>1</v>
      </c>
      <c r="D4868" s="7" t="s">
        <v>1823</v>
      </c>
      <c r="E4868" s="37">
        <v>2517500</v>
      </c>
      <c r="F4868" s="37">
        <f>E4868*C4868</f>
        <v>2517500</v>
      </c>
      <c r="G4868" s="171" t="s">
        <v>1825</v>
      </c>
      <c r="H4868" s="11"/>
      <c r="I4868" s="21"/>
      <c r="J4868" s="21"/>
      <c r="K4868" s="21"/>
      <c r="L4868" s="21"/>
      <c r="M4868" s="21"/>
      <c r="N4868" s="21"/>
    </row>
    <row r="4869" spans="1:14" ht="15.75" customHeight="1" x14ac:dyDescent="0.25">
      <c r="A4869" s="7"/>
      <c r="B4869" s="343" t="s">
        <v>342</v>
      </c>
      <c r="C4869" s="344"/>
      <c r="D4869" s="344"/>
      <c r="E4869" s="334"/>
      <c r="F4869" s="104">
        <f>SUM(F4867:F4868)</f>
        <v>3420000</v>
      </c>
      <c r="G4869" s="25" t="s">
        <v>1752</v>
      </c>
      <c r="H4869" s="11"/>
      <c r="I4869" s="21"/>
      <c r="J4869" s="21"/>
      <c r="K4869" s="21"/>
      <c r="L4869" s="21"/>
      <c r="M4869" s="21"/>
      <c r="N4869" s="21"/>
    </row>
    <row r="4870" spans="1:14" ht="15.75" customHeight="1" x14ac:dyDescent="0.25">
      <c r="A4870" s="7"/>
      <c r="B4870" s="343" t="s">
        <v>343</v>
      </c>
      <c r="C4870" s="344"/>
      <c r="D4870" s="344"/>
      <c r="E4870" s="334"/>
      <c r="F4870" s="104">
        <f>F4869*11%</f>
        <v>376200</v>
      </c>
      <c r="G4870" s="25"/>
      <c r="H4870" s="11"/>
      <c r="I4870" s="21"/>
      <c r="J4870" s="21"/>
      <c r="K4870" s="21"/>
      <c r="L4870" s="21"/>
      <c r="M4870" s="21"/>
      <c r="N4870" s="21"/>
    </row>
    <row r="4871" spans="1:14" ht="15.75" customHeight="1" x14ac:dyDescent="0.25">
      <c r="A4871" s="7"/>
      <c r="B4871" s="345" t="s">
        <v>344</v>
      </c>
      <c r="C4871" s="344"/>
      <c r="D4871" s="344"/>
      <c r="E4871" s="334"/>
      <c r="F4871" s="107">
        <f>SUM(F4869:F4870)</f>
        <v>3796200</v>
      </c>
      <c r="G4871" s="25"/>
      <c r="H4871" s="11"/>
      <c r="I4871" s="21"/>
      <c r="J4871" s="21"/>
      <c r="K4871" s="21"/>
      <c r="L4871" s="21"/>
      <c r="M4871" s="21"/>
      <c r="N4871" s="21"/>
    </row>
    <row r="4872" spans="1:14" ht="15.75" customHeight="1" x14ac:dyDescent="0.25">
      <c r="A4872" s="21"/>
      <c r="B4872" s="21"/>
      <c r="C4872" s="11"/>
      <c r="D4872" s="11"/>
      <c r="E4872" s="21"/>
      <c r="F4872" s="21"/>
      <c r="G4872" s="25"/>
      <c r="H4872" s="11"/>
      <c r="I4872" s="21"/>
      <c r="J4872" s="21"/>
      <c r="K4872" s="21"/>
      <c r="L4872" s="21"/>
      <c r="M4872" s="21"/>
      <c r="N4872" s="21"/>
    </row>
    <row r="4873" spans="1:14" ht="15.75" customHeight="1" x14ac:dyDescent="0.25">
      <c r="A4873" s="21"/>
      <c r="B4873" s="21"/>
      <c r="C4873" s="11"/>
      <c r="D4873" s="11"/>
      <c r="E4873" s="21"/>
      <c r="F4873" s="21"/>
      <c r="G4873" s="25"/>
      <c r="H4873" s="11"/>
      <c r="I4873" s="21"/>
      <c r="J4873" s="21"/>
      <c r="K4873" s="21"/>
      <c r="L4873" s="21"/>
      <c r="M4873" s="21"/>
      <c r="N4873" s="21"/>
    </row>
    <row r="4874" spans="1:14" ht="15.75" customHeight="1" x14ac:dyDescent="0.25">
      <c r="A4874" s="21"/>
      <c r="B4874" s="21"/>
      <c r="C4874" s="11"/>
      <c r="D4874" s="11"/>
      <c r="E4874" s="21"/>
      <c r="F4874" s="21"/>
      <c r="G4874" s="25"/>
      <c r="H4874" s="11"/>
      <c r="I4874" s="21"/>
      <c r="J4874" s="21"/>
      <c r="K4874" s="21"/>
      <c r="L4874" s="21"/>
      <c r="M4874" s="21"/>
      <c r="N4874" s="21"/>
    </row>
    <row r="4875" spans="1:14" ht="15.75" customHeight="1" x14ac:dyDescent="0.25">
      <c r="A4875" s="31" t="s">
        <v>14</v>
      </c>
      <c r="B4875" s="31" t="s">
        <v>234</v>
      </c>
      <c r="C4875" s="31" t="s">
        <v>16</v>
      </c>
      <c r="D4875" s="31" t="s">
        <v>17</v>
      </c>
      <c r="E4875" s="31" t="s">
        <v>235</v>
      </c>
      <c r="F4875" s="31" t="s">
        <v>236</v>
      </c>
      <c r="G4875" s="144" t="s">
        <v>1748</v>
      </c>
      <c r="H4875" s="11"/>
      <c r="I4875" s="21"/>
      <c r="J4875" s="21"/>
      <c r="K4875" s="21"/>
      <c r="L4875" s="21"/>
      <c r="M4875" s="21"/>
      <c r="N4875" s="21"/>
    </row>
    <row r="4876" spans="1:14" ht="15.75" customHeight="1" x14ac:dyDescent="0.25">
      <c r="A4876" s="7">
        <v>1</v>
      </c>
      <c r="B4876" s="35" t="s">
        <v>1826</v>
      </c>
      <c r="C4876" s="7">
        <v>1</v>
      </c>
      <c r="D4876" s="7" t="s">
        <v>19</v>
      </c>
      <c r="E4876" s="37">
        <v>50800</v>
      </c>
      <c r="F4876" s="37">
        <f t="shared" ref="F4876:F4887" si="54">E4876*C4876</f>
        <v>50800</v>
      </c>
      <c r="G4876" s="172">
        <v>45251</v>
      </c>
      <c r="H4876" s="11"/>
      <c r="I4876" s="21"/>
      <c r="J4876" s="7" t="s">
        <v>1827</v>
      </c>
      <c r="K4876" s="21"/>
      <c r="L4876" s="21"/>
      <c r="M4876" s="21"/>
      <c r="N4876" s="21"/>
    </row>
    <row r="4877" spans="1:14" ht="15.75" customHeight="1" x14ac:dyDescent="0.25">
      <c r="A4877" s="7">
        <v>2</v>
      </c>
      <c r="B4877" s="35" t="s">
        <v>1828</v>
      </c>
      <c r="C4877" s="7">
        <v>1</v>
      </c>
      <c r="D4877" s="7" t="s">
        <v>19</v>
      </c>
      <c r="E4877" s="37">
        <v>3868800</v>
      </c>
      <c r="F4877" s="37">
        <f t="shared" si="54"/>
        <v>3868800</v>
      </c>
      <c r="G4877" s="25" t="s">
        <v>1829</v>
      </c>
      <c r="H4877" s="11"/>
      <c r="I4877" s="21"/>
      <c r="J4877" s="7" t="s">
        <v>1830</v>
      </c>
      <c r="K4877" s="21"/>
      <c r="L4877" s="21"/>
      <c r="M4877" s="21"/>
      <c r="N4877" s="21"/>
    </row>
    <row r="4878" spans="1:14" ht="15.75" customHeight="1" x14ac:dyDescent="0.25">
      <c r="A4878" s="7">
        <v>3</v>
      </c>
      <c r="B4878" s="35" t="s">
        <v>1831</v>
      </c>
      <c r="C4878" s="7">
        <v>4</v>
      </c>
      <c r="D4878" s="7" t="s">
        <v>19</v>
      </c>
      <c r="E4878" s="37">
        <v>7481000</v>
      </c>
      <c r="F4878" s="37">
        <f t="shared" si="54"/>
        <v>29924000</v>
      </c>
      <c r="G4878" s="25" t="s">
        <v>1752</v>
      </c>
      <c r="H4878" s="11"/>
      <c r="I4878" s="21"/>
      <c r="J4878" s="21"/>
      <c r="K4878" s="21"/>
      <c r="L4878" s="21"/>
      <c r="M4878" s="21"/>
      <c r="N4878" s="21"/>
    </row>
    <row r="4879" spans="1:14" ht="15.75" customHeight="1" x14ac:dyDescent="0.25">
      <c r="A4879" s="7">
        <v>4</v>
      </c>
      <c r="B4879" s="35" t="s">
        <v>1832</v>
      </c>
      <c r="C4879" s="7">
        <v>3</v>
      </c>
      <c r="D4879" s="7" t="s">
        <v>19</v>
      </c>
      <c r="E4879" s="37">
        <v>105800</v>
      </c>
      <c r="F4879" s="37">
        <f t="shared" si="54"/>
        <v>317400</v>
      </c>
      <c r="G4879" s="25"/>
      <c r="H4879" s="11"/>
      <c r="I4879" s="21"/>
      <c r="J4879" s="21"/>
      <c r="K4879" s="21"/>
      <c r="L4879" s="21"/>
      <c r="M4879" s="21"/>
      <c r="N4879" s="21"/>
    </row>
    <row r="4880" spans="1:14" ht="15.75" customHeight="1" x14ac:dyDescent="0.25">
      <c r="A4880" s="7">
        <v>5</v>
      </c>
      <c r="B4880" s="35" t="s">
        <v>1833</v>
      </c>
      <c r="C4880" s="7">
        <v>5</v>
      </c>
      <c r="D4880" s="7" t="s">
        <v>19</v>
      </c>
      <c r="E4880" s="37">
        <v>277500</v>
      </c>
      <c r="F4880" s="37">
        <f t="shared" si="54"/>
        <v>1387500</v>
      </c>
      <c r="G4880" s="25"/>
      <c r="H4880" s="11"/>
      <c r="I4880" s="21"/>
      <c r="J4880" s="21"/>
      <c r="K4880" s="21"/>
      <c r="L4880" s="21"/>
      <c r="M4880" s="21"/>
      <c r="N4880" s="21"/>
    </row>
    <row r="4881" spans="1:14" ht="15.75" customHeight="1" x14ac:dyDescent="0.25">
      <c r="A4881" s="7">
        <v>6</v>
      </c>
      <c r="B4881" s="35" t="s">
        <v>1834</v>
      </c>
      <c r="C4881" s="7">
        <v>6</v>
      </c>
      <c r="D4881" s="7" t="s">
        <v>19</v>
      </c>
      <c r="E4881" s="37">
        <v>5334800</v>
      </c>
      <c r="F4881" s="37">
        <f t="shared" si="54"/>
        <v>32008800</v>
      </c>
      <c r="G4881" s="25"/>
      <c r="H4881" s="11"/>
      <c r="I4881" s="21"/>
      <c r="J4881" s="21"/>
      <c r="K4881" s="21"/>
      <c r="L4881" s="21"/>
      <c r="M4881" s="21"/>
      <c r="N4881" s="21"/>
    </row>
    <row r="4882" spans="1:14" ht="15.75" customHeight="1" x14ac:dyDescent="0.25">
      <c r="A4882" s="7">
        <v>7</v>
      </c>
      <c r="B4882" s="35" t="s">
        <v>1835</v>
      </c>
      <c r="C4882" s="7">
        <v>2</v>
      </c>
      <c r="D4882" s="7" t="s">
        <v>19</v>
      </c>
      <c r="E4882" s="37">
        <v>563500</v>
      </c>
      <c r="F4882" s="37">
        <f t="shared" si="54"/>
        <v>1127000</v>
      </c>
      <c r="G4882" s="25"/>
      <c r="H4882" s="11"/>
      <c r="I4882" s="21"/>
      <c r="J4882" s="21"/>
      <c r="K4882" s="21"/>
      <c r="L4882" s="21"/>
      <c r="M4882" s="21"/>
      <c r="N4882" s="21"/>
    </row>
    <row r="4883" spans="1:14" ht="15.75" customHeight="1" x14ac:dyDescent="0.25">
      <c r="A4883" s="7">
        <v>8</v>
      </c>
      <c r="B4883" s="35" t="s">
        <v>1836</v>
      </c>
      <c r="C4883" s="7">
        <v>2</v>
      </c>
      <c r="D4883" s="7" t="s">
        <v>19</v>
      </c>
      <c r="E4883" s="37">
        <v>6668500</v>
      </c>
      <c r="F4883" s="37">
        <f t="shared" si="54"/>
        <v>13337000</v>
      </c>
      <c r="G4883" s="25"/>
      <c r="H4883" s="11"/>
      <c r="I4883" s="21"/>
      <c r="J4883" s="21"/>
      <c r="K4883" s="21"/>
      <c r="L4883" s="21"/>
      <c r="M4883" s="21"/>
      <c r="N4883" s="21"/>
    </row>
    <row r="4884" spans="1:14" ht="15.75" customHeight="1" x14ac:dyDescent="0.25">
      <c r="A4884" s="7">
        <v>9</v>
      </c>
      <c r="B4884" s="35" t="s">
        <v>1837</v>
      </c>
      <c r="C4884" s="7">
        <v>6</v>
      </c>
      <c r="D4884" s="7" t="s">
        <v>19</v>
      </c>
      <c r="E4884" s="37">
        <v>835500</v>
      </c>
      <c r="F4884" s="37">
        <f t="shared" si="54"/>
        <v>5013000</v>
      </c>
      <c r="G4884" s="25"/>
      <c r="H4884" s="11"/>
      <c r="I4884" s="21"/>
      <c r="J4884" s="21"/>
      <c r="K4884" s="21"/>
      <c r="L4884" s="21"/>
      <c r="M4884" s="21"/>
      <c r="N4884" s="21"/>
    </row>
    <row r="4885" spans="1:14" ht="30.75" customHeight="1" x14ac:dyDescent="0.25">
      <c r="A4885" s="7">
        <v>10</v>
      </c>
      <c r="B4885" s="41" t="s">
        <v>1838</v>
      </c>
      <c r="C4885" s="7">
        <v>2</v>
      </c>
      <c r="D4885" s="7" t="s">
        <v>19</v>
      </c>
      <c r="E4885" s="37">
        <v>10293500</v>
      </c>
      <c r="F4885" s="37">
        <f t="shared" si="54"/>
        <v>20587000</v>
      </c>
      <c r="G4885" s="25"/>
      <c r="H4885" s="11"/>
      <c r="I4885" s="21"/>
      <c r="J4885" s="21"/>
      <c r="K4885" s="21"/>
      <c r="L4885" s="21"/>
      <c r="M4885" s="21"/>
      <c r="N4885" s="21"/>
    </row>
    <row r="4886" spans="1:14" ht="15.75" customHeight="1" x14ac:dyDescent="0.25">
      <c r="A4886" s="7">
        <v>11</v>
      </c>
      <c r="B4886" s="35" t="s">
        <v>1839</v>
      </c>
      <c r="C4886" s="7">
        <v>1</v>
      </c>
      <c r="D4886" s="7" t="s">
        <v>19</v>
      </c>
      <c r="E4886" s="37">
        <v>7425000</v>
      </c>
      <c r="F4886" s="37">
        <f t="shared" si="54"/>
        <v>7425000</v>
      </c>
      <c r="G4886" s="25"/>
      <c r="H4886" s="11"/>
      <c r="I4886" s="21"/>
      <c r="J4886" s="21"/>
      <c r="K4886" s="21"/>
      <c r="L4886" s="21"/>
      <c r="M4886" s="21"/>
      <c r="N4886" s="21"/>
    </row>
    <row r="4887" spans="1:14" ht="15.75" customHeight="1" x14ac:dyDescent="0.25">
      <c r="A4887" s="7">
        <v>12</v>
      </c>
      <c r="B4887" s="35" t="s">
        <v>1840</v>
      </c>
      <c r="C4887" s="7">
        <v>1</v>
      </c>
      <c r="D4887" s="7" t="s">
        <v>19</v>
      </c>
      <c r="E4887" s="37">
        <v>6750000</v>
      </c>
      <c r="F4887" s="37">
        <f t="shared" si="54"/>
        <v>6750000</v>
      </c>
      <c r="G4887" s="25"/>
      <c r="H4887" s="11"/>
      <c r="I4887" s="21"/>
      <c r="J4887" s="21"/>
      <c r="K4887" s="21"/>
      <c r="L4887" s="21"/>
      <c r="M4887" s="21"/>
      <c r="N4887" s="21"/>
    </row>
    <row r="4888" spans="1:14" ht="15.75" customHeight="1" x14ac:dyDescent="0.25">
      <c r="A4888" s="7"/>
      <c r="B4888" s="343" t="s">
        <v>342</v>
      </c>
      <c r="C4888" s="344"/>
      <c r="D4888" s="344"/>
      <c r="E4888" s="334"/>
      <c r="F4888" s="104">
        <f>SUM(F4876:F4887)</f>
        <v>121796300</v>
      </c>
      <c r="G4888" s="25"/>
      <c r="H4888" s="11"/>
      <c r="I4888" s="21"/>
      <c r="J4888" s="21"/>
      <c r="K4888" s="21"/>
      <c r="L4888" s="21"/>
      <c r="M4888" s="21"/>
      <c r="N4888" s="21"/>
    </row>
    <row r="4889" spans="1:14" ht="15.75" customHeight="1" x14ac:dyDescent="0.25">
      <c r="A4889" s="7"/>
      <c r="B4889" s="343" t="s">
        <v>343</v>
      </c>
      <c r="C4889" s="344"/>
      <c r="D4889" s="344"/>
      <c r="E4889" s="334"/>
      <c r="F4889" s="104">
        <f>F4888*11%</f>
        <v>13397593</v>
      </c>
      <c r="G4889" s="25"/>
      <c r="H4889" s="11"/>
      <c r="I4889" s="21"/>
      <c r="J4889" s="21"/>
      <c r="K4889" s="21"/>
      <c r="L4889" s="21"/>
      <c r="M4889" s="21"/>
      <c r="N4889" s="21"/>
    </row>
    <row r="4890" spans="1:14" ht="15.75" customHeight="1" x14ac:dyDescent="0.25">
      <c r="A4890" s="7"/>
      <c r="B4890" s="345" t="s">
        <v>344</v>
      </c>
      <c r="C4890" s="344"/>
      <c r="D4890" s="344"/>
      <c r="E4890" s="334"/>
      <c r="F4890" s="107">
        <f>SUM(F4888:F4889)</f>
        <v>135193893</v>
      </c>
      <c r="G4890" s="25"/>
      <c r="H4890" s="11"/>
      <c r="I4890" s="21"/>
      <c r="J4890" s="21"/>
      <c r="K4890" s="21"/>
      <c r="L4890" s="21"/>
      <c r="M4890" s="21"/>
      <c r="N4890" s="21"/>
    </row>
    <row r="4891" spans="1:14" ht="15.75" customHeight="1" x14ac:dyDescent="0.25">
      <c r="A4891" s="21"/>
      <c r="B4891" s="21"/>
      <c r="C4891" s="11"/>
      <c r="D4891" s="11"/>
      <c r="E4891" s="21"/>
      <c r="F4891" s="21"/>
      <c r="G4891" s="25"/>
      <c r="H4891" s="11"/>
      <c r="I4891" s="21"/>
      <c r="J4891" s="21"/>
      <c r="K4891" s="21"/>
      <c r="L4891" s="21"/>
      <c r="M4891" s="21"/>
      <c r="N4891" s="21"/>
    </row>
    <row r="4892" spans="1:14" ht="15.75" customHeight="1" x14ac:dyDescent="0.25">
      <c r="A4892" s="31" t="s">
        <v>14</v>
      </c>
      <c r="B4892" s="31" t="s">
        <v>234</v>
      </c>
      <c r="C4892" s="31" t="s">
        <v>16</v>
      </c>
      <c r="D4892" s="31" t="s">
        <v>17</v>
      </c>
      <c r="E4892" s="31" t="s">
        <v>235</v>
      </c>
      <c r="F4892" s="31" t="s">
        <v>236</v>
      </c>
      <c r="G4892" s="144" t="s">
        <v>1748</v>
      </c>
      <c r="H4892" s="11"/>
      <c r="I4892" s="21"/>
      <c r="J4892" s="21"/>
      <c r="K4892" s="21"/>
      <c r="L4892" s="21"/>
      <c r="M4892" s="21"/>
      <c r="N4892" s="21"/>
    </row>
    <row r="4893" spans="1:14" ht="15.75" customHeight="1" x14ac:dyDescent="0.25">
      <c r="A4893" s="7">
        <v>1</v>
      </c>
      <c r="B4893" s="35" t="s">
        <v>1841</v>
      </c>
      <c r="C4893" s="7">
        <v>15</v>
      </c>
      <c r="D4893" s="7" t="s">
        <v>363</v>
      </c>
      <c r="E4893" s="37">
        <v>5130</v>
      </c>
      <c r="F4893" s="37">
        <f t="shared" ref="F4893:F4914" si="55">E4893*C4893</f>
        <v>76950</v>
      </c>
      <c r="G4893" s="172">
        <v>45321</v>
      </c>
      <c r="H4893" s="11"/>
      <c r="I4893" s="21"/>
      <c r="J4893" s="21"/>
      <c r="K4893" s="21"/>
      <c r="L4893" s="21"/>
      <c r="M4893" s="21"/>
      <c r="N4893" s="21"/>
    </row>
    <row r="4894" spans="1:14" ht="15.75" customHeight="1" x14ac:dyDescent="0.25">
      <c r="A4894" s="7">
        <v>2</v>
      </c>
      <c r="B4894" s="35" t="s">
        <v>1842</v>
      </c>
      <c r="C4894" s="7">
        <v>15</v>
      </c>
      <c r="D4894" s="7" t="s">
        <v>363</v>
      </c>
      <c r="E4894" s="37">
        <v>6935</v>
      </c>
      <c r="F4894" s="37">
        <f t="shared" si="55"/>
        <v>104025</v>
      </c>
      <c r="G4894" s="172" t="s">
        <v>1843</v>
      </c>
      <c r="H4894" s="11"/>
      <c r="I4894" s="21"/>
      <c r="J4894" s="21"/>
      <c r="K4894" s="21"/>
      <c r="L4894" s="21"/>
      <c r="M4894" s="21"/>
      <c r="N4894" s="21"/>
    </row>
    <row r="4895" spans="1:14" ht="15.75" customHeight="1" x14ac:dyDescent="0.25">
      <c r="A4895" s="7">
        <v>3</v>
      </c>
      <c r="B4895" s="35" t="s">
        <v>1844</v>
      </c>
      <c r="C4895" s="7">
        <v>15</v>
      </c>
      <c r="D4895" s="7" t="s">
        <v>363</v>
      </c>
      <c r="E4895" s="37">
        <v>6460</v>
      </c>
      <c r="F4895" s="37">
        <f t="shared" si="55"/>
        <v>96900</v>
      </c>
      <c r="G4895" s="172" t="s">
        <v>1752</v>
      </c>
      <c r="H4895" s="11"/>
      <c r="I4895" s="21"/>
      <c r="J4895" s="21"/>
      <c r="K4895" s="21"/>
      <c r="L4895" s="21"/>
      <c r="M4895" s="21"/>
      <c r="N4895" s="21"/>
    </row>
    <row r="4896" spans="1:14" ht="15.75" customHeight="1" x14ac:dyDescent="0.25">
      <c r="A4896" s="7">
        <v>4</v>
      </c>
      <c r="B4896" s="35" t="s">
        <v>1845</v>
      </c>
      <c r="C4896" s="7">
        <v>15</v>
      </c>
      <c r="D4896" s="7" t="s">
        <v>363</v>
      </c>
      <c r="E4896" s="37">
        <v>10355</v>
      </c>
      <c r="F4896" s="37">
        <f t="shared" si="55"/>
        <v>155325</v>
      </c>
      <c r="G4896" s="172"/>
      <c r="H4896" s="11"/>
      <c r="I4896" s="21"/>
      <c r="J4896" s="21"/>
      <c r="K4896" s="21"/>
      <c r="L4896" s="21"/>
      <c r="M4896" s="21"/>
      <c r="N4896" s="21"/>
    </row>
    <row r="4897" spans="1:14" ht="15.75" customHeight="1" x14ac:dyDescent="0.25">
      <c r="A4897" s="7">
        <v>5</v>
      </c>
      <c r="B4897" s="35" t="s">
        <v>1846</v>
      </c>
      <c r="C4897" s="7">
        <v>15</v>
      </c>
      <c r="D4897" s="7" t="s">
        <v>363</v>
      </c>
      <c r="E4897" s="37">
        <v>5225</v>
      </c>
      <c r="F4897" s="37">
        <f t="shared" si="55"/>
        <v>78375</v>
      </c>
      <c r="G4897" s="172"/>
      <c r="H4897" s="11"/>
      <c r="I4897" s="21"/>
      <c r="J4897" s="21"/>
      <c r="K4897" s="21"/>
      <c r="L4897" s="21"/>
      <c r="M4897" s="21"/>
      <c r="N4897" s="21"/>
    </row>
    <row r="4898" spans="1:14" ht="15.75" customHeight="1" x14ac:dyDescent="0.25">
      <c r="A4898" s="7">
        <v>6</v>
      </c>
      <c r="B4898" s="35" t="s">
        <v>1847</v>
      </c>
      <c r="C4898" s="7">
        <v>15</v>
      </c>
      <c r="D4898" s="7" t="s">
        <v>363</v>
      </c>
      <c r="E4898" s="37">
        <v>7410</v>
      </c>
      <c r="F4898" s="37">
        <f t="shared" si="55"/>
        <v>111150</v>
      </c>
      <c r="G4898" s="172"/>
      <c r="H4898" s="11"/>
      <c r="I4898" s="21"/>
      <c r="J4898" s="21"/>
      <c r="K4898" s="21"/>
      <c r="L4898" s="21"/>
      <c r="M4898" s="21"/>
      <c r="N4898" s="21"/>
    </row>
    <row r="4899" spans="1:14" ht="15.75" customHeight="1" x14ac:dyDescent="0.25">
      <c r="A4899" s="7">
        <v>7</v>
      </c>
      <c r="B4899" s="35" t="s">
        <v>1848</v>
      </c>
      <c r="C4899" s="7">
        <v>15</v>
      </c>
      <c r="D4899" s="7" t="s">
        <v>363</v>
      </c>
      <c r="E4899" s="37">
        <v>10925</v>
      </c>
      <c r="F4899" s="37">
        <f t="shared" si="55"/>
        <v>163875</v>
      </c>
      <c r="G4899" s="172"/>
      <c r="H4899" s="11"/>
      <c r="I4899" s="21"/>
      <c r="J4899" s="21"/>
      <c r="K4899" s="21"/>
      <c r="L4899" s="21"/>
      <c r="M4899" s="21"/>
      <c r="N4899" s="21"/>
    </row>
    <row r="4900" spans="1:14" ht="15.75" customHeight="1" x14ac:dyDescent="0.25">
      <c r="A4900" s="7">
        <v>8</v>
      </c>
      <c r="B4900" s="35" t="s">
        <v>1849</v>
      </c>
      <c r="C4900" s="7">
        <v>15</v>
      </c>
      <c r="D4900" s="7" t="s">
        <v>363</v>
      </c>
      <c r="E4900" s="37">
        <v>11875</v>
      </c>
      <c r="F4900" s="37">
        <f t="shared" si="55"/>
        <v>178125</v>
      </c>
      <c r="G4900" s="172"/>
      <c r="H4900" s="11"/>
      <c r="I4900" s="21"/>
      <c r="J4900" s="21"/>
      <c r="K4900" s="21"/>
      <c r="L4900" s="21"/>
      <c r="M4900" s="21"/>
      <c r="N4900" s="21"/>
    </row>
    <row r="4901" spans="1:14" ht="15.75" customHeight="1" x14ac:dyDescent="0.25">
      <c r="A4901" s="7">
        <v>9</v>
      </c>
      <c r="B4901" s="35" t="s">
        <v>1850</v>
      </c>
      <c r="C4901" s="7">
        <v>10</v>
      </c>
      <c r="D4901" s="7" t="s">
        <v>363</v>
      </c>
      <c r="E4901" s="37">
        <v>13775</v>
      </c>
      <c r="F4901" s="37">
        <f t="shared" si="55"/>
        <v>137750</v>
      </c>
      <c r="G4901" s="172"/>
      <c r="H4901" s="11"/>
      <c r="I4901" s="21"/>
      <c r="J4901" s="21"/>
      <c r="K4901" s="21"/>
      <c r="L4901" s="21"/>
      <c r="M4901" s="21"/>
      <c r="N4901" s="21"/>
    </row>
    <row r="4902" spans="1:14" ht="15.75" customHeight="1" x14ac:dyDescent="0.25">
      <c r="A4902" s="7">
        <v>10</v>
      </c>
      <c r="B4902" s="35" t="s">
        <v>1851</v>
      </c>
      <c r="C4902" s="7">
        <v>15</v>
      </c>
      <c r="D4902" s="7" t="s">
        <v>363</v>
      </c>
      <c r="E4902" s="37">
        <v>12825</v>
      </c>
      <c r="F4902" s="37">
        <f t="shared" si="55"/>
        <v>192375</v>
      </c>
      <c r="G4902" s="172"/>
      <c r="H4902" s="11"/>
      <c r="I4902" s="21"/>
      <c r="J4902" s="21"/>
      <c r="K4902" s="21"/>
      <c r="L4902" s="21"/>
      <c r="M4902" s="21"/>
      <c r="N4902" s="21"/>
    </row>
    <row r="4903" spans="1:14" ht="15.75" customHeight="1" x14ac:dyDescent="0.25">
      <c r="A4903" s="7">
        <v>11</v>
      </c>
      <c r="B4903" s="35" t="s">
        <v>1852</v>
      </c>
      <c r="C4903" s="7">
        <v>15</v>
      </c>
      <c r="D4903" s="7" t="s">
        <v>363</v>
      </c>
      <c r="E4903" s="37">
        <v>13300</v>
      </c>
      <c r="F4903" s="37">
        <f t="shared" si="55"/>
        <v>199500</v>
      </c>
      <c r="G4903" s="172"/>
      <c r="H4903" s="11"/>
      <c r="I4903" s="21"/>
      <c r="J4903" s="21"/>
      <c r="K4903" s="21"/>
      <c r="L4903" s="21"/>
      <c r="M4903" s="21"/>
      <c r="N4903" s="21"/>
    </row>
    <row r="4904" spans="1:14" ht="15.75" customHeight="1" x14ac:dyDescent="0.25">
      <c r="A4904" s="7">
        <v>12</v>
      </c>
      <c r="B4904" s="35" t="s">
        <v>1853</v>
      </c>
      <c r="C4904" s="7">
        <v>15</v>
      </c>
      <c r="D4904" s="7" t="s">
        <v>363</v>
      </c>
      <c r="E4904" s="37">
        <v>14060</v>
      </c>
      <c r="F4904" s="37">
        <f t="shared" si="55"/>
        <v>210900</v>
      </c>
      <c r="G4904" s="25"/>
      <c r="H4904" s="11"/>
      <c r="I4904" s="21"/>
      <c r="J4904" s="21"/>
      <c r="K4904" s="21"/>
      <c r="L4904" s="21"/>
      <c r="M4904" s="21"/>
      <c r="N4904" s="21"/>
    </row>
    <row r="4905" spans="1:14" ht="15.75" customHeight="1" x14ac:dyDescent="0.25">
      <c r="A4905" s="7">
        <v>13</v>
      </c>
      <c r="B4905" s="35" t="s">
        <v>1854</v>
      </c>
      <c r="C4905" s="7">
        <v>15</v>
      </c>
      <c r="D4905" s="7" t="s">
        <v>363</v>
      </c>
      <c r="E4905" s="37">
        <v>14725</v>
      </c>
      <c r="F4905" s="37">
        <f t="shared" si="55"/>
        <v>220875</v>
      </c>
      <c r="G4905" s="25"/>
      <c r="H4905" s="11"/>
      <c r="I4905" s="21"/>
      <c r="J4905" s="21"/>
      <c r="K4905" s="21"/>
      <c r="L4905" s="21"/>
      <c r="M4905" s="21"/>
      <c r="N4905" s="21"/>
    </row>
    <row r="4906" spans="1:14" ht="15.75" customHeight="1" x14ac:dyDescent="0.25">
      <c r="A4906" s="7">
        <v>14</v>
      </c>
      <c r="B4906" s="35" t="s">
        <v>1855</v>
      </c>
      <c r="C4906" s="7">
        <v>15</v>
      </c>
      <c r="D4906" s="7" t="s">
        <v>363</v>
      </c>
      <c r="E4906" s="37">
        <v>6175</v>
      </c>
      <c r="F4906" s="37">
        <f t="shared" si="55"/>
        <v>92625</v>
      </c>
      <c r="G4906" s="25"/>
      <c r="H4906" s="11"/>
      <c r="I4906" s="21"/>
      <c r="J4906" s="21"/>
      <c r="K4906" s="21"/>
      <c r="L4906" s="21"/>
      <c r="M4906" s="21"/>
      <c r="N4906" s="21"/>
    </row>
    <row r="4907" spans="1:14" ht="15.75" customHeight="1" x14ac:dyDescent="0.25">
      <c r="A4907" s="7">
        <v>15</v>
      </c>
      <c r="B4907" s="35" t="s">
        <v>1856</v>
      </c>
      <c r="C4907" s="7">
        <v>15</v>
      </c>
      <c r="D4907" s="7" t="s">
        <v>363</v>
      </c>
      <c r="E4907" s="37">
        <v>7125</v>
      </c>
      <c r="F4907" s="37">
        <f t="shared" si="55"/>
        <v>106875</v>
      </c>
      <c r="G4907" s="25"/>
      <c r="H4907" s="11"/>
      <c r="I4907" s="21"/>
      <c r="J4907" s="21"/>
      <c r="K4907" s="21"/>
      <c r="L4907" s="21"/>
      <c r="M4907" s="21"/>
      <c r="N4907" s="21"/>
    </row>
    <row r="4908" spans="1:14" ht="15.75" customHeight="1" x14ac:dyDescent="0.25">
      <c r="A4908" s="7">
        <v>16</v>
      </c>
      <c r="B4908" s="35" t="s">
        <v>1857</v>
      </c>
      <c r="C4908" s="7">
        <v>15</v>
      </c>
      <c r="D4908" s="7" t="s">
        <v>363</v>
      </c>
      <c r="E4908" s="37">
        <v>8075</v>
      </c>
      <c r="F4908" s="37">
        <f t="shared" si="55"/>
        <v>121125</v>
      </c>
      <c r="G4908" s="25"/>
      <c r="H4908" s="11"/>
      <c r="I4908" s="21"/>
      <c r="J4908" s="21"/>
      <c r="K4908" s="21"/>
      <c r="L4908" s="21"/>
      <c r="M4908" s="21"/>
      <c r="N4908" s="21"/>
    </row>
    <row r="4909" spans="1:14" ht="15.75" customHeight="1" x14ac:dyDescent="0.25">
      <c r="A4909" s="7">
        <v>17</v>
      </c>
      <c r="B4909" s="35" t="s">
        <v>1858</v>
      </c>
      <c r="C4909" s="7">
        <v>15</v>
      </c>
      <c r="D4909" s="7" t="s">
        <v>363</v>
      </c>
      <c r="E4909" s="37">
        <v>8360</v>
      </c>
      <c r="F4909" s="37">
        <f t="shared" si="55"/>
        <v>125400</v>
      </c>
      <c r="G4909" s="25"/>
      <c r="H4909" s="11"/>
      <c r="I4909" s="21"/>
      <c r="J4909" s="21"/>
      <c r="K4909" s="21"/>
      <c r="L4909" s="21"/>
      <c r="M4909" s="21"/>
      <c r="N4909" s="21"/>
    </row>
    <row r="4910" spans="1:14" ht="15.75" customHeight="1" x14ac:dyDescent="0.25">
      <c r="A4910" s="7">
        <v>18</v>
      </c>
      <c r="B4910" s="35" t="s">
        <v>1859</v>
      </c>
      <c r="C4910" s="7">
        <v>15</v>
      </c>
      <c r="D4910" s="7" t="s">
        <v>363</v>
      </c>
      <c r="E4910" s="37">
        <v>8550</v>
      </c>
      <c r="F4910" s="37">
        <f t="shared" si="55"/>
        <v>128250</v>
      </c>
      <c r="G4910" s="25"/>
      <c r="H4910" s="11"/>
      <c r="I4910" s="21"/>
      <c r="J4910" s="21"/>
      <c r="K4910" s="21"/>
      <c r="L4910" s="21"/>
      <c r="M4910" s="21"/>
      <c r="N4910" s="21"/>
    </row>
    <row r="4911" spans="1:14" ht="15.75" customHeight="1" x14ac:dyDescent="0.25">
      <c r="A4911" s="7">
        <v>19</v>
      </c>
      <c r="B4911" s="35" t="s">
        <v>1860</v>
      </c>
      <c r="C4911" s="7">
        <v>15</v>
      </c>
      <c r="D4911" s="7" t="s">
        <v>363</v>
      </c>
      <c r="E4911" s="37">
        <v>6460</v>
      </c>
      <c r="F4911" s="37">
        <f t="shared" si="55"/>
        <v>96900</v>
      </c>
      <c r="G4911" s="25"/>
      <c r="H4911" s="11"/>
      <c r="I4911" s="21"/>
      <c r="J4911" s="21"/>
      <c r="K4911" s="21"/>
      <c r="L4911" s="21"/>
      <c r="M4911" s="21"/>
      <c r="N4911" s="21"/>
    </row>
    <row r="4912" spans="1:14" ht="15.75" customHeight="1" x14ac:dyDescent="0.25">
      <c r="A4912" s="7">
        <v>20</v>
      </c>
      <c r="B4912" s="41" t="s">
        <v>1861</v>
      </c>
      <c r="C4912" s="7">
        <v>15</v>
      </c>
      <c r="D4912" s="7" t="s">
        <v>363</v>
      </c>
      <c r="E4912" s="37">
        <v>8075</v>
      </c>
      <c r="F4912" s="37">
        <f t="shared" si="55"/>
        <v>121125</v>
      </c>
      <c r="G4912" s="25"/>
      <c r="H4912" s="11"/>
      <c r="I4912" s="21"/>
      <c r="J4912" s="21"/>
      <c r="K4912" s="21"/>
      <c r="L4912" s="21"/>
      <c r="M4912" s="21"/>
      <c r="N4912" s="21"/>
    </row>
    <row r="4913" spans="1:14" ht="15.75" customHeight="1" x14ac:dyDescent="0.25">
      <c r="A4913" s="7">
        <v>21</v>
      </c>
      <c r="B4913" s="35" t="s">
        <v>1862</v>
      </c>
      <c r="C4913" s="7">
        <v>15</v>
      </c>
      <c r="D4913" s="7" t="s">
        <v>363</v>
      </c>
      <c r="E4913" s="37">
        <v>9025</v>
      </c>
      <c r="F4913" s="37">
        <f t="shared" si="55"/>
        <v>135375</v>
      </c>
      <c r="G4913" s="25"/>
      <c r="H4913" s="11"/>
      <c r="I4913" s="21"/>
      <c r="J4913" s="21"/>
      <c r="K4913" s="21"/>
      <c r="L4913" s="21"/>
      <c r="M4913" s="21"/>
      <c r="N4913" s="21"/>
    </row>
    <row r="4914" spans="1:14" ht="15.75" customHeight="1" x14ac:dyDescent="0.25">
      <c r="A4914" s="7">
        <v>22</v>
      </c>
      <c r="B4914" s="35" t="s">
        <v>1863</v>
      </c>
      <c r="C4914" s="7">
        <v>30</v>
      </c>
      <c r="D4914" s="7" t="s">
        <v>363</v>
      </c>
      <c r="E4914" s="37">
        <v>57760</v>
      </c>
      <c r="F4914" s="37">
        <f t="shared" si="55"/>
        <v>1732800</v>
      </c>
      <c r="G4914" s="25"/>
      <c r="H4914" s="11"/>
      <c r="I4914" s="21"/>
      <c r="J4914" s="21"/>
      <c r="K4914" s="21"/>
      <c r="L4914" s="21"/>
      <c r="M4914" s="21"/>
      <c r="N4914" s="21"/>
    </row>
    <row r="4915" spans="1:14" ht="15.75" customHeight="1" x14ac:dyDescent="0.25">
      <c r="A4915" s="7"/>
      <c r="B4915" s="343" t="s">
        <v>342</v>
      </c>
      <c r="C4915" s="344"/>
      <c r="D4915" s="344"/>
      <c r="E4915" s="334"/>
      <c r="F4915" s="104">
        <f>SUM(F4893:F4914)</f>
        <v>4586600</v>
      </c>
      <c r="G4915" s="25"/>
      <c r="H4915" s="11"/>
      <c r="I4915" s="21"/>
      <c r="J4915" s="21"/>
      <c r="K4915" s="21"/>
      <c r="L4915" s="21"/>
      <c r="M4915" s="21"/>
      <c r="N4915" s="21"/>
    </row>
    <row r="4916" spans="1:14" ht="15.75" customHeight="1" x14ac:dyDescent="0.25">
      <c r="A4916" s="7"/>
      <c r="B4916" s="343" t="s">
        <v>343</v>
      </c>
      <c r="C4916" s="344"/>
      <c r="D4916" s="344"/>
      <c r="E4916" s="334"/>
      <c r="F4916" s="104">
        <f>F4915*11%</f>
        <v>504526</v>
      </c>
      <c r="G4916" s="25"/>
      <c r="H4916" s="11"/>
      <c r="I4916" s="21"/>
      <c r="J4916" s="21"/>
      <c r="K4916" s="21"/>
      <c r="L4916" s="21"/>
      <c r="M4916" s="21"/>
      <c r="N4916" s="21"/>
    </row>
    <row r="4917" spans="1:14" ht="15.75" customHeight="1" x14ac:dyDescent="0.25">
      <c r="A4917" s="7"/>
      <c r="B4917" s="345" t="s">
        <v>344</v>
      </c>
      <c r="C4917" s="344"/>
      <c r="D4917" s="344"/>
      <c r="E4917" s="334"/>
      <c r="F4917" s="107">
        <f>SUM(F4915:F4916)</f>
        <v>5091126</v>
      </c>
      <c r="G4917" s="25"/>
      <c r="H4917" s="11"/>
      <c r="I4917" s="21"/>
      <c r="J4917" s="21"/>
      <c r="K4917" s="21"/>
      <c r="L4917" s="21"/>
      <c r="M4917" s="21"/>
      <c r="N4917" s="21"/>
    </row>
    <row r="4918" spans="1:14" ht="15.75" customHeight="1" x14ac:dyDescent="0.25">
      <c r="A4918" s="21"/>
      <c r="B4918" s="21"/>
      <c r="C4918" s="11"/>
      <c r="D4918" s="11"/>
      <c r="E4918" s="21"/>
      <c r="F4918" s="114"/>
      <c r="G4918" s="25"/>
      <c r="H4918" s="11"/>
      <c r="I4918" s="21"/>
      <c r="J4918" s="21"/>
      <c r="K4918" s="21"/>
      <c r="L4918" s="21"/>
      <c r="M4918" s="21"/>
      <c r="N4918" s="21"/>
    </row>
    <row r="4919" spans="1:14" ht="15.75" customHeight="1" x14ac:dyDescent="0.25">
      <c r="A4919" s="21"/>
      <c r="B4919" s="21"/>
      <c r="C4919" s="11"/>
      <c r="D4919" s="11"/>
      <c r="E4919" s="21"/>
      <c r="F4919" s="21"/>
      <c r="G4919" s="25"/>
      <c r="H4919" s="11"/>
      <c r="I4919" s="21"/>
      <c r="J4919" s="21"/>
      <c r="K4919" s="21"/>
      <c r="L4919" s="21"/>
      <c r="M4919" s="21"/>
      <c r="N4919" s="21"/>
    </row>
    <row r="4920" spans="1:14" ht="15.75" customHeight="1" x14ac:dyDescent="0.25">
      <c r="A4920" s="31" t="s">
        <v>14</v>
      </c>
      <c r="B4920" s="31" t="s">
        <v>234</v>
      </c>
      <c r="C4920" s="31" t="s">
        <v>16</v>
      </c>
      <c r="D4920" s="31" t="s">
        <v>17</v>
      </c>
      <c r="E4920" s="31" t="s">
        <v>235</v>
      </c>
      <c r="F4920" s="31" t="s">
        <v>236</v>
      </c>
      <c r="G4920" s="144" t="s">
        <v>1748</v>
      </c>
      <c r="H4920" s="11"/>
      <c r="I4920" s="21"/>
      <c r="J4920" s="21"/>
      <c r="K4920" s="21"/>
      <c r="L4920" s="21"/>
      <c r="M4920" s="21"/>
      <c r="N4920" s="21"/>
    </row>
    <row r="4921" spans="1:14" ht="15.75" customHeight="1" x14ac:dyDescent="0.25">
      <c r="A4921" s="7">
        <v>1</v>
      </c>
      <c r="B4921" s="124" t="s">
        <v>1864</v>
      </c>
      <c r="C4921" s="7">
        <v>60</v>
      </c>
      <c r="D4921" s="7" t="s">
        <v>363</v>
      </c>
      <c r="E4921" s="37">
        <v>6650</v>
      </c>
      <c r="F4921" s="37">
        <f>E4921*C4921</f>
        <v>399000</v>
      </c>
      <c r="G4921" s="175">
        <v>45327</v>
      </c>
      <c r="H4921" s="11"/>
      <c r="I4921" s="21"/>
      <c r="J4921" s="21"/>
      <c r="K4921" s="21"/>
      <c r="L4921" s="21"/>
      <c r="M4921" s="21"/>
      <c r="N4921" s="21"/>
    </row>
    <row r="4922" spans="1:14" ht="15.75" customHeight="1" x14ac:dyDescent="0.25">
      <c r="A4922" s="7">
        <v>2</v>
      </c>
      <c r="B4922" s="124" t="s">
        <v>1865</v>
      </c>
      <c r="C4922" s="7">
        <v>8</v>
      </c>
      <c r="D4922" s="7" t="s">
        <v>510</v>
      </c>
      <c r="E4922" s="37">
        <v>26125</v>
      </c>
      <c r="F4922" s="37">
        <f>E4922*C4922</f>
        <v>209000</v>
      </c>
      <c r="G4922" s="171" t="s">
        <v>1866</v>
      </c>
      <c r="H4922" s="11"/>
      <c r="I4922" s="21"/>
      <c r="J4922" s="21"/>
      <c r="K4922" s="21"/>
      <c r="L4922" s="21"/>
      <c r="M4922" s="21"/>
      <c r="N4922" s="21"/>
    </row>
    <row r="4923" spans="1:14" ht="15.75" customHeight="1" x14ac:dyDescent="0.25">
      <c r="A4923" s="7"/>
      <c r="B4923" s="343" t="s">
        <v>342</v>
      </c>
      <c r="C4923" s="344"/>
      <c r="D4923" s="344"/>
      <c r="E4923" s="334"/>
      <c r="F4923" s="104">
        <f>SUM(F4921:F4922)</f>
        <v>608000</v>
      </c>
      <c r="G4923" s="25" t="s">
        <v>1780</v>
      </c>
      <c r="H4923" s="11"/>
      <c r="I4923" s="21"/>
      <c r="J4923" s="21"/>
      <c r="K4923" s="21"/>
      <c r="L4923" s="21"/>
      <c r="M4923" s="21"/>
      <c r="N4923" s="21"/>
    </row>
    <row r="4924" spans="1:14" ht="15.75" customHeight="1" x14ac:dyDescent="0.25">
      <c r="A4924" s="7"/>
      <c r="B4924" s="343" t="s">
        <v>343</v>
      </c>
      <c r="C4924" s="344"/>
      <c r="D4924" s="344"/>
      <c r="E4924" s="334"/>
      <c r="F4924" s="104">
        <f>F4923*11%</f>
        <v>66880</v>
      </c>
      <c r="G4924" s="25"/>
      <c r="H4924" s="11"/>
      <c r="I4924" s="21"/>
      <c r="J4924" s="21"/>
      <c r="K4924" s="21"/>
      <c r="L4924" s="21"/>
      <c r="M4924" s="21"/>
      <c r="N4924" s="21"/>
    </row>
    <row r="4925" spans="1:14" ht="15.75" customHeight="1" x14ac:dyDescent="0.25">
      <c r="A4925" s="7"/>
      <c r="B4925" s="345" t="s">
        <v>344</v>
      </c>
      <c r="C4925" s="344"/>
      <c r="D4925" s="344"/>
      <c r="E4925" s="334"/>
      <c r="F4925" s="107">
        <f>SUM(F4923:F4924)</f>
        <v>674880</v>
      </c>
      <c r="G4925" s="25"/>
      <c r="H4925" s="11"/>
      <c r="I4925" s="21"/>
      <c r="J4925" s="21"/>
      <c r="K4925" s="21"/>
      <c r="L4925" s="21"/>
      <c r="M4925" s="21"/>
      <c r="N4925" s="21"/>
    </row>
    <row r="4926" spans="1:14" ht="15.75" customHeight="1" x14ac:dyDescent="0.25">
      <c r="A4926" s="21"/>
      <c r="B4926" s="21"/>
      <c r="C4926" s="11"/>
      <c r="D4926" s="11"/>
      <c r="E4926" s="21"/>
      <c r="F4926" s="21"/>
      <c r="G4926" s="25"/>
      <c r="H4926" s="11"/>
      <c r="I4926" s="21"/>
      <c r="J4926" s="21"/>
      <c r="K4926" s="21"/>
      <c r="L4926" s="21"/>
      <c r="M4926" s="21"/>
      <c r="N4926" s="21"/>
    </row>
    <row r="4927" spans="1:14" ht="15.75" customHeight="1" x14ac:dyDescent="0.25">
      <c r="A4927" s="21"/>
      <c r="B4927" s="21"/>
      <c r="C4927" s="11"/>
      <c r="D4927" s="11"/>
      <c r="E4927" s="21"/>
      <c r="F4927" s="21"/>
      <c r="G4927" s="25"/>
      <c r="H4927" s="11"/>
      <c r="I4927" s="21"/>
      <c r="J4927" s="21"/>
      <c r="K4927" s="21"/>
      <c r="L4927" s="21"/>
      <c r="M4927" s="21"/>
      <c r="N4927" s="21"/>
    </row>
    <row r="4928" spans="1:14" ht="15.75" customHeight="1" x14ac:dyDescent="0.25">
      <c r="A4928" s="21"/>
      <c r="B4928" s="21"/>
      <c r="C4928" s="11"/>
      <c r="D4928" s="11"/>
      <c r="E4928" s="21"/>
      <c r="F4928" s="21"/>
      <c r="G4928" s="25"/>
      <c r="H4928" s="11"/>
      <c r="I4928" s="21"/>
      <c r="J4928" s="21"/>
      <c r="K4928" s="21"/>
      <c r="L4928" s="21"/>
      <c r="M4928" s="21"/>
      <c r="N4928" s="21"/>
    </row>
    <row r="4929" spans="1:14" ht="15.75" customHeight="1" x14ac:dyDescent="0.25">
      <c r="A4929" s="31" t="s">
        <v>14</v>
      </c>
      <c r="B4929" s="31" t="s">
        <v>234</v>
      </c>
      <c r="C4929" s="31" t="s">
        <v>16</v>
      </c>
      <c r="D4929" s="31" t="s">
        <v>17</v>
      </c>
      <c r="E4929" s="31" t="s">
        <v>235</v>
      </c>
      <c r="F4929" s="31" t="s">
        <v>236</v>
      </c>
      <c r="G4929" s="144" t="s">
        <v>4</v>
      </c>
      <c r="H4929" s="32" t="s">
        <v>1867</v>
      </c>
      <c r="I4929" s="21"/>
      <c r="J4929" s="21"/>
      <c r="K4929" s="21"/>
      <c r="L4929" s="21"/>
      <c r="M4929" s="21"/>
      <c r="N4929" s="21"/>
    </row>
    <row r="4930" spans="1:14" ht="15.75" customHeight="1" x14ac:dyDescent="0.25">
      <c r="A4930" s="7">
        <v>1</v>
      </c>
      <c r="B4930" s="124" t="s">
        <v>1868</v>
      </c>
      <c r="C4930" s="7">
        <v>20</v>
      </c>
      <c r="D4930" s="7" t="s">
        <v>19</v>
      </c>
      <c r="E4930" s="37">
        <v>31000</v>
      </c>
      <c r="F4930" s="37">
        <f>E4930*C4930</f>
        <v>620000</v>
      </c>
      <c r="G4930" s="172">
        <v>45327</v>
      </c>
      <c r="H4930" s="11"/>
      <c r="I4930" s="21"/>
      <c r="J4930" s="21"/>
      <c r="K4930" s="21"/>
      <c r="L4930" s="21"/>
      <c r="M4930" s="21"/>
      <c r="N4930" s="21"/>
    </row>
    <row r="4931" spans="1:14" ht="15.75" customHeight="1" x14ac:dyDescent="0.25">
      <c r="A4931" s="7"/>
      <c r="B4931" s="343" t="s">
        <v>342</v>
      </c>
      <c r="C4931" s="344"/>
      <c r="D4931" s="344"/>
      <c r="E4931" s="334"/>
      <c r="F4931" s="104">
        <f>SUM(F4930)</f>
        <v>620000</v>
      </c>
      <c r="G4931" s="25" t="s">
        <v>1869</v>
      </c>
      <c r="H4931" s="11"/>
      <c r="I4931" s="21"/>
      <c r="J4931" s="21"/>
      <c r="K4931" s="21"/>
      <c r="L4931" s="21"/>
      <c r="M4931" s="21"/>
      <c r="N4931" s="21"/>
    </row>
    <row r="4932" spans="1:14" ht="15.75" customHeight="1" x14ac:dyDescent="0.25">
      <c r="A4932" s="7"/>
      <c r="B4932" s="343" t="s">
        <v>634</v>
      </c>
      <c r="C4932" s="344"/>
      <c r="D4932" s="344"/>
      <c r="E4932" s="334"/>
      <c r="F4932" s="104">
        <v>18600</v>
      </c>
      <c r="G4932" s="25"/>
      <c r="H4932" s="11"/>
      <c r="I4932" s="21"/>
      <c r="J4932" s="21"/>
      <c r="K4932" s="21"/>
      <c r="L4932" s="21"/>
      <c r="M4932" s="21"/>
      <c r="N4932" s="21"/>
    </row>
    <row r="4933" spans="1:14" ht="15.75" customHeight="1" x14ac:dyDescent="0.25">
      <c r="A4933" s="7"/>
      <c r="B4933" s="343" t="s">
        <v>343</v>
      </c>
      <c r="C4933" s="344"/>
      <c r="D4933" s="344"/>
      <c r="E4933" s="334"/>
      <c r="F4933" s="104">
        <f>(F4931-F4932)*11%</f>
        <v>66154</v>
      </c>
      <c r="G4933" s="25"/>
      <c r="H4933" s="11"/>
      <c r="I4933" s="21"/>
      <c r="J4933" s="21"/>
      <c r="K4933" s="21"/>
      <c r="L4933" s="21"/>
      <c r="M4933" s="21"/>
      <c r="N4933" s="21"/>
    </row>
    <row r="4934" spans="1:14" ht="15.75" customHeight="1" x14ac:dyDescent="0.25">
      <c r="A4934" s="7"/>
      <c r="B4934" s="345" t="s">
        <v>344</v>
      </c>
      <c r="C4934" s="344"/>
      <c r="D4934" s="344"/>
      <c r="E4934" s="334"/>
      <c r="F4934" s="107">
        <f>F4931-F4932+F4933</f>
        <v>667554</v>
      </c>
      <c r="G4934" s="25"/>
      <c r="H4934" s="11"/>
      <c r="I4934" s="21"/>
      <c r="J4934" s="21"/>
      <c r="K4934" s="21"/>
      <c r="L4934" s="21"/>
      <c r="M4934" s="21"/>
      <c r="N4934" s="21"/>
    </row>
    <row r="4935" spans="1:14" ht="15.75" customHeight="1" x14ac:dyDescent="0.25">
      <c r="A4935" s="21"/>
      <c r="B4935" s="21"/>
      <c r="C4935" s="11"/>
      <c r="D4935" s="11"/>
      <c r="E4935" s="21"/>
      <c r="F4935" s="21"/>
      <c r="G4935" s="25"/>
      <c r="H4935" s="11"/>
      <c r="I4935" s="21"/>
      <c r="J4935" s="21"/>
      <c r="K4935" s="21"/>
      <c r="L4935" s="21"/>
      <c r="M4935" s="21"/>
      <c r="N4935" s="21"/>
    </row>
    <row r="4936" spans="1:14" ht="15.75" customHeight="1" x14ac:dyDescent="0.25">
      <c r="A4936" s="31" t="s">
        <v>14</v>
      </c>
      <c r="B4936" s="31" t="s">
        <v>234</v>
      </c>
      <c r="C4936" s="31" t="s">
        <v>16</v>
      </c>
      <c r="D4936" s="31" t="s">
        <v>17</v>
      </c>
      <c r="E4936" s="31" t="s">
        <v>235</v>
      </c>
      <c r="F4936" s="31" t="s">
        <v>236</v>
      </c>
      <c r="G4936" s="144" t="s">
        <v>1870</v>
      </c>
      <c r="H4936" s="11"/>
      <c r="I4936" s="21"/>
      <c r="J4936" s="21"/>
      <c r="K4936" s="21"/>
      <c r="L4936" s="21"/>
      <c r="M4936" s="21"/>
      <c r="N4936" s="21"/>
    </row>
    <row r="4937" spans="1:14" ht="15.75" customHeight="1" x14ac:dyDescent="0.25">
      <c r="A4937" s="7">
        <v>1</v>
      </c>
      <c r="B4937" s="35" t="s">
        <v>542</v>
      </c>
      <c r="C4937" s="7">
        <v>1</v>
      </c>
      <c r="D4937" s="7" t="s">
        <v>543</v>
      </c>
      <c r="E4937" s="37">
        <v>13500000</v>
      </c>
      <c r="F4937" s="37">
        <f>E4937*C4937</f>
        <v>13500000</v>
      </c>
      <c r="G4937" s="25" t="s">
        <v>1871</v>
      </c>
      <c r="H4937" s="11"/>
      <c r="I4937" s="21"/>
      <c r="J4937" s="21"/>
      <c r="K4937" s="21"/>
      <c r="L4937" s="21"/>
      <c r="M4937" s="21"/>
      <c r="N4937" s="21"/>
    </row>
    <row r="4938" spans="1:14" ht="15.75" customHeight="1" x14ac:dyDescent="0.25">
      <c r="A4938" s="7">
        <v>2</v>
      </c>
      <c r="B4938" s="41" t="s">
        <v>544</v>
      </c>
      <c r="C4938" s="7">
        <v>1</v>
      </c>
      <c r="D4938" s="7" t="s">
        <v>543</v>
      </c>
      <c r="E4938" s="37">
        <v>9500000</v>
      </c>
      <c r="F4938" s="37">
        <f>E4938*C4938</f>
        <v>9500000</v>
      </c>
      <c r="G4938" s="25" t="s">
        <v>1872</v>
      </c>
      <c r="H4938" s="11"/>
      <c r="I4938" s="21"/>
      <c r="J4938" s="21"/>
      <c r="K4938" s="21"/>
      <c r="L4938" s="21"/>
      <c r="M4938" s="21"/>
      <c r="N4938" s="21"/>
    </row>
    <row r="4939" spans="1:14" ht="15.75" customHeight="1" x14ac:dyDescent="0.25">
      <c r="A4939" s="7"/>
      <c r="B4939" s="343" t="s">
        <v>342</v>
      </c>
      <c r="C4939" s="344"/>
      <c r="D4939" s="344"/>
      <c r="E4939" s="334"/>
      <c r="F4939" s="104">
        <f>SUM(F4937:F4938)</f>
        <v>23000000</v>
      </c>
      <c r="G4939" s="25"/>
      <c r="H4939" s="11"/>
      <c r="I4939" s="21"/>
      <c r="J4939" s="21"/>
      <c r="K4939" s="21"/>
      <c r="L4939" s="21"/>
      <c r="M4939" s="21"/>
      <c r="N4939" s="21"/>
    </row>
    <row r="4940" spans="1:14" ht="15.75" customHeight="1" x14ac:dyDescent="0.25">
      <c r="A4940" s="7"/>
      <c r="B4940" s="343" t="s">
        <v>343</v>
      </c>
      <c r="C4940" s="344"/>
      <c r="D4940" s="344"/>
      <c r="E4940" s="334"/>
      <c r="F4940" s="104">
        <f>F4939*11%</f>
        <v>2530000</v>
      </c>
      <c r="G4940" s="25"/>
      <c r="H4940" s="11"/>
      <c r="I4940" s="21"/>
      <c r="J4940" s="21"/>
      <c r="K4940" s="21"/>
      <c r="L4940" s="21"/>
      <c r="M4940" s="21"/>
      <c r="N4940" s="21"/>
    </row>
    <row r="4941" spans="1:14" ht="15.75" customHeight="1" x14ac:dyDescent="0.25">
      <c r="A4941" s="7"/>
      <c r="B4941" s="345" t="s">
        <v>344</v>
      </c>
      <c r="C4941" s="344"/>
      <c r="D4941" s="344"/>
      <c r="E4941" s="334"/>
      <c r="F4941" s="107">
        <f>SUM(F4939:F4940)</f>
        <v>25530000</v>
      </c>
      <c r="G4941" s="25"/>
      <c r="H4941" s="11"/>
      <c r="I4941" s="21"/>
      <c r="J4941" s="21"/>
      <c r="K4941" s="21"/>
      <c r="L4941" s="21"/>
      <c r="M4941" s="21"/>
      <c r="N4941" s="21"/>
    </row>
    <row r="4942" spans="1:14" ht="15.75" customHeight="1" x14ac:dyDescent="0.25">
      <c r="A4942" s="21"/>
      <c r="B4942" s="21"/>
      <c r="C4942" s="11"/>
      <c r="D4942" s="11"/>
      <c r="E4942" s="21"/>
      <c r="F4942" s="21"/>
      <c r="G4942" s="25"/>
      <c r="H4942" s="11"/>
      <c r="I4942" s="21"/>
      <c r="J4942" s="21"/>
      <c r="K4942" s="21"/>
      <c r="L4942" s="21"/>
      <c r="M4942" s="21"/>
      <c r="N4942" s="21"/>
    </row>
    <row r="4943" spans="1:14" ht="15.75" customHeight="1" x14ac:dyDescent="0.25">
      <c r="A4943" s="31" t="s">
        <v>14</v>
      </c>
      <c r="B4943" s="31" t="s">
        <v>234</v>
      </c>
      <c r="C4943" s="31" t="s">
        <v>16</v>
      </c>
      <c r="D4943" s="31" t="s">
        <v>17</v>
      </c>
      <c r="E4943" s="31" t="s">
        <v>235</v>
      </c>
      <c r="F4943" s="31" t="s">
        <v>236</v>
      </c>
      <c r="G4943" s="144" t="s">
        <v>1870</v>
      </c>
      <c r="H4943" s="11"/>
      <c r="I4943" s="21"/>
      <c r="J4943" s="21"/>
      <c r="K4943" s="21"/>
      <c r="L4943" s="21"/>
      <c r="M4943" s="21"/>
      <c r="N4943" s="21"/>
    </row>
    <row r="4944" spans="1:14" ht="15.75" customHeight="1" x14ac:dyDescent="0.25">
      <c r="A4944" s="7">
        <v>1</v>
      </c>
      <c r="B4944" s="124" t="s">
        <v>1873</v>
      </c>
      <c r="C4944" s="7">
        <v>2</v>
      </c>
      <c r="D4944" s="7" t="s">
        <v>1874</v>
      </c>
      <c r="E4944" s="37">
        <v>85000000</v>
      </c>
      <c r="F4944" s="37">
        <f>E4944*C4944</f>
        <v>170000000</v>
      </c>
      <c r="G4944" s="172">
        <v>45323</v>
      </c>
      <c r="H4944" s="11"/>
      <c r="I4944" s="21"/>
      <c r="J4944" s="21"/>
      <c r="K4944" s="21"/>
      <c r="L4944" s="21"/>
      <c r="M4944" s="21"/>
      <c r="N4944" s="21"/>
    </row>
    <row r="4945" spans="1:14" ht="15.75" customHeight="1" x14ac:dyDescent="0.25">
      <c r="A4945" s="7"/>
      <c r="B4945" s="343" t="s">
        <v>342</v>
      </c>
      <c r="C4945" s="344"/>
      <c r="D4945" s="344"/>
      <c r="E4945" s="334"/>
      <c r="F4945" s="104">
        <f>SUM(F4944)</f>
        <v>170000000</v>
      </c>
      <c r="G4945" s="25" t="s">
        <v>1875</v>
      </c>
      <c r="H4945" s="11"/>
      <c r="I4945" s="21"/>
      <c r="J4945" s="21"/>
      <c r="K4945" s="21"/>
      <c r="L4945" s="21"/>
      <c r="M4945" s="21"/>
      <c r="N4945" s="21"/>
    </row>
    <row r="4946" spans="1:14" ht="15.75" customHeight="1" x14ac:dyDescent="0.25">
      <c r="A4946" s="7"/>
      <c r="B4946" s="343" t="s">
        <v>343</v>
      </c>
      <c r="C4946" s="344"/>
      <c r="D4946" s="344"/>
      <c r="E4946" s="334"/>
      <c r="F4946" s="104">
        <f>F4945*11%</f>
        <v>18700000</v>
      </c>
      <c r="G4946" s="25"/>
      <c r="H4946" s="11"/>
      <c r="I4946" s="21"/>
      <c r="J4946" s="21"/>
      <c r="K4946" s="21"/>
      <c r="L4946" s="21"/>
      <c r="M4946" s="21"/>
      <c r="N4946" s="21"/>
    </row>
    <row r="4947" spans="1:14" ht="15.75" customHeight="1" x14ac:dyDescent="0.25">
      <c r="A4947" s="7"/>
      <c r="B4947" s="345" t="s">
        <v>344</v>
      </c>
      <c r="C4947" s="344"/>
      <c r="D4947" s="344"/>
      <c r="E4947" s="334"/>
      <c r="F4947" s="107">
        <f>F4945+F4946</f>
        <v>188700000</v>
      </c>
      <c r="G4947" s="25"/>
      <c r="H4947" s="11"/>
      <c r="I4947" s="21"/>
      <c r="J4947" s="21"/>
      <c r="K4947" s="21"/>
      <c r="L4947" s="21"/>
      <c r="M4947" s="21"/>
      <c r="N4947" s="21"/>
    </row>
    <row r="4948" spans="1:14" ht="15.75" customHeight="1" x14ac:dyDescent="0.25">
      <c r="A4948" s="21"/>
      <c r="B4948" s="21"/>
      <c r="C4948" s="11"/>
      <c r="D4948" s="11"/>
      <c r="E4948" s="21"/>
      <c r="F4948" s="21"/>
      <c r="G4948" s="25"/>
      <c r="H4948" s="11"/>
      <c r="I4948" s="21"/>
      <c r="J4948" s="21"/>
      <c r="K4948" s="21"/>
      <c r="L4948" s="21"/>
      <c r="M4948" s="21"/>
      <c r="N4948" s="21"/>
    </row>
    <row r="4949" spans="1:14" ht="15.75" customHeight="1" x14ac:dyDescent="0.25">
      <c r="A4949" s="31" t="s">
        <v>14</v>
      </c>
      <c r="B4949" s="31" t="s">
        <v>234</v>
      </c>
      <c r="C4949" s="31" t="s">
        <v>16</v>
      </c>
      <c r="D4949" s="31" t="s">
        <v>17</v>
      </c>
      <c r="E4949" s="31" t="s">
        <v>235</v>
      </c>
      <c r="F4949" s="31" t="s">
        <v>236</v>
      </c>
      <c r="G4949" s="144" t="s">
        <v>1876</v>
      </c>
      <c r="H4949" s="11"/>
      <c r="I4949" s="21"/>
      <c r="J4949" s="21"/>
      <c r="K4949" s="21"/>
      <c r="L4949" s="21"/>
      <c r="M4949" s="21"/>
      <c r="N4949" s="21"/>
    </row>
    <row r="4950" spans="1:14" ht="15.75" customHeight="1" x14ac:dyDescent="0.25">
      <c r="A4950" s="7">
        <v>1</v>
      </c>
      <c r="B4950" s="124" t="s">
        <v>1877</v>
      </c>
      <c r="C4950" s="7">
        <v>2</v>
      </c>
      <c r="D4950" s="7" t="s">
        <v>19</v>
      </c>
      <c r="E4950" s="37">
        <v>132500</v>
      </c>
      <c r="F4950" s="37">
        <f>E4950*C4950</f>
        <v>265000</v>
      </c>
      <c r="G4950" s="25"/>
      <c r="H4950" s="176">
        <f>251750/2</f>
        <v>125875</v>
      </c>
      <c r="I4950" s="177">
        <f>H4950*2</f>
        <v>251750</v>
      </c>
      <c r="J4950" s="21"/>
      <c r="K4950" s="21"/>
      <c r="L4950" s="21"/>
      <c r="M4950" s="21"/>
      <c r="N4950" s="21"/>
    </row>
    <row r="4951" spans="1:14" ht="15.75" customHeight="1" x14ac:dyDescent="0.25">
      <c r="A4951" s="7"/>
      <c r="B4951" s="105" t="s">
        <v>342</v>
      </c>
      <c r="C4951" s="164"/>
      <c r="D4951" s="164"/>
      <c r="E4951" s="126"/>
      <c r="F4951" s="104">
        <f>SUM(F4950)</f>
        <v>265000</v>
      </c>
      <c r="G4951" s="25"/>
      <c r="H4951" s="178">
        <f>E4950*5%</f>
        <v>6625</v>
      </c>
      <c r="I4951" s="21"/>
      <c r="J4951" s="21"/>
      <c r="K4951" s="21"/>
      <c r="L4951" s="21"/>
      <c r="M4951" s="21"/>
      <c r="N4951" s="21"/>
    </row>
    <row r="4952" spans="1:14" ht="15.75" customHeight="1" x14ac:dyDescent="0.25">
      <c r="A4952" s="7"/>
      <c r="B4952" s="105" t="s">
        <v>634</v>
      </c>
      <c r="C4952" s="164"/>
      <c r="D4952" s="164"/>
      <c r="E4952" s="126"/>
      <c r="F4952" s="104">
        <v>13250</v>
      </c>
      <c r="G4952" s="25"/>
      <c r="H4952" s="176">
        <f>H4951+H4950</f>
        <v>132500</v>
      </c>
      <c r="I4952" s="21"/>
      <c r="J4952" s="21"/>
      <c r="K4952" s="21"/>
      <c r="L4952" s="21"/>
      <c r="M4952" s="21"/>
      <c r="N4952" s="21"/>
    </row>
    <row r="4953" spans="1:14" ht="15.75" customHeight="1" x14ac:dyDescent="0.25">
      <c r="A4953" s="7"/>
      <c r="B4953" s="105" t="s">
        <v>343</v>
      </c>
      <c r="C4953" s="164"/>
      <c r="D4953" s="164"/>
      <c r="E4953" s="126"/>
      <c r="F4953" s="167">
        <f>(F4951-F4952)*11%</f>
        <v>27692.5</v>
      </c>
      <c r="G4953" s="25"/>
      <c r="H4953" s="176">
        <f>I4950*11%</f>
        <v>27692.5</v>
      </c>
      <c r="I4953" s="21"/>
      <c r="J4953" s="21"/>
      <c r="K4953" s="21"/>
      <c r="L4953" s="21"/>
      <c r="M4953" s="21"/>
      <c r="N4953" s="21"/>
    </row>
    <row r="4954" spans="1:14" ht="15.75" customHeight="1" x14ac:dyDescent="0.25">
      <c r="A4954" s="7"/>
      <c r="B4954" s="106" t="s">
        <v>344</v>
      </c>
      <c r="C4954" s="145"/>
      <c r="D4954" s="145"/>
      <c r="E4954" s="146"/>
      <c r="F4954" s="168">
        <f>F4951-F4952+F4953</f>
        <v>279442.5</v>
      </c>
      <c r="G4954" s="25"/>
      <c r="H4954" s="11"/>
      <c r="I4954" s="21"/>
      <c r="J4954" s="21"/>
      <c r="K4954" s="21"/>
      <c r="L4954" s="21"/>
      <c r="M4954" s="21"/>
      <c r="N4954" s="21"/>
    </row>
    <row r="4955" spans="1:14" ht="15.75" customHeight="1" x14ac:dyDescent="0.25">
      <c r="A4955" s="21"/>
      <c r="B4955" s="21"/>
      <c r="C4955" s="11"/>
      <c r="D4955" s="11"/>
      <c r="E4955" s="21"/>
      <c r="F4955" s="21"/>
      <c r="G4955" s="25"/>
      <c r="H4955" s="11"/>
      <c r="I4955" s="21"/>
      <c r="J4955" s="21"/>
      <c r="K4955" s="21"/>
      <c r="L4955" s="21"/>
      <c r="M4955" s="21"/>
      <c r="N4955" s="21"/>
    </row>
    <row r="4956" spans="1:14" ht="15.75" customHeight="1" x14ac:dyDescent="0.25">
      <c r="A4956" s="21"/>
      <c r="B4956" s="21"/>
      <c r="C4956" s="11"/>
      <c r="D4956" s="11"/>
      <c r="E4956" s="21"/>
      <c r="F4956" s="21"/>
      <c r="G4956" s="25"/>
      <c r="H4956" s="11"/>
      <c r="I4956" s="21"/>
      <c r="J4956" s="21"/>
      <c r="K4956" s="21"/>
      <c r="L4956" s="21"/>
      <c r="M4956" s="21"/>
      <c r="N4956" s="21"/>
    </row>
    <row r="4957" spans="1:14" ht="15.75" customHeight="1" x14ac:dyDescent="0.25">
      <c r="A4957" s="31" t="s">
        <v>14</v>
      </c>
      <c r="B4957" s="31" t="s">
        <v>234</v>
      </c>
      <c r="C4957" s="31" t="s">
        <v>16</v>
      </c>
      <c r="D4957" s="31" t="s">
        <v>17</v>
      </c>
      <c r="E4957" s="31" t="s">
        <v>235</v>
      </c>
      <c r="F4957" s="31" t="s">
        <v>236</v>
      </c>
      <c r="G4957" s="25"/>
      <c r="H4957" s="11"/>
      <c r="I4957" s="21"/>
      <c r="J4957" s="21"/>
      <c r="K4957" s="21"/>
      <c r="L4957" s="21"/>
      <c r="M4957" s="21"/>
      <c r="N4957" s="21"/>
    </row>
    <row r="4958" spans="1:14" ht="15.75" customHeight="1" x14ac:dyDescent="0.25">
      <c r="A4958" s="7">
        <v>1</v>
      </c>
      <c r="B4958" s="35" t="s">
        <v>1878</v>
      </c>
      <c r="C4958" s="7">
        <v>3</v>
      </c>
      <c r="D4958" s="7" t="s">
        <v>1879</v>
      </c>
      <c r="E4958" s="37">
        <v>366000</v>
      </c>
      <c r="F4958" s="37">
        <f>E4958*C4958</f>
        <v>1098000</v>
      </c>
      <c r="G4958" s="25"/>
      <c r="H4958" s="11"/>
      <c r="I4958" s="21"/>
      <c r="J4958" s="21"/>
      <c r="K4958" s="21"/>
      <c r="L4958" s="21"/>
      <c r="M4958" s="21"/>
      <c r="N4958" s="21"/>
    </row>
    <row r="4959" spans="1:14" ht="15.75" customHeight="1" x14ac:dyDescent="0.25">
      <c r="A4959" s="7">
        <v>2</v>
      </c>
      <c r="B4959" s="35" t="s">
        <v>1693</v>
      </c>
      <c r="C4959" s="7">
        <v>6</v>
      </c>
      <c r="D4959" s="7" t="s">
        <v>243</v>
      </c>
      <c r="E4959" s="37">
        <v>262800</v>
      </c>
      <c r="F4959" s="37">
        <f>E4959*C4959</f>
        <v>1576800</v>
      </c>
      <c r="G4959" s="25"/>
      <c r="H4959" s="11"/>
      <c r="I4959" s="21"/>
      <c r="J4959" s="21"/>
      <c r="K4959" s="21"/>
      <c r="L4959" s="21"/>
      <c r="M4959" s="21"/>
      <c r="N4959" s="21"/>
    </row>
    <row r="4960" spans="1:14" ht="15.75" customHeight="1" x14ac:dyDescent="0.25">
      <c r="A4960" s="7">
        <v>3</v>
      </c>
      <c r="B4960" s="41" t="s">
        <v>1880</v>
      </c>
      <c r="C4960" s="7">
        <v>4</v>
      </c>
      <c r="D4960" s="7" t="s">
        <v>19</v>
      </c>
      <c r="E4960" s="37">
        <v>147500</v>
      </c>
      <c r="F4960" s="37">
        <f>E4960*C4960</f>
        <v>590000</v>
      </c>
      <c r="G4960" s="25"/>
      <c r="H4960" s="11"/>
      <c r="I4960" s="21"/>
      <c r="J4960" s="21"/>
      <c r="K4960" s="21"/>
      <c r="L4960" s="21"/>
      <c r="M4960" s="21"/>
      <c r="N4960" s="21"/>
    </row>
    <row r="4961" spans="1:14" ht="15.75" customHeight="1" x14ac:dyDescent="0.25">
      <c r="A4961" s="7"/>
      <c r="B4961" s="343" t="s">
        <v>342</v>
      </c>
      <c r="C4961" s="344"/>
      <c r="D4961" s="344"/>
      <c r="E4961" s="334"/>
      <c r="F4961" s="37">
        <f>SUM(F4958:F4960)</f>
        <v>3264800</v>
      </c>
      <c r="G4961" s="25"/>
      <c r="H4961" s="11"/>
      <c r="I4961" s="21"/>
      <c r="J4961" s="21"/>
      <c r="K4961" s="21"/>
      <c r="L4961" s="21"/>
      <c r="M4961" s="21"/>
      <c r="N4961" s="21"/>
    </row>
    <row r="4962" spans="1:14" ht="15.75" customHeight="1" x14ac:dyDescent="0.25">
      <c r="A4962" s="7"/>
      <c r="B4962" s="343" t="s">
        <v>343</v>
      </c>
      <c r="C4962" s="344"/>
      <c r="D4962" s="344"/>
      <c r="E4962" s="334"/>
      <c r="F4962" s="37">
        <f>F4961*11%</f>
        <v>359128</v>
      </c>
      <c r="G4962" s="25"/>
      <c r="H4962" s="11"/>
      <c r="I4962" s="21"/>
      <c r="J4962" s="21"/>
      <c r="K4962" s="21"/>
      <c r="L4962" s="21"/>
      <c r="M4962" s="21"/>
      <c r="N4962" s="21"/>
    </row>
    <row r="4963" spans="1:14" ht="15.75" customHeight="1" x14ac:dyDescent="0.25">
      <c r="A4963" s="7"/>
      <c r="B4963" s="345" t="s">
        <v>344</v>
      </c>
      <c r="C4963" s="344"/>
      <c r="D4963" s="344"/>
      <c r="E4963" s="334"/>
      <c r="F4963" s="179">
        <f>SUM(F4961:F4962)</f>
        <v>3623928</v>
      </c>
      <c r="G4963" s="25"/>
      <c r="H4963" s="11"/>
      <c r="I4963" s="21"/>
      <c r="J4963" s="21"/>
      <c r="K4963" s="21"/>
      <c r="L4963" s="21"/>
      <c r="M4963" s="21"/>
      <c r="N4963" s="21"/>
    </row>
    <row r="4964" spans="1:14" ht="15.75" customHeight="1" x14ac:dyDescent="0.25">
      <c r="A4964" s="21"/>
      <c r="B4964" s="21"/>
      <c r="C4964" s="11"/>
      <c r="D4964" s="11"/>
      <c r="E4964" s="21"/>
      <c r="F4964" s="21"/>
      <c r="G4964" s="25"/>
      <c r="H4964" s="11"/>
      <c r="I4964" s="21"/>
      <c r="J4964" s="21"/>
      <c r="K4964" s="21"/>
      <c r="L4964" s="21"/>
      <c r="M4964" s="21"/>
      <c r="N4964" s="21"/>
    </row>
    <row r="4965" spans="1:14" ht="15.75" customHeight="1" x14ac:dyDescent="0.25">
      <c r="A4965" s="21"/>
      <c r="B4965" s="21"/>
      <c r="C4965" s="11"/>
      <c r="D4965" s="11"/>
      <c r="E4965" s="21"/>
      <c r="F4965" s="21"/>
      <c r="G4965" s="25"/>
      <c r="H4965" s="11"/>
      <c r="I4965" s="21"/>
      <c r="J4965" s="21"/>
      <c r="K4965" s="21"/>
      <c r="L4965" s="21"/>
      <c r="M4965" s="21"/>
      <c r="N4965" s="21"/>
    </row>
    <row r="4966" spans="1:14" ht="15.75" customHeight="1" x14ac:dyDescent="0.25">
      <c r="A4966" s="21"/>
      <c r="B4966" s="21"/>
      <c r="C4966" s="11"/>
      <c r="D4966" s="11"/>
      <c r="E4966" s="21"/>
      <c r="F4966" s="21"/>
      <c r="G4966" s="25"/>
      <c r="H4966" s="11"/>
      <c r="I4966" s="21"/>
      <c r="J4966" s="21"/>
      <c r="K4966" s="21"/>
      <c r="L4966" s="21"/>
      <c r="M4966" s="21"/>
      <c r="N4966" s="21"/>
    </row>
    <row r="4967" spans="1:14" ht="15.75" customHeight="1" x14ac:dyDescent="0.25">
      <c r="A4967" s="31" t="s">
        <v>14</v>
      </c>
      <c r="B4967" s="31" t="s">
        <v>234</v>
      </c>
      <c r="C4967" s="31" t="s">
        <v>16</v>
      </c>
      <c r="D4967" s="31" t="s">
        <v>17</v>
      </c>
      <c r="E4967" s="31" t="s">
        <v>235</v>
      </c>
      <c r="F4967" s="31" t="s">
        <v>236</v>
      </c>
      <c r="G4967" s="25"/>
      <c r="H4967" s="11"/>
      <c r="I4967" s="21"/>
      <c r="J4967" s="21"/>
      <c r="K4967" s="21"/>
      <c r="L4967" s="21"/>
      <c r="M4967" s="21"/>
      <c r="N4967" s="21"/>
    </row>
    <row r="4968" spans="1:14" ht="15.75" customHeight="1" x14ac:dyDescent="0.25">
      <c r="A4968" s="7">
        <v>1</v>
      </c>
      <c r="B4968" s="41" t="s">
        <v>1881</v>
      </c>
      <c r="C4968" s="7">
        <v>35</v>
      </c>
      <c r="D4968" s="7" t="s">
        <v>19</v>
      </c>
      <c r="E4968" s="37">
        <v>13775</v>
      </c>
      <c r="F4968" s="37">
        <f>E4968*C4968</f>
        <v>482125</v>
      </c>
      <c r="G4968" s="25"/>
      <c r="H4968" s="11"/>
      <c r="I4968" s="21"/>
      <c r="J4968" s="21"/>
      <c r="K4968" s="21"/>
      <c r="L4968" s="21"/>
      <c r="M4968" s="21"/>
      <c r="N4968" s="21"/>
    </row>
    <row r="4969" spans="1:14" ht="15.75" customHeight="1" x14ac:dyDescent="0.25">
      <c r="A4969" s="7">
        <v>2</v>
      </c>
      <c r="B4969" s="41" t="s">
        <v>1882</v>
      </c>
      <c r="C4969" s="7">
        <v>12</v>
      </c>
      <c r="D4969" s="7" t="s">
        <v>19</v>
      </c>
      <c r="E4969" s="37">
        <v>20710</v>
      </c>
      <c r="F4969" s="37">
        <f>E4969*C4969</f>
        <v>248520</v>
      </c>
      <c r="G4969" s="25"/>
      <c r="H4969" s="11"/>
      <c r="I4969" s="21"/>
      <c r="J4969" s="21"/>
      <c r="K4969" s="21"/>
      <c r="L4969" s="21"/>
      <c r="M4969" s="21"/>
      <c r="N4969" s="21"/>
    </row>
    <row r="4970" spans="1:14" ht="15.75" customHeight="1" x14ac:dyDescent="0.25">
      <c r="A4970" s="7"/>
      <c r="B4970" s="343" t="s">
        <v>342</v>
      </c>
      <c r="C4970" s="344"/>
      <c r="D4970" s="344"/>
      <c r="E4970" s="334"/>
      <c r="F4970" s="104">
        <f>SUM(F4968:F4969)</f>
        <v>730645</v>
      </c>
      <c r="G4970" s="25"/>
      <c r="H4970" s="11"/>
      <c r="I4970" s="21"/>
      <c r="J4970" s="21"/>
      <c r="K4970" s="21"/>
      <c r="L4970" s="21"/>
      <c r="M4970" s="21"/>
      <c r="N4970" s="21"/>
    </row>
    <row r="4971" spans="1:14" ht="15.75" customHeight="1" x14ac:dyDescent="0.25">
      <c r="A4971" s="7"/>
      <c r="B4971" s="343" t="s">
        <v>343</v>
      </c>
      <c r="C4971" s="344"/>
      <c r="D4971" s="344"/>
      <c r="E4971" s="334"/>
      <c r="F4971" s="167">
        <f>F4970*11%</f>
        <v>80370.95</v>
      </c>
      <c r="G4971" s="25"/>
      <c r="H4971" s="11"/>
      <c r="I4971" s="21"/>
      <c r="J4971" s="21"/>
      <c r="K4971" s="21"/>
      <c r="L4971" s="21"/>
      <c r="M4971" s="21"/>
      <c r="N4971" s="21"/>
    </row>
    <row r="4972" spans="1:14" ht="15.75" customHeight="1" x14ac:dyDescent="0.25">
      <c r="A4972" s="7"/>
      <c r="B4972" s="345" t="s">
        <v>344</v>
      </c>
      <c r="C4972" s="344"/>
      <c r="D4972" s="344"/>
      <c r="E4972" s="334"/>
      <c r="F4972" s="168">
        <f>SUM(F4970:F4971)</f>
        <v>811015.95</v>
      </c>
      <c r="G4972" s="25"/>
      <c r="H4972" s="11"/>
      <c r="I4972" s="21"/>
      <c r="J4972" s="21"/>
      <c r="K4972" s="21"/>
      <c r="L4972" s="21"/>
      <c r="M4972" s="21"/>
      <c r="N4972" s="21"/>
    </row>
    <row r="4973" spans="1:14" ht="15.75" customHeight="1" x14ac:dyDescent="0.25">
      <c r="A4973" s="21"/>
      <c r="B4973" s="21"/>
      <c r="C4973" s="11"/>
      <c r="D4973" s="11"/>
      <c r="E4973" s="21"/>
      <c r="F4973" s="21"/>
      <c r="G4973" s="25"/>
      <c r="H4973" s="11"/>
      <c r="I4973" s="21"/>
      <c r="J4973" s="21"/>
      <c r="K4973" s="21"/>
      <c r="L4973" s="21"/>
      <c r="M4973" s="21"/>
      <c r="N4973" s="21"/>
    </row>
    <row r="4974" spans="1:14" ht="15.75" customHeight="1" x14ac:dyDescent="0.25">
      <c r="A4974" s="31" t="s">
        <v>14</v>
      </c>
      <c r="B4974" s="31" t="s">
        <v>234</v>
      </c>
      <c r="C4974" s="31" t="s">
        <v>16</v>
      </c>
      <c r="D4974" s="31" t="s">
        <v>17</v>
      </c>
      <c r="E4974" s="31" t="s">
        <v>235</v>
      </c>
      <c r="F4974" s="31" t="s">
        <v>236</v>
      </c>
      <c r="G4974" s="25"/>
      <c r="H4974" s="11"/>
      <c r="I4974" s="21"/>
      <c r="J4974" s="21"/>
      <c r="K4974" s="21"/>
      <c r="L4974" s="21"/>
      <c r="M4974" s="21"/>
      <c r="N4974" s="21"/>
    </row>
    <row r="4975" spans="1:14" ht="15.75" customHeight="1" x14ac:dyDescent="0.25">
      <c r="A4975" s="7">
        <v>1</v>
      </c>
      <c r="B4975" s="41" t="s">
        <v>1883</v>
      </c>
      <c r="C4975" s="7">
        <v>1</v>
      </c>
      <c r="D4975" s="7" t="s">
        <v>1884</v>
      </c>
      <c r="E4975" s="37">
        <v>443175</v>
      </c>
      <c r="F4975" s="37">
        <f>E4975*C4975</f>
        <v>443175</v>
      </c>
      <c r="G4975" s="25"/>
      <c r="H4975" s="11"/>
      <c r="I4975" s="21"/>
      <c r="J4975" s="21"/>
      <c r="K4975" s="21"/>
      <c r="L4975" s="21"/>
      <c r="M4975" s="21"/>
      <c r="N4975" s="21"/>
    </row>
    <row r="4976" spans="1:14" ht="15.75" customHeight="1" x14ac:dyDescent="0.25">
      <c r="A4976" s="7"/>
      <c r="B4976" s="343" t="s">
        <v>342</v>
      </c>
      <c r="C4976" s="344"/>
      <c r="D4976" s="344"/>
      <c r="E4976" s="334"/>
      <c r="F4976" s="104">
        <f>SUM(F4975)</f>
        <v>443175</v>
      </c>
      <c r="G4976" s="25"/>
      <c r="H4976" s="11"/>
      <c r="I4976" s="21"/>
      <c r="J4976" s="21"/>
      <c r="K4976" s="21"/>
      <c r="L4976" s="21"/>
      <c r="M4976" s="21"/>
      <c r="N4976" s="21"/>
    </row>
    <row r="4977" spans="1:14" ht="15.75" customHeight="1" x14ac:dyDescent="0.25">
      <c r="A4977" s="7"/>
      <c r="B4977" s="343" t="s">
        <v>343</v>
      </c>
      <c r="C4977" s="344"/>
      <c r="D4977" s="344"/>
      <c r="E4977" s="334"/>
      <c r="F4977" s="167">
        <f>F4976*11%</f>
        <v>48749.25</v>
      </c>
      <c r="G4977" s="25"/>
      <c r="H4977" s="11"/>
      <c r="I4977" s="21"/>
      <c r="J4977" s="21"/>
      <c r="K4977" s="21"/>
      <c r="L4977" s="21"/>
      <c r="M4977" s="21"/>
      <c r="N4977" s="21"/>
    </row>
    <row r="4978" spans="1:14" ht="15.75" customHeight="1" x14ac:dyDescent="0.25">
      <c r="A4978" s="7"/>
      <c r="B4978" s="345" t="s">
        <v>344</v>
      </c>
      <c r="C4978" s="344"/>
      <c r="D4978" s="344"/>
      <c r="E4978" s="334"/>
      <c r="F4978" s="168">
        <f>F4976+F4977</f>
        <v>491924.25</v>
      </c>
      <c r="G4978" s="25"/>
      <c r="H4978" s="11"/>
      <c r="I4978" s="21"/>
      <c r="J4978" s="21"/>
      <c r="K4978" s="21"/>
      <c r="L4978" s="21"/>
      <c r="M4978" s="21"/>
      <c r="N4978" s="21"/>
    </row>
    <row r="4979" spans="1:14" ht="15.75" customHeight="1" x14ac:dyDescent="0.25">
      <c r="A4979" s="21"/>
      <c r="B4979" s="21"/>
      <c r="C4979" s="11"/>
      <c r="D4979" s="11"/>
      <c r="E4979" s="21"/>
      <c r="F4979" s="21"/>
      <c r="G4979" s="25"/>
      <c r="H4979" s="11"/>
      <c r="I4979" s="21"/>
      <c r="J4979" s="21"/>
      <c r="K4979" s="21"/>
      <c r="L4979" s="21"/>
      <c r="M4979" s="21"/>
      <c r="N4979" s="21"/>
    </row>
    <row r="4980" spans="1:14" ht="15.75" customHeight="1" x14ac:dyDescent="0.25">
      <c r="A4980" s="21"/>
      <c r="B4980" s="21"/>
      <c r="C4980" s="11"/>
      <c r="D4980" s="11"/>
      <c r="E4980" s="21"/>
      <c r="F4980" s="21"/>
      <c r="G4980" s="25"/>
      <c r="H4980" s="11"/>
      <c r="I4980" s="21"/>
      <c r="J4980" s="21"/>
      <c r="K4980" s="21"/>
      <c r="L4980" s="21"/>
      <c r="M4980" s="21"/>
      <c r="N4980" s="21"/>
    </row>
    <row r="4981" spans="1:14" ht="15.75" customHeight="1" x14ac:dyDescent="0.25">
      <c r="A4981" s="31" t="s">
        <v>14</v>
      </c>
      <c r="B4981" s="31" t="s">
        <v>234</v>
      </c>
      <c r="C4981" s="31" t="s">
        <v>16</v>
      </c>
      <c r="D4981" s="31" t="s">
        <v>17</v>
      </c>
      <c r="E4981" s="31" t="s">
        <v>235</v>
      </c>
      <c r="F4981" s="31" t="s">
        <v>236</v>
      </c>
      <c r="G4981" s="144" t="s">
        <v>4</v>
      </c>
      <c r="H4981" s="11"/>
      <c r="I4981" s="21"/>
      <c r="J4981" s="21"/>
      <c r="K4981" s="21"/>
      <c r="L4981" s="21"/>
      <c r="M4981" s="21"/>
      <c r="N4981" s="21"/>
    </row>
    <row r="4982" spans="1:14" ht="15.75" customHeight="1" x14ac:dyDescent="0.25">
      <c r="A4982" s="7">
        <v>1</v>
      </c>
      <c r="B4982" s="41" t="s">
        <v>1885</v>
      </c>
      <c r="C4982" s="7">
        <v>2</v>
      </c>
      <c r="D4982" s="7" t="s">
        <v>19</v>
      </c>
      <c r="E4982" s="37">
        <v>1877500</v>
      </c>
      <c r="F4982" s="37">
        <f>E4982*C4982</f>
        <v>3755000</v>
      </c>
      <c r="G4982" s="172">
        <v>45334</v>
      </c>
      <c r="H4982" s="11"/>
      <c r="I4982" s="21"/>
      <c r="J4982" s="21"/>
      <c r="K4982" s="21"/>
      <c r="L4982" s="21"/>
      <c r="M4982" s="21"/>
      <c r="N4982" s="21"/>
    </row>
    <row r="4983" spans="1:14" ht="15.75" customHeight="1" x14ac:dyDescent="0.25">
      <c r="A4983" s="7">
        <v>2</v>
      </c>
      <c r="B4983" s="35" t="s">
        <v>1886</v>
      </c>
      <c r="C4983" s="7">
        <v>4</v>
      </c>
      <c r="D4983" s="7" t="s">
        <v>19</v>
      </c>
      <c r="E4983" s="37">
        <v>48000</v>
      </c>
      <c r="F4983" s="37">
        <f>E4983*C4983</f>
        <v>192000</v>
      </c>
      <c r="G4983" s="25" t="s">
        <v>1887</v>
      </c>
      <c r="H4983" s="11"/>
      <c r="I4983" s="21"/>
      <c r="J4983" s="21"/>
      <c r="K4983" s="21"/>
      <c r="L4983" s="21"/>
      <c r="M4983" s="21"/>
      <c r="N4983" s="21"/>
    </row>
    <row r="4984" spans="1:14" ht="15.75" customHeight="1" x14ac:dyDescent="0.25">
      <c r="A4984" s="7"/>
      <c r="B4984" s="59" t="s">
        <v>342</v>
      </c>
      <c r="C4984" s="59"/>
      <c r="D4984" s="59"/>
      <c r="E4984" s="59"/>
      <c r="F4984" s="104">
        <f>SUM(F4982:F4983)</f>
        <v>3947000</v>
      </c>
      <c r="G4984" s="25" t="s">
        <v>1888</v>
      </c>
      <c r="H4984" s="11"/>
      <c r="I4984" s="21"/>
      <c r="J4984" s="21"/>
      <c r="K4984" s="21"/>
      <c r="L4984" s="21"/>
      <c r="M4984" s="21"/>
      <c r="N4984" s="21"/>
    </row>
    <row r="4985" spans="1:14" ht="15.75" customHeight="1" x14ac:dyDescent="0.25">
      <c r="A4985" s="7"/>
      <c r="B4985" s="59" t="s">
        <v>634</v>
      </c>
      <c r="C4985" s="59"/>
      <c r="D4985" s="59"/>
      <c r="E4985" s="59"/>
      <c r="F4985" s="104">
        <v>118410</v>
      </c>
      <c r="G4985" s="165"/>
      <c r="H4985" s="11"/>
      <c r="I4985" s="21"/>
      <c r="J4985" s="21"/>
      <c r="K4985" s="21"/>
      <c r="L4985" s="21"/>
      <c r="M4985" s="21"/>
      <c r="N4985" s="21"/>
    </row>
    <row r="4986" spans="1:14" ht="15.75" customHeight="1" x14ac:dyDescent="0.25">
      <c r="A4986" s="7"/>
      <c r="B4986" s="59" t="s">
        <v>343</v>
      </c>
      <c r="C4986" s="59"/>
      <c r="D4986" s="59"/>
      <c r="E4986" s="59"/>
      <c r="F4986" s="167">
        <f>(F4984-F4985)*11%</f>
        <v>421144.9</v>
      </c>
      <c r="G4986" s="25"/>
      <c r="H4986" s="11"/>
      <c r="I4986" s="21"/>
      <c r="J4986" s="21"/>
      <c r="K4986" s="21"/>
      <c r="L4986" s="21"/>
      <c r="M4986" s="21"/>
      <c r="N4986" s="21"/>
    </row>
    <row r="4987" spans="1:14" ht="15.75" customHeight="1" x14ac:dyDescent="0.25">
      <c r="A4987" s="7"/>
      <c r="B4987" s="106" t="s">
        <v>344</v>
      </c>
      <c r="C4987" s="145"/>
      <c r="D4987" s="145"/>
      <c r="E4987" s="146"/>
      <c r="F4987" s="168">
        <f>F4984-F4985+F4986</f>
        <v>4249734.9000000004</v>
      </c>
      <c r="G4987" s="25"/>
      <c r="H4987" s="11"/>
      <c r="I4987" s="21"/>
      <c r="J4987" s="21"/>
      <c r="K4987" s="21"/>
      <c r="L4987" s="21"/>
      <c r="M4987" s="21"/>
      <c r="N4987" s="21"/>
    </row>
    <row r="4988" spans="1:14" ht="15.75" customHeight="1" x14ac:dyDescent="0.25">
      <c r="A4988" s="21"/>
      <c r="B4988" s="21"/>
      <c r="C4988" s="11"/>
      <c r="D4988" s="11"/>
      <c r="E4988" s="21"/>
      <c r="F4988" s="21"/>
      <c r="G4988" s="25"/>
      <c r="H4988" s="11"/>
      <c r="I4988" s="21"/>
      <c r="J4988" s="21"/>
      <c r="K4988" s="21"/>
      <c r="L4988" s="21"/>
      <c r="M4988" s="21"/>
      <c r="N4988" s="21"/>
    </row>
    <row r="4989" spans="1:14" ht="15.75" customHeight="1" x14ac:dyDescent="0.25">
      <c r="A4989" s="21"/>
      <c r="B4989" s="21"/>
      <c r="C4989" s="11"/>
      <c r="D4989" s="11"/>
      <c r="E4989" s="21"/>
      <c r="F4989" s="21"/>
      <c r="G4989" s="25"/>
      <c r="H4989" s="11"/>
      <c r="I4989" s="21"/>
      <c r="J4989" s="21"/>
      <c r="K4989" s="21"/>
      <c r="L4989" s="21"/>
      <c r="M4989" s="21"/>
      <c r="N4989" s="21"/>
    </row>
    <row r="4990" spans="1:14" ht="15.75" customHeight="1" x14ac:dyDescent="0.25">
      <c r="A4990" s="31" t="s">
        <v>14</v>
      </c>
      <c r="B4990" s="31" t="s">
        <v>234</v>
      </c>
      <c r="C4990" s="31" t="s">
        <v>16</v>
      </c>
      <c r="D4990" s="31" t="s">
        <v>17</v>
      </c>
      <c r="E4990" s="31" t="s">
        <v>235</v>
      </c>
      <c r="F4990" s="31" t="s">
        <v>236</v>
      </c>
      <c r="G4990" s="144" t="s">
        <v>1889</v>
      </c>
      <c r="H4990" s="11"/>
      <c r="I4990" s="21"/>
      <c r="J4990" s="21"/>
      <c r="K4990" s="21"/>
      <c r="L4990" s="21"/>
      <c r="M4990" s="21"/>
      <c r="N4990" s="21"/>
    </row>
    <row r="4991" spans="1:14" ht="15.75" customHeight="1" x14ac:dyDescent="0.25">
      <c r="A4991" s="7">
        <v>1</v>
      </c>
      <c r="B4991" s="124" t="s">
        <v>1890</v>
      </c>
      <c r="C4991" s="7">
        <v>2</v>
      </c>
      <c r="D4991" s="7" t="s">
        <v>285</v>
      </c>
      <c r="E4991" s="37">
        <v>34088</v>
      </c>
      <c r="F4991" s="37">
        <f>E4991*C4991</f>
        <v>68176</v>
      </c>
      <c r="G4991" s="172">
        <v>45327</v>
      </c>
      <c r="H4991" s="11"/>
      <c r="I4991" s="21"/>
      <c r="J4991" s="21"/>
      <c r="K4991" s="21"/>
      <c r="L4991" s="21"/>
      <c r="M4991" s="21"/>
      <c r="N4991" s="21"/>
    </row>
    <row r="4992" spans="1:14" ht="15.75" customHeight="1" x14ac:dyDescent="0.25">
      <c r="A4992" s="7"/>
      <c r="B4992" s="343" t="s">
        <v>342</v>
      </c>
      <c r="C4992" s="344"/>
      <c r="D4992" s="344"/>
      <c r="E4992" s="334"/>
      <c r="F4992" s="104">
        <f>SUM(F4991)</f>
        <v>68176</v>
      </c>
      <c r="G4992" s="171" t="s">
        <v>1891</v>
      </c>
      <c r="H4992" s="11"/>
      <c r="I4992" s="21"/>
      <c r="J4992" s="21"/>
      <c r="K4992" s="21"/>
      <c r="L4992" s="21"/>
      <c r="M4992" s="21"/>
      <c r="N4992" s="21"/>
    </row>
    <row r="4993" spans="1:14" ht="15.75" customHeight="1" x14ac:dyDescent="0.25">
      <c r="A4993" s="7"/>
      <c r="B4993" s="343" t="s">
        <v>343</v>
      </c>
      <c r="C4993" s="344"/>
      <c r="D4993" s="344"/>
      <c r="E4993" s="334"/>
      <c r="F4993" s="167">
        <f>F4992*11%</f>
        <v>7499.36</v>
      </c>
      <c r="G4993" s="25">
        <v>1</v>
      </c>
      <c r="H4993" s="11"/>
      <c r="I4993" s="21"/>
      <c r="J4993" s="21"/>
      <c r="K4993" s="21"/>
      <c r="L4993" s="21"/>
      <c r="M4993" s="21"/>
      <c r="N4993" s="21"/>
    </row>
    <row r="4994" spans="1:14" ht="15.75" customHeight="1" x14ac:dyDescent="0.25">
      <c r="A4994" s="7"/>
      <c r="B4994" s="345" t="s">
        <v>344</v>
      </c>
      <c r="C4994" s="344"/>
      <c r="D4994" s="344"/>
      <c r="E4994" s="334"/>
      <c r="F4994" s="168">
        <f>F4992+F4993</f>
        <v>75675.360000000001</v>
      </c>
      <c r="G4994" s="25"/>
      <c r="H4994" s="11"/>
      <c r="I4994" s="21"/>
      <c r="J4994" s="21"/>
      <c r="K4994" s="21"/>
      <c r="L4994" s="21"/>
      <c r="M4994" s="21"/>
      <c r="N4994" s="21"/>
    </row>
    <row r="4995" spans="1:14" ht="15.75" customHeight="1" x14ac:dyDescent="0.25">
      <c r="A4995" s="21"/>
      <c r="B4995" s="21"/>
      <c r="C4995" s="11"/>
      <c r="D4995" s="11"/>
      <c r="E4995" s="21"/>
      <c r="F4995" s="21"/>
      <c r="G4995" s="25"/>
      <c r="H4995" s="11"/>
      <c r="I4995" s="21"/>
      <c r="J4995" s="21"/>
      <c r="K4995" s="21"/>
      <c r="L4995" s="21"/>
      <c r="M4995" s="21"/>
      <c r="N4995" s="21"/>
    </row>
    <row r="4996" spans="1:14" ht="15.75" customHeight="1" x14ac:dyDescent="0.25">
      <c r="A4996" s="31" t="s">
        <v>14</v>
      </c>
      <c r="B4996" s="31" t="s">
        <v>234</v>
      </c>
      <c r="C4996" s="31" t="s">
        <v>16</v>
      </c>
      <c r="D4996" s="31" t="s">
        <v>17</v>
      </c>
      <c r="E4996" s="31" t="s">
        <v>235</v>
      </c>
      <c r="F4996" s="31" t="s">
        <v>236</v>
      </c>
      <c r="G4996" s="144" t="s">
        <v>1892</v>
      </c>
      <c r="H4996" s="11"/>
      <c r="I4996" s="21"/>
      <c r="J4996" s="21"/>
      <c r="K4996" s="21"/>
      <c r="L4996" s="21"/>
      <c r="M4996" s="21"/>
      <c r="N4996" s="21"/>
    </row>
    <row r="4997" spans="1:14" ht="15.75" customHeight="1" x14ac:dyDescent="0.25">
      <c r="A4997" s="7">
        <v>1</v>
      </c>
      <c r="B4997" s="41" t="s">
        <v>1893</v>
      </c>
      <c r="C4997" s="7">
        <v>3</v>
      </c>
      <c r="D4997" s="7" t="s">
        <v>19</v>
      </c>
      <c r="E4997" s="37">
        <v>1965500</v>
      </c>
      <c r="F4997" s="37">
        <f>E4997*C4997</f>
        <v>5896500</v>
      </c>
      <c r="G4997" s="172">
        <v>45335</v>
      </c>
      <c r="H4997" s="11"/>
      <c r="I4997" s="21"/>
      <c r="J4997" s="21"/>
      <c r="K4997" s="21"/>
      <c r="L4997" s="21"/>
      <c r="M4997" s="21"/>
      <c r="N4997" s="21"/>
    </row>
    <row r="4998" spans="1:14" ht="15.75" customHeight="1" x14ac:dyDescent="0.25">
      <c r="A4998" s="7"/>
      <c r="B4998" s="105" t="s">
        <v>342</v>
      </c>
      <c r="C4998" s="164"/>
      <c r="D4998" s="164"/>
      <c r="E4998" s="126"/>
      <c r="F4998" s="104">
        <f>SUM(F4997)</f>
        <v>5896500</v>
      </c>
      <c r="G4998" s="171" t="s">
        <v>1894</v>
      </c>
      <c r="H4998" s="11"/>
      <c r="I4998" s="21"/>
      <c r="J4998" s="21"/>
      <c r="K4998" s="21"/>
      <c r="L4998" s="21"/>
      <c r="M4998" s="21"/>
      <c r="N4998" s="21"/>
    </row>
    <row r="4999" spans="1:14" ht="15.75" customHeight="1" x14ac:dyDescent="0.25">
      <c r="A4999" s="7"/>
      <c r="B4999" s="105" t="s">
        <v>634</v>
      </c>
      <c r="C4999" s="164"/>
      <c r="D4999" s="164"/>
      <c r="E4999" s="126"/>
      <c r="F4999" s="104">
        <v>176895</v>
      </c>
      <c r="G4999" s="25"/>
      <c r="H4999" s="11"/>
      <c r="I4999" s="21"/>
      <c r="J4999" s="21"/>
      <c r="K4999" s="21"/>
      <c r="L4999" s="21"/>
      <c r="M4999" s="21"/>
      <c r="N4999" s="21"/>
    </row>
    <row r="5000" spans="1:14" ht="15.75" customHeight="1" x14ac:dyDescent="0.25">
      <c r="A5000" s="7"/>
      <c r="B5000" s="105" t="s">
        <v>343</v>
      </c>
      <c r="C5000" s="164"/>
      <c r="D5000" s="164"/>
      <c r="E5000" s="126"/>
      <c r="F5000" s="167">
        <f>(F4998-F4999)*11%</f>
        <v>629156.55000000005</v>
      </c>
      <c r="G5000" s="25"/>
      <c r="H5000" s="11"/>
      <c r="I5000" s="21"/>
      <c r="J5000" s="21"/>
      <c r="K5000" s="21"/>
      <c r="L5000" s="21"/>
      <c r="M5000" s="21"/>
      <c r="N5000" s="21"/>
    </row>
    <row r="5001" spans="1:14" ht="15.75" customHeight="1" x14ac:dyDescent="0.25">
      <c r="A5001" s="7"/>
      <c r="B5001" s="106" t="s">
        <v>344</v>
      </c>
      <c r="C5001" s="145"/>
      <c r="D5001" s="145"/>
      <c r="E5001" s="146"/>
      <c r="F5001" s="168">
        <f>F4998-F4999+F5000</f>
        <v>6348761.5499999998</v>
      </c>
      <c r="G5001" s="25"/>
      <c r="H5001" s="11"/>
      <c r="I5001" s="21"/>
      <c r="J5001" s="21"/>
      <c r="K5001" s="21"/>
      <c r="L5001" s="21"/>
      <c r="M5001" s="21"/>
      <c r="N5001" s="21"/>
    </row>
    <row r="5002" spans="1:14" ht="15.75" customHeight="1" x14ac:dyDescent="0.25">
      <c r="A5002" s="21"/>
      <c r="B5002" s="21"/>
      <c r="C5002" s="11"/>
      <c r="D5002" s="11"/>
      <c r="E5002" s="21"/>
      <c r="F5002" s="21"/>
      <c r="G5002" s="25"/>
      <c r="H5002" s="11"/>
      <c r="I5002" s="21"/>
      <c r="J5002" s="21"/>
      <c r="K5002" s="21"/>
      <c r="L5002" s="21"/>
      <c r="M5002" s="21"/>
      <c r="N5002" s="21"/>
    </row>
    <row r="5003" spans="1:14" ht="15.75" customHeight="1" x14ac:dyDescent="0.25">
      <c r="A5003" s="31" t="s">
        <v>14</v>
      </c>
      <c r="B5003" s="31" t="s">
        <v>234</v>
      </c>
      <c r="C5003" s="31" t="s">
        <v>16</v>
      </c>
      <c r="D5003" s="31" t="s">
        <v>17</v>
      </c>
      <c r="E5003" s="31" t="s">
        <v>235</v>
      </c>
      <c r="F5003" s="31" t="s">
        <v>236</v>
      </c>
      <c r="G5003" s="144" t="s">
        <v>1895</v>
      </c>
      <c r="H5003" s="11"/>
      <c r="I5003" s="21"/>
      <c r="J5003" s="21"/>
      <c r="K5003" s="21"/>
      <c r="L5003" s="21"/>
      <c r="M5003" s="21"/>
      <c r="N5003" s="21"/>
    </row>
    <row r="5004" spans="1:14" ht="15.75" customHeight="1" x14ac:dyDescent="0.25">
      <c r="A5004" s="7">
        <v>1</v>
      </c>
      <c r="B5004" s="41" t="s">
        <v>1896</v>
      </c>
      <c r="C5004" s="7">
        <v>65</v>
      </c>
      <c r="D5004" s="7" t="s">
        <v>19</v>
      </c>
      <c r="E5004" s="37">
        <v>13500</v>
      </c>
      <c r="F5004" s="37">
        <f>E5004*C5004</f>
        <v>877500</v>
      </c>
      <c r="G5004" s="172">
        <v>45337</v>
      </c>
      <c r="H5004" s="11"/>
      <c r="I5004" s="21"/>
      <c r="J5004" s="21"/>
      <c r="K5004" s="21"/>
      <c r="L5004" s="21"/>
      <c r="M5004" s="21"/>
      <c r="N5004" s="21"/>
    </row>
    <row r="5005" spans="1:14" ht="15.75" customHeight="1" x14ac:dyDescent="0.25">
      <c r="A5005" s="7">
        <v>2</v>
      </c>
      <c r="B5005" s="41" t="s">
        <v>1897</v>
      </c>
      <c r="C5005" s="7">
        <v>100</v>
      </c>
      <c r="D5005" s="7" t="s">
        <v>1357</v>
      </c>
      <c r="E5005" s="108">
        <v>245070.5</v>
      </c>
      <c r="F5005" s="37">
        <f>E5005*C5005</f>
        <v>24507050</v>
      </c>
      <c r="G5005" s="171" t="s">
        <v>1898</v>
      </c>
      <c r="H5005" s="11"/>
      <c r="I5005" s="21"/>
      <c r="J5005" s="21"/>
      <c r="K5005" s="21"/>
      <c r="L5005" s="21"/>
      <c r="M5005" s="21"/>
      <c r="N5005" s="21"/>
    </row>
    <row r="5006" spans="1:14" ht="15.75" customHeight="1" x14ac:dyDescent="0.25">
      <c r="A5006" s="7">
        <v>3</v>
      </c>
      <c r="B5006" s="41" t="s">
        <v>1899</v>
      </c>
      <c r="C5006" s="7">
        <v>10</v>
      </c>
      <c r="D5006" s="7" t="s">
        <v>1357</v>
      </c>
      <c r="E5006" s="37">
        <v>1285000</v>
      </c>
      <c r="F5006" s="37">
        <f>E5006*C5006</f>
        <v>12850000</v>
      </c>
      <c r="G5006" s="25"/>
      <c r="H5006" s="11"/>
      <c r="I5006" s="21"/>
      <c r="J5006" s="21"/>
      <c r="K5006" s="21"/>
      <c r="L5006" s="21"/>
      <c r="M5006" s="21"/>
      <c r="N5006" s="21"/>
    </row>
    <row r="5007" spans="1:14" ht="15.75" customHeight="1" x14ac:dyDescent="0.25">
      <c r="A5007" s="7"/>
      <c r="B5007" s="343" t="s">
        <v>342</v>
      </c>
      <c r="C5007" s="344"/>
      <c r="D5007" s="344"/>
      <c r="E5007" s="334"/>
      <c r="F5007" s="104">
        <f>SUM(F5004:F5006)</f>
        <v>38234550</v>
      </c>
      <c r="G5007" s="25"/>
      <c r="H5007" s="11"/>
      <c r="I5007" s="21"/>
      <c r="J5007" s="21"/>
      <c r="K5007" s="21"/>
      <c r="L5007" s="21"/>
      <c r="M5007" s="21"/>
      <c r="N5007" s="21"/>
    </row>
    <row r="5008" spans="1:14" ht="15.75" customHeight="1" x14ac:dyDescent="0.25">
      <c r="A5008" s="7"/>
      <c r="B5008" s="343" t="s">
        <v>634</v>
      </c>
      <c r="C5008" s="344"/>
      <c r="D5008" s="344"/>
      <c r="E5008" s="334"/>
      <c r="F5008" s="167">
        <v>1147036.5</v>
      </c>
      <c r="G5008" s="25"/>
      <c r="H5008" s="11"/>
      <c r="I5008" s="21"/>
      <c r="J5008" s="21"/>
      <c r="K5008" s="21"/>
      <c r="L5008" s="21"/>
      <c r="M5008" s="21"/>
      <c r="N5008" s="21"/>
    </row>
    <row r="5009" spans="1:14" ht="15.75" customHeight="1" x14ac:dyDescent="0.25">
      <c r="A5009" s="7"/>
      <c r="B5009" s="343" t="s">
        <v>343</v>
      </c>
      <c r="C5009" s="344"/>
      <c r="D5009" s="344"/>
      <c r="E5009" s="334"/>
      <c r="F5009" s="167">
        <f>(F5007-F5008)*11%</f>
        <v>4079626.4849999999</v>
      </c>
      <c r="G5009" s="25"/>
      <c r="H5009" s="11"/>
      <c r="I5009" s="21"/>
      <c r="J5009" s="21"/>
      <c r="K5009" s="21"/>
      <c r="L5009" s="21"/>
      <c r="M5009" s="21"/>
      <c r="N5009" s="21"/>
    </row>
    <row r="5010" spans="1:14" ht="15.75" customHeight="1" x14ac:dyDescent="0.25">
      <c r="A5010" s="7"/>
      <c r="B5010" s="106" t="s">
        <v>344</v>
      </c>
      <c r="C5010" s="145"/>
      <c r="D5010" s="145"/>
      <c r="E5010" s="146"/>
      <c r="F5010" s="168">
        <f>F5007-F5008+F5009</f>
        <v>41167139.984999999</v>
      </c>
      <c r="G5010" s="25"/>
      <c r="H5010" s="11"/>
      <c r="I5010" s="21"/>
      <c r="J5010" s="21"/>
      <c r="K5010" s="21"/>
      <c r="L5010" s="21"/>
      <c r="M5010" s="21"/>
      <c r="N5010" s="21"/>
    </row>
    <row r="5011" spans="1:14" ht="15.75" customHeight="1" x14ac:dyDescent="0.25">
      <c r="A5011" s="21"/>
      <c r="B5011" s="21"/>
      <c r="C5011" s="11"/>
      <c r="D5011" s="11"/>
      <c r="E5011" s="21"/>
      <c r="F5011" s="21"/>
      <c r="G5011" s="25"/>
      <c r="H5011" s="11"/>
      <c r="I5011" s="21"/>
      <c r="J5011" s="21"/>
      <c r="K5011" s="21"/>
      <c r="L5011" s="21"/>
      <c r="M5011" s="21"/>
      <c r="N5011" s="21"/>
    </row>
    <row r="5012" spans="1:14" ht="15.75" customHeight="1" x14ac:dyDescent="0.25">
      <c r="A5012" s="21"/>
      <c r="B5012" s="21"/>
      <c r="C5012" s="11"/>
      <c r="D5012" s="11"/>
      <c r="E5012" s="21"/>
      <c r="F5012" s="21"/>
      <c r="G5012" s="25"/>
      <c r="H5012" s="11"/>
      <c r="I5012" s="21"/>
      <c r="J5012" s="21"/>
      <c r="K5012" s="21"/>
      <c r="L5012" s="21"/>
      <c r="M5012" s="21"/>
      <c r="N5012" s="21"/>
    </row>
    <row r="5013" spans="1:14" ht="15.75" customHeight="1" x14ac:dyDescent="0.25">
      <c r="A5013" s="31" t="s">
        <v>14</v>
      </c>
      <c r="B5013" s="31" t="s">
        <v>234</v>
      </c>
      <c r="C5013" s="31" t="s">
        <v>16</v>
      </c>
      <c r="D5013" s="31" t="s">
        <v>17</v>
      </c>
      <c r="E5013" s="31" t="s">
        <v>235</v>
      </c>
      <c r="F5013" s="31" t="s">
        <v>236</v>
      </c>
      <c r="G5013" s="144" t="s">
        <v>1889</v>
      </c>
      <c r="H5013" s="11"/>
      <c r="I5013" s="21"/>
      <c r="J5013" s="21"/>
      <c r="K5013" s="21"/>
      <c r="L5013" s="21"/>
      <c r="M5013" s="21"/>
      <c r="N5013" s="21"/>
    </row>
    <row r="5014" spans="1:14" ht="15.75" customHeight="1" x14ac:dyDescent="0.25">
      <c r="A5014" s="7">
        <v>1</v>
      </c>
      <c r="B5014" s="124" t="s">
        <v>1900</v>
      </c>
      <c r="C5014" s="7">
        <v>2</v>
      </c>
      <c r="D5014" s="7" t="s">
        <v>1901</v>
      </c>
      <c r="E5014" s="37">
        <v>78800</v>
      </c>
      <c r="F5014" s="37">
        <f>E5014*C5014</f>
        <v>157600</v>
      </c>
      <c r="G5014" s="172">
        <v>45334</v>
      </c>
      <c r="H5014" s="11"/>
      <c r="I5014" s="21"/>
      <c r="J5014" s="21"/>
      <c r="K5014" s="21"/>
      <c r="L5014" s="21"/>
      <c r="M5014" s="21"/>
      <c r="N5014" s="21"/>
    </row>
    <row r="5015" spans="1:14" ht="15.75" customHeight="1" x14ac:dyDescent="0.25">
      <c r="A5015" s="7">
        <v>2</v>
      </c>
      <c r="B5015" s="124" t="s">
        <v>1902</v>
      </c>
      <c r="C5015" s="7">
        <v>10</v>
      </c>
      <c r="D5015" s="7" t="s">
        <v>1901</v>
      </c>
      <c r="E5015" s="37">
        <v>18000</v>
      </c>
      <c r="F5015" s="37">
        <f>E5015*C5015</f>
        <v>180000</v>
      </c>
      <c r="G5015" s="171" t="s">
        <v>1903</v>
      </c>
      <c r="H5015" s="11"/>
      <c r="I5015" s="21"/>
      <c r="J5015" s="21"/>
      <c r="K5015" s="21"/>
      <c r="L5015" s="21"/>
      <c r="M5015" s="21"/>
      <c r="N5015" s="21"/>
    </row>
    <row r="5016" spans="1:14" ht="15.75" customHeight="1" x14ac:dyDescent="0.25">
      <c r="A5016" s="7"/>
      <c r="B5016" s="343" t="s">
        <v>342</v>
      </c>
      <c r="C5016" s="344"/>
      <c r="D5016" s="344"/>
      <c r="E5016" s="334"/>
      <c r="F5016" s="104">
        <f>SUM(F5014:F5015)</f>
        <v>337600</v>
      </c>
      <c r="G5016" s="25" t="s">
        <v>1780</v>
      </c>
      <c r="H5016" s="11"/>
      <c r="I5016" s="21"/>
      <c r="J5016" s="21"/>
      <c r="K5016" s="21"/>
      <c r="L5016" s="21"/>
      <c r="M5016" s="21"/>
      <c r="N5016" s="21"/>
    </row>
    <row r="5017" spans="1:14" ht="15.75" customHeight="1" x14ac:dyDescent="0.25">
      <c r="A5017" s="7"/>
      <c r="B5017" s="343" t="s">
        <v>343</v>
      </c>
      <c r="C5017" s="344"/>
      <c r="D5017" s="344"/>
      <c r="E5017" s="334"/>
      <c r="F5017" s="104">
        <f>F5016*11%</f>
        <v>37136</v>
      </c>
      <c r="G5017" s="25"/>
      <c r="H5017" s="11"/>
      <c r="I5017" s="21"/>
      <c r="J5017" s="21"/>
      <c r="K5017" s="21"/>
      <c r="L5017" s="21"/>
      <c r="M5017" s="21"/>
      <c r="N5017" s="21"/>
    </row>
    <row r="5018" spans="1:14" ht="15.75" customHeight="1" x14ac:dyDescent="0.25">
      <c r="A5018" s="7"/>
      <c r="B5018" s="345" t="s">
        <v>344</v>
      </c>
      <c r="C5018" s="344"/>
      <c r="D5018" s="344"/>
      <c r="E5018" s="334"/>
      <c r="F5018" s="107">
        <f>SUM(F5016:F5017)</f>
        <v>374736</v>
      </c>
      <c r="G5018" s="25"/>
      <c r="H5018" s="11"/>
      <c r="I5018" s="21"/>
      <c r="J5018" s="21"/>
      <c r="K5018" s="21"/>
      <c r="L5018" s="21"/>
      <c r="M5018" s="21"/>
      <c r="N5018" s="21"/>
    </row>
    <row r="5019" spans="1:14" ht="15.75" customHeight="1" x14ac:dyDescent="0.25">
      <c r="A5019" s="21"/>
      <c r="B5019" s="21"/>
      <c r="C5019" s="11"/>
      <c r="D5019" s="11"/>
      <c r="E5019" s="21"/>
      <c r="F5019" s="21"/>
      <c r="G5019" s="25"/>
      <c r="H5019" s="11"/>
      <c r="I5019" s="21"/>
      <c r="J5019" s="21"/>
      <c r="K5019" s="21"/>
      <c r="L5019" s="21"/>
      <c r="M5019" s="21"/>
      <c r="N5019" s="21"/>
    </row>
    <row r="5020" spans="1:14" ht="15.75" customHeight="1" x14ac:dyDescent="0.25">
      <c r="A5020" s="31" t="s">
        <v>14</v>
      </c>
      <c r="B5020" s="31" t="s">
        <v>234</v>
      </c>
      <c r="C5020" s="31" t="s">
        <v>16</v>
      </c>
      <c r="D5020" s="31" t="s">
        <v>17</v>
      </c>
      <c r="E5020" s="31" t="s">
        <v>235</v>
      </c>
      <c r="F5020" s="31" t="s">
        <v>236</v>
      </c>
      <c r="G5020" s="144" t="s">
        <v>1904</v>
      </c>
      <c r="H5020" s="11"/>
      <c r="I5020" s="21"/>
      <c r="J5020" s="21"/>
      <c r="K5020" s="21"/>
      <c r="L5020" s="21"/>
      <c r="M5020" s="21"/>
      <c r="N5020" s="21"/>
    </row>
    <row r="5021" spans="1:14" ht="15.75" customHeight="1" x14ac:dyDescent="0.25">
      <c r="A5021" s="7">
        <v>1</v>
      </c>
      <c r="B5021" s="124" t="s">
        <v>1905</v>
      </c>
      <c r="C5021" s="7">
        <v>6</v>
      </c>
      <c r="D5021" s="7" t="s">
        <v>363</v>
      </c>
      <c r="E5021" s="37">
        <v>122500</v>
      </c>
      <c r="F5021" s="37">
        <f>E5021*C5021</f>
        <v>735000</v>
      </c>
      <c r="G5021" s="172">
        <v>45337</v>
      </c>
      <c r="H5021" s="11"/>
      <c r="I5021" s="21"/>
      <c r="J5021" s="21"/>
      <c r="K5021" s="21"/>
      <c r="L5021" s="21"/>
      <c r="M5021" s="21"/>
      <c r="N5021" s="21"/>
    </row>
    <row r="5022" spans="1:14" ht="15.75" customHeight="1" x14ac:dyDescent="0.25">
      <c r="A5022" s="7"/>
      <c r="B5022" s="343" t="s">
        <v>342</v>
      </c>
      <c r="C5022" s="344"/>
      <c r="D5022" s="344"/>
      <c r="E5022" s="334"/>
      <c r="F5022" s="104">
        <f>SUM(F5021)</f>
        <v>735000</v>
      </c>
      <c r="G5022" s="25" t="s">
        <v>1906</v>
      </c>
      <c r="H5022" s="11"/>
      <c r="I5022" s="21"/>
      <c r="J5022" s="21"/>
      <c r="K5022" s="21"/>
      <c r="L5022" s="21"/>
      <c r="M5022" s="21"/>
      <c r="N5022" s="21"/>
    </row>
    <row r="5023" spans="1:14" ht="15.75" customHeight="1" x14ac:dyDescent="0.25">
      <c r="A5023" s="7"/>
      <c r="B5023" s="343" t="s">
        <v>343</v>
      </c>
      <c r="C5023" s="344"/>
      <c r="D5023" s="344"/>
      <c r="E5023" s="334"/>
      <c r="F5023" s="104">
        <f>F5022*11%</f>
        <v>80850</v>
      </c>
      <c r="G5023" s="25" t="s">
        <v>1752</v>
      </c>
      <c r="H5023" s="11"/>
      <c r="I5023" s="21"/>
      <c r="J5023" s="21"/>
      <c r="K5023" s="21"/>
      <c r="L5023" s="21"/>
      <c r="M5023" s="21"/>
      <c r="N5023" s="21"/>
    </row>
    <row r="5024" spans="1:14" ht="15.75" customHeight="1" x14ac:dyDescent="0.25">
      <c r="A5024" s="7"/>
      <c r="B5024" s="345" t="s">
        <v>344</v>
      </c>
      <c r="C5024" s="344"/>
      <c r="D5024" s="344"/>
      <c r="E5024" s="334"/>
      <c r="F5024" s="107">
        <f>SUM(F5022:F5023)</f>
        <v>815850</v>
      </c>
      <c r="G5024" s="25"/>
      <c r="H5024" s="11"/>
      <c r="I5024" s="21"/>
      <c r="J5024" s="21"/>
      <c r="K5024" s="21"/>
      <c r="L5024" s="21"/>
      <c r="M5024" s="21"/>
      <c r="N5024" s="21"/>
    </row>
    <row r="5025" spans="1:14" ht="15.75" customHeight="1" x14ac:dyDescent="0.25">
      <c r="A5025" s="21"/>
      <c r="B5025" s="21"/>
      <c r="C5025" s="11"/>
      <c r="D5025" s="11"/>
      <c r="E5025" s="21"/>
      <c r="F5025" s="21"/>
      <c r="G5025" s="25"/>
      <c r="H5025" s="11"/>
      <c r="I5025" s="21"/>
      <c r="J5025" s="21"/>
      <c r="K5025" s="21"/>
      <c r="L5025" s="21"/>
      <c r="M5025" s="21"/>
      <c r="N5025" s="21"/>
    </row>
    <row r="5026" spans="1:14" ht="15.75" customHeight="1" x14ac:dyDescent="0.25">
      <c r="A5026" s="31" t="s">
        <v>14</v>
      </c>
      <c r="B5026" s="31" t="s">
        <v>234</v>
      </c>
      <c r="C5026" s="31" t="s">
        <v>16</v>
      </c>
      <c r="D5026" s="31" t="s">
        <v>17</v>
      </c>
      <c r="E5026" s="31" t="s">
        <v>235</v>
      </c>
      <c r="F5026" s="31" t="s">
        <v>236</v>
      </c>
      <c r="G5026" s="144" t="s">
        <v>4</v>
      </c>
      <c r="H5026" s="11"/>
      <c r="I5026" s="21"/>
      <c r="J5026" s="21"/>
      <c r="K5026" s="21"/>
      <c r="L5026" s="21"/>
      <c r="M5026" s="21"/>
      <c r="N5026" s="21"/>
    </row>
    <row r="5027" spans="1:14" ht="15.75" customHeight="1" x14ac:dyDescent="0.25">
      <c r="A5027" s="7">
        <v>1</v>
      </c>
      <c r="B5027" s="41" t="s">
        <v>1907</v>
      </c>
      <c r="C5027" s="7">
        <v>9</v>
      </c>
      <c r="D5027" s="7" t="s">
        <v>19</v>
      </c>
      <c r="E5027" s="37">
        <v>51800</v>
      </c>
      <c r="F5027" s="37">
        <f>E5027*C5027</f>
        <v>466200</v>
      </c>
      <c r="G5027" s="25"/>
      <c r="H5027" s="11"/>
      <c r="I5027" s="21"/>
      <c r="J5027" s="21"/>
      <c r="K5027" s="21"/>
      <c r="L5027" s="21"/>
      <c r="M5027" s="21"/>
      <c r="N5027" s="21"/>
    </row>
    <row r="5028" spans="1:14" ht="15.75" customHeight="1" x14ac:dyDescent="0.25">
      <c r="A5028" s="7">
        <v>2</v>
      </c>
      <c r="B5028" s="41" t="s">
        <v>1908</v>
      </c>
      <c r="C5028" s="7">
        <v>30</v>
      </c>
      <c r="D5028" s="7" t="s">
        <v>19</v>
      </c>
      <c r="E5028" s="37">
        <v>17800</v>
      </c>
      <c r="F5028" s="37">
        <f>E5028*C5028</f>
        <v>534000</v>
      </c>
      <c r="G5028" s="25" t="s">
        <v>1909</v>
      </c>
      <c r="H5028" s="11"/>
      <c r="I5028" s="21"/>
      <c r="J5028" s="21"/>
      <c r="K5028" s="21"/>
      <c r="L5028" s="21"/>
      <c r="M5028" s="21"/>
      <c r="N5028" s="21"/>
    </row>
    <row r="5029" spans="1:14" ht="15.75" customHeight="1" x14ac:dyDescent="0.25">
      <c r="A5029" s="7">
        <v>3</v>
      </c>
      <c r="B5029" s="41" t="s">
        <v>1910</v>
      </c>
      <c r="C5029" s="7">
        <v>1</v>
      </c>
      <c r="D5029" s="7" t="s">
        <v>19</v>
      </c>
      <c r="E5029" s="37">
        <v>117000</v>
      </c>
      <c r="F5029" s="37">
        <f>E5029*C5029</f>
        <v>117000</v>
      </c>
      <c r="G5029" s="25"/>
      <c r="H5029" s="11"/>
      <c r="I5029" s="21"/>
      <c r="J5029" s="21"/>
      <c r="K5029" s="21"/>
      <c r="L5029" s="21"/>
      <c r="M5029" s="21"/>
      <c r="N5029" s="21"/>
    </row>
    <row r="5030" spans="1:14" ht="15.75" customHeight="1" x14ac:dyDescent="0.25">
      <c r="A5030" s="7">
        <v>4</v>
      </c>
      <c r="B5030" s="41" t="s">
        <v>1911</v>
      </c>
      <c r="C5030" s="7">
        <v>1</v>
      </c>
      <c r="D5030" s="7" t="s">
        <v>19</v>
      </c>
      <c r="E5030" s="37">
        <v>108000</v>
      </c>
      <c r="F5030" s="37">
        <f>E5030*C5030</f>
        <v>108000</v>
      </c>
      <c r="G5030" s="25"/>
      <c r="H5030" s="11"/>
      <c r="I5030" s="21"/>
      <c r="J5030" s="21"/>
      <c r="K5030" s="21"/>
      <c r="L5030" s="21"/>
      <c r="M5030" s="21"/>
      <c r="N5030" s="21"/>
    </row>
    <row r="5031" spans="1:14" ht="15.75" customHeight="1" x14ac:dyDescent="0.25">
      <c r="A5031" s="7"/>
      <c r="B5031" s="343" t="s">
        <v>342</v>
      </c>
      <c r="C5031" s="344"/>
      <c r="D5031" s="344"/>
      <c r="E5031" s="334"/>
      <c r="F5031" s="104">
        <f>SUM(F5027:F5030)</f>
        <v>1225200</v>
      </c>
      <c r="G5031" s="25"/>
      <c r="H5031" s="11"/>
      <c r="I5031" s="21"/>
      <c r="J5031" s="21"/>
      <c r="K5031" s="21"/>
      <c r="L5031" s="21"/>
      <c r="M5031" s="21"/>
      <c r="N5031" s="21"/>
    </row>
    <row r="5032" spans="1:14" ht="15.75" customHeight="1" x14ac:dyDescent="0.25">
      <c r="A5032" s="7"/>
      <c r="B5032" s="343" t="s">
        <v>343</v>
      </c>
      <c r="C5032" s="344"/>
      <c r="D5032" s="344"/>
      <c r="E5032" s="334"/>
      <c r="F5032" s="104">
        <f>F5031*11%</f>
        <v>134772</v>
      </c>
      <c r="G5032" s="25"/>
      <c r="H5032" s="11"/>
      <c r="I5032" s="21"/>
      <c r="J5032" s="21"/>
      <c r="K5032" s="21"/>
      <c r="L5032" s="21"/>
      <c r="M5032" s="21"/>
      <c r="N5032" s="21"/>
    </row>
    <row r="5033" spans="1:14" ht="15.75" customHeight="1" x14ac:dyDescent="0.25">
      <c r="A5033" s="7"/>
      <c r="B5033" s="345" t="s">
        <v>344</v>
      </c>
      <c r="C5033" s="344"/>
      <c r="D5033" s="344"/>
      <c r="E5033" s="334"/>
      <c r="F5033" s="107">
        <f>SUM(F5031:F5032)</f>
        <v>1359972</v>
      </c>
      <c r="G5033" s="25"/>
      <c r="H5033" s="11"/>
      <c r="I5033" s="21"/>
      <c r="J5033" s="21"/>
      <c r="K5033" s="21"/>
      <c r="L5033" s="21"/>
      <c r="M5033" s="21"/>
      <c r="N5033" s="21"/>
    </row>
    <row r="5034" spans="1:14" ht="15.75" customHeight="1" x14ac:dyDescent="0.25">
      <c r="A5034" s="21"/>
      <c r="B5034" s="21"/>
      <c r="C5034" s="11"/>
      <c r="D5034" s="11"/>
      <c r="E5034" s="21"/>
      <c r="F5034" s="21"/>
      <c r="G5034" s="25"/>
      <c r="H5034" s="11"/>
      <c r="I5034" s="21"/>
      <c r="J5034" s="21"/>
      <c r="K5034" s="21"/>
      <c r="L5034" s="21"/>
      <c r="M5034" s="21"/>
      <c r="N5034" s="21"/>
    </row>
    <row r="5035" spans="1:14" ht="15.75" customHeight="1" x14ac:dyDescent="0.25">
      <c r="A5035" s="21"/>
      <c r="B5035" s="21"/>
      <c r="C5035" s="11"/>
      <c r="D5035" s="11"/>
      <c r="E5035" s="21"/>
      <c r="F5035" s="21"/>
      <c r="G5035" s="25"/>
      <c r="H5035" s="11"/>
      <c r="I5035" s="21"/>
      <c r="J5035" s="21"/>
      <c r="K5035" s="21"/>
      <c r="L5035" s="21"/>
      <c r="M5035" s="21"/>
      <c r="N5035" s="21"/>
    </row>
    <row r="5036" spans="1:14" ht="15.75" customHeight="1" x14ac:dyDescent="0.25">
      <c r="A5036" s="31" t="s">
        <v>14</v>
      </c>
      <c r="B5036" s="31" t="s">
        <v>234</v>
      </c>
      <c r="C5036" s="31" t="s">
        <v>16</v>
      </c>
      <c r="D5036" s="31" t="s">
        <v>17</v>
      </c>
      <c r="E5036" s="31" t="s">
        <v>235</v>
      </c>
      <c r="F5036" s="31" t="s">
        <v>236</v>
      </c>
      <c r="G5036" s="144" t="s">
        <v>4</v>
      </c>
      <c r="H5036" s="11"/>
      <c r="I5036" s="21"/>
      <c r="J5036" s="21"/>
      <c r="K5036" s="21"/>
      <c r="L5036" s="21"/>
      <c r="M5036" s="21"/>
      <c r="N5036" s="21"/>
    </row>
    <row r="5037" spans="1:14" ht="15.75" customHeight="1" x14ac:dyDescent="0.25">
      <c r="A5037" s="7">
        <v>1</v>
      </c>
      <c r="B5037" s="35" t="s">
        <v>1912</v>
      </c>
      <c r="C5037" s="7">
        <v>2</v>
      </c>
      <c r="D5037" s="7" t="s">
        <v>243</v>
      </c>
      <c r="E5037" s="37">
        <v>352500</v>
      </c>
      <c r="F5037" s="37">
        <f>E5037*C5037</f>
        <v>705000</v>
      </c>
      <c r="G5037" s="25"/>
      <c r="H5037" s="11"/>
      <c r="I5037" s="21"/>
      <c r="J5037" s="21"/>
      <c r="K5037" s="21"/>
      <c r="L5037" s="21"/>
      <c r="M5037" s="21"/>
      <c r="N5037" s="21"/>
    </row>
    <row r="5038" spans="1:14" ht="15.75" customHeight="1" x14ac:dyDescent="0.25">
      <c r="A5038" s="7"/>
      <c r="B5038" s="343" t="s">
        <v>342</v>
      </c>
      <c r="C5038" s="344"/>
      <c r="D5038" s="344"/>
      <c r="E5038" s="334"/>
      <c r="F5038" s="104">
        <f>SUM(F5037)</f>
        <v>705000</v>
      </c>
      <c r="G5038" s="25" t="s">
        <v>1913</v>
      </c>
      <c r="H5038" s="11"/>
      <c r="I5038" s="21"/>
      <c r="J5038" s="21"/>
      <c r="K5038" s="21"/>
      <c r="L5038" s="21"/>
      <c r="M5038" s="21"/>
      <c r="N5038" s="21"/>
    </row>
    <row r="5039" spans="1:14" ht="15.75" customHeight="1" x14ac:dyDescent="0.25">
      <c r="A5039" s="7"/>
      <c r="B5039" s="343" t="s">
        <v>634</v>
      </c>
      <c r="C5039" s="344"/>
      <c r="D5039" s="344"/>
      <c r="E5039" s="334"/>
      <c r="F5039" s="104">
        <v>176250</v>
      </c>
      <c r="G5039" s="25"/>
      <c r="H5039" s="11"/>
      <c r="I5039" s="21"/>
      <c r="J5039" s="21"/>
      <c r="K5039" s="21"/>
      <c r="L5039" s="21"/>
      <c r="M5039" s="21"/>
      <c r="N5039" s="21"/>
    </row>
    <row r="5040" spans="1:14" ht="15.75" customHeight="1" x14ac:dyDescent="0.25">
      <c r="A5040" s="7"/>
      <c r="B5040" s="343" t="s">
        <v>343</v>
      </c>
      <c r="C5040" s="344"/>
      <c r="D5040" s="344"/>
      <c r="E5040" s="334"/>
      <c r="F5040" s="167">
        <f>(F5038-F5039)*11%</f>
        <v>58162.5</v>
      </c>
      <c r="G5040" s="25"/>
      <c r="H5040" s="11"/>
      <c r="I5040" s="21"/>
      <c r="J5040" s="21"/>
      <c r="K5040" s="21"/>
      <c r="L5040" s="21"/>
      <c r="M5040" s="21"/>
      <c r="N5040" s="21"/>
    </row>
    <row r="5041" spans="1:14" ht="15.75" customHeight="1" x14ac:dyDescent="0.25">
      <c r="A5041" s="7"/>
      <c r="B5041" s="345" t="s">
        <v>344</v>
      </c>
      <c r="C5041" s="344"/>
      <c r="D5041" s="344"/>
      <c r="E5041" s="334"/>
      <c r="F5041" s="168">
        <f>F5038-F5039+F5040</f>
        <v>586912.5</v>
      </c>
      <c r="G5041" s="25"/>
      <c r="H5041" s="11"/>
      <c r="I5041" s="21"/>
      <c r="J5041" s="21"/>
      <c r="K5041" s="21"/>
      <c r="L5041" s="21"/>
      <c r="M5041" s="21"/>
      <c r="N5041" s="21"/>
    </row>
    <row r="5042" spans="1:14" ht="15.75" customHeight="1" x14ac:dyDescent="0.25">
      <c r="A5042" s="21"/>
      <c r="B5042" s="21"/>
      <c r="C5042" s="11"/>
      <c r="D5042" s="11"/>
      <c r="E5042" s="21"/>
      <c r="F5042" s="21"/>
      <c r="G5042" s="25"/>
      <c r="H5042" s="11"/>
      <c r="I5042" s="21"/>
      <c r="J5042" s="21"/>
      <c r="K5042" s="21"/>
      <c r="L5042" s="21"/>
      <c r="M5042" s="21"/>
      <c r="N5042" s="21"/>
    </row>
    <row r="5043" spans="1:14" ht="15.75" customHeight="1" x14ac:dyDescent="0.25">
      <c r="A5043" s="31" t="s">
        <v>14</v>
      </c>
      <c r="B5043" s="31" t="s">
        <v>234</v>
      </c>
      <c r="C5043" s="31" t="s">
        <v>16</v>
      </c>
      <c r="D5043" s="31" t="s">
        <v>17</v>
      </c>
      <c r="E5043" s="31" t="s">
        <v>235</v>
      </c>
      <c r="F5043" s="31" t="s">
        <v>236</v>
      </c>
      <c r="G5043" s="144" t="s">
        <v>4</v>
      </c>
      <c r="H5043" s="11"/>
      <c r="I5043" s="21"/>
      <c r="J5043" s="21"/>
      <c r="K5043" s="21"/>
      <c r="L5043" s="21"/>
      <c r="M5043" s="21"/>
      <c r="N5043" s="21"/>
    </row>
    <row r="5044" spans="1:14" ht="15.75" customHeight="1" x14ac:dyDescent="0.25">
      <c r="A5044" s="7">
        <v>1</v>
      </c>
      <c r="B5044" s="35" t="s">
        <v>1914</v>
      </c>
      <c r="C5044" s="7">
        <v>6</v>
      </c>
      <c r="D5044" s="7" t="s">
        <v>19</v>
      </c>
      <c r="E5044" s="37">
        <v>894500</v>
      </c>
      <c r="F5044" s="37">
        <f>E5044*C5044</f>
        <v>5367000</v>
      </c>
      <c r="G5044" s="25"/>
      <c r="H5044" s="11"/>
      <c r="I5044" s="21"/>
      <c r="J5044" s="21"/>
      <c r="K5044" s="21"/>
      <c r="L5044" s="21"/>
      <c r="M5044" s="21"/>
      <c r="N5044" s="21"/>
    </row>
    <row r="5045" spans="1:14" ht="15.75" customHeight="1" x14ac:dyDescent="0.25">
      <c r="A5045" s="7"/>
      <c r="B5045" s="343" t="s">
        <v>342</v>
      </c>
      <c r="C5045" s="344"/>
      <c r="D5045" s="344"/>
      <c r="E5045" s="334"/>
      <c r="F5045" s="104">
        <f>SUM(F5044)</f>
        <v>5367000</v>
      </c>
      <c r="G5045" s="25" t="s">
        <v>1915</v>
      </c>
      <c r="H5045" s="11"/>
      <c r="I5045" s="21"/>
      <c r="J5045" s="21"/>
      <c r="K5045" s="21"/>
      <c r="L5045" s="21"/>
      <c r="M5045" s="21"/>
      <c r="N5045" s="21"/>
    </row>
    <row r="5046" spans="1:14" ht="15.75" customHeight="1" x14ac:dyDescent="0.25">
      <c r="A5046" s="7"/>
      <c r="B5046" s="343" t="s">
        <v>634</v>
      </c>
      <c r="C5046" s="344"/>
      <c r="D5046" s="344"/>
      <c r="E5046" s="334"/>
      <c r="F5046" s="104">
        <v>268350</v>
      </c>
      <c r="G5046" s="25"/>
      <c r="H5046" s="11"/>
      <c r="I5046" s="21"/>
      <c r="J5046" s="21"/>
      <c r="K5046" s="21"/>
      <c r="L5046" s="21"/>
      <c r="M5046" s="21"/>
      <c r="N5046" s="21"/>
    </row>
    <row r="5047" spans="1:14" ht="15.75" customHeight="1" x14ac:dyDescent="0.25">
      <c r="A5047" s="7"/>
      <c r="B5047" s="343" t="s">
        <v>343</v>
      </c>
      <c r="C5047" s="344"/>
      <c r="D5047" s="344"/>
      <c r="E5047" s="334"/>
      <c r="F5047" s="167">
        <f>(F5045-F5046)*11%</f>
        <v>560851.5</v>
      </c>
      <c r="G5047" s="25"/>
      <c r="H5047" s="11"/>
      <c r="I5047" s="21"/>
      <c r="J5047" s="21"/>
      <c r="K5047" s="21"/>
      <c r="L5047" s="21"/>
      <c r="M5047" s="21"/>
      <c r="N5047" s="21"/>
    </row>
    <row r="5048" spans="1:14" ht="15.75" customHeight="1" x14ac:dyDescent="0.25">
      <c r="A5048" s="7"/>
      <c r="B5048" s="345" t="s">
        <v>344</v>
      </c>
      <c r="C5048" s="344"/>
      <c r="D5048" s="344"/>
      <c r="E5048" s="334"/>
      <c r="F5048" s="168">
        <f>F5045-F5046+F5047</f>
        <v>5659501.5</v>
      </c>
      <c r="G5048" s="25"/>
      <c r="H5048" s="11"/>
      <c r="I5048" s="21"/>
      <c r="J5048" s="21"/>
      <c r="K5048" s="21"/>
      <c r="L5048" s="21"/>
      <c r="M5048" s="21"/>
      <c r="N5048" s="21"/>
    </row>
    <row r="5049" spans="1:14" ht="15.75" customHeight="1" x14ac:dyDescent="0.25">
      <c r="A5049" s="21"/>
      <c r="B5049" s="21"/>
      <c r="C5049" s="11"/>
      <c r="D5049" s="11"/>
      <c r="E5049" s="21"/>
      <c r="F5049" s="21"/>
      <c r="G5049" s="25"/>
      <c r="H5049" s="11"/>
      <c r="I5049" s="21"/>
      <c r="J5049" s="21"/>
      <c r="K5049" s="21"/>
      <c r="L5049" s="21"/>
      <c r="M5049" s="21"/>
      <c r="N5049" s="21"/>
    </row>
    <row r="5050" spans="1:14" ht="15.75" customHeight="1" x14ac:dyDescent="0.25">
      <c r="A5050" s="21"/>
      <c r="B5050" s="21"/>
      <c r="C5050" s="11"/>
      <c r="D5050" s="11"/>
      <c r="E5050" s="21"/>
      <c r="F5050" s="21"/>
      <c r="G5050" s="25"/>
      <c r="H5050" s="11"/>
      <c r="I5050" s="21"/>
      <c r="J5050" s="21"/>
      <c r="K5050" s="21"/>
      <c r="L5050" s="21"/>
      <c r="M5050" s="21"/>
      <c r="N5050" s="21"/>
    </row>
    <row r="5051" spans="1:14" ht="15.75" customHeight="1" x14ac:dyDescent="0.25">
      <c r="A5051" s="21"/>
      <c r="B5051" s="21"/>
      <c r="C5051" s="11"/>
      <c r="D5051" s="11"/>
      <c r="E5051" s="21"/>
      <c r="F5051" s="21"/>
      <c r="G5051" s="25"/>
      <c r="H5051" s="11"/>
      <c r="I5051" s="21"/>
      <c r="J5051" s="21"/>
      <c r="K5051" s="21"/>
      <c r="L5051" s="21"/>
      <c r="M5051" s="21"/>
      <c r="N5051" s="21"/>
    </row>
    <row r="5052" spans="1:14" ht="15.75" customHeight="1" x14ac:dyDescent="0.25">
      <c r="A5052" s="31" t="s">
        <v>14</v>
      </c>
      <c r="B5052" s="31" t="s">
        <v>234</v>
      </c>
      <c r="C5052" s="31" t="s">
        <v>16</v>
      </c>
      <c r="D5052" s="31" t="s">
        <v>17</v>
      </c>
      <c r="E5052" s="31" t="s">
        <v>235</v>
      </c>
      <c r="F5052" s="31" t="s">
        <v>236</v>
      </c>
      <c r="G5052" s="144" t="s">
        <v>4</v>
      </c>
      <c r="H5052" s="11"/>
      <c r="I5052" s="21"/>
      <c r="J5052" s="21"/>
      <c r="K5052" s="21"/>
      <c r="L5052" s="21"/>
      <c r="M5052" s="21"/>
      <c r="N5052" s="21"/>
    </row>
    <row r="5053" spans="1:14" ht="15.75" customHeight="1" x14ac:dyDescent="0.25">
      <c r="A5053" s="7">
        <v>1</v>
      </c>
      <c r="B5053" s="35" t="s">
        <v>1916</v>
      </c>
      <c r="C5053" s="7">
        <v>4</v>
      </c>
      <c r="D5053" s="7" t="s">
        <v>243</v>
      </c>
      <c r="E5053" s="37">
        <v>867000</v>
      </c>
      <c r="F5053" s="37">
        <f>E5053*C5053</f>
        <v>3468000</v>
      </c>
      <c r="G5053" s="172">
        <v>45343</v>
      </c>
      <c r="H5053" s="11"/>
      <c r="I5053" s="21"/>
      <c r="J5053" s="21"/>
      <c r="K5053" s="21"/>
      <c r="L5053" s="21"/>
      <c r="M5053" s="21"/>
      <c r="N5053" s="21"/>
    </row>
    <row r="5054" spans="1:14" ht="15.75" customHeight="1" x14ac:dyDescent="0.25">
      <c r="A5054" s="7">
        <v>2</v>
      </c>
      <c r="B5054" s="41" t="s">
        <v>1917</v>
      </c>
      <c r="C5054" s="7">
        <v>6</v>
      </c>
      <c r="D5054" s="7" t="s">
        <v>243</v>
      </c>
      <c r="E5054" s="108">
        <v>1204000</v>
      </c>
      <c r="F5054" s="37">
        <f>E5054*C5054</f>
        <v>7224000</v>
      </c>
      <c r="G5054" s="25" t="s">
        <v>1918</v>
      </c>
      <c r="H5054" s="11"/>
      <c r="I5054" s="21"/>
      <c r="J5054" s="21"/>
      <c r="K5054" s="21"/>
      <c r="L5054" s="21"/>
      <c r="M5054" s="21"/>
      <c r="N5054" s="21"/>
    </row>
    <row r="5055" spans="1:14" ht="15.75" customHeight="1" x14ac:dyDescent="0.25">
      <c r="A5055" s="7">
        <v>3</v>
      </c>
      <c r="B5055" s="41" t="s">
        <v>1919</v>
      </c>
      <c r="C5055" s="7">
        <v>10</v>
      </c>
      <c r="D5055" s="7" t="s">
        <v>19</v>
      </c>
      <c r="E5055" s="37">
        <v>69800</v>
      </c>
      <c r="F5055" s="37">
        <f>E5055*C5055</f>
        <v>698000</v>
      </c>
      <c r="G5055" s="25"/>
      <c r="H5055" s="11"/>
      <c r="I5055" s="21"/>
      <c r="J5055" s="21"/>
      <c r="K5055" s="21"/>
      <c r="L5055" s="21"/>
      <c r="M5055" s="21"/>
      <c r="N5055" s="21"/>
    </row>
    <row r="5056" spans="1:14" ht="15.75" customHeight="1" x14ac:dyDescent="0.25">
      <c r="A5056" s="7"/>
      <c r="B5056" s="343" t="s">
        <v>342</v>
      </c>
      <c r="C5056" s="344"/>
      <c r="D5056" s="344"/>
      <c r="E5056" s="334"/>
      <c r="F5056" s="104">
        <f>SUM(F5053:F5055)</f>
        <v>11390000</v>
      </c>
      <c r="G5056" s="25"/>
      <c r="H5056" s="11"/>
      <c r="I5056" s="21"/>
      <c r="J5056" s="21"/>
      <c r="K5056" s="21"/>
      <c r="L5056" s="21"/>
      <c r="M5056" s="21"/>
      <c r="N5056" s="21"/>
    </row>
    <row r="5057" spans="1:14" ht="15.75" customHeight="1" x14ac:dyDescent="0.25">
      <c r="A5057" s="7"/>
      <c r="B5057" s="343" t="s">
        <v>634</v>
      </c>
      <c r="C5057" s="344"/>
      <c r="D5057" s="344"/>
      <c r="E5057" s="334"/>
      <c r="F5057" s="104">
        <v>341700</v>
      </c>
      <c r="G5057" s="25"/>
      <c r="H5057" s="11"/>
      <c r="I5057" s="21"/>
      <c r="J5057" s="21"/>
      <c r="K5057" s="21"/>
      <c r="L5057" s="21"/>
      <c r="M5057" s="21"/>
      <c r="N5057" s="21"/>
    </row>
    <row r="5058" spans="1:14" ht="15.75" customHeight="1" x14ac:dyDescent="0.25">
      <c r="A5058" s="7"/>
      <c r="B5058" s="343" t="s">
        <v>343</v>
      </c>
      <c r="C5058" s="344"/>
      <c r="D5058" s="344"/>
      <c r="E5058" s="334"/>
      <c r="F5058" s="104">
        <f>(F5056-F5057)*11%</f>
        <v>1215313</v>
      </c>
      <c r="G5058" s="25"/>
      <c r="H5058" s="11"/>
      <c r="I5058" s="21"/>
      <c r="J5058" s="21"/>
      <c r="K5058" s="21"/>
      <c r="L5058" s="21"/>
      <c r="M5058" s="21"/>
      <c r="N5058" s="21"/>
    </row>
    <row r="5059" spans="1:14" ht="15.75" customHeight="1" x14ac:dyDescent="0.25">
      <c r="A5059" s="7"/>
      <c r="B5059" s="106" t="s">
        <v>344</v>
      </c>
      <c r="C5059" s="145"/>
      <c r="D5059" s="145"/>
      <c r="E5059" s="146"/>
      <c r="F5059" s="107">
        <f>F5056-F5057+F5058</f>
        <v>12263613</v>
      </c>
      <c r="G5059" s="25"/>
      <c r="H5059" s="11"/>
      <c r="I5059" s="21"/>
      <c r="J5059" s="21"/>
      <c r="K5059" s="21"/>
      <c r="L5059" s="21"/>
      <c r="M5059" s="21"/>
      <c r="N5059" s="21"/>
    </row>
    <row r="5060" spans="1:14" ht="15.75" customHeight="1" x14ac:dyDescent="0.25">
      <c r="A5060" s="21"/>
      <c r="B5060" s="21"/>
      <c r="C5060" s="11"/>
      <c r="D5060" s="11"/>
      <c r="E5060" s="21"/>
      <c r="F5060" s="21"/>
      <c r="G5060" s="25"/>
      <c r="H5060" s="11"/>
      <c r="I5060" s="21"/>
      <c r="J5060" s="21"/>
      <c r="K5060" s="21"/>
      <c r="L5060" s="21"/>
      <c r="M5060" s="21"/>
      <c r="N5060" s="21"/>
    </row>
    <row r="5061" spans="1:14" ht="15.75" customHeight="1" x14ac:dyDescent="0.25">
      <c r="A5061" s="21"/>
      <c r="B5061" s="21"/>
      <c r="C5061" s="11"/>
      <c r="D5061" s="11"/>
      <c r="E5061" s="21"/>
      <c r="F5061" s="21"/>
      <c r="G5061" s="25"/>
      <c r="H5061" s="11"/>
      <c r="I5061" s="21"/>
      <c r="J5061" s="21"/>
      <c r="K5061" s="21"/>
      <c r="L5061" s="21"/>
      <c r="M5061" s="21"/>
      <c r="N5061" s="21"/>
    </row>
    <row r="5062" spans="1:14" ht="15.75" customHeight="1" x14ac:dyDescent="0.25">
      <c r="A5062" s="31" t="s">
        <v>14</v>
      </c>
      <c r="B5062" s="31" t="s">
        <v>234</v>
      </c>
      <c r="C5062" s="31" t="s">
        <v>16</v>
      </c>
      <c r="D5062" s="31" t="s">
        <v>17</v>
      </c>
      <c r="E5062" s="31" t="s">
        <v>235</v>
      </c>
      <c r="F5062" s="31" t="s">
        <v>236</v>
      </c>
      <c r="G5062" s="144" t="s">
        <v>4</v>
      </c>
      <c r="H5062" s="11"/>
      <c r="I5062" s="21"/>
      <c r="J5062" s="21"/>
      <c r="K5062" s="21"/>
      <c r="L5062" s="21"/>
      <c r="M5062" s="21"/>
      <c r="N5062" s="21"/>
    </row>
    <row r="5063" spans="1:14" ht="15.75" customHeight="1" x14ac:dyDescent="0.25">
      <c r="A5063" s="7">
        <v>1</v>
      </c>
      <c r="B5063" s="35" t="s">
        <v>1920</v>
      </c>
      <c r="C5063" s="170" t="s">
        <v>1921</v>
      </c>
      <c r="D5063" s="7" t="s">
        <v>1879</v>
      </c>
      <c r="E5063" s="37">
        <v>543000</v>
      </c>
      <c r="F5063" s="37">
        <f>E5063*10</f>
        <v>5430000</v>
      </c>
      <c r="G5063" s="172">
        <v>45343</v>
      </c>
      <c r="H5063" s="11"/>
      <c r="I5063" s="21"/>
      <c r="J5063" s="21"/>
      <c r="K5063" s="21"/>
      <c r="L5063" s="21"/>
      <c r="M5063" s="21"/>
      <c r="N5063" s="21"/>
    </row>
    <row r="5064" spans="1:14" ht="15.75" customHeight="1" x14ac:dyDescent="0.25">
      <c r="A5064" s="7"/>
      <c r="B5064" s="343" t="s">
        <v>342</v>
      </c>
      <c r="C5064" s="344"/>
      <c r="D5064" s="344"/>
      <c r="E5064" s="334"/>
      <c r="F5064" s="104">
        <f>SUM(F5063)</f>
        <v>5430000</v>
      </c>
      <c r="G5064" s="171" t="s">
        <v>1922</v>
      </c>
      <c r="H5064" s="11"/>
      <c r="I5064" s="21"/>
      <c r="J5064" s="21"/>
      <c r="K5064" s="21"/>
      <c r="L5064" s="21"/>
      <c r="M5064" s="21"/>
      <c r="N5064" s="21"/>
    </row>
    <row r="5065" spans="1:14" ht="15.75" customHeight="1" x14ac:dyDescent="0.25">
      <c r="A5065" s="7"/>
      <c r="B5065" s="343" t="s">
        <v>343</v>
      </c>
      <c r="C5065" s="344"/>
      <c r="D5065" s="344"/>
      <c r="E5065" s="334"/>
      <c r="F5065" s="104">
        <f>F5064*11%</f>
        <v>597300</v>
      </c>
      <c r="G5065" s="25"/>
      <c r="H5065" s="11"/>
      <c r="I5065" s="21"/>
      <c r="J5065" s="21"/>
      <c r="K5065" s="21"/>
      <c r="L5065" s="21"/>
      <c r="M5065" s="21"/>
      <c r="N5065" s="21"/>
    </row>
    <row r="5066" spans="1:14" ht="15.75" customHeight="1" x14ac:dyDescent="0.25">
      <c r="A5066" s="7"/>
      <c r="B5066" s="345" t="s">
        <v>344</v>
      </c>
      <c r="C5066" s="344"/>
      <c r="D5066" s="344"/>
      <c r="E5066" s="334"/>
      <c r="F5066" s="107">
        <f>SUM(F5064:F5065)</f>
        <v>6027300</v>
      </c>
      <c r="G5066" s="25"/>
      <c r="H5066" s="11"/>
      <c r="I5066" s="21"/>
      <c r="J5066" s="21"/>
      <c r="K5066" s="21"/>
      <c r="L5066" s="21"/>
      <c r="M5066" s="21"/>
      <c r="N5066" s="21"/>
    </row>
    <row r="5067" spans="1:14" ht="15.75" customHeight="1" x14ac:dyDescent="0.25">
      <c r="A5067" s="21"/>
      <c r="B5067" s="21"/>
      <c r="C5067" s="11"/>
      <c r="D5067" s="11"/>
      <c r="E5067" s="21"/>
      <c r="F5067" s="21"/>
      <c r="G5067" s="25"/>
      <c r="H5067" s="11"/>
      <c r="I5067" s="21"/>
      <c r="J5067" s="21"/>
      <c r="K5067" s="21"/>
      <c r="L5067" s="21"/>
      <c r="M5067" s="21"/>
      <c r="N5067" s="21"/>
    </row>
    <row r="5068" spans="1:14" ht="15.75" customHeight="1" x14ac:dyDescent="0.25">
      <c r="A5068" s="31" t="s">
        <v>14</v>
      </c>
      <c r="B5068" s="31" t="s">
        <v>234</v>
      </c>
      <c r="C5068" s="31" t="s">
        <v>16</v>
      </c>
      <c r="D5068" s="31" t="s">
        <v>17</v>
      </c>
      <c r="E5068" s="31" t="s">
        <v>235</v>
      </c>
      <c r="F5068" s="31" t="s">
        <v>236</v>
      </c>
      <c r="G5068" s="144" t="s">
        <v>4</v>
      </c>
      <c r="H5068" s="11"/>
      <c r="I5068" s="21"/>
      <c r="J5068" s="21"/>
      <c r="K5068" s="21"/>
      <c r="L5068" s="21"/>
      <c r="M5068" s="21"/>
      <c r="N5068" s="21"/>
    </row>
    <row r="5069" spans="1:14" ht="15.75" customHeight="1" x14ac:dyDescent="0.25">
      <c r="A5069" s="7">
        <v>1</v>
      </c>
      <c r="B5069" s="35" t="s">
        <v>1923</v>
      </c>
      <c r="C5069" s="7">
        <v>1</v>
      </c>
      <c r="D5069" s="7" t="s">
        <v>243</v>
      </c>
      <c r="E5069" s="37">
        <v>4873500</v>
      </c>
      <c r="F5069" s="37">
        <f>E5069*C5069</f>
        <v>4873500</v>
      </c>
      <c r="G5069" s="172">
        <v>45344</v>
      </c>
      <c r="H5069" s="11"/>
      <c r="I5069" s="21"/>
      <c r="J5069" s="21"/>
      <c r="K5069" s="21"/>
      <c r="L5069" s="21"/>
      <c r="M5069" s="21"/>
      <c r="N5069" s="21"/>
    </row>
    <row r="5070" spans="1:14" ht="15.75" customHeight="1" x14ac:dyDescent="0.25">
      <c r="A5070" s="7">
        <v>2</v>
      </c>
      <c r="B5070" s="41" t="s">
        <v>1924</v>
      </c>
      <c r="C5070" s="7">
        <v>2</v>
      </c>
      <c r="D5070" s="7" t="s">
        <v>19</v>
      </c>
      <c r="E5070" s="108">
        <v>235800</v>
      </c>
      <c r="F5070" s="37">
        <f>E5070*C5070</f>
        <v>471600</v>
      </c>
      <c r="G5070" s="171" t="s">
        <v>1925</v>
      </c>
      <c r="H5070" s="11"/>
      <c r="I5070" s="21"/>
      <c r="J5070" s="21"/>
      <c r="K5070" s="21"/>
      <c r="L5070" s="21"/>
      <c r="M5070" s="21"/>
      <c r="N5070" s="21"/>
    </row>
    <row r="5071" spans="1:14" ht="15.75" customHeight="1" x14ac:dyDescent="0.25">
      <c r="A5071" s="7"/>
      <c r="B5071" s="343" t="s">
        <v>342</v>
      </c>
      <c r="C5071" s="344"/>
      <c r="D5071" s="344"/>
      <c r="E5071" s="334"/>
      <c r="F5071" s="104">
        <f>SUM(F5069:F5070)</f>
        <v>5345100</v>
      </c>
      <c r="G5071" s="25"/>
      <c r="H5071" s="11"/>
      <c r="I5071" s="21"/>
      <c r="J5071" s="21"/>
      <c r="K5071" s="21"/>
      <c r="L5071" s="21"/>
      <c r="M5071" s="21"/>
      <c r="N5071" s="21"/>
    </row>
    <row r="5072" spans="1:14" ht="15.75" customHeight="1" x14ac:dyDescent="0.25">
      <c r="A5072" s="7"/>
      <c r="B5072" s="343" t="s">
        <v>634</v>
      </c>
      <c r="C5072" s="344"/>
      <c r="D5072" s="344"/>
      <c r="E5072" s="334"/>
      <c r="F5072" s="104">
        <v>160353</v>
      </c>
      <c r="G5072" s="25"/>
      <c r="H5072" s="11"/>
      <c r="I5072" s="21"/>
      <c r="J5072" s="21"/>
      <c r="K5072" s="21"/>
      <c r="L5072" s="21"/>
      <c r="M5072" s="21"/>
      <c r="N5072" s="21"/>
    </row>
    <row r="5073" spans="1:14" ht="15.75" customHeight="1" x14ac:dyDescent="0.25">
      <c r="A5073" s="7"/>
      <c r="B5073" s="343" t="s">
        <v>343</v>
      </c>
      <c r="C5073" s="344"/>
      <c r="D5073" s="344"/>
      <c r="E5073" s="334"/>
      <c r="F5073" s="167">
        <f>(F5071-F5072)*11%</f>
        <v>570322.17000000004</v>
      </c>
      <c r="G5073" s="25"/>
      <c r="H5073" s="11"/>
      <c r="I5073" s="21"/>
      <c r="J5073" s="21"/>
      <c r="K5073" s="21"/>
      <c r="L5073" s="21"/>
      <c r="M5073" s="21"/>
      <c r="N5073" s="21"/>
    </row>
    <row r="5074" spans="1:14" ht="15.75" customHeight="1" x14ac:dyDescent="0.25">
      <c r="A5074" s="7"/>
      <c r="B5074" s="106" t="s">
        <v>344</v>
      </c>
      <c r="C5074" s="145"/>
      <c r="D5074" s="145"/>
      <c r="E5074" s="146"/>
      <c r="F5074" s="168">
        <f>F5071-F5072+F5073</f>
        <v>5755069.1699999999</v>
      </c>
      <c r="G5074" s="25"/>
      <c r="H5074" s="11"/>
      <c r="I5074" s="21"/>
      <c r="J5074" s="21"/>
      <c r="K5074" s="21"/>
      <c r="L5074" s="21"/>
      <c r="M5074" s="21"/>
      <c r="N5074" s="21"/>
    </row>
    <row r="5075" spans="1:14" ht="15.75" customHeight="1" x14ac:dyDescent="0.25">
      <c r="A5075" s="21"/>
      <c r="B5075" s="21"/>
      <c r="C5075" s="11"/>
      <c r="D5075" s="11"/>
      <c r="E5075" s="21"/>
      <c r="F5075" s="21"/>
      <c r="G5075" s="25"/>
      <c r="H5075" s="11"/>
      <c r="I5075" s="21"/>
      <c r="J5075" s="21"/>
      <c r="K5075" s="21"/>
      <c r="L5075" s="21"/>
      <c r="M5075" s="21"/>
      <c r="N5075" s="21"/>
    </row>
    <row r="5076" spans="1:14" ht="15.75" customHeight="1" x14ac:dyDescent="0.25">
      <c r="A5076" s="21"/>
      <c r="B5076" s="21"/>
      <c r="C5076" s="11"/>
      <c r="D5076" s="11"/>
      <c r="E5076" s="21"/>
      <c r="F5076" s="21"/>
      <c r="G5076" s="25"/>
      <c r="H5076" s="11"/>
      <c r="I5076" s="21"/>
      <c r="J5076" s="21"/>
      <c r="K5076" s="21"/>
      <c r="L5076" s="21"/>
      <c r="M5076" s="21"/>
      <c r="N5076" s="21"/>
    </row>
    <row r="5077" spans="1:14" ht="15.75" customHeight="1" x14ac:dyDescent="0.25">
      <c r="A5077" s="31" t="s">
        <v>14</v>
      </c>
      <c r="B5077" s="31" t="s">
        <v>234</v>
      </c>
      <c r="C5077" s="31" t="s">
        <v>16</v>
      </c>
      <c r="D5077" s="31" t="s">
        <v>17</v>
      </c>
      <c r="E5077" s="31" t="s">
        <v>235</v>
      </c>
      <c r="F5077" s="31" t="s">
        <v>236</v>
      </c>
      <c r="G5077" s="180" t="s">
        <v>1926</v>
      </c>
      <c r="H5077" s="33" t="s">
        <v>1927</v>
      </c>
      <c r="I5077" s="21"/>
      <c r="J5077" s="21"/>
      <c r="K5077" s="21"/>
      <c r="L5077" s="21"/>
      <c r="M5077" s="21"/>
      <c r="N5077" s="21"/>
    </row>
    <row r="5078" spans="1:14" ht="15.75" customHeight="1" x14ac:dyDescent="0.25">
      <c r="A5078" s="7">
        <v>1</v>
      </c>
      <c r="B5078" s="41" t="s">
        <v>1928</v>
      </c>
      <c r="C5078" s="7">
        <v>3</v>
      </c>
      <c r="D5078" s="7" t="s">
        <v>19</v>
      </c>
      <c r="E5078" s="37">
        <v>291800</v>
      </c>
      <c r="F5078" s="37">
        <f t="shared" ref="F5078:F5083" si="56">E5078*C5078</f>
        <v>875400</v>
      </c>
      <c r="G5078" s="172">
        <v>45337</v>
      </c>
      <c r="H5078" s="7" t="s">
        <v>1929</v>
      </c>
      <c r="I5078" s="21"/>
      <c r="J5078" s="21"/>
      <c r="K5078" s="21"/>
      <c r="L5078" s="21"/>
      <c r="M5078" s="21"/>
      <c r="N5078" s="21"/>
    </row>
    <row r="5079" spans="1:14" ht="15.75" customHeight="1" x14ac:dyDescent="0.25">
      <c r="A5079" s="7">
        <v>2</v>
      </c>
      <c r="B5079" s="41" t="s">
        <v>1930</v>
      </c>
      <c r="C5079" s="7">
        <v>10</v>
      </c>
      <c r="D5079" s="7" t="s">
        <v>19</v>
      </c>
      <c r="E5079" s="37">
        <v>128500</v>
      </c>
      <c r="F5079" s="37">
        <f t="shared" si="56"/>
        <v>1285000</v>
      </c>
      <c r="G5079" s="171" t="s">
        <v>1931</v>
      </c>
      <c r="H5079" s="7">
        <v>0</v>
      </c>
      <c r="I5079" s="21"/>
      <c r="J5079" s="21"/>
      <c r="K5079" s="21"/>
      <c r="L5079" s="21"/>
      <c r="M5079" s="21"/>
      <c r="N5079" s="21"/>
    </row>
    <row r="5080" spans="1:14" ht="15.75" customHeight="1" x14ac:dyDescent="0.25">
      <c r="A5080" s="7">
        <v>3</v>
      </c>
      <c r="B5080" s="41" t="s">
        <v>1932</v>
      </c>
      <c r="C5080" s="7">
        <v>10</v>
      </c>
      <c r="D5080" s="7" t="s">
        <v>19</v>
      </c>
      <c r="E5080" s="37">
        <v>287500</v>
      </c>
      <c r="F5080" s="37">
        <f t="shared" si="56"/>
        <v>2875000</v>
      </c>
      <c r="G5080" s="25"/>
      <c r="H5080" s="7">
        <v>0</v>
      </c>
      <c r="I5080" s="21"/>
      <c r="J5080" s="21"/>
      <c r="K5080" s="21"/>
      <c r="L5080" s="21"/>
      <c r="M5080" s="21"/>
      <c r="N5080" s="21"/>
    </row>
    <row r="5081" spans="1:14" ht="15.75" customHeight="1" x14ac:dyDescent="0.25">
      <c r="A5081" s="7">
        <v>4</v>
      </c>
      <c r="B5081" s="41" t="s">
        <v>1933</v>
      </c>
      <c r="C5081" s="7">
        <v>3</v>
      </c>
      <c r="D5081" s="7" t="s">
        <v>347</v>
      </c>
      <c r="E5081" s="37">
        <v>4275000</v>
      </c>
      <c r="F5081" s="37">
        <f t="shared" si="56"/>
        <v>12825000</v>
      </c>
      <c r="G5081" s="25"/>
      <c r="H5081" s="7">
        <v>5</v>
      </c>
      <c r="I5081" s="21"/>
      <c r="J5081" s="21"/>
      <c r="K5081" s="21"/>
      <c r="L5081" s="21"/>
      <c r="M5081" s="21"/>
      <c r="N5081" s="21"/>
    </row>
    <row r="5082" spans="1:14" ht="15.75" customHeight="1" x14ac:dyDescent="0.25">
      <c r="A5082" s="7">
        <v>5</v>
      </c>
      <c r="B5082" s="41" t="s">
        <v>1934</v>
      </c>
      <c r="C5082" s="7">
        <v>2</v>
      </c>
      <c r="D5082" s="7" t="s">
        <v>347</v>
      </c>
      <c r="E5082" s="37">
        <v>2907000</v>
      </c>
      <c r="F5082" s="37">
        <f t="shared" si="56"/>
        <v>5814000</v>
      </c>
      <c r="G5082" s="25"/>
      <c r="H5082" s="7">
        <v>5</v>
      </c>
      <c r="I5082" s="21"/>
      <c r="J5082" s="21"/>
      <c r="K5082" s="21"/>
      <c r="L5082" s="21"/>
      <c r="M5082" s="21"/>
      <c r="N5082" s="21"/>
    </row>
    <row r="5083" spans="1:14" ht="15.75" customHeight="1" x14ac:dyDescent="0.25">
      <c r="A5083" s="7">
        <v>6</v>
      </c>
      <c r="B5083" s="41" t="s">
        <v>1935</v>
      </c>
      <c r="C5083" s="7">
        <v>5</v>
      </c>
      <c r="D5083" s="7" t="s">
        <v>19</v>
      </c>
      <c r="E5083" s="37">
        <v>112100</v>
      </c>
      <c r="F5083" s="37">
        <f t="shared" si="56"/>
        <v>560500</v>
      </c>
      <c r="G5083" s="25"/>
      <c r="H5083" s="7">
        <v>5</v>
      </c>
      <c r="I5083" s="21"/>
      <c r="J5083" s="21"/>
      <c r="K5083" s="21"/>
      <c r="L5083" s="21"/>
      <c r="M5083" s="21"/>
      <c r="N5083" s="21"/>
    </row>
    <row r="5084" spans="1:14" ht="15.75" customHeight="1" x14ac:dyDescent="0.25">
      <c r="A5084" s="7"/>
      <c r="B5084" s="343" t="s">
        <v>342</v>
      </c>
      <c r="C5084" s="344"/>
      <c r="D5084" s="344"/>
      <c r="E5084" s="334"/>
      <c r="F5084" s="104">
        <f>SUM(F5078:F5083)</f>
        <v>24234900</v>
      </c>
      <c r="G5084" s="25"/>
      <c r="H5084" s="11"/>
      <c r="I5084" s="21"/>
      <c r="J5084" s="21"/>
      <c r="K5084" s="21"/>
      <c r="L5084" s="21"/>
      <c r="M5084" s="21"/>
      <c r="N5084" s="21"/>
    </row>
    <row r="5085" spans="1:14" ht="15.75" customHeight="1" x14ac:dyDescent="0.25">
      <c r="A5085" s="7"/>
      <c r="B5085" s="343" t="s">
        <v>343</v>
      </c>
      <c r="C5085" s="344"/>
      <c r="D5085" s="344"/>
      <c r="E5085" s="334"/>
      <c r="F5085" s="104">
        <f>F5084*11%</f>
        <v>2665839</v>
      </c>
      <c r="G5085" s="25"/>
      <c r="H5085" s="11"/>
      <c r="I5085" s="21"/>
      <c r="J5085" s="21"/>
      <c r="K5085" s="21"/>
      <c r="L5085" s="21"/>
      <c r="M5085" s="21"/>
      <c r="N5085" s="21"/>
    </row>
    <row r="5086" spans="1:14" ht="15.75" customHeight="1" x14ac:dyDescent="0.25">
      <c r="A5086" s="7"/>
      <c r="B5086" s="345" t="s">
        <v>344</v>
      </c>
      <c r="C5086" s="344"/>
      <c r="D5086" s="344"/>
      <c r="E5086" s="334"/>
      <c r="F5086" s="107">
        <f>SUM(F5084:F5085)</f>
        <v>26900739</v>
      </c>
      <c r="G5086" s="25"/>
      <c r="H5086" s="11"/>
      <c r="I5086" s="21"/>
      <c r="J5086" s="21"/>
      <c r="K5086" s="21"/>
      <c r="L5086" s="21"/>
      <c r="M5086" s="21"/>
      <c r="N5086" s="21"/>
    </row>
    <row r="5087" spans="1:14" ht="15.75" customHeight="1" x14ac:dyDescent="0.25">
      <c r="A5087" s="21"/>
      <c r="B5087" s="21"/>
      <c r="C5087" s="11"/>
      <c r="D5087" s="11"/>
      <c r="E5087" s="21"/>
      <c r="F5087" s="21"/>
      <c r="G5087" s="25"/>
      <c r="H5087" s="11"/>
      <c r="I5087" s="21"/>
      <c r="J5087" s="21"/>
      <c r="K5087" s="21"/>
      <c r="L5087" s="21"/>
      <c r="M5087" s="21"/>
      <c r="N5087" s="21"/>
    </row>
    <row r="5088" spans="1:14" ht="15.75" customHeight="1" x14ac:dyDescent="0.25">
      <c r="A5088" s="21"/>
      <c r="B5088" s="21"/>
      <c r="C5088" s="11"/>
      <c r="D5088" s="11"/>
      <c r="E5088" s="21"/>
      <c r="F5088" s="21"/>
      <c r="G5088" s="25"/>
      <c r="H5088" s="11"/>
      <c r="I5088" s="21"/>
      <c r="J5088" s="21"/>
      <c r="K5088" s="21"/>
      <c r="L5088" s="21"/>
      <c r="M5088" s="21"/>
      <c r="N5088" s="21"/>
    </row>
    <row r="5089" spans="1:14" ht="15.75" customHeight="1" x14ac:dyDescent="0.25">
      <c r="A5089" s="31" t="s">
        <v>14</v>
      </c>
      <c r="B5089" s="31" t="s">
        <v>234</v>
      </c>
      <c r="C5089" s="31" t="s">
        <v>16</v>
      </c>
      <c r="D5089" s="31" t="s">
        <v>17</v>
      </c>
      <c r="E5089" s="31" t="s">
        <v>235</v>
      </c>
      <c r="F5089" s="31" t="s">
        <v>236</v>
      </c>
      <c r="G5089" s="25" t="s">
        <v>1926</v>
      </c>
      <c r="H5089" s="33" t="s">
        <v>1927</v>
      </c>
      <c r="I5089" s="21"/>
      <c r="J5089" s="21"/>
      <c r="K5089" s="21"/>
      <c r="L5089" s="21"/>
      <c r="M5089" s="21"/>
      <c r="N5089" s="21"/>
    </row>
    <row r="5090" spans="1:14" ht="15.75" customHeight="1" x14ac:dyDescent="0.25">
      <c r="A5090" s="7">
        <v>1</v>
      </c>
      <c r="B5090" s="35" t="s">
        <v>1936</v>
      </c>
      <c r="C5090" s="7">
        <v>2</v>
      </c>
      <c r="D5090" s="7" t="s">
        <v>19</v>
      </c>
      <c r="E5090" s="37">
        <v>1333750</v>
      </c>
      <c r="F5090" s="37">
        <f>E5090*C5090</f>
        <v>2667500</v>
      </c>
      <c r="G5090" s="172">
        <v>45338</v>
      </c>
      <c r="H5090" s="7">
        <v>3</v>
      </c>
      <c r="I5090" s="21"/>
      <c r="J5090" s="21"/>
      <c r="K5090" s="21"/>
      <c r="L5090" s="21"/>
      <c r="M5090" s="21"/>
      <c r="N5090" s="21"/>
    </row>
    <row r="5091" spans="1:14" ht="15.75" customHeight="1" x14ac:dyDescent="0.25">
      <c r="A5091" s="7"/>
      <c r="B5091" s="343" t="s">
        <v>342</v>
      </c>
      <c r="C5091" s="344"/>
      <c r="D5091" s="344"/>
      <c r="E5091" s="334"/>
      <c r="F5091" s="104">
        <f>SUM(F5090)</f>
        <v>2667500</v>
      </c>
      <c r="G5091" s="42" t="s">
        <v>1937</v>
      </c>
      <c r="H5091" s="21"/>
      <c r="I5091" s="21"/>
      <c r="J5091" s="21"/>
      <c r="K5091" s="21"/>
      <c r="L5091" s="21"/>
      <c r="M5091" s="21"/>
      <c r="N5091" s="21"/>
    </row>
    <row r="5092" spans="1:14" ht="15.75" customHeight="1" x14ac:dyDescent="0.25">
      <c r="A5092" s="7"/>
      <c r="B5092" s="343" t="s">
        <v>343</v>
      </c>
      <c r="C5092" s="344"/>
      <c r="D5092" s="344"/>
      <c r="E5092" s="334"/>
      <c r="F5092" s="104">
        <f>F5091*11%</f>
        <v>293425</v>
      </c>
      <c r="G5092" s="25"/>
      <c r="H5092" s="21"/>
      <c r="I5092" s="21"/>
      <c r="J5092" s="21"/>
      <c r="K5092" s="21"/>
      <c r="L5092" s="21"/>
      <c r="M5092" s="21"/>
      <c r="N5092" s="21"/>
    </row>
    <row r="5093" spans="1:14" ht="15.75" customHeight="1" x14ac:dyDescent="0.25">
      <c r="A5093" s="7"/>
      <c r="B5093" s="345" t="s">
        <v>344</v>
      </c>
      <c r="C5093" s="344"/>
      <c r="D5093" s="344"/>
      <c r="E5093" s="334"/>
      <c r="F5093" s="107">
        <f>SUM(F5091:F5092)</f>
        <v>2960925</v>
      </c>
      <c r="G5093" s="25"/>
      <c r="H5093" s="21"/>
      <c r="I5093" s="21"/>
      <c r="J5093" s="21"/>
      <c r="K5093" s="21"/>
      <c r="L5093" s="21"/>
      <c r="M5093" s="21"/>
      <c r="N5093" s="21"/>
    </row>
    <row r="5094" spans="1:14" ht="15.75" customHeight="1" x14ac:dyDescent="0.25">
      <c r="A5094" s="21"/>
      <c r="B5094" s="21"/>
      <c r="C5094" s="11"/>
      <c r="D5094" s="11"/>
      <c r="E5094" s="21"/>
      <c r="F5094" s="21"/>
      <c r="G5094" s="25"/>
      <c r="H5094" s="11"/>
      <c r="I5094" s="21"/>
      <c r="J5094" s="21"/>
      <c r="K5094" s="21"/>
      <c r="L5094" s="21"/>
      <c r="M5094" s="21"/>
      <c r="N5094" s="21"/>
    </row>
    <row r="5095" spans="1:14" ht="15.75" customHeight="1" x14ac:dyDescent="0.25">
      <c r="A5095" s="21"/>
      <c r="B5095" s="21"/>
      <c r="C5095" s="11"/>
      <c r="D5095" s="11"/>
      <c r="E5095" s="21"/>
      <c r="F5095" s="21"/>
      <c r="G5095" s="25"/>
      <c r="H5095" s="11"/>
      <c r="I5095" s="21"/>
      <c r="J5095" s="21"/>
      <c r="K5095" s="21"/>
      <c r="L5095" s="21"/>
      <c r="M5095" s="21"/>
      <c r="N5095" s="21"/>
    </row>
    <row r="5096" spans="1:14" ht="15.75" customHeight="1" x14ac:dyDescent="0.25">
      <c r="A5096" s="31" t="s">
        <v>14</v>
      </c>
      <c r="B5096" s="31" t="s">
        <v>234</v>
      </c>
      <c r="C5096" s="31" t="s">
        <v>16</v>
      </c>
      <c r="D5096" s="31" t="s">
        <v>17</v>
      </c>
      <c r="E5096" s="31" t="s">
        <v>235</v>
      </c>
      <c r="F5096" s="31" t="s">
        <v>236</v>
      </c>
      <c r="G5096" s="25" t="s">
        <v>1938</v>
      </c>
      <c r="H5096" s="11"/>
      <c r="I5096" s="21"/>
      <c r="J5096" s="21"/>
      <c r="K5096" s="21"/>
      <c r="L5096" s="21"/>
      <c r="M5096" s="21"/>
      <c r="N5096" s="21"/>
    </row>
    <row r="5097" spans="1:14" ht="15.75" customHeight="1" x14ac:dyDescent="0.25">
      <c r="A5097" s="7">
        <v>1</v>
      </c>
      <c r="B5097" s="41" t="s">
        <v>1241</v>
      </c>
      <c r="C5097" s="7">
        <v>20</v>
      </c>
      <c r="D5097" s="7" t="s">
        <v>19</v>
      </c>
      <c r="E5097" s="37">
        <v>165000</v>
      </c>
      <c r="F5097" s="37">
        <f>E5097*C5097</f>
        <v>3300000</v>
      </c>
      <c r="G5097" s="172">
        <v>45338</v>
      </c>
      <c r="H5097" s="11"/>
      <c r="I5097" s="21"/>
      <c r="J5097" s="21"/>
      <c r="K5097" s="21"/>
      <c r="L5097" s="21"/>
      <c r="M5097" s="21"/>
      <c r="N5097" s="21"/>
    </row>
    <row r="5098" spans="1:14" ht="15.75" customHeight="1" x14ac:dyDescent="0.25">
      <c r="A5098" s="7">
        <v>2</v>
      </c>
      <c r="B5098" s="41" t="s">
        <v>1939</v>
      </c>
      <c r="C5098" s="7">
        <v>6</v>
      </c>
      <c r="D5098" s="7" t="s">
        <v>19</v>
      </c>
      <c r="E5098" s="37">
        <v>67925</v>
      </c>
      <c r="F5098" s="37">
        <f>E5098*C5098</f>
        <v>407550</v>
      </c>
      <c r="G5098" s="42" t="s">
        <v>1940</v>
      </c>
      <c r="H5098" s="11"/>
      <c r="I5098" s="21"/>
      <c r="J5098" s="21"/>
      <c r="K5098" s="21"/>
      <c r="L5098" s="21"/>
      <c r="M5098" s="21"/>
      <c r="N5098" s="21"/>
    </row>
    <row r="5099" spans="1:14" ht="15.75" customHeight="1" x14ac:dyDescent="0.25">
      <c r="A5099" s="7"/>
      <c r="B5099" s="343" t="s">
        <v>342</v>
      </c>
      <c r="C5099" s="344"/>
      <c r="D5099" s="344"/>
      <c r="E5099" s="334"/>
      <c r="F5099" s="104">
        <f>SUM(F5097:F5098)</f>
        <v>3707550</v>
      </c>
      <c r="G5099" s="25"/>
      <c r="H5099" s="11"/>
      <c r="I5099" s="21"/>
      <c r="J5099" s="21"/>
      <c r="K5099" s="21"/>
      <c r="L5099" s="21"/>
      <c r="M5099" s="21"/>
      <c r="N5099" s="21"/>
    </row>
    <row r="5100" spans="1:14" ht="15.75" customHeight="1" x14ac:dyDescent="0.25">
      <c r="A5100" s="7"/>
      <c r="B5100" s="343" t="s">
        <v>343</v>
      </c>
      <c r="C5100" s="344"/>
      <c r="D5100" s="344"/>
      <c r="E5100" s="334"/>
      <c r="F5100" s="167">
        <f>F5099*11%</f>
        <v>407830.5</v>
      </c>
      <c r="G5100" s="25"/>
      <c r="H5100" s="11"/>
      <c r="I5100" s="21"/>
      <c r="J5100" s="21"/>
      <c r="K5100" s="21"/>
      <c r="L5100" s="21"/>
      <c r="M5100" s="21"/>
      <c r="N5100" s="21"/>
    </row>
    <row r="5101" spans="1:14" ht="15.75" customHeight="1" x14ac:dyDescent="0.25">
      <c r="A5101" s="7"/>
      <c r="B5101" s="345" t="s">
        <v>344</v>
      </c>
      <c r="C5101" s="344"/>
      <c r="D5101" s="344"/>
      <c r="E5101" s="334"/>
      <c r="F5101" s="168">
        <f>SUM(F5099:F5100)</f>
        <v>4115380.5</v>
      </c>
      <c r="G5101" s="25"/>
      <c r="H5101" s="11"/>
      <c r="I5101" s="21"/>
      <c r="J5101" s="21"/>
      <c r="K5101" s="21"/>
      <c r="L5101" s="21"/>
      <c r="M5101" s="21"/>
      <c r="N5101" s="21"/>
    </row>
    <row r="5102" spans="1:14" ht="15.75" customHeight="1" x14ac:dyDescent="0.25">
      <c r="A5102" s="21"/>
      <c r="B5102" s="21"/>
      <c r="C5102" s="11"/>
      <c r="D5102" s="11"/>
      <c r="E5102" s="21"/>
      <c r="F5102" s="21"/>
      <c r="G5102" s="25"/>
      <c r="H5102" s="11"/>
      <c r="I5102" s="21"/>
      <c r="J5102" s="21"/>
      <c r="K5102" s="21"/>
      <c r="L5102" s="21"/>
      <c r="M5102" s="21"/>
      <c r="N5102" s="21"/>
    </row>
    <row r="5103" spans="1:14" ht="15.75" customHeight="1" x14ac:dyDescent="0.25">
      <c r="A5103" s="31" t="s">
        <v>14</v>
      </c>
      <c r="B5103" s="31" t="s">
        <v>234</v>
      </c>
      <c r="C5103" s="31" t="s">
        <v>16</v>
      </c>
      <c r="D5103" s="31" t="s">
        <v>17</v>
      </c>
      <c r="E5103" s="31" t="s">
        <v>235</v>
      </c>
      <c r="F5103" s="31" t="s">
        <v>236</v>
      </c>
      <c r="G5103" s="25" t="s">
        <v>1938</v>
      </c>
      <c r="H5103" s="33" t="s">
        <v>1927</v>
      </c>
      <c r="I5103" s="21"/>
      <c r="J5103" s="21"/>
      <c r="K5103" s="21"/>
      <c r="L5103" s="21"/>
      <c r="M5103" s="21"/>
      <c r="N5103" s="21"/>
    </row>
    <row r="5104" spans="1:14" ht="15.75" customHeight="1" x14ac:dyDescent="0.25">
      <c r="A5104" s="7">
        <v>1</v>
      </c>
      <c r="B5104" s="35" t="s">
        <v>1941</v>
      </c>
      <c r="C5104" s="7">
        <v>8</v>
      </c>
      <c r="D5104" s="7" t="s">
        <v>19</v>
      </c>
      <c r="E5104" s="37">
        <v>218500</v>
      </c>
      <c r="F5104" s="37">
        <f>E5104*C5104</f>
        <v>1748000</v>
      </c>
      <c r="G5104" s="172">
        <v>45344</v>
      </c>
      <c r="H5104" s="7">
        <v>5</v>
      </c>
      <c r="I5104" s="21"/>
      <c r="J5104" s="21"/>
      <c r="K5104" s="21"/>
      <c r="L5104" s="21"/>
      <c r="M5104" s="21"/>
      <c r="N5104" s="21"/>
    </row>
    <row r="5105" spans="1:14" ht="15.75" customHeight="1" x14ac:dyDescent="0.25">
      <c r="A5105" s="7"/>
      <c r="B5105" s="343" t="s">
        <v>342</v>
      </c>
      <c r="C5105" s="344"/>
      <c r="D5105" s="344"/>
      <c r="E5105" s="334"/>
      <c r="F5105" s="104">
        <f>SUM(F5104)</f>
        <v>1748000</v>
      </c>
      <c r="G5105" s="42" t="s">
        <v>1942</v>
      </c>
      <c r="H5105" s="11"/>
      <c r="I5105" s="21"/>
      <c r="J5105" s="21"/>
      <c r="K5105" s="21"/>
      <c r="L5105" s="21"/>
      <c r="M5105" s="21"/>
      <c r="N5105" s="21"/>
    </row>
    <row r="5106" spans="1:14" ht="15.75" customHeight="1" x14ac:dyDescent="0.25">
      <c r="A5106" s="7"/>
      <c r="B5106" s="343" t="s">
        <v>343</v>
      </c>
      <c r="C5106" s="344"/>
      <c r="D5106" s="344"/>
      <c r="E5106" s="334"/>
      <c r="F5106" s="104">
        <f>F5105*11%</f>
        <v>192280</v>
      </c>
      <c r="G5106" s="25"/>
      <c r="H5106" s="11"/>
      <c r="I5106" s="21"/>
      <c r="J5106" s="21"/>
      <c r="K5106" s="21"/>
      <c r="L5106" s="21"/>
      <c r="M5106" s="21"/>
      <c r="N5106" s="21"/>
    </row>
    <row r="5107" spans="1:14" ht="15.75" customHeight="1" x14ac:dyDescent="0.25">
      <c r="A5107" s="7"/>
      <c r="B5107" s="345" t="s">
        <v>344</v>
      </c>
      <c r="C5107" s="344"/>
      <c r="D5107" s="344"/>
      <c r="E5107" s="334"/>
      <c r="F5107" s="107">
        <f>SUM(F5105:F5106)</f>
        <v>1940280</v>
      </c>
      <c r="G5107" s="25"/>
      <c r="H5107" s="11"/>
      <c r="I5107" s="21"/>
      <c r="J5107" s="21"/>
      <c r="K5107" s="21"/>
      <c r="L5107" s="21"/>
      <c r="M5107" s="21"/>
      <c r="N5107" s="21"/>
    </row>
    <row r="5108" spans="1:14" ht="15.75" customHeight="1" x14ac:dyDescent="0.25">
      <c r="A5108" s="21"/>
      <c r="B5108" s="21"/>
      <c r="C5108" s="11"/>
      <c r="D5108" s="11"/>
      <c r="E5108" s="21"/>
      <c r="F5108" s="21"/>
      <c r="G5108" s="25"/>
      <c r="H5108" s="11"/>
      <c r="I5108" s="21"/>
      <c r="J5108" s="21"/>
      <c r="K5108" s="21"/>
      <c r="L5108" s="21"/>
      <c r="M5108" s="21"/>
      <c r="N5108" s="21"/>
    </row>
    <row r="5109" spans="1:14" ht="15.75" customHeight="1" x14ac:dyDescent="0.25">
      <c r="A5109" s="21"/>
      <c r="B5109" s="21"/>
      <c r="C5109" s="11"/>
      <c r="D5109" s="11"/>
      <c r="E5109" s="21"/>
      <c r="F5109" s="21"/>
      <c r="G5109" s="25"/>
      <c r="H5109" s="11"/>
      <c r="I5109" s="21"/>
      <c r="J5109" s="21"/>
      <c r="K5109" s="21"/>
      <c r="L5109" s="21"/>
      <c r="M5109" s="21"/>
      <c r="N5109" s="21"/>
    </row>
    <row r="5110" spans="1:14" ht="15.75" customHeight="1" x14ac:dyDescent="0.25">
      <c r="A5110" s="31" t="s">
        <v>14</v>
      </c>
      <c r="B5110" s="31" t="s">
        <v>234</v>
      </c>
      <c r="C5110" s="31" t="s">
        <v>16</v>
      </c>
      <c r="D5110" s="31" t="s">
        <v>17</v>
      </c>
      <c r="E5110" s="31" t="s">
        <v>235</v>
      </c>
      <c r="F5110" s="31" t="s">
        <v>236</v>
      </c>
      <c r="G5110" s="25" t="s">
        <v>1889</v>
      </c>
      <c r="H5110" s="11"/>
      <c r="I5110" s="21"/>
      <c r="J5110" s="21"/>
      <c r="K5110" s="21"/>
      <c r="L5110" s="21"/>
      <c r="M5110" s="21"/>
      <c r="N5110" s="21"/>
    </row>
    <row r="5111" spans="1:14" ht="15.75" customHeight="1" x14ac:dyDescent="0.25">
      <c r="A5111" s="7">
        <v>1</v>
      </c>
      <c r="B5111" s="124" t="s">
        <v>1943</v>
      </c>
      <c r="C5111" s="7">
        <v>2</v>
      </c>
      <c r="D5111" s="7" t="s">
        <v>19</v>
      </c>
      <c r="E5111" s="37">
        <v>112000</v>
      </c>
      <c r="F5111" s="37">
        <f>E5111*C5111</f>
        <v>224000</v>
      </c>
      <c r="G5111" s="172">
        <v>45342</v>
      </c>
      <c r="H5111" s="11"/>
      <c r="I5111" s="21"/>
      <c r="J5111" s="21"/>
      <c r="K5111" s="21"/>
      <c r="L5111" s="21"/>
      <c r="M5111" s="21"/>
      <c r="N5111" s="21"/>
    </row>
    <row r="5112" spans="1:14" ht="15.75" customHeight="1" x14ac:dyDescent="0.25">
      <c r="A5112" s="7">
        <v>2</v>
      </c>
      <c r="B5112" s="124" t="s">
        <v>1944</v>
      </c>
      <c r="C5112" s="7">
        <v>4</v>
      </c>
      <c r="D5112" s="7" t="s">
        <v>19</v>
      </c>
      <c r="E5112" s="37">
        <v>128500</v>
      </c>
      <c r="F5112" s="37">
        <f>E5112*C5112</f>
        <v>514000</v>
      </c>
      <c r="G5112" s="42" t="s">
        <v>1945</v>
      </c>
      <c r="H5112" s="11"/>
      <c r="I5112" s="21"/>
      <c r="J5112" s="21"/>
      <c r="K5112" s="21"/>
      <c r="L5112" s="21"/>
      <c r="M5112" s="21"/>
      <c r="N5112" s="21"/>
    </row>
    <row r="5113" spans="1:14" ht="15.75" customHeight="1" x14ac:dyDescent="0.25">
      <c r="A5113" s="7">
        <v>3</v>
      </c>
      <c r="B5113" s="124" t="s">
        <v>1946</v>
      </c>
      <c r="C5113" s="7">
        <v>3</v>
      </c>
      <c r="D5113" s="7" t="s">
        <v>19</v>
      </c>
      <c r="E5113" s="37">
        <v>175800</v>
      </c>
      <c r="F5113" s="37">
        <f>E5113*C5113</f>
        <v>527400</v>
      </c>
      <c r="G5113" s="25" t="s">
        <v>1752</v>
      </c>
      <c r="H5113" s="11"/>
      <c r="I5113" s="21"/>
      <c r="J5113" s="21"/>
      <c r="K5113" s="21"/>
      <c r="L5113" s="21"/>
      <c r="M5113" s="21"/>
      <c r="N5113" s="21"/>
    </row>
    <row r="5114" spans="1:14" ht="15.75" customHeight="1" x14ac:dyDescent="0.25">
      <c r="A5114" s="7">
        <v>4</v>
      </c>
      <c r="B5114" s="124" t="s">
        <v>1947</v>
      </c>
      <c r="C5114" s="7">
        <v>1</v>
      </c>
      <c r="D5114" s="7" t="s">
        <v>19</v>
      </c>
      <c r="E5114" s="37">
        <v>232800</v>
      </c>
      <c r="F5114" s="37">
        <f>E5114*C5114</f>
        <v>232800</v>
      </c>
      <c r="G5114" s="25"/>
      <c r="H5114" s="11"/>
      <c r="I5114" s="21"/>
      <c r="J5114" s="21"/>
      <c r="K5114" s="21"/>
      <c r="L5114" s="21"/>
      <c r="M5114" s="21"/>
      <c r="N5114" s="21"/>
    </row>
    <row r="5115" spans="1:14" ht="15.75" customHeight="1" x14ac:dyDescent="0.25">
      <c r="A5115" s="7"/>
      <c r="B5115" s="343" t="s">
        <v>342</v>
      </c>
      <c r="C5115" s="344"/>
      <c r="D5115" s="344"/>
      <c r="E5115" s="334"/>
      <c r="F5115" s="104">
        <f>SUM(F5111:F5114)</f>
        <v>1498200</v>
      </c>
      <c r="G5115" s="25"/>
      <c r="H5115" s="11"/>
      <c r="I5115" s="21"/>
      <c r="J5115" s="21"/>
      <c r="K5115" s="21"/>
      <c r="L5115" s="21"/>
      <c r="M5115" s="21"/>
      <c r="N5115" s="21"/>
    </row>
    <row r="5116" spans="1:14" ht="15.75" customHeight="1" x14ac:dyDescent="0.25">
      <c r="A5116" s="7"/>
      <c r="B5116" s="343" t="s">
        <v>343</v>
      </c>
      <c r="C5116" s="344"/>
      <c r="D5116" s="344"/>
      <c r="E5116" s="334"/>
      <c r="F5116" s="104">
        <f>F5115*11%</f>
        <v>164802</v>
      </c>
      <c r="G5116" s="25"/>
      <c r="H5116" s="11"/>
      <c r="I5116" s="21"/>
      <c r="J5116" s="21"/>
      <c r="K5116" s="21"/>
      <c r="L5116" s="21"/>
      <c r="M5116" s="21"/>
      <c r="N5116" s="21"/>
    </row>
    <row r="5117" spans="1:14" ht="15.75" customHeight="1" x14ac:dyDescent="0.25">
      <c r="A5117" s="7"/>
      <c r="B5117" s="345" t="s">
        <v>344</v>
      </c>
      <c r="C5117" s="344"/>
      <c r="D5117" s="344"/>
      <c r="E5117" s="334"/>
      <c r="F5117" s="107">
        <f>SUM(F5115:F5116)</f>
        <v>1663002</v>
      </c>
      <c r="G5117" s="25"/>
      <c r="H5117" s="11"/>
      <c r="I5117" s="21"/>
      <c r="J5117" s="21"/>
      <c r="K5117" s="21"/>
      <c r="L5117" s="21"/>
      <c r="M5117" s="21"/>
      <c r="N5117" s="21"/>
    </row>
    <row r="5118" spans="1:14" ht="15.75" customHeight="1" x14ac:dyDescent="0.25">
      <c r="A5118" s="21"/>
      <c r="B5118" s="21"/>
      <c r="C5118" s="11"/>
      <c r="D5118" s="11"/>
      <c r="E5118" s="21"/>
      <c r="F5118" s="21"/>
      <c r="G5118" s="25"/>
      <c r="H5118" s="11"/>
      <c r="I5118" s="21"/>
      <c r="J5118" s="21"/>
      <c r="K5118" s="21"/>
      <c r="L5118" s="21"/>
      <c r="M5118" s="21"/>
      <c r="N5118" s="21"/>
    </row>
    <row r="5119" spans="1:14" ht="15.75" customHeight="1" x14ac:dyDescent="0.25">
      <c r="A5119" s="21"/>
      <c r="B5119" s="21"/>
      <c r="C5119" s="11"/>
      <c r="D5119" s="11"/>
      <c r="E5119" s="21"/>
      <c r="F5119" s="21"/>
      <c r="G5119" s="25"/>
      <c r="H5119" s="11"/>
      <c r="I5119" s="21"/>
      <c r="J5119" s="21"/>
      <c r="K5119" s="21"/>
      <c r="L5119" s="21"/>
      <c r="M5119" s="21"/>
      <c r="N5119" s="21"/>
    </row>
    <row r="5120" spans="1:14" ht="15.75" customHeight="1" x14ac:dyDescent="0.25">
      <c r="A5120" s="31" t="s">
        <v>14</v>
      </c>
      <c r="B5120" s="31" t="s">
        <v>234</v>
      </c>
      <c r="C5120" s="31" t="s">
        <v>16</v>
      </c>
      <c r="D5120" s="31" t="s">
        <v>17</v>
      </c>
      <c r="E5120" s="31" t="s">
        <v>235</v>
      </c>
      <c r="F5120" s="31" t="s">
        <v>236</v>
      </c>
      <c r="G5120" s="173"/>
      <c r="H5120" s="159"/>
      <c r="I5120" s="181"/>
      <c r="J5120" s="181"/>
      <c r="K5120" s="181"/>
      <c r="L5120" s="181"/>
      <c r="M5120" s="181"/>
      <c r="N5120" s="181"/>
    </row>
    <row r="5121" spans="1:14" ht="15.75" customHeight="1" x14ac:dyDescent="0.25">
      <c r="A5121" s="7">
        <v>1</v>
      </c>
      <c r="B5121" s="35" t="s">
        <v>1948</v>
      </c>
      <c r="C5121" s="7">
        <v>30</v>
      </c>
      <c r="D5121" s="7" t="s">
        <v>19</v>
      </c>
      <c r="E5121" s="37">
        <v>9000</v>
      </c>
      <c r="F5121" s="37">
        <f>E5121*C5121</f>
        <v>270000</v>
      </c>
      <c r="G5121" s="25"/>
      <c r="H5121" s="11"/>
      <c r="I5121" s="21"/>
      <c r="J5121" s="21"/>
      <c r="K5121" s="21"/>
      <c r="L5121" s="21"/>
      <c r="M5121" s="21"/>
      <c r="N5121" s="21"/>
    </row>
    <row r="5122" spans="1:14" ht="15.75" customHeight="1" x14ac:dyDescent="0.25">
      <c r="A5122" s="7">
        <v>2</v>
      </c>
      <c r="B5122" s="41" t="s">
        <v>1949</v>
      </c>
      <c r="C5122" s="7">
        <v>30</v>
      </c>
      <c r="D5122" s="7" t="s">
        <v>19</v>
      </c>
      <c r="E5122" s="37">
        <v>9000</v>
      </c>
      <c r="F5122" s="37">
        <f>E5122*C5122</f>
        <v>270000</v>
      </c>
      <c r="G5122" s="25"/>
      <c r="H5122" s="11"/>
      <c r="I5122" s="21"/>
      <c r="J5122" s="21"/>
      <c r="K5122" s="21"/>
      <c r="L5122" s="21"/>
      <c r="M5122" s="21"/>
      <c r="N5122" s="21"/>
    </row>
    <row r="5123" spans="1:14" ht="15.75" customHeight="1" x14ac:dyDescent="0.25">
      <c r="A5123" s="7"/>
      <c r="B5123" s="343" t="s">
        <v>342</v>
      </c>
      <c r="C5123" s="344"/>
      <c r="D5123" s="344"/>
      <c r="E5123" s="334"/>
      <c r="F5123" s="104">
        <f>SUM(F5121:F5122)</f>
        <v>540000</v>
      </c>
      <c r="G5123" s="25"/>
      <c r="H5123" s="11"/>
      <c r="I5123" s="21"/>
      <c r="J5123" s="21"/>
      <c r="K5123" s="21"/>
      <c r="L5123" s="21"/>
      <c r="M5123" s="21"/>
      <c r="N5123" s="21"/>
    </row>
    <row r="5124" spans="1:14" ht="15.75" customHeight="1" x14ac:dyDescent="0.25">
      <c r="A5124" s="7"/>
      <c r="B5124" s="343" t="s">
        <v>343</v>
      </c>
      <c r="C5124" s="344"/>
      <c r="D5124" s="344"/>
      <c r="E5124" s="334"/>
      <c r="F5124" s="104">
        <f>F5123*11%</f>
        <v>59400</v>
      </c>
      <c r="G5124" s="25"/>
      <c r="H5124" s="11"/>
      <c r="I5124" s="21"/>
      <c r="J5124" s="21"/>
      <c r="K5124" s="21"/>
      <c r="L5124" s="21"/>
      <c r="M5124" s="21"/>
      <c r="N5124" s="21"/>
    </row>
    <row r="5125" spans="1:14" ht="15.75" customHeight="1" x14ac:dyDescent="0.25">
      <c r="A5125" s="7"/>
      <c r="B5125" s="345" t="s">
        <v>344</v>
      </c>
      <c r="C5125" s="344"/>
      <c r="D5125" s="344"/>
      <c r="E5125" s="334"/>
      <c r="F5125" s="107">
        <f>SUM(F5123:F5124)</f>
        <v>599400</v>
      </c>
      <c r="G5125" s="25"/>
      <c r="H5125" s="11"/>
      <c r="I5125" s="21"/>
      <c r="J5125" s="21"/>
      <c r="K5125" s="21"/>
      <c r="L5125" s="21"/>
      <c r="M5125" s="21"/>
      <c r="N5125" s="21"/>
    </row>
    <row r="5126" spans="1:14" ht="15.75" customHeight="1" x14ac:dyDescent="0.25">
      <c r="A5126" s="21"/>
      <c r="B5126" s="21"/>
      <c r="C5126" s="11"/>
      <c r="D5126" s="11"/>
      <c r="E5126" s="21"/>
      <c r="F5126" s="21"/>
      <c r="G5126" s="25"/>
      <c r="H5126" s="11"/>
      <c r="I5126" s="21"/>
      <c r="J5126" s="21"/>
      <c r="K5126" s="21"/>
      <c r="L5126" s="21"/>
      <c r="M5126" s="21"/>
      <c r="N5126" s="21"/>
    </row>
    <row r="5127" spans="1:14" ht="15.75" customHeight="1" x14ac:dyDescent="0.25">
      <c r="A5127" s="21"/>
      <c r="B5127" s="21"/>
      <c r="C5127" s="11"/>
      <c r="D5127" s="11"/>
      <c r="E5127" s="21"/>
      <c r="F5127" s="21"/>
      <c r="G5127" s="25"/>
      <c r="H5127" s="11"/>
      <c r="I5127" s="21"/>
      <c r="J5127" s="21"/>
      <c r="K5127" s="21"/>
      <c r="L5127" s="21"/>
      <c r="M5127" s="21"/>
      <c r="N5127" s="21"/>
    </row>
    <row r="5128" spans="1:14" ht="15.75" customHeight="1" x14ac:dyDescent="0.25">
      <c r="A5128" s="31" t="s">
        <v>14</v>
      </c>
      <c r="B5128" s="31" t="s">
        <v>234</v>
      </c>
      <c r="C5128" s="31" t="s">
        <v>16</v>
      </c>
      <c r="D5128" s="31" t="s">
        <v>17</v>
      </c>
      <c r="E5128" s="31" t="s">
        <v>235</v>
      </c>
      <c r="F5128" s="31" t="s">
        <v>236</v>
      </c>
      <c r="G5128" s="25" t="s">
        <v>1950</v>
      </c>
      <c r="H5128" s="33" t="s">
        <v>1927</v>
      </c>
      <c r="I5128" s="21"/>
      <c r="J5128" s="21"/>
      <c r="K5128" s="21"/>
      <c r="L5128" s="21"/>
      <c r="M5128" s="21"/>
      <c r="N5128" s="21"/>
    </row>
    <row r="5129" spans="1:14" ht="15.75" customHeight="1" x14ac:dyDescent="0.25">
      <c r="A5129" s="7">
        <v>1</v>
      </c>
      <c r="B5129" s="35" t="s">
        <v>1951</v>
      </c>
      <c r="C5129" s="9">
        <v>2</v>
      </c>
      <c r="D5129" s="7" t="s">
        <v>19</v>
      </c>
      <c r="E5129" s="37">
        <v>95000</v>
      </c>
      <c r="F5129" s="37">
        <f t="shared" ref="F5129:F5134" si="57">E5129*C5129</f>
        <v>190000</v>
      </c>
      <c r="G5129" s="172">
        <v>45338</v>
      </c>
      <c r="H5129" s="7">
        <v>3</v>
      </c>
      <c r="I5129" s="21"/>
      <c r="J5129" s="21"/>
      <c r="K5129" s="21"/>
      <c r="L5129" s="21"/>
      <c r="M5129" s="21"/>
      <c r="N5129" s="21"/>
    </row>
    <row r="5130" spans="1:14" ht="15.75" customHeight="1" x14ac:dyDescent="0.25">
      <c r="A5130" s="7">
        <v>2</v>
      </c>
      <c r="B5130" s="41" t="s">
        <v>1952</v>
      </c>
      <c r="C5130" s="9">
        <v>2</v>
      </c>
      <c r="D5130" s="7" t="s">
        <v>19</v>
      </c>
      <c r="E5130" s="37">
        <v>99500</v>
      </c>
      <c r="F5130" s="37">
        <f t="shared" si="57"/>
        <v>199000</v>
      </c>
      <c r="G5130" s="42" t="s">
        <v>1953</v>
      </c>
      <c r="H5130" s="7">
        <v>3</v>
      </c>
      <c r="I5130" s="21"/>
      <c r="J5130" s="21"/>
      <c r="K5130" s="21"/>
      <c r="L5130" s="21"/>
      <c r="M5130" s="21"/>
      <c r="N5130" s="21"/>
    </row>
    <row r="5131" spans="1:14" ht="15.75" customHeight="1" x14ac:dyDescent="0.25">
      <c r="A5131" s="7">
        <v>3</v>
      </c>
      <c r="B5131" s="41" t="s">
        <v>1954</v>
      </c>
      <c r="C5131" s="9">
        <v>2</v>
      </c>
      <c r="D5131" s="7" t="s">
        <v>19</v>
      </c>
      <c r="E5131" s="37">
        <v>104000</v>
      </c>
      <c r="F5131" s="37">
        <f t="shared" si="57"/>
        <v>208000</v>
      </c>
      <c r="G5131" s="25"/>
      <c r="H5131" s="7">
        <v>3</v>
      </c>
      <c r="I5131" s="21"/>
      <c r="J5131" s="21"/>
      <c r="K5131" s="21"/>
      <c r="L5131" s="21"/>
      <c r="M5131" s="21"/>
      <c r="N5131" s="21"/>
    </row>
    <row r="5132" spans="1:14" ht="15.75" customHeight="1" x14ac:dyDescent="0.25">
      <c r="A5132" s="7">
        <v>4</v>
      </c>
      <c r="B5132" s="41" t="s">
        <v>1955</v>
      </c>
      <c r="C5132" s="9">
        <v>1</v>
      </c>
      <c r="D5132" s="7" t="s">
        <v>19</v>
      </c>
      <c r="E5132" s="37">
        <v>135000</v>
      </c>
      <c r="F5132" s="37">
        <f t="shared" si="57"/>
        <v>135000</v>
      </c>
      <c r="G5132" s="25"/>
      <c r="H5132" s="7">
        <v>3</v>
      </c>
      <c r="I5132" s="21"/>
      <c r="J5132" s="21"/>
      <c r="K5132" s="21"/>
      <c r="L5132" s="21"/>
      <c r="M5132" s="21"/>
      <c r="N5132" s="21"/>
    </row>
    <row r="5133" spans="1:14" ht="15.75" customHeight="1" x14ac:dyDescent="0.25">
      <c r="A5133" s="7">
        <v>5</v>
      </c>
      <c r="B5133" s="41" t="s">
        <v>1956</v>
      </c>
      <c r="C5133" s="9">
        <v>5</v>
      </c>
      <c r="D5133" s="7" t="s">
        <v>19</v>
      </c>
      <c r="E5133" s="37">
        <v>18500</v>
      </c>
      <c r="F5133" s="37">
        <f t="shared" si="57"/>
        <v>92500</v>
      </c>
      <c r="G5133" s="25"/>
      <c r="H5133" s="7">
        <v>3</v>
      </c>
      <c r="I5133" s="21"/>
      <c r="J5133" s="21"/>
      <c r="K5133" s="21"/>
      <c r="L5133" s="21"/>
      <c r="M5133" s="21"/>
      <c r="N5133" s="21"/>
    </row>
    <row r="5134" spans="1:14" ht="15.75" customHeight="1" x14ac:dyDescent="0.25">
      <c r="A5134" s="7">
        <v>6</v>
      </c>
      <c r="B5134" s="41" t="s">
        <v>1957</v>
      </c>
      <c r="C5134" s="9">
        <v>100</v>
      </c>
      <c r="D5134" s="7" t="s">
        <v>1357</v>
      </c>
      <c r="E5134" s="37">
        <v>84500</v>
      </c>
      <c r="F5134" s="37">
        <f t="shared" si="57"/>
        <v>8450000</v>
      </c>
      <c r="G5134" s="25"/>
      <c r="H5134" s="7">
        <v>3</v>
      </c>
      <c r="I5134" s="21"/>
      <c r="J5134" s="21"/>
      <c r="K5134" s="21"/>
      <c r="L5134" s="21"/>
      <c r="M5134" s="21"/>
      <c r="N5134" s="21"/>
    </row>
    <row r="5135" spans="1:14" ht="15.75" customHeight="1" x14ac:dyDescent="0.25">
      <c r="A5135" s="7"/>
      <c r="B5135" s="343" t="s">
        <v>342</v>
      </c>
      <c r="C5135" s="344"/>
      <c r="D5135" s="344"/>
      <c r="E5135" s="334"/>
      <c r="F5135" s="104">
        <f>SUM(F5129:F5134)</f>
        <v>9274500</v>
      </c>
      <c r="G5135" s="25"/>
      <c r="H5135" s="11"/>
      <c r="I5135" s="21"/>
      <c r="J5135" s="21"/>
      <c r="K5135" s="21"/>
      <c r="L5135" s="21"/>
      <c r="M5135" s="21"/>
      <c r="N5135" s="21"/>
    </row>
    <row r="5136" spans="1:14" ht="15.75" customHeight="1" x14ac:dyDescent="0.25">
      <c r="A5136" s="7"/>
      <c r="B5136" s="343" t="s">
        <v>634</v>
      </c>
      <c r="C5136" s="344"/>
      <c r="D5136" s="344"/>
      <c r="E5136" s="334"/>
      <c r="F5136" s="104">
        <v>278235</v>
      </c>
      <c r="G5136" s="25"/>
      <c r="H5136" s="11"/>
      <c r="I5136" s="21"/>
      <c r="J5136" s="21"/>
      <c r="K5136" s="21"/>
      <c r="L5136" s="21"/>
      <c r="M5136" s="21"/>
      <c r="N5136" s="21"/>
    </row>
    <row r="5137" spans="1:14" ht="15.75" customHeight="1" x14ac:dyDescent="0.25">
      <c r="A5137" s="7"/>
      <c r="B5137" s="343" t="s">
        <v>343</v>
      </c>
      <c r="C5137" s="344"/>
      <c r="D5137" s="344"/>
      <c r="E5137" s="334"/>
      <c r="F5137" s="167">
        <f>(F5135-F5136)*11%</f>
        <v>989589.15</v>
      </c>
      <c r="G5137" s="25"/>
      <c r="H5137" s="11"/>
      <c r="I5137" s="21"/>
      <c r="J5137" s="21"/>
      <c r="K5137" s="21"/>
      <c r="L5137" s="21"/>
      <c r="M5137" s="21"/>
      <c r="N5137" s="21"/>
    </row>
    <row r="5138" spans="1:14" ht="15.75" customHeight="1" x14ac:dyDescent="0.25">
      <c r="A5138" s="7"/>
      <c r="B5138" s="345" t="s">
        <v>344</v>
      </c>
      <c r="C5138" s="344"/>
      <c r="D5138" s="344"/>
      <c r="E5138" s="334"/>
      <c r="F5138" s="168">
        <f>F5135-F5136+F5137</f>
        <v>9985854.1500000004</v>
      </c>
      <c r="G5138" s="25"/>
      <c r="H5138" s="11"/>
      <c r="I5138" s="21"/>
      <c r="J5138" s="21"/>
      <c r="K5138" s="21"/>
      <c r="L5138" s="21"/>
      <c r="M5138" s="21"/>
      <c r="N5138" s="21"/>
    </row>
    <row r="5139" spans="1:14" ht="15.75" customHeight="1" x14ac:dyDescent="0.25">
      <c r="A5139" s="21"/>
      <c r="B5139" s="21"/>
      <c r="C5139" s="11"/>
      <c r="D5139" s="11"/>
      <c r="E5139" s="21"/>
      <c r="F5139" s="21"/>
      <c r="G5139" s="25"/>
      <c r="H5139" s="11"/>
      <c r="I5139" s="21"/>
      <c r="J5139" s="21"/>
      <c r="K5139" s="21"/>
      <c r="L5139" s="21"/>
      <c r="M5139" s="21"/>
      <c r="N5139" s="21"/>
    </row>
    <row r="5140" spans="1:14" ht="15.75" customHeight="1" x14ac:dyDescent="0.25">
      <c r="A5140" s="31" t="s">
        <v>14</v>
      </c>
      <c r="B5140" s="31" t="s">
        <v>234</v>
      </c>
      <c r="C5140" s="31" t="s">
        <v>16</v>
      </c>
      <c r="D5140" s="31" t="s">
        <v>17</v>
      </c>
      <c r="E5140" s="31" t="s">
        <v>235</v>
      </c>
      <c r="F5140" s="31" t="s">
        <v>236</v>
      </c>
      <c r="G5140" s="25" t="s">
        <v>1950</v>
      </c>
      <c r="H5140" s="11"/>
      <c r="I5140" s="21"/>
      <c r="J5140" s="21"/>
      <c r="K5140" s="21"/>
      <c r="L5140" s="21"/>
      <c r="M5140" s="21"/>
      <c r="N5140" s="21"/>
    </row>
    <row r="5141" spans="1:14" ht="15.75" customHeight="1" x14ac:dyDescent="0.25">
      <c r="A5141" s="7">
        <v>1</v>
      </c>
      <c r="B5141" s="35" t="s">
        <v>1958</v>
      </c>
      <c r="C5141" s="9">
        <v>10</v>
      </c>
      <c r="D5141" s="7" t="s">
        <v>1959</v>
      </c>
      <c r="E5141" s="37">
        <v>48500</v>
      </c>
      <c r="F5141" s="37">
        <f t="shared" ref="F5141:F5154" si="58">E5141*C5141</f>
        <v>485000</v>
      </c>
      <c r="G5141" s="172">
        <v>45344</v>
      </c>
      <c r="H5141" s="11"/>
      <c r="I5141" s="21"/>
      <c r="J5141" s="21"/>
      <c r="K5141" s="21"/>
      <c r="L5141" s="21"/>
      <c r="M5141" s="21"/>
      <c r="N5141" s="21"/>
    </row>
    <row r="5142" spans="1:14" ht="15.75" customHeight="1" x14ac:dyDescent="0.25">
      <c r="A5142" s="7">
        <v>2</v>
      </c>
      <c r="B5142" s="41" t="s">
        <v>1960</v>
      </c>
      <c r="C5142" s="9">
        <v>20</v>
      </c>
      <c r="D5142" s="7" t="s">
        <v>1959</v>
      </c>
      <c r="E5142" s="37">
        <v>10800</v>
      </c>
      <c r="F5142" s="37">
        <f t="shared" si="58"/>
        <v>216000</v>
      </c>
      <c r="G5142" s="42" t="s">
        <v>1961</v>
      </c>
      <c r="H5142" s="11"/>
      <c r="I5142" s="21"/>
      <c r="J5142" s="21"/>
      <c r="K5142" s="21"/>
      <c r="L5142" s="21"/>
      <c r="M5142" s="21"/>
      <c r="N5142" s="21"/>
    </row>
    <row r="5143" spans="1:14" ht="15.75" customHeight="1" x14ac:dyDescent="0.25">
      <c r="A5143" s="7">
        <v>3</v>
      </c>
      <c r="B5143" s="41" t="s">
        <v>1962</v>
      </c>
      <c r="C5143" s="9">
        <v>20</v>
      </c>
      <c r="D5143" s="7" t="s">
        <v>1959</v>
      </c>
      <c r="E5143" s="37">
        <v>21000</v>
      </c>
      <c r="F5143" s="37">
        <f t="shared" si="58"/>
        <v>420000</v>
      </c>
      <c r="G5143" s="25"/>
      <c r="H5143" s="11"/>
      <c r="I5143" s="21"/>
      <c r="J5143" s="21"/>
      <c r="K5143" s="21"/>
      <c r="L5143" s="21"/>
      <c r="M5143" s="21"/>
      <c r="N5143" s="21"/>
    </row>
    <row r="5144" spans="1:14" ht="15.75" customHeight="1" x14ac:dyDescent="0.25">
      <c r="A5144" s="7">
        <v>4</v>
      </c>
      <c r="B5144" s="41" t="s">
        <v>1963</v>
      </c>
      <c r="C5144" s="9">
        <v>20</v>
      </c>
      <c r="D5144" s="7" t="s">
        <v>1964</v>
      </c>
      <c r="E5144" s="37">
        <v>10500</v>
      </c>
      <c r="F5144" s="37">
        <f t="shared" si="58"/>
        <v>210000</v>
      </c>
      <c r="G5144" s="25"/>
      <c r="H5144" s="11"/>
      <c r="I5144" s="21"/>
      <c r="J5144" s="21"/>
      <c r="K5144" s="21"/>
      <c r="L5144" s="21"/>
      <c r="M5144" s="21"/>
      <c r="N5144" s="21"/>
    </row>
    <row r="5145" spans="1:14" ht="15.75" customHeight="1" x14ac:dyDescent="0.25">
      <c r="A5145" s="7">
        <v>5</v>
      </c>
      <c r="B5145" s="41" t="s">
        <v>1965</v>
      </c>
      <c r="C5145" s="9">
        <v>10</v>
      </c>
      <c r="D5145" s="7" t="s">
        <v>1964</v>
      </c>
      <c r="E5145" s="37">
        <v>71000</v>
      </c>
      <c r="F5145" s="37">
        <f t="shared" si="58"/>
        <v>710000</v>
      </c>
      <c r="G5145" s="25"/>
      <c r="H5145" s="11"/>
      <c r="I5145" s="21"/>
      <c r="J5145" s="21"/>
      <c r="K5145" s="21"/>
      <c r="L5145" s="21"/>
      <c r="M5145" s="21"/>
      <c r="N5145" s="21"/>
    </row>
    <row r="5146" spans="1:14" ht="15.75" customHeight="1" x14ac:dyDescent="0.25">
      <c r="A5146" s="7">
        <v>6</v>
      </c>
      <c r="B5146" s="41" t="s">
        <v>1966</v>
      </c>
      <c r="C5146" s="9">
        <v>100</v>
      </c>
      <c r="D5146" s="7" t="s">
        <v>1964</v>
      </c>
      <c r="E5146" s="37">
        <v>5500</v>
      </c>
      <c r="F5146" s="37">
        <f t="shared" si="58"/>
        <v>550000</v>
      </c>
      <c r="G5146" s="25"/>
      <c r="H5146" s="11"/>
      <c r="I5146" s="21"/>
      <c r="J5146" s="21"/>
      <c r="K5146" s="21"/>
      <c r="L5146" s="21"/>
      <c r="M5146" s="21"/>
      <c r="N5146" s="21"/>
    </row>
    <row r="5147" spans="1:14" ht="15.75" customHeight="1" x14ac:dyDescent="0.25">
      <c r="A5147" s="7">
        <v>7</v>
      </c>
      <c r="B5147" s="41" t="s">
        <v>1967</v>
      </c>
      <c r="C5147" s="9">
        <v>20</v>
      </c>
      <c r="D5147" s="7" t="s">
        <v>19</v>
      </c>
      <c r="E5147" s="37">
        <v>603500</v>
      </c>
      <c r="F5147" s="37">
        <f t="shared" si="58"/>
        <v>12070000</v>
      </c>
      <c r="G5147" s="25"/>
      <c r="H5147" s="11"/>
      <c r="I5147" s="21"/>
      <c r="J5147" s="21"/>
      <c r="K5147" s="21"/>
      <c r="L5147" s="21"/>
      <c r="M5147" s="21"/>
      <c r="N5147" s="21"/>
    </row>
    <row r="5148" spans="1:14" ht="15.75" customHeight="1" x14ac:dyDescent="0.25">
      <c r="A5148" s="7">
        <v>8</v>
      </c>
      <c r="B5148" s="41" t="s">
        <v>1968</v>
      </c>
      <c r="C5148" s="9">
        <v>5</v>
      </c>
      <c r="D5148" s="7" t="s">
        <v>1417</v>
      </c>
      <c r="E5148" s="37">
        <v>104500</v>
      </c>
      <c r="F5148" s="37">
        <f t="shared" si="58"/>
        <v>522500</v>
      </c>
      <c r="G5148" s="25"/>
      <c r="H5148" s="11"/>
      <c r="I5148" s="21"/>
      <c r="J5148" s="21"/>
      <c r="K5148" s="21"/>
      <c r="L5148" s="21"/>
      <c r="M5148" s="21"/>
      <c r="N5148" s="21"/>
    </row>
    <row r="5149" spans="1:14" ht="15.75" customHeight="1" x14ac:dyDescent="0.25">
      <c r="A5149" s="7">
        <v>9</v>
      </c>
      <c r="B5149" s="41" t="s">
        <v>1948</v>
      </c>
      <c r="C5149" s="9">
        <v>20</v>
      </c>
      <c r="D5149" s="7" t="s">
        <v>19</v>
      </c>
      <c r="E5149" s="37">
        <v>9000</v>
      </c>
      <c r="F5149" s="37">
        <f t="shared" si="58"/>
        <v>180000</v>
      </c>
      <c r="G5149" s="25"/>
      <c r="H5149" s="11"/>
      <c r="I5149" s="21"/>
      <c r="J5149" s="21"/>
      <c r="K5149" s="21"/>
      <c r="L5149" s="21"/>
      <c r="M5149" s="21"/>
      <c r="N5149" s="21"/>
    </row>
    <row r="5150" spans="1:14" ht="15.75" customHeight="1" x14ac:dyDescent="0.25">
      <c r="A5150" s="7">
        <v>10</v>
      </c>
      <c r="B5150" s="41" t="s">
        <v>1949</v>
      </c>
      <c r="C5150" s="9">
        <v>20</v>
      </c>
      <c r="D5150" s="7" t="s">
        <v>19</v>
      </c>
      <c r="E5150" s="37">
        <v>9000</v>
      </c>
      <c r="F5150" s="37">
        <f t="shared" si="58"/>
        <v>180000</v>
      </c>
      <c r="G5150" s="25"/>
      <c r="H5150" s="11"/>
      <c r="I5150" s="21"/>
      <c r="J5150" s="21"/>
      <c r="K5150" s="21"/>
      <c r="L5150" s="21"/>
      <c r="M5150" s="21"/>
      <c r="N5150" s="21"/>
    </row>
    <row r="5151" spans="1:14" ht="15.75" customHeight="1" x14ac:dyDescent="0.25">
      <c r="A5151" s="7">
        <v>11</v>
      </c>
      <c r="B5151" s="41" t="s">
        <v>1969</v>
      </c>
      <c r="C5151" s="9">
        <v>4</v>
      </c>
      <c r="D5151" s="7" t="s">
        <v>285</v>
      </c>
      <c r="E5151" s="37">
        <v>10500</v>
      </c>
      <c r="F5151" s="37">
        <f t="shared" si="58"/>
        <v>42000</v>
      </c>
      <c r="G5151" s="25"/>
      <c r="H5151" s="11"/>
      <c r="I5151" s="21"/>
      <c r="J5151" s="21"/>
      <c r="K5151" s="21"/>
      <c r="L5151" s="21"/>
      <c r="M5151" s="21"/>
      <c r="N5151" s="21"/>
    </row>
    <row r="5152" spans="1:14" ht="15.75" customHeight="1" x14ac:dyDescent="0.25">
      <c r="A5152" s="7">
        <v>12</v>
      </c>
      <c r="B5152" s="41" t="s">
        <v>1970</v>
      </c>
      <c r="C5152" s="9">
        <v>10</v>
      </c>
      <c r="D5152" s="7" t="s">
        <v>19</v>
      </c>
      <c r="E5152" s="37">
        <v>21000</v>
      </c>
      <c r="F5152" s="37">
        <f t="shared" si="58"/>
        <v>210000</v>
      </c>
      <c r="G5152" s="25"/>
      <c r="H5152" s="11"/>
      <c r="I5152" s="21"/>
      <c r="J5152" s="21"/>
      <c r="K5152" s="21"/>
      <c r="L5152" s="21"/>
      <c r="M5152" s="21"/>
      <c r="N5152" s="21"/>
    </row>
    <row r="5153" spans="1:14" ht="15.75" customHeight="1" x14ac:dyDescent="0.25">
      <c r="A5153" s="7">
        <v>13</v>
      </c>
      <c r="B5153" s="41" t="s">
        <v>1971</v>
      </c>
      <c r="C5153" s="9">
        <v>10</v>
      </c>
      <c r="D5153" s="7" t="s">
        <v>19</v>
      </c>
      <c r="E5153" s="37">
        <v>8500</v>
      </c>
      <c r="F5153" s="37">
        <f t="shared" si="58"/>
        <v>85000</v>
      </c>
      <c r="G5153" s="25"/>
      <c r="H5153" s="11"/>
      <c r="I5153" s="21"/>
      <c r="J5153" s="21"/>
      <c r="K5153" s="21"/>
      <c r="L5153" s="21"/>
      <c r="M5153" s="21"/>
      <c r="N5153" s="21"/>
    </row>
    <row r="5154" spans="1:14" ht="15.75" customHeight="1" x14ac:dyDescent="0.25">
      <c r="A5154" s="7">
        <v>14</v>
      </c>
      <c r="B5154" s="41" t="s">
        <v>1972</v>
      </c>
      <c r="C5154" s="9">
        <v>2</v>
      </c>
      <c r="D5154" s="7" t="s">
        <v>19</v>
      </c>
      <c r="E5154" s="37">
        <v>146000</v>
      </c>
      <c r="F5154" s="37">
        <f t="shared" si="58"/>
        <v>292000</v>
      </c>
      <c r="G5154" s="25"/>
      <c r="H5154" s="11"/>
      <c r="I5154" s="21"/>
      <c r="J5154" s="21"/>
      <c r="K5154" s="21"/>
      <c r="L5154" s="21"/>
      <c r="M5154" s="21"/>
      <c r="N5154" s="21"/>
    </row>
    <row r="5155" spans="1:14" ht="15.75" customHeight="1" x14ac:dyDescent="0.25">
      <c r="A5155" s="7"/>
      <c r="B5155" s="343" t="s">
        <v>342</v>
      </c>
      <c r="C5155" s="344"/>
      <c r="D5155" s="344"/>
      <c r="E5155" s="334"/>
      <c r="F5155" s="104">
        <f>SUM(F5141:F5154)</f>
        <v>16172500</v>
      </c>
      <c r="G5155" s="25"/>
      <c r="H5155" s="11"/>
      <c r="I5155" s="21"/>
      <c r="J5155" s="21"/>
      <c r="K5155" s="21"/>
      <c r="L5155" s="21"/>
      <c r="M5155" s="21"/>
      <c r="N5155" s="21"/>
    </row>
    <row r="5156" spans="1:14" ht="15.75" customHeight="1" x14ac:dyDescent="0.25">
      <c r="A5156" s="7"/>
      <c r="B5156" s="343" t="s">
        <v>343</v>
      </c>
      <c r="C5156" s="344"/>
      <c r="D5156" s="344"/>
      <c r="E5156" s="334"/>
      <c r="F5156" s="104">
        <f>F5155*11%</f>
        <v>1778975</v>
      </c>
      <c r="G5156" s="25"/>
      <c r="H5156" s="11"/>
      <c r="I5156" s="21"/>
      <c r="J5156" s="21"/>
      <c r="K5156" s="21"/>
      <c r="L5156" s="21"/>
      <c r="M5156" s="21"/>
      <c r="N5156" s="21"/>
    </row>
    <row r="5157" spans="1:14" ht="15.75" customHeight="1" x14ac:dyDescent="0.25">
      <c r="A5157" s="7"/>
      <c r="B5157" s="345" t="s">
        <v>344</v>
      </c>
      <c r="C5157" s="344"/>
      <c r="D5157" s="344"/>
      <c r="E5157" s="334"/>
      <c r="F5157" s="107">
        <f>F5156+F5155</f>
        <v>17951475</v>
      </c>
      <c r="G5157" s="25"/>
      <c r="H5157" s="11"/>
      <c r="I5157" s="21"/>
      <c r="J5157" s="21"/>
      <c r="K5157" s="21"/>
      <c r="L5157" s="21"/>
      <c r="M5157" s="21"/>
      <c r="N5157" s="21"/>
    </row>
    <row r="5158" spans="1:14" ht="15.75" customHeight="1" x14ac:dyDescent="0.25">
      <c r="A5158" s="21"/>
      <c r="B5158" s="21"/>
      <c r="C5158" s="11"/>
      <c r="D5158" s="11"/>
      <c r="E5158" s="21"/>
      <c r="F5158" s="21"/>
      <c r="G5158" s="25"/>
      <c r="H5158" s="11"/>
      <c r="I5158" s="21"/>
      <c r="J5158" s="21"/>
      <c r="K5158" s="21"/>
      <c r="L5158" s="21"/>
      <c r="M5158" s="21"/>
      <c r="N5158" s="21"/>
    </row>
    <row r="5159" spans="1:14" ht="15.75" customHeight="1" x14ac:dyDescent="0.25">
      <c r="A5159" s="31" t="s">
        <v>14</v>
      </c>
      <c r="B5159" s="31" t="s">
        <v>234</v>
      </c>
      <c r="C5159" s="31" t="s">
        <v>16</v>
      </c>
      <c r="D5159" s="31" t="s">
        <v>17</v>
      </c>
      <c r="E5159" s="31" t="s">
        <v>235</v>
      </c>
      <c r="F5159" s="31" t="s">
        <v>236</v>
      </c>
      <c r="G5159" s="25" t="s">
        <v>1950</v>
      </c>
      <c r="H5159" s="11"/>
      <c r="I5159" s="21"/>
      <c r="J5159" s="21"/>
      <c r="K5159" s="21"/>
      <c r="L5159" s="21"/>
      <c r="M5159" s="21"/>
      <c r="N5159" s="21"/>
    </row>
    <row r="5160" spans="1:14" ht="15.75" customHeight="1" x14ac:dyDescent="0.25">
      <c r="A5160" s="7">
        <v>1</v>
      </c>
      <c r="B5160" s="35" t="s">
        <v>1973</v>
      </c>
      <c r="C5160" s="9">
        <v>20</v>
      </c>
      <c r="D5160" s="7" t="s">
        <v>19</v>
      </c>
      <c r="E5160" s="37">
        <v>10800</v>
      </c>
      <c r="F5160" s="37">
        <f>E5160*C5160</f>
        <v>216000</v>
      </c>
      <c r="G5160" s="172">
        <v>45345</v>
      </c>
      <c r="H5160" s="11"/>
      <c r="I5160" s="21"/>
      <c r="J5160" s="21"/>
      <c r="K5160" s="21"/>
      <c r="L5160" s="21"/>
      <c r="M5160" s="21"/>
      <c r="N5160" s="21"/>
    </row>
    <row r="5161" spans="1:14" ht="15.75" customHeight="1" x14ac:dyDescent="0.25">
      <c r="A5161" s="7">
        <v>2</v>
      </c>
      <c r="B5161" s="35" t="s">
        <v>1974</v>
      </c>
      <c r="C5161" s="9">
        <v>2</v>
      </c>
      <c r="D5161" s="7" t="s">
        <v>285</v>
      </c>
      <c r="E5161" s="37">
        <v>51800</v>
      </c>
      <c r="F5161" s="37">
        <f>E5161*C5161</f>
        <v>103600</v>
      </c>
      <c r="G5161" s="42" t="s">
        <v>1975</v>
      </c>
      <c r="H5161" s="11"/>
      <c r="I5161" s="21"/>
      <c r="J5161" s="21"/>
      <c r="K5161" s="21"/>
      <c r="L5161" s="21"/>
      <c r="M5161" s="21"/>
      <c r="N5161" s="21"/>
    </row>
    <row r="5162" spans="1:14" ht="15.75" customHeight="1" x14ac:dyDescent="0.25">
      <c r="A5162" s="7"/>
      <c r="B5162" s="343" t="s">
        <v>342</v>
      </c>
      <c r="C5162" s="344"/>
      <c r="D5162" s="344"/>
      <c r="E5162" s="334"/>
      <c r="F5162" s="104">
        <f>SUM(F5160:F5161)</f>
        <v>319600</v>
      </c>
      <c r="G5162" s="25"/>
      <c r="H5162" s="11"/>
      <c r="I5162" s="21"/>
      <c r="J5162" s="21"/>
      <c r="K5162" s="21"/>
      <c r="L5162" s="21"/>
      <c r="M5162" s="21"/>
      <c r="N5162" s="21"/>
    </row>
    <row r="5163" spans="1:14" ht="15.75" customHeight="1" x14ac:dyDescent="0.25">
      <c r="A5163" s="7"/>
      <c r="B5163" s="343" t="s">
        <v>343</v>
      </c>
      <c r="C5163" s="344"/>
      <c r="D5163" s="344"/>
      <c r="E5163" s="334"/>
      <c r="F5163" s="104">
        <f>F5162*11%</f>
        <v>35156</v>
      </c>
      <c r="G5163" s="25"/>
      <c r="H5163" s="11"/>
      <c r="I5163" s="21"/>
      <c r="J5163" s="21"/>
      <c r="K5163" s="21"/>
      <c r="L5163" s="21"/>
      <c r="M5163" s="21"/>
      <c r="N5163" s="21"/>
    </row>
    <row r="5164" spans="1:14" ht="15.75" customHeight="1" x14ac:dyDescent="0.25">
      <c r="A5164" s="7"/>
      <c r="B5164" s="345" t="s">
        <v>344</v>
      </c>
      <c r="C5164" s="344"/>
      <c r="D5164" s="344"/>
      <c r="E5164" s="334"/>
      <c r="F5164" s="107">
        <f>F5163+F5162</f>
        <v>354756</v>
      </c>
      <c r="G5164" s="25"/>
      <c r="H5164" s="11"/>
      <c r="I5164" s="21"/>
      <c r="J5164" s="21"/>
      <c r="K5164" s="21"/>
      <c r="L5164" s="21"/>
      <c r="M5164" s="21"/>
      <c r="N5164" s="21"/>
    </row>
    <row r="5165" spans="1:14" ht="15.75" customHeight="1" x14ac:dyDescent="0.25">
      <c r="A5165" s="21"/>
      <c r="B5165" s="21"/>
      <c r="C5165" s="11"/>
      <c r="D5165" s="11"/>
      <c r="E5165" s="21"/>
      <c r="F5165" s="21"/>
      <c r="G5165" s="25"/>
      <c r="H5165" s="11"/>
      <c r="I5165" s="21"/>
      <c r="J5165" s="21"/>
      <c r="K5165" s="21"/>
      <c r="L5165" s="21"/>
      <c r="M5165" s="21"/>
      <c r="N5165" s="21"/>
    </row>
    <row r="5166" spans="1:14" ht="15.75" customHeight="1" x14ac:dyDescent="0.25">
      <c r="A5166" s="21"/>
      <c r="B5166" s="21"/>
      <c r="C5166" s="11"/>
      <c r="D5166" s="11"/>
      <c r="E5166" s="21"/>
      <c r="F5166" s="21"/>
      <c r="G5166" s="25"/>
      <c r="H5166" s="11"/>
      <c r="I5166" s="21"/>
      <c r="J5166" s="21"/>
      <c r="K5166" s="21"/>
      <c r="L5166" s="21"/>
      <c r="M5166" s="21"/>
      <c r="N5166" s="21"/>
    </row>
    <row r="5167" spans="1:14" ht="15.75" customHeight="1" x14ac:dyDescent="0.25">
      <c r="A5167" s="31" t="s">
        <v>14</v>
      </c>
      <c r="B5167" s="31" t="s">
        <v>234</v>
      </c>
      <c r="C5167" s="31" t="s">
        <v>16</v>
      </c>
      <c r="D5167" s="31" t="s">
        <v>17</v>
      </c>
      <c r="E5167" s="31" t="s">
        <v>235</v>
      </c>
      <c r="F5167" s="31" t="s">
        <v>236</v>
      </c>
      <c r="G5167" s="25" t="s">
        <v>1797</v>
      </c>
      <c r="H5167" s="11"/>
      <c r="I5167" s="21"/>
      <c r="J5167" s="21"/>
      <c r="K5167" s="21"/>
      <c r="L5167" s="21"/>
      <c r="M5167" s="21"/>
      <c r="N5167" s="21"/>
    </row>
    <row r="5168" spans="1:14" ht="15.75" customHeight="1" x14ac:dyDescent="0.25">
      <c r="A5168" s="7">
        <v>1</v>
      </c>
      <c r="B5168" s="35" t="s">
        <v>1976</v>
      </c>
      <c r="C5168" s="9">
        <v>20</v>
      </c>
      <c r="D5168" s="7" t="s">
        <v>19</v>
      </c>
      <c r="E5168" s="37">
        <v>32965</v>
      </c>
      <c r="F5168" s="37">
        <f>E5168*C5168</f>
        <v>659300</v>
      </c>
      <c r="G5168" s="172">
        <v>45345</v>
      </c>
      <c r="H5168" s="11"/>
      <c r="I5168" s="21"/>
      <c r="J5168" s="21"/>
      <c r="K5168" s="21"/>
      <c r="L5168" s="21"/>
      <c r="M5168" s="21"/>
      <c r="N5168" s="21"/>
    </row>
    <row r="5169" spans="1:14" ht="15.75" customHeight="1" x14ac:dyDescent="0.25">
      <c r="A5169" s="7">
        <v>2</v>
      </c>
      <c r="B5169" s="41" t="s">
        <v>702</v>
      </c>
      <c r="C5169" s="9">
        <v>6</v>
      </c>
      <c r="D5169" s="7" t="s">
        <v>19</v>
      </c>
      <c r="E5169" s="37">
        <v>218025</v>
      </c>
      <c r="F5169" s="37">
        <f>E5169*C5169</f>
        <v>1308150</v>
      </c>
      <c r="G5169" s="42" t="s">
        <v>1977</v>
      </c>
      <c r="H5169" s="11"/>
      <c r="I5169" s="21"/>
      <c r="J5169" s="21"/>
      <c r="K5169" s="21"/>
      <c r="L5169" s="21"/>
      <c r="M5169" s="21"/>
      <c r="N5169" s="21"/>
    </row>
    <row r="5170" spans="1:14" ht="15.75" customHeight="1" x14ac:dyDescent="0.25">
      <c r="A5170" s="7">
        <v>3</v>
      </c>
      <c r="B5170" s="41" t="s">
        <v>1978</v>
      </c>
      <c r="C5170" s="9">
        <v>6</v>
      </c>
      <c r="D5170" s="7" t="s">
        <v>19</v>
      </c>
      <c r="E5170" s="37">
        <v>84075</v>
      </c>
      <c r="F5170" s="37">
        <f>E5170*C5170</f>
        <v>504450</v>
      </c>
      <c r="G5170" s="25"/>
      <c r="H5170" s="11"/>
      <c r="I5170" s="21"/>
      <c r="J5170" s="21"/>
      <c r="K5170" s="21"/>
      <c r="L5170" s="21"/>
      <c r="M5170" s="21"/>
      <c r="N5170" s="21"/>
    </row>
    <row r="5171" spans="1:14" ht="15.75" customHeight="1" x14ac:dyDescent="0.25">
      <c r="A5171" s="7">
        <v>4</v>
      </c>
      <c r="B5171" s="41" t="s">
        <v>1979</v>
      </c>
      <c r="C5171" s="9">
        <v>2</v>
      </c>
      <c r="D5171" s="7" t="s">
        <v>19</v>
      </c>
      <c r="E5171" s="37">
        <v>291650</v>
      </c>
      <c r="F5171" s="37">
        <f>E5171*C5171</f>
        <v>583300</v>
      </c>
      <c r="G5171" s="25"/>
      <c r="H5171" s="11"/>
      <c r="I5171" s="21"/>
      <c r="J5171" s="21"/>
      <c r="K5171" s="21"/>
      <c r="L5171" s="21"/>
      <c r="M5171" s="21"/>
      <c r="N5171" s="21"/>
    </row>
    <row r="5172" spans="1:14" ht="15.75" customHeight="1" x14ac:dyDescent="0.25">
      <c r="A5172" s="7">
        <v>5</v>
      </c>
      <c r="B5172" s="41" t="s">
        <v>1980</v>
      </c>
      <c r="C5172" s="9">
        <v>10</v>
      </c>
      <c r="D5172" s="7" t="s">
        <v>19</v>
      </c>
      <c r="E5172" s="37">
        <v>84075</v>
      </c>
      <c r="F5172" s="37">
        <f>E5172*C5172</f>
        <v>840750</v>
      </c>
      <c r="G5172" s="25"/>
      <c r="H5172" s="11"/>
      <c r="I5172" s="21"/>
      <c r="J5172" s="21"/>
      <c r="K5172" s="21"/>
      <c r="L5172" s="21"/>
      <c r="M5172" s="21"/>
      <c r="N5172" s="21"/>
    </row>
    <row r="5173" spans="1:14" ht="15.75" customHeight="1" x14ac:dyDescent="0.25">
      <c r="A5173" s="7"/>
      <c r="B5173" s="343" t="s">
        <v>342</v>
      </c>
      <c r="C5173" s="344"/>
      <c r="D5173" s="344"/>
      <c r="E5173" s="334"/>
      <c r="F5173" s="104">
        <f>SUM(F5168:F5172)</f>
        <v>3895950</v>
      </c>
      <c r="G5173" s="25"/>
      <c r="H5173" s="11"/>
      <c r="I5173" s="21"/>
      <c r="J5173" s="21"/>
      <c r="K5173" s="21"/>
      <c r="L5173" s="21"/>
      <c r="M5173" s="21"/>
      <c r="N5173" s="21"/>
    </row>
    <row r="5174" spans="1:14" ht="15.75" customHeight="1" x14ac:dyDescent="0.25">
      <c r="A5174" s="7"/>
      <c r="B5174" s="343" t="s">
        <v>343</v>
      </c>
      <c r="C5174" s="344"/>
      <c r="D5174" s="344"/>
      <c r="E5174" s="334"/>
      <c r="F5174" s="167">
        <f>F5173*11%</f>
        <v>428554.5</v>
      </c>
      <c r="G5174" s="25"/>
      <c r="H5174" s="11"/>
      <c r="I5174" s="21"/>
      <c r="J5174" s="21"/>
      <c r="K5174" s="21"/>
      <c r="L5174" s="21"/>
      <c r="M5174" s="21"/>
      <c r="N5174" s="21"/>
    </row>
    <row r="5175" spans="1:14" ht="15.75" customHeight="1" x14ac:dyDescent="0.25">
      <c r="A5175" s="7"/>
      <c r="B5175" s="345" t="s">
        <v>344</v>
      </c>
      <c r="C5175" s="344"/>
      <c r="D5175" s="344"/>
      <c r="E5175" s="334"/>
      <c r="F5175" s="168">
        <f>F5174+F5173</f>
        <v>4324504.5</v>
      </c>
      <c r="G5175" s="25"/>
      <c r="H5175" s="11"/>
      <c r="I5175" s="21"/>
      <c r="J5175" s="21"/>
      <c r="K5175" s="21"/>
      <c r="L5175" s="21"/>
      <c r="M5175" s="21"/>
      <c r="N5175" s="21"/>
    </row>
    <row r="5176" spans="1:14" ht="15.75" customHeight="1" x14ac:dyDescent="0.25">
      <c r="A5176" s="21"/>
      <c r="B5176" s="21"/>
      <c r="C5176" s="11"/>
      <c r="D5176" s="11"/>
      <c r="E5176" s="21"/>
      <c r="F5176" s="21"/>
      <c r="G5176" s="25"/>
      <c r="H5176" s="11"/>
      <c r="I5176" s="21"/>
      <c r="J5176" s="21"/>
      <c r="K5176" s="21"/>
      <c r="L5176" s="21"/>
      <c r="M5176" s="21"/>
      <c r="N5176" s="21"/>
    </row>
    <row r="5177" spans="1:14" ht="15.75" customHeight="1" x14ac:dyDescent="0.25">
      <c r="A5177" s="21"/>
      <c r="B5177" s="21"/>
      <c r="C5177" s="11"/>
      <c r="D5177" s="11"/>
      <c r="E5177" s="21"/>
      <c r="F5177" s="21"/>
      <c r="G5177" s="25"/>
      <c r="H5177" s="11"/>
      <c r="I5177" s="21"/>
      <c r="J5177" s="21"/>
      <c r="K5177" s="21"/>
      <c r="L5177" s="21"/>
      <c r="M5177" s="21"/>
      <c r="N5177" s="21"/>
    </row>
    <row r="5178" spans="1:14" ht="15.75" customHeight="1" x14ac:dyDescent="0.25">
      <c r="A5178" s="31" t="s">
        <v>14</v>
      </c>
      <c r="B5178" s="31" t="s">
        <v>234</v>
      </c>
      <c r="C5178" s="31" t="s">
        <v>16</v>
      </c>
      <c r="D5178" s="31" t="s">
        <v>17</v>
      </c>
      <c r="E5178" s="31" t="s">
        <v>235</v>
      </c>
      <c r="F5178" s="31" t="s">
        <v>236</v>
      </c>
      <c r="G5178" s="25" t="s">
        <v>1748</v>
      </c>
      <c r="H5178" s="11"/>
      <c r="I5178" s="21"/>
      <c r="J5178" s="21"/>
      <c r="K5178" s="21"/>
      <c r="L5178" s="21"/>
      <c r="M5178" s="21"/>
      <c r="N5178" s="21"/>
    </row>
    <row r="5179" spans="1:14" ht="15.75" customHeight="1" x14ac:dyDescent="0.25">
      <c r="A5179" s="7">
        <v>1</v>
      </c>
      <c r="B5179" s="124" t="s">
        <v>1981</v>
      </c>
      <c r="C5179" s="9">
        <v>1</v>
      </c>
      <c r="D5179" s="7" t="s">
        <v>243</v>
      </c>
      <c r="E5179" s="37">
        <v>4389000</v>
      </c>
      <c r="F5179" s="37">
        <f>E5179*C5179</f>
        <v>4389000</v>
      </c>
      <c r="G5179" s="172">
        <v>45306</v>
      </c>
      <c r="H5179" s="11"/>
      <c r="I5179" s="21"/>
      <c r="J5179" s="21"/>
      <c r="K5179" s="21"/>
      <c r="L5179" s="21"/>
      <c r="M5179" s="21"/>
      <c r="N5179" s="21"/>
    </row>
    <row r="5180" spans="1:14" ht="15.75" customHeight="1" x14ac:dyDescent="0.25">
      <c r="A5180" s="7"/>
      <c r="B5180" s="343" t="s">
        <v>342</v>
      </c>
      <c r="C5180" s="344"/>
      <c r="D5180" s="344"/>
      <c r="E5180" s="334"/>
      <c r="F5180" s="104">
        <f>SUM(F5179)</f>
        <v>4389000</v>
      </c>
      <c r="G5180" s="42" t="s">
        <v>1982</v>
      </c>
      <c r="H5180" s="11"/>
      <c r="I5180" s="21"/>
      <c r="J5180" s="21"/>
      <c r="K5180" s="21"/>
      <c r="L5180" s="21"/>
      <c r="M5180" s="21"/>
      <c r="N5180" s="21"/>
    </row>
    <row r="5181" spans="1:14" ht="15.75" customHeight="1" x14ac:dyDescent="0.25">
      <c r="A5181" s="7"/>
      <c r="B5181" s="343" t="s">
        <v>343</v>
      </c>
      <c r="C5181" s="344"/>
      <c r="D5181" s="344"/>
      <c r="E5181" s="334"/>
      <c r="F5181" s="104">
        <f>F5180*11%</f>
        <v>482790</v>
      </c>
      <c r="G5181" s="25"/>
      <c r="H5181" s="11"/>
      <c r="I5181" s="21"/>
      <c r="J5181" s="21"/>
      <c r="K5181" s="21"/>
      <c r="L5181" s="21"/>
      <c r="M5181" s="21"/>
      <c r="N5181" s="21"/>
    </row>
    <row r="5182" spans="1:14" ht="15.75" customHeight="1" x14ac:dyDescent="0.25">
      <c r="A5182" s="7"/>
      <c r="B5182" s="345" t="s">
        <v>344</v>
      </c>
      <c r="C5182" s="344"/>
      <c r="D5182" s="344"/>
      <c r="E5182" s="334"/>
      <c r="F5182" s="107">
        <f>F5181+F5180</f>
        <v>4871790</v>
      </c>
      <c r="G5182" s="25"/>
      <c r="H5182" s="11"/>
      <c r="I5182" s="21"/>
      <c r="J5182" s="21"/>
      <c r="K5182" s="21"/>
      <c r="L5182" s="21"/>
      <c r="M5182" s="21"/>
      <c r="N5182" s="21"/>
    </row>
    <row r="5183" spans="1:14" ht="15.75" customHeight="1" x14ac:dyDescent="0.25">
      <c r="A5183" s="21"/>
      <c r="B5183" s="21"/>
      <c r="C5183" s="11"/>
      <c r="D5183" s="11"/>
      <c r="E5183" s="21"/>
      <c r="F5183" s="21"/>
      <c r="G5183" s="25"/>
      <c r="H5183" s="11"/>
      <c r="I5183" s="21"/>
      <c r="J5183" s="21"/>
      <c r="K5183" s="21"/>
      <c r="L5183" s="21"/>
      <c r="M5183" s="21"/>
      <c r="N5183" s="21"/>
    </row>
    <row r="5184" spans="1:14" ht="15.75" customHeight="1" x14ac:dyDescent="0.25">
      <c r="A5184" s="31" t="s">
        <v>14</v>
      </c>
      <c r="B5184" s="31" t="s">
        <v>234</v>
      </c>
      <c r="C5184" s="31" t="s">
        <v>16</v>
      </c>
      <c r="D5184" s="31" t="s">
        <v>17</v>
      </c>
      <c r="E5184" s="31" t="s">
        <v>235</v>
      </c>
      <c r="F5184" s="31" t="s">
        <v>236</v>
      </c>
      <c r="G5184" s="25"/>
      <c r="H5184" s="11"/>
      <c r="I5184" s="21"/>
      <c r="J5184" s="21"/>
      <c r="K5184" s="21"/>
      <c r="L5184" s="21"/>
      <c r="M5184" s="21"/>
      <c r="N5184" s="21"/>
    </row>
    <row r="5185" spans="1:14" ht="15.75" customHeight="1" x14ac:dyDescent="0.25">
      <c r="A5185" s="7">
        <v>1</v>
      </c>
      <c r="B5185" s="124" t="s">
        <v>1983</v>
      </c>
      <c r="C5185" s="9">
        <v>18</v>
      </c>
      <c r="D5185" s="7" t="s">
        <v>363</v>
      </c>
      <c r="E5185" s="37">
        <v>74000</v>
      </c>
      <c r="F5185" s="37">
        <f>E5185*C5185</f>
        <v>1332000</v>
      </c>
      <c r="G5185" s="25"/>
      <c r="H5185" s="11"/>
      <c r="I5185" s="21"/>
      <c r="J5185" s="21"/>
      <c r="K5185" s="21"/>
      <c r="L5185" s="21"/>
      <c r="M5185" s="21"/>
      <c r="N5185" s="21"/>
    </row>
    <row r="5186" spans="1:14" ht="15.75" customHeight="1" x14ac:dyDescent="0.25">
      <c r="A5186" s="7">
        <v>2</v>
      </c>
      <c r="B5186" s="124" t="s">
        <v>1984</v>
      </c>
      <c r="C5186" s="9">
        <v>18</v>
      </c>
      <c r="D5186" s="7" t="s">
        <v>363</v>
      </c>
      <c r="E5186" s="37">
        <v>26125</v>
      </c>
      <c r="F5186" s="37">
        <f>E5186*C5186</f>
        <v>470250</v>
      </c>
      <c r="G5186" s="25"/>
      <c r="H5186" s="11"/>
      <c r="I5186" s="21"/>
      <c r="J5186" s="21"/>
      <c r="K5186" s="21"/>
      <c r="L5186" s="21"/>
      <c r="M5186" s="21"/>
      <c r="N5186" s="21"/>
    </row>
    <row r="5187" spans="1:14" ht="15.75" customHeight="1" x14ac:dyDescent="0.25">
      <c r="A5187" s="7">
        <v>3</v>
      </c>
      <c r="B5187" s="124" t="s">
        <v>1985</v>
      </c>
      <c r="C5187" s="9">
        <v>4</v>
      </c>
      <c r="D5187" s="7" t="s">
        <v>363</v>
      </c>
      <c r="E5187" s="37">
        <v>141075</v>
      </c>
      <c r="F5187" s="37">
        <f>E5187*C5187</f>
        <v>564300</v>
      </c>
      <c r="G5187" s="25"/>
      <c r="H5187" s="11"/>
      <c r="I5187" s="21"/>
      <c r="J5187" s="21"/>
      <c r="K5187" s="21"/>
      <c r="L5187" s="21"/>
      <c r="M5187" s="21"/>
      <c r="N5187" s="21"/>
    </row>
    <row r="5188" spans="1:14" ht="15.75" customHeight="1" x14ac:dyDescent="0.25">
      <c r="A5188" s="7"/>
      <c r="B5188" s="343" t="s">
        <v>342</v>
      </c>
      <c r="C5188" s="344"/>
      <c r="D5188" s="344"/>
      <c r="E5188" s="334"/>
      <c r="F5188" s="104">
        <f>SUM(F5185:F5187)</f>
        <v>2366550</v>
      </c>
      <c r="G5188" s="25"/>
      <c r="H5188" s="11"/>
      <c r="I5188" s="21"/>
      <c r="J5188" s="21"/>
      <c r="K5188" s="21"/>
      <c r="L5188" s="21"/>
      <c r="M5188" s="21"/>
      <c r="N5188" s="21"/>
    </row>
    <row r="5189" spans="1:14" ht="15.75" customHeight="1" x14ac:dyDescent="0.25">
      <c r="A5189" s="7"/>
      <c r="B5189" s="343" t="s">
        <v>343</v>
      </c>
      <c r="C5189" s="344"/>
      <c r="D5189" s="344"/>
      <c r="E5189" s="334"/>
      <c r="F5189" s="167">
        <f>F5188*11%</f>
        <v>260320.5</v>
      </c>
      <c r="G5189" s="25"/>
      <c r="H5189" s="11"/>
      <c r="I5189" s="21"/>
      <c r="J5189" s="21"/>
      <c r="K5189" s="21"/>
      <c r="L5189" s="21"/>
      <c r="M5189" s="21"/>
      <c r="N5189" s="21"/>
    </row>
    <row r="5190" spans="1:14" ht="15.75" customHeight="1" x14ac:dyDescent="0.25">
      <c r="A5190" s="7"/>
      <c r="B5190" s="345" t="s">
        <v>344</v>
      </c>
      <c r="C5190" s="344"/>
      <c r="D5190" s="344"/>
      <c r="E5190" s="334"/>
      <c r="F5190" s="168">
        <f>F5189+F5188</f>
        <v>2626870.5</v>
      </c>
      <c r="G5190" s="25"/>
      <c r="H5190" s="11"/>
      <c r="I5190" s="21"/>
      <c r="J5190" s="21"/>
      <c r="K5190" s="21"/>
      <c r="L5190" s="21"/>
      <c r="M5190" s="21"/>
      <c r="N5190" s="21"/>
    </row>
    <row r="5191" spans="1:14" ht="15.75" customHeight="1" x14ac:dyDescent="0.25">
      <c r="A5191" s="21"/>
      <c r="B5191" s="21"/>
      <c r="C5191" s="11"/>
      <c r="D5191" s="11"/>
      <c r="E5191" s="21"/>
      <c r="F5191" s="21"/>
      <c r="G5191" s="25"/>
      <c r="H5191" s="11"/>
      <c r="I5191" s="21"/>
      <c r="J5191" s="21"/>
      <c r="K5191" s="21"/>
      <c r="L5191" s="21"/>
      <c r="M5191" s="21"/>
      <c r="N5191" s="21"/>
    </row>
    <row r="5192" spans="1:14" ht="15.75" customHeight="1" x14ac:dyDescent="0.25">
      <c r="A5192" s="21"/>
      <c r="B5192" s="21"/>
      <c r="C5192" s="11"/>
      <c r="D5192" s="11"/>
      <c r="E5192" s="21"/>
      <c r="F5192" s="21"/>
      <c r="G5192" s="25"/>
      <c r="H5192" s="11"/>
      <c r="I5192" s="21"/>
      <c r="J5192" s="21"/>
      <c r="K5192" s="21"/>
      <c r="L5192" s="21"/>
      <c r="M5192" s="21"/>
      <c r="N5192" s="21"/>
    </row>
    <row r="5193" spans="1:14" ht="15.75" customHeight="1" x14ac:dyDescent="0.25">
      <c r="A5193" s="31" t="s">
        <v>14</v>
      </c>
      <c r="B5193" s="31" t="s">
        <v>234</v>
      </c>
      <c r="C5193" s="31" t="s">
        <v>16</v>
      </c>
      <c r="D5193" s="31" t="s">
        <v>17</v>
      </c>
      <c r="E5193" s="31" t="s">
        <v>235</v>
      </c>
      <c r="F5193" s="31" t="s">
        <v>236</v>
      </c>
      <c r="G5193" s="25"/>
      <c r="H5193" s="11"/>
      <c r="I5193" s="21"/>
      <c r="J5193" s="21"/>
      <c r="K5193" s="21"/>
      <c r="L5193" s="21"/>
      <c r="M5193" s="21"/>
      <c r="N5193" s="21"/>
    </row>
    <row r="5194" spans="1:14" ht="15.75" customHeight="1" x14ac:dyDescent="0.25">
      <c r="A5194" s="7">
        <v>1</v>
      </c>
      <c r="B5194" s="124" t="s">
        <v>1612</v>
      </c>
      <c r="C5194" s="9">
        <v>5</v>
      </c>
      <c r="D5194" s="7" t="s">
        <v>1458</v>
      </c>
      <c r="E5194" s="37">
        <v>82935</v>
      </c>
      <c r="F5194" s="37">
        <f>E5194*C5194</f>
        <v>414675</v>
      </c>
      <c r="G5194" s="25"/>
      <c r="H5194" s="11"/>
      <c r="I5194" s="21"/>
      <c r="J5194" s="21"/>
      <c r="K5194" s="21"/>
      <c r="L5194" s="21"/>
      <c r="M5194" s="21"/>
      <c r="N5194" s="21"/>
    </row>
    <row r="5195" spans="1:14" ht="15.75" customHeight="1" x14ac:dyDescent="0.25">
      <c r="A5195" s="7">
        <v>2</v>
      </c>
      <c r="B5195" s="124" t="s">
        <v>1986</v>
      </c>
      <c r="C5195" s="9">
        <v>15</v>
      </c>
      <c r="D5195" s="7" t="s">
        <v>363</v>
      </c>
      <c r="E5195" s="37">
        <v>3000</v>
      </c>
      <c r="F5195" s="37">
        <f>E5195*C5195</f>
        <v>45000</v>
      </c>
      <c r="G5195" s="25"/>
      <c r="H5195" s="11"/>
      <c r="I5195" s="21"/>
      <c r="J5195" s="21"/>
      <c r="K5195" s="21"/>
      <c r="L5195" s="21"/>
      <c r="M5195" s="21"/>
      <c r="N5195" s="21"/>
    </row>
    <row r="5196" spans="1:14" ht="15.75" customHeight="1" x14ac:dyDescent="0.25">
      <c r="A5196" s="7">
        <v>3</v>
      </c>
      <c r="B5196" s="124" t="s">
        <v>1197</v>
      </c>
      <c r="C5196" s="9">
        <v>3</v>
      </c>
      <c r="D5196" s="7" t="s">
        <v>550</v>
      </c>
      <c r="E5196" s="37">
        <v>128060</v>
      </c>
      <c r="F5196" s="37">
        <f>E5196*C5196</f>
        <v>384180</v>
      </c>
      <c r="G5196" s="25"/>
      <c r="H5196" s="11"/>
      <c r="I5196" s="21"/>
      <c r="J5196" s="21"/>
      <c r="K5196" s="21"/>
      <c r="L5196" s="21"/>
      <c r="M5196" s="21"/>
      <c r="N5196" s="21"/>
    </row>
    <row r="5197" spans="1:14" ht="15.75" customHeight="1" x14ac:dyDescent="0.25">
      <c r="A5197" s="7"/>
      <c r="B5197" s="343" t="s">
        <v>342</v>
      </c>
      <c r="C5197" s="344"/>
      <c r="D5197" s="344"/>
      <c r="E5197" s="334"/>
      <c r="F5197" s="104">
        <f>SUM(F5194:F5196)</f>
        <v>843855</v>
      </c>
      <c r="G5197" s="25"/>
      <c r="H5197" s="11"/>
      <c r="I5197" s="21"/>
      <c r="J5197" s="21"/>
      <c r="K5197" s="21"/>
      <c r="L5197" s="21"/>
      <c r="M5197" s="21"/>
      <c r="N5197" s="21"/>
    </row>
    <row r="5198" spans="1:14" ht="15.75" customHeight="1" x14ac:dyDescent="0.25">
      <c r="A5198" s="7"/>
      <c r="B5198" s="343" t="s">
        <v>343</v>
      </c>
      <c r="C5198" s="344"/>
      <c r="D5198" s="344"/>
      <c r="E5198" s="334"/>
      <c r="F5198" s="167">
        <f>F5197*11%</f>
        <v>92824.05</v>
      </c>
      <c r="G5198" s="25"/>
      <c r="H5198" s="11"/>
      <c r="I5198" s="21"/>
      <c r="J5198" s="21"/>
      <c r="K5198" s="21"/>
      <c r="L5198" s="21"/>
      <c r="M5198" s="21"/>
      <c r="N5198" s="21"/>
    </row>
    <row r="5199" spans="1:14" ht="15.75" customHeight="1" x14ac:dyDescent="0.25">
      <c r="A5199" s="7"/>
      <c r="B5199" s="345" t="s">
        <v>344</v>
      </c>
      <c r="C5199" s="344"/>
      <c r="D5199" s="344"/>
      <c r="E5199" s="334"/>
      <c r="F5199" s="168">
        <f>F5198+F5197</f>
        <v>936679.05</v>
      </c>
      <c r="G5199" s="25"/>
      <c r="H5199" s="11"/>
      <c r="I5199" s="21"/>
      <c r="J5199" s="21"/>
      <c r="K5199" s="21"/>
      <c r="L5199" s="21"/>
      <c r="M5199" s="21"/>
      <c r="N5199" s="21"/>
    </row>
    <row r="5200" spans="1:14" ht="15.75" customHeight="1" x14ac:dyDescent="0.25">
      <c r="A5200" s="21"/>
      <c r="B5200" s="21"/>
      <c r="C5200" s="11"/>
      <c r="D5200" s="11"/>
      <c r="E5200" s="21"/>
      <c r="F5200" s="21"/>
      <c r="G5200" s="25"/>
      <c r="H5200" s="11"/>
      <c r="I5200" s="21"/>
      <c r="J5200" s="21"/>
      <c r="K5200" s="21"/>
      <c r="L5200" s="21"/>
      <c r="M5200" s="21"/>
      <c r="N5200" s="21"/>
    </row>
    <row r="5201" spans="1:14" ht="15.75" customHeight="1" x14ac:dyDescent="0.25">
      <c r="A5201" s="31" t="s">
        <v>14</v>
      </c>
      <c r="B5201" s="31" t="s">
        <v>234</v>
      </c>
      <c r="C5201" s="31" t="s">
        <v>16</v>
      </c>
      <c r="D5201" s="31" t="s">
        <v>17</v>
      </c>
      <c r="E5201" s="31" t="s">
        <v>235</v>
      </c>
      <c r="F5201" s="31" t="s">
        <v>236</v>
      </c>
      <c r="G5201" s="25"/>
      <c r="H5201" s="11"/>
      <c r="I5201" s="21"/>
      <c r="J5201" s="21"/>
      <c r="K5201" s="21"/>
      <c r="L5201" s="21"/>
      <c r="M5201" s="21"/>
      <c r="N5201" s="21"/>
    </row>
    <row r="5202" spans="1:14" ht="15.75" customHeight="1" x14ac:dyDescent="0.25">
      <c r="A5202" s="7">
        <v>1</v>
      </c>
      <c r="B5202" s="35" t="s">
        <v>1987</v>
      </c>
      <c r="C5202" s="9">
        <v>1</v>
      </c>
      <c r="D5202" s="7" t="s">
        <v>19</v>
      </c>
      <c r="E5202" s="37">
        <v>1199405</v>
      </c>
      <c r="F5202" s="37">
        <f>E5202*C5202</f>
        <v>1199405</v>
      </c>
      <c r="G5202" s="25"/>
      <c r="H5202" s="11"/>
      <c r="I5202" s="21"/>
      <c r="J5202" s="21"/>
      <c r="K5202" s="21"/>
      <c r="L5202" s="21"/>
      <c r="M5202" s="21"/>
      <c r="N5202" s="21"/>
    </row>
    <row r="5203" spans="1:14" ht="15.75" customHeight="1" x14ac:dyDescent="0.25">
      <c r="A5203" s="7"/>
      <c r="B5203" s="343" t="s">
        <v>342</v>
      </c>
      <c r="C5203" s="344"/>
      <c r="D5203" s="344"/>
      <c r="E5203" s="334"/>
      <c r="F5203" s="104">
        <f>SUM(F5202)</f>
        <v>1199405</v>
      </c>
      <c r="G5203" s="25"/>
      <c r="H5203" s="11"/>
      <c r="I5203" s="21"/>
      <c r="J5203" s="21"/>
      <c r="K5203" s="21"/>
      <c r="L5203" s="21"/>
      <c r="M5203" s="21"/>
      <c r="N5203" s="21"/>
    </row>
    <row r="5204" spans="1:14" ht="15.75" customHeight="1" x14ac:dyDescent="0.25">
      <c r="A5204" s="7"/>
      <c r="B5204" s="343" t="s">
        <v>343</v>
      </c>
      <c r="C5204" s="344"/>
      <c r="D5204" s="344"/>
      <c r="E5204" s="334"/>
      <c r="F5204" s="167">
        <f>F5203*11%</f>
        <v>131934.54999999999</v>
      </c>
      <c r="G5204" s="25"/>
      <c r="H5204" s="11"/>
      <c r="I5204" s="21"/>
      <c r="J5204" s="21"/>
      <c r="K5204" s="21"/>
      <c r="L5204" s="21"/>
      <c r="M5204" s="21"/>
      <c r="N5204" s="21"/>
    </row>
    <row r="5205" spans="1:14" ht="15.75" customHeight="1" x14ac:dyDescent="0.25">
      <c r="A5205" s="7"/>
      <c r="B5205" s="345" t="s">
        <v>344</v>
      </c>
      <c r="C5205" s="344"/>
      <c r="D5205" s="344"/>
      <c r="E5205" s="334"/>
      <c r="F5205" s="168">
        <f>F5204+F5203</f>
        <v>1331339.55</v>
      </c>
      <c r="G5205" s="25"/>
      <c r="H5205" s="11"/>
      <c r="I5205" s="21"/>
      <c r="J5205" s="21"/>
      <c r="K5205" s="21"/>
      <c r="L5205" s="21"/>
      <c r="M5205" s="21"/>
      <c r="N5205" s="21"/>
    </row>
    <row r="5206" spans="1:14" ht="15.75" customHeight="1" x14ac:dyDescent="0.25">
      <c r="A5206" s="21"/>
      <c r="B5206" s="21"/>
      <c r="C5206" s="11"/>
      <c r="D5206" s="11"/>
      <c r="E5206" s="21"/>
      <c r="F5206" s="21"/>
      <c r="G5206" s="25"/>
      <c r="H5206" s="11"/>
      <c r="I5206" s="21"/>
      <c r="J5206" s="21"/>
      <c r="K5206" s="21"/>
      <c r="L5206" s="21"/>
      <c r="M5206" s="21"/>
      <c r="N5206" s="21"/>
    </row>
    <row r="5207" spans="1:14" ht="15.75" customHeight="1" x14ac:dyDescent="0.25">
      <c r="A5207" s="31" t="s">
        <v>14</v>
      </c>
      <c r="B5207" s="31" t="s">
        <v>234</v>
      </c>
      <c r="C5207" s="31" t="s">
        <v>16</v>
      </c>
      <c r="D5207" s="31" t="s">
        <v>17</v>
      </c>
      <c r="E5207" s="31" t="s">
        <v>235</v>
      </c>
      <c r="F5207" s="31" t="s">
        <v>236</v>
      </c>
      <c r="G5207" s="25"/>
      <c r="H5207" s="11"/>
      <c r="I5207" s="21"/>
      <c r="J5207" s="21"/>
      <c r="K5207" s="21"/>
      <c r="L5207" s="21"/>
      <c r="M5207" s="21"/>
      <c r="N5207" s="21"/>
    </row>
    <row r="5208" spans="1:14" ht="15.75" customHeight="1" x14ac:dyDescent="0.25">
      <c r="A5208" s="7">
        <v>1</v>
      </c>
      <c r="B5208" s="35" t="s">
        <v>1987</v>
      </c>
      <c r="C5208" s="9">
        <v>1</v>
      </c>
      <c r="D5208" s="7" t="s">
        <v>19</v>
      </c>
      <c r="E5208" s="37">
        <v>1199405</v>
      </c>
      <c r="F5208" s="37">
        <f>E5208*C5208</f>
        <v>1199405</v>
      </c>
      <c r="G5208" s="25"/>
      <c r="H5208" s="11"/>
      <c r="I5208" s="21"/>
      <c r="J5208" s="21"/>
      <c r="K5208" s="21"/>
      <c r="L5208" s="21"/>
      <c r="M5208" s="21"/>
      <c r="N5208" s="21"/>
    </row>
    <row r="5209" spans="1:14" ht="15.75" customHeight="1" x14ac:dyDescent="0.25">
      <c r="A5209" s="7"/>
      <c r="B5209" s="343" t="s">
        <v>342</v>
      </c>
      <c r="C5209" s="344"/>
      <c r="D5209" s="344"/>
      <c r="E5209" s="334"/>
      <c r="F5209" s="104">
        <f>SUM(F5208)</f>
        <v>1199405</v>
      </c>
      <c r="G5209" s="25"/>
      <c r="H5209" s="11"/>
      <c r="I5209" s="21"/>
      <c r="J5209" s="21"/>
      <c r="K5209" s="21"/>
      <c r="L5209" s="21"/>
      <c r="M5209" s="21"/>
      <c r="N5209" s="21"/>
    </row>
    <row r="5210" spans="1:14" ht="15.75" customHeight="1" x14ac:dyDescent="0.25">
      <c r="A5210" s="7"/>
      <c r="B5210" s="343" t="s">
        <v>343</v>
      </c>
      <c r="C5210" s="344"/>
      <c r="D5210" s="344"/>
      <c r="E5210" s="334"/>
      <c r="F5210" s="167">
        <f>F5209*11%</f>
        <v>131934.54999999999</v>
      </c>
      <c r="G5210" s="25"/>
      <c r="H5210" s="11"/>
      <c r="I5210" s="21"/>
      <c r="J5210" s="21"/>
      <c r="K5210" s="21"/>
      <c r="L5210" s="21"/>
      <c r="M5210" s="21"/>
      <c r="N5210" s="21"/>
    </row>
    <row r="5211" spans="1:14" ht="15.75" customHeight="1" x14ac:dyDescent="0.25">
      <c r="A5211" s="7"/>
      <c r="B5211" s="345" t="s">
        <v>344</v>
      </c>
      <c r="C5211" s="344"/>
      <c r="D5211" s="344"/>
      <c r="E5211" s="334"/>
      <c r="F5211" s="168">
        <f>F5210+F5209</f>
        <v>1331339.55</v>
      </c>
      <c r="G5211" s="25"/>
      <c r="H5211" s="11"/>
      <c r="I5211" s="21"/>
      <c r="J5211" s="21"/>
      <c r="K5211" s="21"/>
      <c r="L5211" s="21"/>
      <c r="M5211" s="21"/>
      <c r="N5211" s="21"/>
    </row>
    <row r="5212" spans="1:14" ht="15.75" customHeight="1" x14ac:dyDescent="0.25">
      <c r="A5212" s="21"/>
      <c r="B5212" s="21"/>
      <c r="C5212" s="11"/>
      <c r="D5212" s="11"/>
      <c r="E5212" s="21"/>
      <c r="F5212" s="21"/>
      <c r="G5212" s="25"/>
      <c r="H5212" s="11"/>
      <c r="I5212" s="21"/>
      <c r="J5212" s="21"/>
      <c r="K5212" s="21"/>
      <c r="L5212" s="21"/>
      <c r="M5212" s="21"/>
      <c r="N5212" s="21"/>
    </row>
    <row r="5213" spans="1:14" ht="15.75" customHeight="1" x14ac:dyDescent="0.25">
      <c r="A5213" s="31" t="s">
        <v>14</v>
      </c>
      <c r="B5213" s="31" t="s">
        <v>234</v>
      </c>
      <c r="C5213" s="31" t="s">
        <v>16</v>
      </c>
      <c r="D5213" s="31" t="s">
        <v>17</v>
      </c>
      <c r="E5213" s="31" t="s">
        <v>235</v>
      </c>
      <c r="F5213" s="31" t="s">
        <v>236</v>
      </c>
      <c r="G5213" s="25" t="s">
        <v>1926</v>
      </c>
      <c r="H5213" s="11"/>
      <c r="I5213" s="21"/>
      <c r="J5213" s="21"/>
      <c r="K5213" s="21"/>
      <c r="L5213" s="21"/>
      <c r="M5213" s="21"/>
      <c r="N5213" s="21"/>
    </row>
    <row r="5214" spans="1:14" ht="15.75" customHeight="1" x14ac:dyDescent="0.25">
      <c r="A5214" s="7">
        <v>1</v>
      </c>
      <c r="B5214" s="35" t="s">
        <v>1988</v>
      </c>
      <c r="C5214" s="7">
        <v>4</v>
      </c>
      <c r="D5214" s="7" t="s">
        <v>19</v>
      </c>
      <c r="E5214" s="37">
        <v>891940</v>
      </c>
      <c r="F5214" s="37">
        <f>E5214*C5214</f>
        <v>3567760</v>
      </c>
      <c r="G5214" s="172">
        <v>45343</v>
      </c>
      <c r="H5214" s="11"/>
      <c r="I5214" s="21"/>
      <c r="J5214" s="21"/>
      <c r="K5214" s="21"/>
      <c r="L5214" s="21"/>
      <c r="M5214" s="21"/>
      <c r="N5214" s="21"/>
    </row>
    <row r="5215" spans="1:14" ht="15.75" customHeight="1" x14ac:dyDescent="0.25">
      <c r="A5215" s="7">
        <v>2</v>
      </c>
      <c r="B5215" s="41" t="s">
        <v>1989</v>
      </c>
      <c r="C5215" s="7">
        <v>6</v>
      </c>
      <c r="D5215" s="7" t="s">
        <v>19</v>
      </c>
      <c r="E5215" s="37">
        <v>93380</v>
      </c>
      <c r="F5215" s="37">
        <f>E5215*C5215</f>
        <v>560280</v>
      </c>
      <c r="G5215" s="172"/>
      <c r="H5215" s="11"/>
      <c r="I5215" s="21"/>
      <c r="J5215" s="21"/>
      <c r="K5215" s="21"/>
      <c r="L5215" s="21"/>
      <c r="M5215" s="21"/>
      <c r="N5215" s="21"/>
    </row>
    <row r="5216" spans="1:14" ht="15.75" customHeight="1" x14ac:dyDescent="0.25">
      <c r="A5216" s="7"/>
      <c r="B5216" s="343" t="s">
        <v>342</v>
      </c>
      <c r="C5216" s="344"/>
      <c r="D5216" s="344"/>
      <c r="E5216" s="334"/>
      <c r="F5216" s="104">
        <f>SUM(F5214:F5215)</f>
        <v>4128040</v>
      </c>
      <c r="G5216" s="42" t="s">
        <v>1990</v>
      </c>
      <c r="H5216" s="11"/>
      <c r="I5216" s="21"/>
      <c r="J5216" s="21"/>
      <c r="K5216" s="21"/>
      <c r="L5216" s="21"/>
      <c r="M5216" s="21"/>
      <c r="N5216" s="21"/>
    </row>
    <row r="5217" spans="1:14" ht="15.75" customHeight="1" x14ac:dyDescent="0.25">
      <c r="A5217" s="7"/>
      <c r="B5217" s="343" t="s">
        <v>343</v>
      </c>
      <c r="C5217" s="344"/>
      <c r="D5217" s="344"/>
      <c r="E5217" s="334"/>
      <c r="F5217" s="167">
        <f>F5216*11%</f>
        <v>454084.4</v>
      </c>
      <c r="G5217" s="25"/>
      <c r="H5217" s="11"/>
      <c r="I5217" s="21"/>
      <c r="J5217" s="21"/>
      <c r="K5217" s="21"/>
      <c r="L5217" s="21"/>
      <c r="M5217" s="21"/>
      <c r="N5217" s="21"/>
    </row>
    <row r="5218" spans="1:14" ht="15.75" customHeight="1" x14ac:dyDescent="0.25">
      <c r="A5218" s="7"/>
      <c r="B5218" s="345" t="s">
        <v>344</v>
      </c>
      <c r="C5218" s="344"/>
      <c r="D5218" s="344"/>
      <c r="E5218" s="334"/>
      <c r="F5218" s="168">
        <f>SUM(F5216:F5217)</f>
        <v>4582124.4000000004</v>
      </c>
      <c r="G5218" s="25"/>
      <c r="H5218" s="11"/>
      <c r="I5218" s="21"/>
      <c r="J5218" s="21"/>
      <c r="K5218" s="21"/>
      <c r="L5218" s="21"/>
      <c r="M5218" s="21"/>
      <c r="N5218" s="21"/>
    </row>
    <row r="5219" spans="1:14" ht="15.75" customHeight="1" x14ac:dyDescent="0.25">
      <c r="A5219" s="21"/>
      <c r="B5219" s="21"/>
      <c r="C5219" s="11"/>
      <c r="D5219" s="11"/>
      <c r="E5219" s="21"/>
      <c r="F5219" s="21"/>
      <c r="G5219" s="25"/>
      <c r="H5219" s="11"/>
      <c r="I5219" s="21"/>
      <c r="J5219" s="21"/>
      <c r="K5219" s="21"/>
      <c r="L5219" s="21"/>
      <c r="M5219" s="21"/>
      <c r="N5219" s="21"/>
    </row>
    <row r="5220" spans="1:14" ht="15.75" customHeight="1" x14ac:dyDescent="0.25">
      <c r="A5220" s="21"/>
      <c r="B5220" s="21"/>
      <c r="C5220" s="11"/>
      <c r="D5220" s="11"/>
      <c r="E5220" s="21"/>
      <c r="F5220" s="21"/>
      <c r="G5220" s="25"/>
      <c r="H5220" s="11"/>
      <c r="I5220" s="21"/>
      <c r="J5220" s="21"/>
      <c r="K5220" s="21"/>
      <c r="L5220" s="21"/>
      <c r="M5220" s="21"/>
      <c r="N5220" s="21"/>
    </row>
    <row r="5221" spans="1:14" ht="15.75" customHeight="1" x14ac:dyDescent="0.25">
      <c r="A5221" s="31" t="s">
        <v>14</v>
      </c>
      <c r="B5221" s="31" t="s">
        <v>234</v>
      </c>
      <c r="C5221" s="31" t="s">
        <v>16</v>
      </c>
      <c r="D5221" s="31" t="s">
        <v>17</v>
      </c>
      <c r="E5221" s="31" t="s">
        <v>235</v>
      </c>
      <c r="F5221" s="31" t="s">
        <v>236</v>
      </c>
      <c r="G5221" s="25" t="s">
        <v>1827</v>
      </c>
      <c r="H5221" s="11"/>
      <c r="I5221" s="21"/>
      <c r="J5221" s="21"/>
      <c r="K5221" s="21"/>
      <c r="L5221" s="21"/>
      <c r="M5221" s="21"/>
      <c r="N5221" s="21"/>
    </row>
    <row r="5222" spans="1:14" ht="15.75" customHeight="1" x14ac:dyDescent="0.25">
      <c r="A5222" s="7">
        <v>1</v>
      </c>
      <c r="B5222" s="35" t="s">
        <v>1991</v>
      </c>
      <c r="C5222" s="9">
        <v>1</v>
      </c>
      <c r="D5222" s="7" t="s">
        <v>19</v>
      </c>
      <c r="E5222" s="37">
        <v>22200000</v>
      </c>
      <c r="F5222" s="37">
        <f>E5222*C5222</f>
        <v>22200000</v>
      </c>
      <c r="G5222" s="172">
        <v>45350</v>
      </c>
      <c r="H5222" s="11"/>
      <c r="I5222" s="21"/>
      <c r="J5222" s="21"/>
      <c r="K5222" s="21"/>
      <c r="L5222" s="21"/>
      <c r="M5222" s="21"/>
      <c r="N5222" s="21"/>
    </row>
    <row r="5223" spans="1:14" ht="15.75" customHeight="1" x14ac:dyDescent="0.25">
      <c r="A5223" s="7"/>
      <c r="B5223" s="343" t="s">
        <v>342</v>
      </c>
      <c r="C5223" s="344"/>
      <c r="D5223" s="344"/>
      <c r="E5223" s="334"/>
      <c r="F5223" s="104">
        <f>SUM(F5222)</f>
        <v>22200000</v>
      </c>
      <c r="G5223" s="42" t="s">
        <v>1992</v>
      </c>
      <c r="H5223" s="11"/>
      <c r="I5223" s="21"/>
      <c r="J5223" s="21"/>
      <c r="K5223" s="21"/>
      <c r="L5223" s="21"/>
      <c r="M5223" s="21"/>
      <c r="N5223" s="21"/>
    </row>
    <row r="5224" spans="1:14" ht="15.75" customHeight="1" x14ac:dyDescent="0.25">
      <c r="A5224" s="7"/>
      <c r="B5224" s="343" t="s">
        <v>343</v>
      </c>
      <c r="C5224" s="344"/>
      <c r="D5224" s="344"/>
      <c r="E5224" s="334"/>
      <c r="F5224" s="104">
        <f>F5223*11%</f>
        <v>2442000</v>
      </c>
      <c r="G5224" s="25"/>
      <c r="H5224" s="11"/>
      <c r="I5224" s="21"/>
      <c r="J5224" s="21"/>
      <c r="K5224" s="21"/>
      <c r="L5224" s="21"/>
      <c r="M5224" s="21"/>
      <c r="N5224" s="21"/>
    </row>
    <row r="5225" spans="1:14" ht="15.75" customHeight="1" x14ac:dyDescent="0.25">
      <c r="A5225" s="7"/>
      <c r="B5225" s="345" t="s">
        <v>344</v>
      </c>
      <c r="C5225" s="344"/>
      <c r="D5225" s="344"/>
      <c r="E5225" s="334"/>
      <c r="F5225" s="107">
        <f>F5224+F5223</f>
        <v>24642000</v>
      </c>
      <c r="G5225" s="25"/>
      <c r="H5225" s="11"/>
      <c r="I5225" s="21"/>
      <c r="J5225" s="21"/>
      <c r="K5225" s="21"/>
      <c r="L5225" s="21"/>
      <c r="M5225" s="21"/>
      <c r="N5225" s="21"/>
    </row>
    <row r="5226" spans="1:14" ht="15.75" customHeight="1" x14ac:dyDescent="0.25">
      <c r="A5226" s="21"/>
      <c r="B5226" s="21"/>
      <c r="C5226" s="11"/>
      <c r="D5226" s="11"/>
      <c r="E5226" s="21"/>
      <c r="F5226" s="21"/>
      <c r="G5226" s="25"/>
      <c r="H5226" s="11"/>
      <c r="I5226" s="21"/>
      <c r="J5226" s="21"/>
      <c r="K5226" s="21"/>
      <c r="L5226" s="21"/>
      <c r="M5226" s="21"/>
      <c r="N5226" s="21"/>
    </row>
    <row r="5227" spans="1:14" ht="15.75" customHeight="1" x14ac:dyDescent="0.25">
      <c r="A5227" s="31" t="s">
        <v>14</v>
      </c>
      <c r="B5227" s="31" t="s">
        <v>234</v>
      </c>
      <c r="C5227" s="31" t="s">
        <v>16</v>
      </c>
      <c r="D5227" s="31" t="s">
        <v>17</v>
      </c>
      <c r="E5227" s="31" t="s">
        <v>235</v>
      </c>
      <c r="F5227" s="31" t="s">
        <v>236</v>
      </c>
      <c r="G5227" s="25" t="s">
        <v>1827</v>
      </c>
      <c r="H5227" s="11"/>
      <c r="I5227" s="21"/>
      <c r="J5227" s="21"/>
      <c r="K5227" s="21"/>
      <c r="L5227" s="21"/>
      <c r="M5227" s="21"/>
      <c r="N5227" s="21"/>
    </row>
    <row r="5228" spans="1:14" ht="15.75" customHeight="1" x14ac:dyDescent="0.25">
      <c r="A5228" s="7">
        <v>1</v>
      </c>
      <c r="B5228" s="35" t="s">
        <v>1993</v>
      </c>
      <c r="C5228" s="9">
        <v>30</v>
      </c>
      <c r="D5228" s="7" t="s">
        <v>1417</v>
      </c>
      <c r="E5228" s="37">
        <v>15200</v>
      </c>
      <c r="F5228" s="37">
        <f>E5228*C5228</f>
        <v>456000</v>
      </c>
      <c r="G5228" s="172">
        <v>45350</v>
      </c>
      <c r="H5228" s="11"/>
      <c r="I5228" s="21"/>
      <c r="J5228" s="21"/>
      <c r="K5228" s="21"/>
      <c r="L5228" s="21"/>
      <c r="M5228" s="21"/>
      <c r="N5228" s="21"/>
    </row>
    <row r="5229" spans="1:14" ht="15.75" customHeight="1" x14ac:dyDescent="0.25">
      <c r="A5229" s="7"/>
      <c r="B5229" s="343" t="s">
        <v>342</v>
      </c>
      <c r="C5229" s="344"/>
      <c r="D5229" s="344"/>
      <c r="E5229" s="334"/>
      <c r="F5229" s="104">
        <f>SUM(F5228)</f>
        <v>456000</v>
      </c>
      <c r="G5229" s="42" t="s">
        <v>1994</v>
      </c>
      <c r="H5229" s="11"/>
      <c r="I5229" s="21"/>
      <c r="J5229" s="21"/>
      <c r="K5229" s="21"/>
      <c r="L5229" s="21"/>
      <c r="M5229" s="21"/>
      <c r="N5229" s="21"/>
    </row>
    <row r="5230" spans="1:14" ht="15.75" customHeight="1" x14ac:dyDescent="0.25">
      <c r="A5230" s="7"/>
      <c r="B5230" s="343" t="s">
        <v>343</v>
      </c>
      <c r="C5230" s="344"/>
      <c r="D5230" s="344"/>
      <c r="E5230" s="334"/>
      <c r="F5230" s="104">
        <f>F5229*11%</f>
        <v>50160</v>
      </c>
      <c r="G5230" s="25"/>
      <c r="H5230" s="11"/>
      <c r="I5230" s="21"/>
      <c r="J5230" s="21"/>
      <c r="K5230" s="21"/>
      <c r="L5230" s="21"/>
      <c r="M5230" s="21"/>
      <c r="N5230" s="21"/>
    </row>
    <row r="5231" spans="1:14" ht="15.75" customHeight="1" x14ac:dyDescent="0.25">
      <c r="A5231" s="7"/>
      <c r="B5231" s="345" t="s">
        <v>344</v>
      </c>
      <c r="C5231" s="344"/>
      <c r="D5231" s="344"/>
      <c r="E5231" s="334"/>
      <c r="F5231" s="107">
        <f>F5230+F5229</f>
        <v>506160</v>
      </c>
      <c r="G5231" s="25"/>
      <c r="H5231" s="11"/>
      <c r="I5231" s="21"/>
      <c r="J5231" s="21"/>
      <c r="K5231" s="21"/>
      <c r="L5231" s="21"/>
      <c r="M5231" s="21"/>
      <c r="N5231" s="21"/>
    </row>
    <row r="5232" spans="1:14" ht="15.75" customHeight="1" x14ac:dyDescent="0.25">
      <c r="A5232" s="21"/>
      <c r="B5232" s="21"/>
      <c r="C5232" s="11"/>
      <c r="D5232" s="11"/>
      <c r="E5232" s="21"/>
      <c r="F5232" s="21"/>
      <c r="G5232" s="25"/>
      <c r="H5232" s="11"/>
      <c r="I5232" s="21"/>
      <c r="J5232" s="21"/>
      <c r="K5232" s="21"/>
      <c r="L5232" s="21"/>
      <c r="M5232" s="21"/>
      <c r="N5232" s="21"/>
    </row>
    <row r="5233" spans="1:14" ht="15.75" customHeight="1" x14ac:dyDescent="0.25">
      <c r="A5233" s="31" t="s">
        <v>14</v>
      </c>
      <c r="B5233" s="31" t="s">
        <v>234</v>
      </c>
      <c r="C5233" s="31" t="s">
        <v>16</v>
      </c>
      <c r="D5233" s="31" t="s">
        <v>17</v>
      </c>
      <c r="E5233" s="31" t="s">
        <v>235</v>
      </c>
      <c r="F5233" s="31" t="s">
        <v>236</v>
      </c>
      <c r="G5233" s="25" t="s">
        <v>1827</v>
      </c>
      <c r="H5233" s="11"/>
      <c r="I5233" s="21"/>
      <c r="J5233" s="21"/>
      <c r="K5233" s="21"/>
      <c r="L5233" s="21"/>
      <c r="M5233" s="21"/>
      <c r="N5233" s="21"/>
    </row>
    <row r="5234" spans="1:14" ht="15.75" customHeight="1" x14ac:dyDescent="0.25">
      <c r="A5234" s="7">
        <v>1</v>
      </c>
      <c r="B5234" s="35" t="s">
        <v>1995</v>
      </c>
      <c r="C5234" s="9">
        <v>1</v>
      </c>
      <c r="D5234" s="7" t="s">
        <v>243</v>
      </c>
      <c r="E5234" s="37">
        <v>4791500</v>
      </c>
      <c r="F5234" s="37">
        <f>E5234*C5234</f>
        <v>4791500</v>
      </c>
      <c r="G5234" s="172">
        <v>45342</v>
      </c>
      <c r="H5234" s="11"/>
      <c r="I5234" s="21"/>
      <c r="J5234" s="21"/>
      <c r="K5234" s="21"/>
      <c r="L5234" s="21"/>
      <c r="M5234" s="21"/>
      <c r="N5234" s="21"/>
    </row>
    <row r="5235" spans="1:14" ht="15.75" customHeight="1" x14ac:dyDescent="0.25">
      <c r="A5235" s="7"/>
      <c r="B5235" s="343" t="s">
        <v>342</v>
      </c>
      <c r="C5235" s="344"/>
      <c r="D5235" s="344"/>
      <c r="E5235" s="334"/>
      <c r="F5235" s="104">
        <f>SUM(F5234)</f>
        <v>4791500</v>
      </c>
      <c r="G5235" s="42" t="s">
        <v>1996</v>
      </c>
      <c r="H5235" s="11"/>
      <c r="I5235" s="21"/>
      <c r="J5235" s="21"/>
      <c r="K5235" s="21"/>
      <c r="L5235" s="21"/>
      <c r="M5235" s="21"/>
      <c r="N5235" s="21"/>
    </row>
    <row r="5236" spans="1:14" ht="15.75" customHeight="1" x14ac:dyDescent="0.25">
      <c r="A5236" s="7"/>
      <c r="B5236" s="343" t="s">
        <v>343</v>
      </c>
      <c r="C5236" s="344"/>
      <c r="D5236" s="344"/>
      <c r="E5236" s="334"/>
      <c r="F5236" s="104">
        <f>F5235*11%</f>
        <v>527065</v>
      </c>
      <c r="G5236" s="25"/>
      <c r="H5236" s="11"/>
      <c r="I5236" s="21"/>
      <c r="J5236" s="21"/>
      <c r="K5236" s="21"/>
      <c r="L5236" s="21"/>
      <c r="M5236" s="21"/>
      <c r="N5236" s="21"/>
    </row>
    <row r="5237" spans="1:14" ht="15.75" customHeight="1" x14ac:dyDescent="0.25">
      <c r="A5237" s="7"/>
      <c r="B5237" s="345" t="s">
        <v>344</v>
      </c>
      <c r="C5237" s="344"/>
      <c r="D5237" s="344"/>
      <c r="E5237" s="334"/>
      <c r="F5237" s="107">
        <f>F5236+F5235</f>
        <v>5318565</v>
      </c>
      <c r="G5237" s="25"/>
      <c r="H5237" s="11"/>
      <c r="I5237" s="21"/>
      <c r="J5237" s="21"/>
      <c r="K5237" s="21"/>
      <c r="L5237" s="21"/>
      <c r="M5237" s="21"/>
      <c r="N5237" s="21"/>
    </row>
    <row r="5238" spans="1:14" ht="15.75" customHeight="1" x14ac:dyDescent="0.25">
      <c r="A5238" s="21"/>
      <c r="B5238" s="21"/>
      <c r="C5238" s="11"/>
      <c r="D5238" s="11"/>
      <c r="E5238" s="21"/>
      <c r="F5238" s="21"/>
      <c r="G5238" s="25"/>
      <c r="H5238" s="11"/>
      <c r="I5238" s="21"/>
      <c r="J5238" s="21"/>
      <c r="K5238" s="21"/>
      <c r="L5238" s="21"/>
      <c r="M5238" s="21"/>
      <c r="N5238" s="21"/>
    </row>
    <row r="5239" spans="1:14" ht="15.75" customHeight="1" x14ac:dyDescent="0.25">
      <c r="A5239" s="21"/>
      <c r="B5239" s="21"/>
      <c r="C5239" s="11"/>
      <c r="D5239" s="11"/>
      <c r="E5239" s="21"/>
      <c r="F5239" s="21"/>
      <c r="G5239" s="25"/>
      <c r="H5239" s="11"/>
      <c r="I5239" s="21"/>
      <c r="J5239" s="21"/>
      <c r="K5239" s="21"/>
      <c r="L5239" s="21"/>
      <c r="M5239" s="21"/>
      <c r="N5239" s="21"/>
    </row>
    <row r="5240" spans="1:14" ht="15.75" customHeight="1" x14ac:dyDescent="0.25">
      <c r="A5240" s="31" t="s">
        <v>14</v>
      </c>
      <c r="B5240" s="31" t="s">
        <v>234</v>
      </c>
      <c r="C5240" s="31" t="s">
        <v>16</v>
      </c>
      <c r="D5240" s="31" t="s">
        <v>17</v>
      </c>
      <c r="E5240" s="31" t="s">
        <v>235</v>
      </c>
      <c r="F5240" s="31" t="s">
        <v>236</v>
      </c>
      <c r="G5240" s="25" t="s">
        <v>1926</v>
      </c>
      <c r="H5240" s="11"/>
      <c r="I5240" s="21"/>
      <c r="J5240" s="21"/>
      <c r="K5240" s="21"/>
      <c r="L5240" s="21"/>
      <c r="M5240" s="21"/>
      <c r="N5240" s="21"/>
    </row>
    <row r="5241" spans="1:14" ht="15.75" customHeight="1" x14ac:dyDescent="0.25">
      <c r="A5241" s="7">
        <v>1</v>
      </c>
      <c r="B5241" s="35" t="s">
        <v>1997</v>
      </c>
      <c r="C5241" s="9">
        <v>2</v>
      </c>
      <c r="D5241" s="7" t="s">
        <v>251</v>
      </c>
      <c r="E5241" s="37">
        <v>199500</v>
      </c>
      <c r="F5241" s="37">
        <f>E5241*C5241</f>
        <v>399000</v>
      </c>
      <c r="G5241" s="172">
        <v>45349</v>
      </c>
      <c r="H5241" s="11"/>
      <c r="I5241" s="21"/>
      <c r="J5241" s="21"/>
      <c r="K5241" s="21"/>
      <c r="L5241" s="21"/>
      <c r="M5241" s="21"/>
      <c r="N5241" s="21"/>
    </row>
    <row r="5242" spans="1:14" ht="15.75" customHeight="1" x14ac:dyDescent="0.25">
      <c r="A5242" s="7">
        <v>2</v>
      </c>
      <c r="B5242" s="41" t="s">
        <v>1998</v>
      </c>
      <c r="C5242" s="9">
        <v>10</v>
      </c>
      <c r="D5242" s="7" t="s">
        <v>19</v>
      </c>
      <c r="E5242" s="37">
        <v>25460</v>
      </c>
      <c r="F5242" s="37">
        <f>E5242*C5242</f>
        <v>254600</v>
      </c>
      <c r="G5242" s="25" t="s">
        <v>1999</v>
      </c>
      <c r="H5242" s="11"/>
      <c r="I5242" s="21"/>
      <c r="J5242" s="21"/>
      <c r="K5242" s="21"/>
      <c r="L5242" s="21"/>
      <c r="M5242" s="21"/>
      <c r="N5242" s="21"/>
    </row>
    <row r="5243" spans="1:14" ht="15.75" customHeight="1" x14ac:dyDescent="0.25">
      <c r="A5243" s="7"/>
      <c r="B5243" s="343" t="s">
        <v>342</v>
      </c>
      <c r="C5243" s="344"/>
      <c r="D5243" s="344"/>
      <c r="E5243" s="334"/>
      <c r="F5243" s="104">
        <f>SUM(F5241:F5242)</f>
        <v>653600</v>
      </c>
      <c r="G5243" s="25"/>
      <c r="H5243" s="11"/>
      <c r="I5243" s="21"/>
      <c r="J5243" s="21"/>
      <c r="K5243" s="21"/>
      <c r="L5243" s="21"/>
      <c r="M5243" s="21"/>
      <c r="N5243" s="21"/>
    </row>
    <row r="5244" spans="1:14" ht="15.75" customHeight="1" x14ac:dyDescent="0.25">
      <c r="A5244" s="7"/>
      <c r="B5244" s="343" t="s">
        <v>343</v>
      </c>
      <c r="C5244" s="344"/>
      <c r="D5244" s="344"/>
      <c r="E5244" s="334"/>
      <c r="F5244" s="104">
        <f>F5243*11%</f>
        <v>71896</v>
      </c>
      <c r="G5244" s="25"/>
      <c r="H5244" s="11"/>
      <c r="I5244" s="21"/>
      <c r="J5244" s="21"/>
      <c r="K5244" s="21"/>
      <c r="L5244" s="21"/>
      <c r="M5244" s="21"/>
      <c r="N5244" s="21"/>
    </row>
    <row r="5245" spans="1:14" ht="15.75" customHeight="1" x14ac:dyDescent="0.25">
      <c r="A5245" s="7"/>
      <c r="B5245" s="106" t="s">
        <v>344</v>
      </c>
      <c r="C5245" s="145"/>
      <c r="D5245" s="145"/>
      <c r="E5245" s="146"/>
      <c r="F5245" s="107">
        <f>F5244+F5243</f>
        <v>725496</v>
      </c>
      <c r="G5245" s="25"/>
      <c r="H5245" s="11"/>
      <c r="I5245" s="21"/>
      <c r="J5245" s="21"/>
      <c r="K5245" s="21"/>
      <c r="L5245" s="21"/>
      <c r="M5245" s="21"/>
      <c r="N5245" s="21"/>
    </row>
    <row r="5246" spans="1:14" ht="15.75" customHeight="1" x14ac:dyDescent="0.25">
      <c r="A5246" s="21"/>
      <c r="B5246" s="21"/>
      <c r="C5246" s="11"/>
      <c r="D5246" s="11"/>
      <c r="E5246" s="21"/>
      <c r="F5246" s="21"/>
      <c r="G5246" s="25"/>
      <c r="H5246" s="11"/>
      <c r="I5246" s="21"/>
      <c r="J5246" s="21"/>
      <c r="K5246" s="21"/>
      <c r="L5246" s="21"/>
      <c r="M5246" s="21"/>
      <c r="N5246" s="21"/>
    </row>
    <row r="5247" spans="1:14" ht="15.75" customHeight="1" x14ac:dyDescent="0.25">
      <c r="A5247" s="21"/>
      <c r="B5247" s="21"/>
      <c r="C5247" s="11"/>
      <c r="D5247" s="11"/>
      <c r="E5247" s="21"/>
      <c r="F5247" s="21"/>
      <c r="G5247" s="25"/>
      <c r="H5247" s="11"/>
      <c r="I5247" s="21"/>
      <c r="J5247" s="21"/>
      <c r="K5247" s="21"/>
      <c r="L5247" s="21"/>
      <c r="M5247" s="21"/>
      <c r="N5247" s="21"/>
    </row>
    <row r="5248" spans="1:14" ht="15.75" customHeight="1" x14ac:dyDescent="0.25">
      <c r="A5248" s="31" t="s">
        <v>14</v>
      </c>
      <c r="B5248" s="31" t="s">
        <v>234</v>
      </c>
      <c r="C5248" s="31" t="s">
        <v>16</v>
      </c>
      <c r="D5248" s="31" t="s">
        <v>17</v>
      </c>
      <c r="E5248" s="31" t="s">
        <v>235</v>
      </c>
      <c r="F5248" s="31" t="s">
        <v>236</v>
      </c>
      <c r="G5248" s="25" t="s">
        <v>1938</v>
      </c>
      <c r="H5248" s="11"/>
      <c r="I5248" s="21"/>
      <c r="J5248" s="21"/>
      <c r="K5248" s="21"/>
      <c r="L5248" s="21"/>
      <c r="M5248" s="21"/>
      <c r="N5248" s="21"/>
    </row>
    <row r="5249" spans="1:14" ht="15.75" customHeight="1" x14ac:dyDescent="0.25">
      <c r="A5249" s="7">
        <v>1</v>
      </c>
      <c r="B5249" s="35" t="s">
        <v>2000</v>
      </c>
      <c r="C5249" s="9">
        <v>20</v>
      </c>
      <c r="D5249" s="7" t="s">
        <v>347</v>
      </c>
      <c r="E5249" s="37">
        <v>1027710</v>
      </c>
      <c r="F5249" s="37">
        <f>E5249*C5249</f>
        <v>20554200</v>
      </c>
      <c r="G5249" s="172">
        <v>45351</v>
      </c>
      <c r="H5249" s="11"/>
      <c r="I5249" s="21"/>
      <c r="J5249" s="21"/>
      <c r="K5249" s="21"/>
      <c r="L5249" s="21"/>
      <c r="M5249" s="21"/>
      <c r="N5249" s="21"/>
    </row>
    <row r="5250" spans="1:14" ht="15.75" customHeight="1" x14ac:dyDescent="0.25">
      <c r="A5250" s="7">
        <v>2</v>
      </c>
      <c r="B5250" s="35" t="s">
        <v>2001</v>
      </c>
      <c r="C5250" s="9">
        <v>30</v>
      </c>
      <c r="D5250" s="7" t="s">
        <v>19</v>
      </c>
      <c r="E5250" s="37">
        <v>40375</v>
      </c>
      <c r="F5250" s="37">
        <f>E5250*C5250</f>
        <v>1211250</v>
      </c>
      <c r="G5250" s="25" t="s">
        <v>2002</v>
      </c>
      <c r="H5250" s="11"/>
      <c r="I5250" s="21"/>
      <c r="J5250" s="21"/>
      <c r="K5250" s="21"/>
      <c r="L5250" s="21"/>
      <c r="M5250" s="21"/>
      <c r="N5250" s="21"/>
    </row>
    <row r="5251" spans="1:14" ht="15.75" customHeight="1" x14ac:dyDescent="0.25">
      <c r="A5251" s="7">
        <v>3</v>
      </c>
      <c r="B5251" s="35" t="s">
        <v>2003</v>
      </c>
      <c r="C5251" s="9">
        <v>30</v>
      </c>
      <c r="D5251" s="7" t="s">
        <v>19</v>
      </c>
      <c r="E5251" s="37">
        <v>47025</v>
      </c>
      <c r="F5251" s="37">
        <f>E5251*C5251</f>
        <v>1410750</v>
      </c>
      <c r="G5251" s="25"/>
      <c r="H5251" s="11"/>
      <c r="I5251" s="21"/>
      <c r="J5251" s="21"/>
      <c r="K5251" s="21"/>
      <c r="L5251" s="21"/>
      <c r="M5251" s="21"/>
      <c r="N5251" s="21"/>
    </row>
    <row r="5252" spans="1:14" ht="15.75" customHeight="1" x14ac:dyDescent="0.25">
      <c r="A5252" s="7">
        <v>4</v>
      </c>
      <c r="B5252" s="41" t="s">
        <v>2004</v>
      </c>
      <c r="C5252" s="9">
        <v>30</v>
      </c>
      <c r="D5252" s="7" t="s">
        <v>19</v>
      </c>
      <c r="E5252" s="37">
        <v>71250</v>
      </c>
      <c r="F5252" s="37">
        <f>E5252*C5252</f>
        <v>2137500</v>
      </c>
      <c r="G5252" s="25"/>
      <c r="H5252" s="11"/>
      <c r="I5252" s="21"/>
      <c r="J5252" s="21"/>
      <c r="K5252" s="21"/>
      <c r="L5252" s="21"/>
      <c r="M5252" s="21"/>
      <c r="N5252" s="21"/>
    </row>
    <row r="5253" spans="1:14" ht="15.75" customHeight="1" x14ac:dyDescent="0.25">
      <c r="A5253" s="7"/>
      <c r="B5253" s="343" t="s">
        <v>342</v>
      </c>
      <c r="C5253" s="344"/>
      <c r="D5253" s="344"/>
      <c r="E5253" s="334"/>
      <c r="F5253" s="104">
        <f>SUM(F5249:F5252)</f>
        <v>25313700</v>
      </c>
      <c r="G5253" s="25"/>
      <c r="H5253" s="11"/>
      <c r="I5253" s="21"/>
      <c r="J5253" s="21"/>
      <c r="K5253" s="21"/>
      <c r="L5253" s="21"/>
      <c r="M5253" s="21"/>
      <c r="N5253" s="21"/>
    </row>
    <row r="5254" spans="1:14" ht="15.75" customHeight="1" x14ac:dyDescent="0.25">
      <c r="A5254" s="7"/>
      <c r="B5254" s="343" t="s">
        <v>343</v>
      </c>
      <c r="C5254" s="344"/>
      <c r="D5254" s="344"/>
      <c r="E5254" s="334"/>
      <c r="F5254" s="104">
        <f>F5253*11%</f>
        <v>2784507</v>
      </c>
      <c r="G5254" s="25"/>
      <c r="H5254" s="11"/>
      <c r="I5254" s="21"/>
      <c r="J5254" s="21"/>
      <c r="K5254" s="21"/>
      <c r="L5254" s="21"/>
      <c r="M5254" s="21"/>
      <c r="N5254" s="21"/>
    </row>
    <row r="5255" spans="1:14" ht="15.75" customHeight="1" x14ac:dyDescent="0.25">
      <c r="A5255" s="7"/>
      <c r="B5255" s="345" t="s">
        <v>344</v>
      </c>
      <c r="C5255" s="344"/>
      <c r="D5255" s="344"/>
      <c r="E5255" s="334"/>
      <c r="F5255" s="107">
        <f>F5254+F5253</f>
        <v>28098207</v>
      </c>
      <c r="G5255" s="25"/>
      <c r="H5255" s="11"/>
      <c r="I5255" s="21"/>
      <c r="J5255" s="21"/>
      <c r="K5255" s="21"/>
      <c r="L5255" s="21"/>
      <c r="M5255" s="21"/>
      <c r="N5255" s="21"/>
    </row>
    <row r="5256" spans="1:14" ht="15.75" customHeight="1" x14ac:dyDescent="0.25">
      <c r="A5256" s="21"/>
      <c r="B5256" s="21"/>
      <c r="C5256" s="11"/>
      <c r="D5256" s="11"/>
      <c r="E5256" s="21"/>
      <c r="F5256" s="21"/>
      <c r="G5256" s="25"/>
      <c r="H5256" s="11"/>
      <c r="I5256" s="21"/>
      <c r="J5256" s="21"/>
      <c r="K5256" s="21"/>
      <c r="L5256" s="21"/>
      <c r="M5256" s="21"/>
      <c r="N5256" s="21"/>
    </row>
    <row r="5257" spans="1:14" ht="15.75" customHeight="1" x14ac:dyDescent="0.25">
      <c r="A5257" s="21"/>
      <c r="B5257" s="21"/>
      <c r="C5257" s="11"/>
      <c r="D5257" s="11"/>
      <c r="E5257" s="21"/>
      <c r="F5257" s="21"/>
      <c r="G5257" s="25"/>
      <c r="H5257" s="11"/>
      <c r="I5257" s="21"/>
      <c r="J5257" s="21"/>
      <c r="K5257" s="21"/>
      <c r="L5257" s="21"/>
      <c r="M5257" s="21"/>
      <c r="N5257" s="21"/>
    </row>
    <row r="5258" spans="1:14" ht="15.75" customHeight="1" x14ac:dyDescent="0.25">
      <c r="A5258" s="31" t="s">
        <v>14</v>
      </c>
      <c r="B5258" s="31" t="s">
        <v>234</v>
      </c>
      <c r="C5258" s="31" t="s">
        <v>16</v>
      </c>
      <c r="D5258" s="31" t="s">
        <v>17</v>
      </c>
      <c r="E5258" s="31" t="s">
        <v>235</v>
      </c>
      <c r="F5258" s="31" t="s">
        <v>236</v>
      </c>
      <c r="G5258" s="25" t="s">
        <v>245</v>
      </c>
      <c r="H5258" s="11"/>
      <c r="I5258" s="21"/>
      <c r="J5258" s="21"/>
      <c r="K5258" s="21"/>
      <c r="L5258" s="21"/>
      <c r="M5258" s="21"/>
      <c r="N5258" s="21"/>
    </row>
    <row r="5259" spans="1:14" ht="15.75" customHeight="1" x14ac:dyDescent="0.25">
      <c r="A5259" s="7">
        <v>1</v>
      </c>
      <c r="B5259" s="35" t="s">
        <v>2005</v>
      </c>
      <c r="C5259" s="9">
        <v>5</v>
      </c>
      <c r="D5259" s="7" t="s">
        <v>247</v>
      </c>
      <c r="E5259" s="37">
        <v>1224500</v>
      </c>
      <c r="F5259" s="37">
        <f>E5259*C5259</f>
        <v>6122500</v>
      </c>
      <c r="G5259" s="172">
        <v>45343</v>
      </c>
      <c r="H5259" s="11"/>
      <c r="I5259" s="21"/>
      <c r="J5259" s="21"/>
      <c r="K5259" s="21"/>
      <c r="L5259" s="21"/>
      <c r="M5259" s="21"/>
      <c r="N5259" s="21"/>
    </row>
    <row r="5260" spans="1:14" ht="15.75" customHeight="1" x14ac:dyDescent="0.25">
      <c r="A5260" s="7"/>
      <c r="B5260" s="343" t="s">
        <v>342</v>
      </c>
      <c r="C5260" s="344"/>
      <c r="D5260" s="344"/>
      <c r="E5260" s="334"/>
      <c r="F5260" s="104">
        <f>SUM(F5259)</f>
        <v>6122500</v>
      </c>
      <c r="G5260" s="42" t="s">
        <v>2006</v>
      </c>
      <c r="H5260" s="11"/>
      <c r="I5260" s="21"/>
      <c r="J5260" s="21"/>
      <c r="K5260" s="21"/>
      <c r="L5260" s="21"/>
      <c r="M5260" s="21"/>
      <c r="N5260" s="21"/>
    </row>
    <row r="5261" spans="1:14" ht="15.75" customHeight="1" x14ac:dyDescent="0.25">
      <c r="A5261" s="7"/>
      <c r="B5261" s="343" t="s">
        <v>343</v>
      </c>
      <c r="C5261" s="344"/>
      <c r="D5261" s="344"/>
      <c r="E5261" s="334"/>
      <c r="F5261" s="104">
        <f>F5260*11%</f>
        <v>673475</v>
      </c>
      <c r="G5261" s="25"/>
      <c r="H5261" s="11"/>
      <c r="I5261" s="21"/>
      <c r="J5261" s="21"/>
      <c r="K5261" s="21"/>
      <c r="L5261" s="21"/>
      <c r="M5261" s="21"/>
      <c r="N5261" s="21"/>
    </row>
    <row r="5262" spans="1:14" ht="15.75" customHeight="1" x14ac:dyDescent="0.25">
      <c r="A5262" s="7"/>
      <c r="B5262" s="345" t="s">
        <v>344</v>
      </c>
      <c r="C5262" s="344"/>
      <c r="D5262" s="344"/>
      <c r="E5262" s="334"/>
      <c r="F5262" s="107">
        <f>F5261+F5260</f>
        <v>6795975</v>
      </c>
      <c r="G5262" s="25"/>
      <c r="H5262" s="11"/>
      <c r="I5262" s="21"/>
      <c r="J5262" s="21"/>
      <c r="K5262" s="21"/>
      <c r="L5262" s="21"/>
      <c r="M5262" s="21"/>
      <c r="N5262" s="21"/>
    </row>
    <row r="5263" spans="1:14" ht="15.75" customHeight="1" x14ac:dyDescent="0.25">
      <c r="A5263" s="21"/>
      <c r="B5263" s="21"/>
      <c r="C5263" s="11"/>
      <c r="D5263" s="11"/>
      <c r="E5263" s="21"/>
      <c r="F5263" s="21"/>
      <c r="G5263" s="25"/>
      <c r="H5263" s="11"/>
      <c r="I5263" s="21"/>
      <c r="J5263" s="21"/>
      <c r="K5263" s="21"/>
      <c r="L5263" s="21"/>
      <c r="M5263" s="21"/>
      <c r="N5263" s="21"/>
    </row>
    <row r="5264" spans="1:14" ht="15.75" customHeight="1" x14ac:dyDescent="0.25">
      <c r="A5264" s="31" t="s">
        <v>14</v>
      </c>
      <c r="B5264" s="31" t="s">
        <v>234</v>
      </c>
      <c r="C5264" s="31" t="s">
        <v>16</v>
      </c>
      <c r="D5264" s="31" t="s">
        <v>17</v>
      </c>
      <c r="E5264" s="31" t="s">
        <v>235</v>
      </c>
      <c r="F5264" s="31" t="s">
        <v>236</v>
      </c>
      <c r="G5264" s="25" t="s">
        <v>1938</v>
      </c>
      <c r="H5264" s="11"/>
      <c r="I5264" s="21"/>
      <c r="J5264" s="21"/>
      <c r="K5264" s="21"/>
      <c r="L5264" s="21"/>
      <c r="M5264" s="21"/>
      <c r="N5264" s="21"/>
    </row>
    <row r="5265" spans="1:14" ht="15.75" customHeight="1" x14ac:dyDescent="0.25">
      <c r="A5265" s="7">
        <v>1</v>
      </c>
      <c r="B5265" s="35" t="s">
        <v>2007</v>
      </c>
      <c r="C5265" s="9">
        <v>1</v>
      </c>
      <c r="D5265" s="7" t="s">
        <v>243</v>
      </c>
      <c r="E5265" s="37">
        <v>677825</v>
      </c>
      <c r="F5265" s="37">
        <f>E5265*C5265</f>
        <v>677825</v>
      </c>
      <c r="G5265" s="172">
        <v>45327</v>
      </c>
      <c r="H5265" s="11"/>
      <c r="I5265" s="21"/>
      <c r="J5265" s="21"/>
      <c r="K5265" s="21"/>
      <c r="L5265" s="21"/>
      <c r="M5265" s="21"/>
      <c r="N5265" s="21"/>
    </row>
    <row r="5266" spans="1:14" ht="15.75" customHeight="1" x14ac:dyDescent="0.25">
      <c r="A5266" s="7">
        <v>2</v>
      </c>
      <c r="B5266" s="35" t="s">
        <v>2008</v>
      </c>
      <c r="C5266" s="9">
        <v>1</v>
      </c>
      <c r="D5266" s="7" t="s">
        <v>251</v>
      </c>
      <c r="E5266" s="37">
        <v>181260</v>
      </c>
      <c r="F5266" s="37">
        <f>E5266*C5266</f>
        <v>181260</v>
      </c>
      <c r="G5266" s="25" t="s">
        <v>2009</v>
      </c>
      <c r="H5266" s="11"/>
      <c r="I5266" s="21"/>
      <c r="J5266" s="21"/>
      <c r="K5266" s="21"/>
      <c r="L5266" s="21"/>
      <c r="M5266" s="21"/>
      <c r="N5266" s="21"/>
    </row>
    <row r="5267" spans="1:14" ht="15.75" customHeight="1" x14ac:dyDescent="0.25">
      <c r="A5267" s="7">
        <v>3</v>
      </c>
      <c r="B5267" s="35" t="s">
        <v>2010</v>
      </c>
      <c r="C5267" s="9">
        <v>1</v>
      </c>
      <c r="D5267" s="7" t="s">
        <v>243</v>
      </c>
      <c r="E5267" s="37">
        <v>1216475</v>
      </c>
      <c r="F5267" s="37">
        <f>E5267*C5267</f>
        <v>1216475</v>
      </c>
      <c r="G5267" s="25"/>
      <c r="H5267" s="11"/>
      <c r="I5267" s="21"/>
      <c r="J5267" s="21"/>
      <c r="K5267" s="21"/>
      <c r="L5267" s="21"/>
      <c r="M5267" s="21"/>
      <c r="N5267" s="21"/>
    </row>
    <row r="5268" spans="1:14" ht="15.75" customHeight="1" x14ac:dyDescent="0.25">
      <c r="A5268" s="7"/>
      <c r="B5268" s="343" t="s">
        <v>342</v>
      </c>
      <c r="C5268" s="344"/>
      <c r="D5268" s="344"/>
      <c r="E5268" s="334"/>
      <c r="F5268" s="104">
        <f>SUM(F5265:F5267)</f>
        <v>2075560</v>
      </c>
      <c r="G5268" s="25"/>
      <c r="H5268" s="11"/>
      <c r="I5268" s="21"/>
      <c r="J5268" s="21"/>
      <c r="K5268" s="21"/>
      <c r="L5268" s="21"/>
      <c r="M5268" s="21"/>
      <c r="N5268" s="21"/>
    </row>
    <row r="5269" spans="1:14" ht="15.75" customHeight="1" x14ac:dyDescent="0.25">
      <c r="A5269" s="7"/>
      <c r="B5269" s="343" t="s">
        <v>343</v>
      </c>
      <c r="C5269" s="344"/>
      <c r="D5269" s="344"/>
      <c r="E5269" s="334"/>
      <c r="F5269" s="167">
        <f>F5268*11%</f>
        <v>228311.6</v>
      </c>
      <c r="G5269" s="25"/>
      <c r="H5269" s="11"/>
      <c r="I5269" s="21"/>
      <c r="J5269" s="21"/>
      <c r="K5269" s="21"/>
      <c r="L5269" s="21"/>
      <c r="M5269" s="21"/>
      <c r="N5269" s="21"/>
    </row>
    <row r="5270" spans="1:14" ht="15.75" customHeight="1" x14ac:dyDescent="0.25">
      <c r="A5270" s="7"/>
      <c r="B5270" s="345" t="s">
        <v>344</v>
      </c>
      <c r="C5270" s="344"/>
      <c r="D5270" s="344"/>
      <c r="E5270" s="334"/>
      <c r="F5270" s="168">
        <f>F5269+F5268</f>
        <v>2303871.6</v>
      </c>
      <c r="G5270" s="25"/>
      <c r="H5270" s="11"/>
      <c r="I5270" s="21"/>
      <c r="J5270" s="21"/>
      <c r="K5270" s="21"/>
      <c r="L5270" s="21"/>
      <c r="M5270" s="21"/>
      <c r="N5270" s="21"/>
    </row>
    <row r="5271" spans="1:14" ht="15.75" customHeight="1" x14ac:dyDescent="0.25">
      <c r="A5271" s="21"/>
      <c r="B5271" s="21"/>
      <c r="C5271" s="11"/>
      <c r="D5271" s="11"/>
      <c r="E5271" s="21"/>
      <c r="F5271" s="21"/>
      <c r="G5271" s="25"/>
      <c r="H5271" s="11"/>
      <c r="I5271" s="21"/>
      <c r="J5271" s="21"/>
      <c r="K5271" s="21"/>
      <c r="L5271" s="21"/>
      <c r="M5271" s="21"/>
      <c r="N5271" s="21"/>
    </row>
    <row r="5272" spans="1:14" ht="15.75" customHeight="1" x14ac:dyDescent="0.25">
      <c r="A5272" s="31" t="s">
        <v>14</v>
      </c>
      <c r="B5272" s="31" t="s">
        <v>234</v>
      </c>
      <c r="C5272" s="31" t="s">
        <v>16</v>
      </c>
      <c r="D5272" s="31" t="s">
        <v>17</v>
      </c>
      <c r="E5272" s="31" t="s">
        <v>235</v>
      </c>
      <c r="F5272" s="31" t="s">
        <v>236</v>
      </c>
      <c r="G5272" s="25" t="s">
        <v>1938</v>
      </c>
      <c r="H5272" s="11"/>
      <c r="I5272" s="21"/>
      <c r="J5272" s="21"/>
      <c r="K5272" s="21"/>
      <c r="L5272" s="21"/>
      <c r="M5272" s="21"/>
      <c r="N5272" s="21"/>
    </row>
    <row r="5273" spans="1:14" ht="15.75" customHeight="1" x14ac:dyDescent="0.25">
      <c r="A5273" s="7">
        <v>1</v>
      </c>
      <c r="B5273" s="35" t="s">
        <v>2011</v>
      </c>
      <c r="C5273" s="9">
        <v>1</v>
      </c>
      <c r="D5273" s="7" t="s">
        <v>251</v>
      </c>
      <c r="E5273" s="37">
        <v>788975</v>
      </c>
      <c r="F5273" s="37">
        <f>E5273*C5273</f>
        <v>788975</v>
      </c>
      <c r="G5273" s="172">
        <v>45342</v>
      </c>
      <c r="H5273" s="11"/>
      <c r="I5273" s="21"/>
      <c r="J5273" s="21"/>
      <c r="K5273" s="21"/>
      <c r="L5273" s="21"/>
      <c r="M5273" s="21"/>
      <c r="N5273" s="21"/>
    </row>
    <row r="5274" spans="1:14" ht="15.75" customHeight="1" x14ac:dyDescent="0.25">
      <c r="A5274" s="7"/>
      <c r="B5274" s="343" t="s">
        <v>342</v>
      </c>
      <c r="C5274" s="344"/>
      <c r="D5274" s="344"/>
      <c r="E5274" s="334"/>
      <c r="F5274" s="104">
        <f>SUM(F5273)</f>
        <v>788975</v>
      </c>
      <c r="G5274" s="42" t="s">
        <v>2012</v>
      </c>
      <c r="H5274" s="11"/>
      <c r="I5274" s="21"/>
      <c r="J5274" s="21"/>
      <c r="K5274" s="21"/>
      <c r="L5274" s="21"/>
      <c r="M5274" s="21"/>
      <c r="N5274" s="21"/>
    </row>
    <row r="5275" spans="1:14" ht="15.75" customHeight="1" x14ac:dyDescent="0.25">
      <c r="A5275" s="7"/>
      <c r="B5275" s="343" t="s">
        <v>343</v>
      </c>
      <c r="C5275" s="344"/>
      <c r="D5275" s="344"/>
      <c r="E5275" s="334"/>
      <c r="F5275" s="167">
        <f>F5274*11%</f>
        <v>86787.25</v>
      </c>
      <c r="G5275" s="25"/>
      <c r="H5275" s="11"/>
      <c r="I5275" s="21"/>
      <c r="J5275" s="21"/>
      <c r="K5275" s="21"/>
      <c r="L5275" s="21"/>
      <c r="M5275" s="21"/>
      <c r="N5275" s="21"/>
    </row>
    <row r="5276" spans="1:14" ht="15.75" customHeight="1" x14ac:dyDescent="0.25">
      <c r="A5276" s="7"/>
      <c r="B5276" s="345" t="s">
        <v>344</v>
      </c>
      <c r="C5276" s="344"/>
      <c r="D5276" s="344"/>
      <c r="E5276" s="334"/>
      <c r="F5276" s="168">
        <f>F5275+F5274</f>
        <v>875762.25</v>
      </c>
      <c r="G5276" s="25"/>
      <c r="H5276" s="11"/>
      <c r="I5276" s="21"/>
      <c r="J5276" s="21"/>
      <c r="K5276" s="21"/>
      <c r="L5276" s="21"/>
      <c r="M5276" s="21"/>
      <c r="N5276" s="21"/>
    </row>
    <row r="5277" spans="1:14" ht="15.75" customHeight="1" x14ac:dyDescent="0.25">
      <c r="A5277" s="21"/>
      <c r="B5277" s="21"/>
      <c r="C5277" s="11"/>
      <c r="D5277" s="11"/>
      <c r="E5277" s="21"/>
      <c r="F5277" s="21"/>
      <c r="G5277" s="25"/>
      <c r="H5277" s="11"/>
      <c r="I5277" s="21"/>
      <c r="J5277" s="21"/>
      <c r="K5277" s="21"/>
      <c r="L5277" s="21"/>
      <c r="M5277" s="21"/>
      <c r="N5277" s="21"/>
    </row>
    <row r="5278" spans="1:14" ht="15.75" customHeight="1" x14ac:dyDescent="0.25">
      <c r="A5278" s="21"/>
      <c r="B5278" s="21"/>
      <c r="C5278" s="11"/>
      <c r="D5278" s="11"/>
      <c r="E5278" s="21"/>
      <c r="F5278" s="21"/>
      <c r="G5278" s="25"/>
      <c r="H5278" s="11"/>
      <c r="I5278" s="21"/>
      <c r="J5278" s="21"/>
      <c r="K5278" s="21"/>
      <c r="L5278" s="21"/>
      <c r="M5278" s="21"/>
      <c r="N5278" s="21"/>
    </row>
    <row r="5279" spans="1:14" ht="15.75" customHeight="1" x14ac:dyDescent="0.25">
      <c r="A5279" s="31" t="s">
        <v>14</v>
      </c>
      <c r="B5279" s="31" t="s">
        <v>234</v>
      </c>
      <c r="C5279" s="31" t="s">
        <v>16</v>
      </c>
      <c r="D5279" s="31" t="s">
        <v>17</v>
      </c>
      <c r="E5279" s="31" t="s">
        <v>235</v>
      </c>
      <c r="F5279" s="31" t="s">
        <v>236</v>
      </c>
      <c r="G5279" s="25" t="s">
        <v>1889</v>
      </c>
      <c r="H5279" s="11"/>
      <c r="I5279" s="21"/>
      <c r="J5279" s="21"/>
      <c r="K5279" s="21"/>
      <c r="L5279" s="21"/>
      <c r="M5279" s="21"/>
      <c r="N5279" s="21"/>
    </row>
    <row r="5280" spans="1:14" ht="15.75" customHeight="1" x14ac:dyDescent="0.25">
      <c r="A5280" s="7">
        <v>1</v>
      </c>
      <c r="B5280" s="124" t="s">
        <v>688</v>
      </c>
      <c r="C5280" s="9">
        <v>30</v>
      </c>
      <c r="D5280" s="7" t="s">
        <v>363</v>
      </c>
      <c r="E5280" s="37">
        <v>122500</v>
      </c>
      <c r="F5280" s="37">
        <f>E5280*C5280</f>
        <v>3675000</v>
      </c>
      <c r="G5280" s="172">
        <v>45349</v>
      </c>
      <c r="H5280" s="11"/>
      <c r="I5280" s="21"/>
      <c r="J5280" s="21"/>
      <c r="K5280" s="21"/>
      <c r="L5280" s="21"/>
      <c r="M5280" s="21"/>
      <c r="N5280" s="21"/>
    </row>
    <row r="5281" spans="1:14" ht="15.75" customHeight="1" x14ac:dyDescent="0.25">
      <c r="A5281" s="7"/>
      <c r="B5281" s="343" t="s">
        <v>342</v>
      </c>
      <c r="C5281" s="344"/>
      <c r="D5281" s="344"/>
      <c r="E5281" s="334"/>
      <c r="F5281" s="104">
        <f>SUM(F5280)</f>
        <v>3675000</v>
      </c>
      <c r="G5281" s="42" t="s">
        <v>2013</v>
      </c>
      <c r="H5281" s="11"/>
      <c r="I5281" s="21"/>
      <c r="J5281" s="21"/>
      <c r="K5281" s="21"/>
      <c r="L5281" s="21"/>
      <c r="M5281" s="21"/>
      <c r="N5281" s="21"/>
    </row>
    <row r="5282" spans="1:14" ht="15.75" customHeight="1" x14ac:dyDescent="0.25">
      <c r="A5282" s="7"/>
      <c r="B5282" s="343" t="s">
        <v>343</v>
      </c>
      <c r="C5282" s="344"/>
      <c r="D5282" s="344"/>
      <c r="E5282" s="334"/>
      <c r="F5282" s="104">
        <f>F5281*11%</f>
        <v>404250</v>
      </c>
      <c r="G5282" s="25" t="s">
        <v>2014</v>
      </c>
      <c r="H5282" s="11"/>
      <c r="I5282" s="21"/>
      <c r="J5282" s="21"/>
      <c r="K5282" s="21"/>
      <c r="L5282" s="21"/>
      <c r="M5282" s="21"/>
      <c r="N5282" s="21"/>
    </row>
    <row r="5283" spans="1:14" ht="15.75" customHeight="1" x14ac:dyDescent="0.25">
      <c r="A5283" s="7"/>
      <c r="B5283" s="345" t="s">
        <v>344</v>
      </c>
      <c r="C5283" s="344"/>
      <c r="D5283" s="344"/>
      <c r="E5283" s="334"/>
      <c r="F5283" s="107">
        <f>F5282+F5281</f>
        <v>4079250</v>
      </c>
      <c r="G5283" s="25"/>
      <c r="H5283" s="11"/>
      <c r="I5283" s="21"/>
      <c r="J5283" s="21"/>
      <c r="K5283" s="21"/>
      <c r="L5283" s="21"/>
      <c r="M5283" s="21"/>
      <c r="N5283" s="21"/>
    </row>
    <row r="5284" spans="1:14" ht="15.75" customHeight="1" x14ac:dyDescent="0.25">
      <c r="A5284" s="21"/>
      <c r="B5284" s="21"/>
      <c r="C5284" s="11"/>
      <c r="D5284" s="11"/>
      <c r="E5284" s="21"/>
      <c r="F5284" s="21"/>
      <c r="G5284" s="25"/>
      <c r="H5284" s="11"/>
      <c r="I5284" s="21"/>
      <c r="J5284" s="21"/>
      <c r="K5284" s="21"/>
      <c r="L5284" s="21"/>
      <c r="M5284" s="21"/>
      <c r="N5284" s="21"/>
    </row>
    <row r="5285" spans="1:14" ht="15.75" customHeight="1" x14ac:dyDescent="0.25">
      <c r="A5285" s="21"/>
      <c r="B5285" s="21"/>
      <c r="C5285" s="11"/>
      <c r="D5285" s="11"/>
      <c r="E5285" s="21"/>
      <c r="F5285" s="21"/>
      <c r="G5285" s="25"/>
      <c r="H5285" s="11"/>
      <c r="I5285" s="21"/>
      <c r="J5285" s="21"/>
      <c r="K5285" s="21"/>
      <c r="L5285" s="21"/>
      <c r="M5285" s="21"/>
      <c r="N5285" s="21"/>
    </row>
    <row r="5286" spans="1:14" ht="15.75" customHeight="1" x14ac:dyDescent="0.25">
      <c r="A5286" s="31" t="s">
        <v>14</v>
      </c>
      <c r="B5286" s="31" t="s">
        <v>234</v>
      </c>
      <c r="C5286" s="31" t="s">
        <v>16</v>
      </c>
      <c r="D5286" s="31" t="s">
        <v>17</v>
      </c>
      <c r="E5286" s="31" t="s">
        <v>235</v>
      </c>
      <c r="F5286" s="31" t="s">
        <v>236</v>
      </c>
      <c r="G5286" s="25" t="s">
        <v>1830</v>
      </c>
      <c r="H5286" s="11"/>
      <c r="I5286" s="21"/>
      <c r="J5286" s="21"/>
      <c r="K5286" s="21"/>
      <c r="L5286" s="21"/>
      <c r="M5286" s="21"/>
      <c r="N5286" s="21"/>
    </row>
    <row r="5287" spans="1:14" ht="15.75" customHeight="1" x14ac:dyDescent="0.25">
      <c r="A5287" s="7">
        <v>1</v>
      </c>
      <c r="B5287" s="124" t="s">
        <v>2015</v>
      </c>
      <c r="C5287" s="9">
        <v>1</v>
      </c>
      <c r="D5287" s="7" t="s">
        <v>363</v>
      </c>
      <c r="E5287" s="37">
        <v>39875000</v>
      </c>
      <c r="F5287" s="37">
        <f>E5287*C5287</f>
        <v>39875000</v>
      </c>
      <c r="G5287" s="172">
        <v>45343</v>
      </c>
      <c r="H5287" s="11"/>
      <c r="I5287" s="21"/>
      <c r="J5287" s="21"/>
      <c r="K5287" s="21"/>
      <c r="L5287" s="21"/>
      <c r="M5287" s="21"/>
      <c r="N5287" s="21"/>
    </row>
    <row r="5288" spans="1:14" ht="15.75" customHeight="1" x14ac:dyDescent="0.25">
      <c r="A5288" s="7"/>
      <c r="B5288" s="343" t="s">
        <v>342</v>
      </c>
      <c r="C5288" s="344"/>
      <c r="D5288" s="344"/>
      <c r="E5288" s="334"/>
      <c r="F5288" s="104">
        <f>SUM(F5287)</f>
        <v>39875000</v>
      </c>
      <c r="G5288" s="42" t="s">
        <v>2016</v>
      </c>
      <c r="H5288" s="11"/>
      <c r="I5288" s="21"/>
      <c r="J5288" s="21"/>
      <c r="K5288" s="21"/>
      <c r="L5288" s="21"/>
      <c r="M5288" s="21"/>
      <c r="N5288" s="21"/>
    </row>
    <row r="5289" spans="1:14" ht="15.75" customHeight="1" x14ac:dyDescent="0.25">
      <c r="A5289" s="7"/>
      <c r="B5289" s="343" t="s">
        <v>343</v>
      </c>
      <c r="C5289" s="344"/>
      <c r="D5289" s="344"/>
      <c r="E5289" s="334"/>
      <c r="F5289" s="104">
        <f>F5288*11%</f>
        <v>4386250</v>
      </c>
      <c r="G5289" s="25"/>
      <c r="H5289" s="11"/>
      <c r="I5289" s="21"/>
      <c r="J5289" s="21"/>
      <c r="K5289" s="21"/>
      <c r="L5289" s="21"/>
      <c r="M5289" s="21"/>
      <c r="N5289" s="21"/>
    </row>
    <row r="5290" spans="1:14" ht="15.75" customHeight="1" x14ac:dyDescent="0.25">
      <c r="A5290" s="7"/>
      <c r="B5290" s="345" t="s">
        <v>344</v>
      </c>
      <c r="C5290" s="344"/>
      <c r="D5290" s="344"/>
      <c r="E5290" s="334"/>
      <c r="F5290" s="107">
        <f>F5289+F5288</f>
        <v>44261250</v>
      </c>
      <c r="G5290" s="25"/>
      <c r="H5290" s="11"/>
      <c r="I5290" s="21"/>
      <c r="J5290" s="21"/>
      <c r="K5290" s="21"/>
      <c r="L5290" s="21"/>
      <c r="M5290" s="21"/>
      <c r="N5290" s="21"/>
    </row>
    <row r="5291" spans="1:14" ht="15.75" customHeight="1" x14ac:dyDescent="0.25">
      <c r="A5291" s="21"/>
      <c r="B5291" s="21"/>
      <c r="C5291" s="11"/>
      <c r="D5291" s="11"/>
      <c r="E5291" s="21"/>
      <c r="F5291" s="21"/>
      <c r="G5291" s="25"/>
      <c r="H5291" s="11"/>
      <c r="I5291" s="21"/>
      <c r="J5291" s="21"/>
      <c r="K5291" s="21"/>
      <c r="L5291" s="21"/>
      <c r="M5291" s="21"/>
      <c r="N5291" s="21"/>
    </row>
    <row r="5292" spans="1:14" ht="15.75" customHeight="1" x14ac:dyDescent="0.25">
      <c r="A5292" s="21"/>
      <c r="B5292" s="21"/>
      <c r="C5292" s="11"/>
      <c r="D5292" s="11"/>
      <c r="E5292" s="21"/>
      <c r="F5292" s="21"/>
      <c r="G5292" s="25"/>
      <c r="H5292" s="11"/>
      <c r="I5292" s="21"/>
      <c r="J5292" s="21"/>
      <c r="K5292" s="21"/>
      <c r="L5292" s="21"/>
      <c r="M5292" s="21"/>
      <c r="N5292" s="21"/>
    </row>
    <row r="5293" spans="1:14" ht="15.75" customHeight="1" x14ac:dyDescent="0.25">
      <c r="A5293" s="31" t="s">
        <v>14</v>
      </c>
      <c r="B5293" s="31" t="s">
        <v>234</v>
      </c>
      <c r="C5293" s="31" t="s">
        <v>16</v>
      </c>
      <c r="D5293" s="31" t="s">
        <v>17</v>
      </c>
      <c r="E5293" s="31" t="s">
        <v>235</v>
      </c>
      <c r="F5293" s="31" t="s">
        <v>236</v>
      </c>
      <c r="G5293" s="25" t="s">
        <v>2017</v>
      </c>
      <c r="H5293" s="11"/>
      <c r="I5293" s="21"/>
      <c r="J5293" s="21"/>
      <c r="K5293" s="21"/>
      <c r="L5293" s="21"/>
      <c r="M5293" s="21"/>
      <c r="N5293" s="21"/>
    </row>
    <row r="5294" spans="1:14" ht="15.75" customHeight="1" x14ac:dyDescent="0.25">
      <c r="A5294" s="7">
        <v>1</v>
      </c>
      <c r="B5294" s="35" t="s">
        <v>2018</v>
      </c>
      <c r="C5294" s="9">
        <v>1</v>
      </c>
      <c r="D5294" s="7" t="s">
        <v>1412</v>
      </c>
      <c r="E5294" s="37">
        <v>11500000</v>
      </c>
      <c r="F5294" s="37">
        <f>E5294*C5294</f>
        <v>11500000</v>
      </c>
      <c r="G5294" s="172">
        <v>45342</v>
      </c>
      <c r="H5294" s="11"/>
      <c r="I5294" s="21"/>
      <c r="J5294" s="21"/>
      <c r="K5294" s="21"/>
      <c r="L5294" s="21"/>
      <c r="M5294" s="21"/>
      <c r="N5294" s="21"/>
    </row>
    <row r="5295" spans="1:14" ht="15.75" customHeight="1" x14ac:dyDescent="0.25">
      <c r="A5295" s="7">
        <v>2</v>
      </c>
      <c r="B5295" s="41" t="s">
        <v>2019</v>
      </c>
      <c r="C5295" s="9">
        <v>1</v>
      </c>
      <c r="D5295" s="7" t="s">
        <v>19</v>
      </c>
      <c r="E5295" s="37">
        <v>243000</v>
      </c>
      <c r="F5295" s="37">
        <f>E5295*C5295</f>
        <v>243000</v>
      </c>
      <c r="G5295" s="25" t="s">
        <v>2020</v>
      </c>
      <c r="H5295" s="11"/>
      <c r="I5295" s="21"/>
      <c r="J5295" s="21"/>
      <c r="K5295" s="21"/>
      <c r="L5295" s="21"/>
      <c r="M5295" s="21"/>
      <c r="N5295" s="21"/>
    </row>
    <row r="5296" spans="1:14" ht="15.75" customHeight="1" x14ac:dyDescent="0.25">
      <c r="A5296" s="7"/>
      <c r="B5296" s="343" t="s">
        <v>342</v>
      </c>
      <c r="C5296" s="344"/>
      <c r="D5296" s="344"/>
      <c r="E5296" s="334"/>
      <c r="F5296" s="104">
        <f>SUM(F5294:F5295)</f>
        <v>11743000</v>
      </c>
      <c r="G5296" s="25"/>
      <c r="H5296" s="11"/>
      <c r="I5296" s="21"/>
      <c r="J5296" s="21"/>
      <c r="K5296" s="21"/>
      <c r="L5296" s="21"/>
      <c r="M5296" s="21"/>
      <c r="N5296" s="21"/>
    </row>
    <row r="5297" spans="1:14" ht="15.75" customHeight="1" x14ac:dyDescent="0.25">
      <c r="A5297" s="7"/>
      <c r="B5297" s="343" t="s">
        <v>343</v>
      </c>
      <c r="C5297" s="344"/>
      <c r="D5297" s="344"/>
      <c r="E5297" s="334"/>
      <c r="F5297" s="167">
        <f>F5296*11%</f>
        <v>1291730</v>
      </c>
      <c r="G5297" s="25"/>
      <c r="H5297" s="11"/>
      <c r="I5297" s="21"/>
      <c r="J5297" s="21"/>
      <c r="K5297" s="21"/>
      <c r="L5297" s="21"/>
      <c r="M5297" s="21"/>
      <c r="N5297" s="21"/>
    </row>
    <row r="5298" spans="1:14" ht="15.75" customHeight="1" x14ac:dyDescent="0.25">
      <c r="A5298" s="7"/>
      <c r="B5298" s="345" t="s">
        <v>344</v>
      </c>
      <c r="C5298" s="344"/>
      <c r="D5298" s="344"/>
      <c r="E5298" s="334"/>
      <c r="F5298" s="168">
        <f>F5297+F5296</f>
        <v>13034730</v>
      </c>
      <c r="G5298" s="25"/>
      <c r="H5298" s="11"/>
      <c r="I5298" s="21"/>
      <c r="J5298" s="21"/>
      <c r="K5298" s="21"/>
      <c r="L5298" s="21"/>
      <c r="M5298" s="21"/>
      <c r="N5298" s="21"/>
    </row>
    <row r="5299" spans="1:14" ht="15.75" customHeight="1" x14ac:dyDescent="0.25">
      <c r="A5299" s="21"/>
      <c r="B5299" s="21"/>
      <c r="C5299" s="11"/>
      <c r="D5299" s="11"/>
      <c r="E5299" s="21"/>
      <c r="F5299" s="21"/>
      <c r="G5299" s="25"/>
      <c r="H5299" s="11"/>
      <c r="I5299" s="21"/>
      <c r="J5299" s="21"/>
      <c r="K5299" s="21"/>
      <c r="L5299" s="21"/>
      <c r="M5299" s="21"/>
      <c r="N5299" s="21"/>
    </row>
    <row r="5300" spans="1:14" ht="15.75" customHeight="1" x14ac:dyDescent="0.25">
      <c r="A5300" s="21"/>
      <c r="B5300" s="21"/>
      <c r="C5300" s="11"/>
      <c r="D5300" s="11"/>
      <c r="E5300" s="21"/>
      <c r="F5300" s="21"/>
      <c r="G5300" s="25"/>
      <c r="H5300" s="11"/>
      <c r="I5300" s="21"/>
      <c r="J5300" s="21"/>
      <c r="K5300" s="21"/>
      <c r="L5300" s="21"/>
      <c r="M5300" s="21"/>
      <c r="N5300" s="21"/>
    </row>
    <row r="5301" spans="1:14" ht="15.75" customHeight="1" x14ac:dyDescent="0.25">
      <c r="A5301" s="31" t="s">
        <v>14</v>
      </c>
      <c r="B5301" s="31" t="s">
        <v>234</v>
      </c>
      <c r="C5301" s="31" t="s">
        <v>16</v>
      </c>
      <c r="D5301" s="31" t="s">
        <v>17</v>
      </c>
      <c r="E5301" s="31" t="s">
        <v>235</v>
      </c>
      <c r="F5301" s="31" t="s">
        <v>236</v>
      </c>
      <c r="G5301" s="25" t="s">
        <v>2021</v>
      </c>
      <c r="H5301" s="11"/>
      <c r="I5301" s="21"/>
      <c r="J5301" s="21"/>
      <c r="K5301" s="21"/>
      <c r="L5301" s="21"/>
      <c r="M5301" s="21"/>
      <c r="N5301" s="21"/>
    </row>
    <row r="5302" spans="1:14" ht="15.75" customHeight="1" x14ac:dyDescent="0.25">
      <c r="A5302" s="7">
        <v>1</v>
      </c>
      <c r="B5302" s="124" t="s">
        <v>2022</v>
      </c>
      <c r="C5302" s="9">
        <v>4</v>
      </c>
      <c r="D5302" s="7" t="s">
        <v>363</v>
      </c>
      <c r="E5302" s="37">
        <v>38800</v>
      </c>
      <c r="F5302" s="37">
        <f t="shared" ref="F5302:F5307" si="59">E5302*C5302</f>
        <v>155200</v>
      </c>
      <c r="G5302" s="172">
        <v>45358</v>
      </c>
      <c r="H5302" s="11"/>
      <c r="I5302" s="21"/>
      <c r="J5302" s="21"/>
      <c r="K5302" s="21"/>
      <c r="L5302" s="21"/>
      <c r="M5302" s="21"/>
      <c r="N5302" s="21"/>
    </row>
    <row r="5303" spans="1:14" ht="15.75" customHeight="1" x14ac:dyDescent="0.25">
      <c r="A5303" s="7">
        <v>2</v>
      </c>
      <c r="B5303" s="124" t="s">
        <v>2023</v>
      </c>
      <c r="C5303" s="9">
        <v>1</v>
      </c>
      <c r="D5303" s="7" t="s">
        <v>363</v>
      </c>
      <c r="E5303" s="37">
        <v>340000</v>
      </c>
      <c r="F5303" s="37">
        <f t="shared" si="59"/>
        <v>340000</v>
      </c>
      <c r="G5303" s="25">
        <v>24900262</v>
      </c>
      <c r="H5303" s="11"/>
      <c r="I5303" s="21"/>
      <c r="J5303" s="21"/>
      <c r="K5303" s="21"/>
      <c r="L5303" s="21"/>
      <c r="M5303" s="21"/>
      <c r="N5303" s="21"/>
    </row>
    <row r="5304" spans="1:14" ht="15.75" customHeight="1" x14ac:dyDescent="0.25">
      <c r="A5304" s="7">
        <v>3</v>
      </c>
      <c r="B5304" s="124" t="s">
        <v>2024</v>
      </c>
      <c r="C5304" s="9">
        <v>5</v>
      </c>
      <c r="D5304" s="7" t="s">
        <v>363</v>
      </c>
      <c r="E5304" s="37">
        <v>25000</v>
      </c>
      <c r="F5304" s="37">
        <f t="shared" si="59"/>
        <v>125000</v>
      </c>
      <c r="G5304" s="25" t="s">
        <v>1752</v>
      </c>
      <c r="H5304" s="11"/>
      <c r="I5304" s="21"/>
      <c r="J5304" s="21"/>
      <c r="K5304" s="21"/>
      <c r="L5304" s="21"/>
      <c r="M5304" s="21"/>
      <c r="N5304" s="21"/>
    </row>
    <row r="5305" spans="1:14" ht="15.75" customHeight="1" x14ac:dyDescent="0.25">
      <c r="A5305" s="7">
        <v>4</v>
      </c>
      <c r="B5305" s="124" t="s">
        <v>2025</v>
      </c>
      <c r="C5305" s="9">
        <v>4</v>
      </c>
      <c r="D5305" s="7" t="s">
        <v>363</v>
      </c>
      <c r="E5305" s="37">
        <v>63800</v>
      </c>
      <c r="F5305" s="37">
        <f t="shared" si="59"/>
        <v>255200</v>
      </c>
      <c r="G5305" s="25"/>
      <c r="H5305" s="11"/>
      <c r="I5305" s="21"/>
      <c r="J5305" s="21"/>
      <c r="K5305" s="21"/>
      <c r="L5305" s="21"/>
      <c r="M5305" s="21"/>
      <c r="N5305" s="21"/>
    </row>
    <row r="5306" spans="1:14" ht="15.75" customHeight="1" x14ac:dyDescent="0.25">
      <c r="A5306" s="7">
        <v>5</v>
      </c>
      <c r="B5306" s="124" t="s">
        <v>2026</v>
      </c>
      <c r="C5306" s="9">
        <v>3</v>
      </c>
      <c r="D5306" s="7" t="s">
        <v>363</v>
      </c>
      <c r="E5306" s="37">
        <v>51500</v>
      </c>
      <c r="F5306" s="37">
        <f t="shared" si="59"/>
        <v>154500</v>
      </c>
      <c r="G5306" s="25"/>
      <c r="H5306" s="11"/>
      <c r="I5306" s="21"/>
      <c r="J5306" s="21"/>
      <c r="K5306" s="21"/>
      <c r="L5306" s="21"/>
      <c r="M5306" s="21"/>
      <c r="N5306" s="21"/>
    </row>
    <row r="5307" spans="1:14" ht="15.75" customHeight="1" x14ac:dyDescent="0.25">
      <c r="A5307" s="7">
        <v>6</v>
      </c>
      <c r="B5307" s="124" t="s">
        <v>2027</v>
      </c>
      <c r="C5307" s="9">
        <v>3</v>
      </c>
      <c r="D5307" s="7" t="s">
        <v>363</v>
      </c>
      <c r="E5307" s="37">
        <v>92800</v>
      </c>
      <c r="F5307" s="37">
        <f t="shared" si="59"/>
        <v>278400</v>
      </c>
      <c r="G5307" s="25"/>
      <c r="H5307" s="11"/>
      <c r="I5307" s="21"/>
      <c r="J5307" s="21"/>
      <c r="K5307" s="21"/>
      <c r="L5307" s="21"/>
      <c r="M5307" s="21"/>
      <c r="N5307" s="21"/>
    </row>
    <row r="5308" spans="1:14" ht="15.75" customHeight="1" x14ac:dyDescent="0.25">
      <c r="A5308" s="7"/>
      <c r="B5308" s="343" t="s">
        <v>342</v>
      </c>
      <c r="C5308" s="344"/>
      <c r="D5308" s="344"/>
      <c r="E5308" s="334"/>
      <c r="F5308" s="104">
        <f>SUM(F5302:F5307)</f>
        <v>1308300</v>
      </c>
      <c r="G5308" s="25"/>
      <c r="H5308" s="11"/>
      <c r="I5308" s="21"/>
      <c r="J5308" s="21"/>
      <c r="K5308" s="21"/>
      <c r="L5308" s="21"/>
      <c r="M5308" s="21"/>
      <c r="N5308" s="21"/>
    </row>
    <row r="5309" spans="1:14" ht="15.75" customHeight="1" x14ac:dyDescent="0.25">
      <c r="A5309" s="7"/>
      <c r="B5309" s="343" t="s">
        <v>343</v>
      </c>
      <c r="C5309" s="344"/>
      <c r="D5309" s="344"/>
      <c r="E5309" s="334"/>
      <c r="F5309" s="104">
        <f>F5308*11%</f>
        <v>143913</v>
      </c>
      <c r="G5309" s="25"/>
      <c r="H5309" s="11"/>
      <c r="I5309" s="21"/>
      <c r="J5309" s="21"/>
      <c r="K5309" s="21"/>
      <c r="L5309" s="21"/>
      <c r="M5309" s="21"/>
      <c r="N5309" s="21"/>
    </row>
    <row r="5310" spans="1:14" ht="15.75" customHeight="1" x14ac:dyDescent="0.25">
      <c r="A5310" s="7"/>
      <c r="B5310" s="345" t="s">
        <v>344</v>
      </c>
      <c r="C5310" s="344"/>
      <c r="D5310" s="344"/>
      <c r="E5310" s="334"/>
      <c r="F5310" s="107">
        <f>F5309+F5308</f>
        <v>1452213</v>
      </c>
      <c r="G5310" s="25"/>
      <c r="H5310" s="11"/>
      <c r="I5310" s="21"/>
      <c r="J5310" s="21"/>
      <c r="K5310" s="21"/>
      <c r="L5310" s="21"/>
      <c r="M5310" s="21"/>
      <c r="N5310" s="21"/>
    </row>
    <row r="5311" spans="1:14" ht="15.75" customHeight="1" x14ac:dyDescent="0.25">
      <c r="A5311" s="21"/>
      <c r="B5311" s="21"/>
      <c r="C5311" s="11"/>
      <c r="D5311" s="11"/>
      <c r="E5311" s="21"/>
      <c r="F5311" s="21"/>
      <c r="G5311" s="25"/>
      <c r="H5311" s="11"/>
      <c r="I5311" s="21"/>
      <c r="J5311" s="21"/>
      <c r="K5311" s="21"/>
      <c r="L5311" s="21"/>
      <c r="M5311" s="21"/>
      <c r="N5311" s="21"/>
    </row>
    <row r="5312" spans="1:14" ht="15.75" customHeight="1" x14ac:dyDescent="0.25">
      <c r="A5312" s="31" t="s">
        <v>14</v>
      </c>
      <c r="B5312" s="31" t="s">
        <v>234</v>
      </c>
      <c r="C5312" s="31" t="s">
        <v>16</v>
      </c>
      <c r="D5312" s="31" t="s">
        <v>17</v>
      </c>
      <c r="E5312" s="31" t="s">
        <v>235</v>
      </c>
      <c r="F5312" s="31" t="s">
        <v>236</v>
      </c>
      <c r="G5312" s="25" t="s">
        <v>1950</v>
      </c>
      <c r="H5312" s="11"/>
      <c r="I5312" s="21"/>
      <c r="J5312" s="21"/>
      <c r="K5312" s="21"/>
      <c r="L5312" s="21"/>
      <c r="M5312" s="21"/>
      <c r="N5312" s="21"/>
    </row>
    <row r="5313" spans="1:14" ht="15.75" customHeight="1" x14ac:dyDescent="0.25">
      <c r="A5313" s="7">
        <v>1</v>
      </c>
      <c r="B5313" s="38" t="s">
        <v>2028</v>
      </c>
      <c r="C5313" s="9">
        <v>10</v>
      </c>
      <c r="D5313" s="7" t="s">
        <v>1137</v>
      </c>
      <c r="E5313" s="37">
        <v>24500</v>
      </c>
      <c r="F5313" s="37">
        <f t="shared" ref="F5313:F5318" si="60">E5313*C5313</f>
        <v>245000</v>
      </c>
      <c r="G5313" s="25"/>
      <c r="H5313" s="11"/>
      <c r="I5313" s="21"/>
      <c r="J5313" s="21"/>
      <c r="K5313" s="21"/>
      <c r="L5313" s="21"/>
      <c r="M5313" s="21"/>
      <c r="N5313" s="21"/>
    </row>
    <row r="5314" spans="1:14" ht="15.75" customHeight="1" x14ac:dyDescent="0.25">
      <c r="A5314" s="7">
        <v>2</v>
      </c>
      <c r="B5314" s="35" t="s">
        <v>2029</v>
      </c>
      <c r="C5314" s="9">
        <v>10</v>
      </c>
      <c r="D5314" s="7" t="s">
        <v>19</v>
      </c>
      <c r="E5314" s="37">
        <v>93000</v>
      </c>
      <c r="F5314" s="37">
        <f t="shared" si="60"/>
        <v>930000</v>
      </c>
      <c r="G5314" s="25">
        <v>246</v>
      </c>
      <c r="H5314" s="11"/>
      <c r="I5314" s="21"/>
      <c r="J5314" s="21"/>
      <c r="K5314" s="21"/>
      <c r="L5314" s="21"/>
      <c r="M5314" s="21"/>
      <c r="N5314" s="21"/>
    </row>
    <row r="5315" spans="1:14" ht="15.75" customHeight="1" x14ac:dyDescent="0.25">
      <c r="A5315" s="7">
        <v>3</v>
      </c>
      <c r="B5315" s="35" t="s">
        <v>2030</v>
      </c>
      <c r="C5315" s="9">
        <v>3</v>
      </c>
      <c r="D5315" s="7" t="s">
        <v>19</v>
      </c>
      <c r="E5315" s="37">
        <v>195800</v>
      </c>
      <c r="F5315" s="37">
        <f t="shared" si="60"/>
        <v>587400</v>
      </c>
      <c r="G5315" s="25"/>
      <c r="H5315" s="11"/>
      <c r="I5315" s="21"/>
      <c r="J5315" s="21"/>
      <c r="K5315" s="21"/>
      <c r="L5315" s="21"/>
      <c r="M5315" s="21"/>
      <c r="N5315" s="21"/>
    </row>
    <row r="5316" spans="1:14" ht="15.75" customHeight="1" x14ac:dyDescent="0.25">
      <c r="A5316" s="7">
        <v>4</v>
      </c>
      <c r="B5316" s="35" t="s">
        <v>2031</v>
      </c>
      <c r="C5316" s="9">
        <v>5</v>
      </c>
      <c r="D5316" s="7" t="s">
        <v>19</v>
      </c>
      <c r="E5316" s="37">
        <v>9000</v>
      </c>
      <c r="F5316" s="37">
        <f t="shared" si="60"/>
        <v>45000</v>
      </c>
      <c r="G5316" s="25"/>
      <c r="H5316" s="11"/>
      <c r="I5316" s="21"/>
      <c r="J5316" s="21"/>
      <c r="K5316" s="21"/>
      <c r="L5316" s="21"/>
      <c r="M5316" s="21"/>
      <c r="N5316" s="21"/>
    </row>
    <row r="5317" spans="1:14" ht="15.75" customHeight="1" x14ac:dyDescent="0.25">
      <c r="A5317" s="7">
        <v>5</v>
      </c>
      <c r="B5317" s="35" t="s">
        <v>2032</v>
      </c>
      <c r="C5317" s="9">
        <v>10</v>
      </c>
      <c r="D5317" s="7" t="s">
        <v>19</v>
      </c>
      <c r="E5317" s="37">
        <v>4000</v>
      </c>
      <c r="F5317" s="37">
        <f t="shared" si="60"/>
        <v>40000</v>
      </c>
      <c r="G5317" s="25"/>
      <c r="H5317" s="11"/>
      <c r="I5317" s="21"/>
      <c r="J5317" s="21"/>
      <c r="K5317" s="21"/>
      <c r="L5317" s="21"/>
      <c r="M5317" s="21"/>
      <c r="N5317" s="21"/>
    </row>
    <row r="5318" spans="1:14" ht="15.75" customHeight="1" x14ac:dyDescent="0.25">
      <c r="A5318" s="7">
        <v>6</v>
      </c>
      <c r="B5318" s="35" t="s">
        <v>2033</v>
      </c>
      <c r="C5318" s="9">
        <v>5</v>
      </c>
      <c r="D5318" s="7" t="s">
        <v>363</v>
      </c>
      <c r="E5318" s="37">
        <v>136000</v>
      </c>
      <c r="F5318" s="37">
        <f t="shared" si="60"/>
        <v>680000</v>
      </c>
      <c r="G5318" s="25"/>
      <c r="H5318" s="11"/>
      <c r="I5318" s="21"/>
      <c r="J5318" s="21"/>
      <c r="K5318" s="21"/>
      <c r="L5318" s="21"/>
      <c r="M5318" s="21"/>
      <c r="N5318" s="21"/>
    </row>
    <row r="5319" spans="1:14" ht="15.75" customHeight="1" x14ac:dyDescent="0.25">
      <c r="A5319" s="7"/>
      <c r="B5319" s="343" t="s">
        <v>342</v>
      </c>
      <c r="C5319" s="344"/>
      <c r="D5319" s="344"/>
      <c r="E5319" s="334"/>
      <c r="F5319" s="104">
        <f>SUM(F5313:F5318)</f>
        <v>2527400</v>
      </c>
      <c r="G5319" s="25"/>
      <c r="H5319" s="11"/>
      <c r="I5319" s="21"/>
      <c r="J5319" s="21"/>
      <c r="K5319" s="21"/>
      <c r="L5319" s="21"/>
      <c r="M5319" s="21"/>
      <c r="N5319" s="21"/>
    </row>
    <row r="5320" spans="1:14" ht="15.75" customHeight="1" x14ac:dyDescent="0.25">
      <c r="A5320" s="7"/>
      <c r="B5320" s="343" t="s">
        <v>343</v>
      </c>
      <c r="C5320" s="344"/>
      <c r="D5320" s="344"/>
      <c r="E5320" s="334"/>
      <c r="F5320" s="104">
        <f>F5319*11%</f>
        <v>278014</v>
      </c>
      <c r="G5320" s="25"/>
      <c r="H5320" s="11"/>
      <c r="I5320" s="21"/>
      <c r="J5320" s="21"/>
      <c r="K5320" s="21"/>
      <c r="L5320" s="21"/>
      <c r="M5320" s="21"/>
      <c r="N5320" s="21"/>
    </row>
    <row r="5321" spans="1:14" ht="15.75" customHeight="1" x14ac:dyDescent="0.25">
      <c r="A5321" s="7"/>
      <c r="B5321" s="345" t="s">
        <v>344</v>
      </c>
      <c r="C5321" s="344"/>
      <c r="D5321" s="344"/>
      <c r="E5321" s="334"/>
      <c r="F5321" s="107">
        <f>F5320+F5319</f>
        <v>2805414</v>
      </c>
      <c r="G5321" s="25"/>
      <c r="H5321" s="11"/>
      <c r="I5321" s="21"/>
      <c r="J5321" s="21"/>
      <c r="K5321" s="21"/>
      <c r="L5321" s="21"/>
      <c r="M5321" s="21"/>
      <c r="N5321" s="21"/>
    </row>
    <row r="5322" spans="1:14" ht="15.75" customHeight="1" x14ac:dyDescent="0.25">
      <c r="A5322" s="21"/>
      <c r="B5322" s="21"/>
      <c r="C5322" s="11"/>
      <c r="D5322" s="11"/>
      <c r="E5322" s="21"/>
      <c r="F5322" s="21"/>
      <c r="G5322" s="25"/>
      <c r="H5322" s="11"/>
      <c r="I5322" s="21"/>
      <c r="J5322" s="21"/>
      <c r="K5322" s="21"/>
      <c r="L5322" s="21"/>
      <c r="M5322" s="21"/>
      <c r="N5322" s="21"/>
    </row>
    <row r="5323" spans="1:14" ht="15.75" customHeight="1" x14ac:dyDescent="0.25">
      <c r="A5323" s="21"/>
      <c r="B5323" s="21"/>
      <c r="C5323" s="11"/>
      <c r="D5323" s="11"/>
      <c r="E5323" s="21"/>
      <c r="F5323" s="21"/>
      <c r="G5323" s="25"/>
      <c r="H5323" s="11"/>
      <c r="I5323" s="21"/>
      <c r="J5323" s="21"/>
      <c r="K5323" s="21"/>
      <c r="L5323" s="21"/>
      <c r="M5323" s="21"/>
      <c r="N5323" s="21"/>
    </row>
    <row r="5324" spans="1:14" ht="15.75" customHeight="1" x14ac:dyDescent="0.25">
      <c r="A5324" s="31" t="s">
        <v>14</v>
      </c>
      <c r="B5324" s="31" t="s">
        <v>234</v>
      </c>
      <c r="C5324" s="31" t="s">
        <v>16</v>
      </c>
      <c r="D5324" s="31" t="s">
        <v>17</v>
      </c>
      <c r="E5324" s="31" t="s">
        <v>235</v>
      </c>
      <c r="F5324" s="31" t="s">
        <v>236</v>
      </c>
      <c r="G5324" s="25" t="s">
        <v>1938</v>
      </c>
      <c r="H5324" s="11"/>
      <c r="I5324" s="21"/>
      <c r="J5324" s="21"/>
      <c r="K5324" s="21"/>
      <c r="L5324" s="21"/>
      <c r="M5324" s="21"/>
      <c r="N5324" s="21"/>
    </row>
    <row r="5325" spans="1:14" ht="15.75" customHeight="1" x14ac:dyDescent="0.25">
      <c r="A5325" s="7">
        <v>1</v>
      </c>
      <c r="B5325" s="35" t="s">
        <v>2034</v>
      </c>
      <c r="C5325" s="9">
        <v>1</v>
      </c>
      <c r="D5325" s="7" t="s">
        <v>243</v>
      </c>
      <c r="E5325" s="37">
        <v>740000</v>
      </c>
      <c r="F5325" s="37">
        <f>E5325*C5325</f>
        <v>740000</v>
      </c>
      <c r="G5325" s="172">
        <v>45364</v>
      </c>
      <c r="H5325" s="11"/>
      <c r="I5325" s="21"/>
      <c r="J5325" s="21"/>
      <c r="K5325" s="21"/>
      <c r="L5325" s="21"/>
      <c r="M5325" s="21"/>
      <c r="N5325" s="21"/>
    </row>
    <row r="5326" spans="1:14" ht="15.75" customHeight="1" x14ac:dyDescent="0.25">
      <c r="A5326" s="7"/>
      <c r="B5326" s="343" t="s">
        <v>342</v>
      </c>
      <c r="C5326" s="344"/>
      <c r="D5326" s="344"/>
      <c r="E5326" s="334"/>
      <c r="F5326" s="104">
        <f>SUM(F5325)</f>
        <v>740000</v>
      </c>
      <c r="G5326" s="42" t="s">
        <v>2035</v>
      </c>
      <c r="H5326" s="11"/>
      <c r="I5326" s="21"/>
      <c r="J5326" s="21"/>
      <c r="K5326" s="21"/>
      <c r="L5326" s="21"/>
      <c r="M5326" s="21"/>
      <c r="N5326" s="21"/>
    </row>
    <row r="5327" spans="1:14" ht="15.75" customHeight="1" x14ac:dyDescent="0.25">
      <c r="A5327" s="7"/>
      <c r="B5327" s="343" t="s">
        <v>343</v>
      </c>
      <c r="C5327" s="344"/>
      <c r="D5327" s="344"/>
      <c r="E5327" s="334"/>
      <c r="F5327" s="104">
        <f>F5326*11%</f>
        <v>81400</v>
      </c>
      <c r="G5327" s="25"/>
      <c r="H5327" s="11"/>
      <c r="I5327" s="21"/>
      <c r="J5327" s="21"/>
      <c r="K5327" s="21"/>
      <c r="L5327" s="21"/>
      <c r="M5327" s="21"/>
      <c r="N5327" s="21"/>
    </row>
    <row r="5328" spans="1:14" ht="15.75" customHeight="1" x14ac:dyDescent="0.25">
      <c r="A5328" s="7"/>
      <c r="B5328" s="345" t="s">
        <v>344</v>
      </c>
      <c r="C5328" s="344"/>
      <c r="D5328" s="344"/>
      <c r="E5328" s="334"/>
      <c r="F5328" s="107">
        <f>F5327+F5326</f>
        <v>821400</v>
      </c>
      <c r="G5328" s="25"/>
      <c r="H5328" s="11"/>
      <c r="I5328" s="21"/>
      <c r="J5328" s="21"/>
      <c r="K5328" s="21"/>
      <c r="L5328" s="21"/>
      <c r="M5328" s="21"/>
      <c r="N5328" s="21"/>
    </row>
    <row r="5329" spans="1:14" ht="15.75" customHeight="1" x14ac:dyDescent="0.25">
      <c r="A5329" s="21"/>
      <c r="B5329" s="21"/>
      <c r="C5329" s="11"/>
      <c r="D5329" s="11"/>
      <c r="E5329" s="21"/>
      <c r="F5329" s="21"/>
      <c r="G5329" s="25"/>
      <c r="H5329" s="11"/>
      <c r="I5329" s="21"/>
      <c r="J5329" s="21"/>
      <c r="K5329" s="21"/>
      <c r="L5329" s="21"/>
      <c r="M5329" s="21"/>
      <c r="N5329" s="21"/>
    </row>
    <row r="5330" spans="1:14" ht="15.75" customHeight="1" x14ac:dyDescent="0.25">
      <c r="A5330" s="31" t="s">
        <v>14</v>
      </c>
      <c r="B5330" s="31" t="s">
        <v>234</v>
      </c>
      <c r="C5330" s="31" t="s">
        <v>16</v>
      </c>
      <c r="D5330" s="31" t="s">
        <v>17</v>
      </c>
      <c r="E5330" s="31" t="s">
        <v>235</v>
      </c>
      <c r="F5330" s="31" t="s">
        <v>236</v>
      </c>
      <c r="G5330" s="25" t="s">
        <v>1938</v>
      </c>
      <c r="H5330" s="11"/>
      <c r="I5330" s="21"/>
      <c r="J5330" s="21"/>
      <c r="K5330" s="21"/>
      <c r="L5330" s="21"/>
      <c r="M5330" s="21"/>
      <c r="N5330" s="21"/>
    </row>
    <row r="5331" spans="1:14" ht="15.75" customHeight="1" x14ac:dyDescent="0.25">
      <c r="A5331" s="7">
        <v>1</v>
      </c>
      <c r="B5331" s="38" t="s">
        <v>2036</v>
      </c>
      <c r="C5331" s="9">
        <v>50</v>
      </c>
      <c r="D5331" s="7" t="s">
        <v>406</v>
      </c>
      <c r="E5331" s="37">
        <v>17945</v>
      </c>
      <c r="F5331" s="37">
        <f>E5331*C5331</f>
        <v>897250</v>
      </c>
      <c r="G5331" s="172">
        <v>45363</v>
      </c>
      <c r="H5331" s="11"/>
      <c r="I5331" s="21"/>
      <c r="J5331" s="21"/>
      <c r="K5331" s="21"/>
      <c r="L5331" s="21"/>
      <c r="M5331" s="21"/>
      <c r="N5331" s="21"/>
    </row>
    <row r="5332" spans="1:14" ht="15.75" customHeight="1" x14ac:dyDescent="0.25">
      <c r="A5332" s="7">
        <v>2</v>
      </c>
      <c r="B5332" s="35" t="s">
        <v>2037</v>
      </c>
      <c r="C5332" s="9">
        <v>50</v>
      </c>
      <c r="D5332" s="7" t="s">
        <v>19</v>
      </c>
      <c r="E5332" s="108">
        <v>1697.5</v>
      </c>
      <c r="F5332" s="37">
        <f>E5332*C5332</f>
        <v>84875</v>
      </c>
      <c r="G5332" s="42" t="s">
        <v>2038</v>
      </c>
      <c r="H5332" s="11"/>
      <c r="I5332" s="21"/>
      <c r="J5332" s="21"/>
      <c r="K5332" s="21"/>
      <c r="L5332" s="21"/>
      <c r="M5332" s="21"/>
      <c r="N5332" s="21"/>
    </row>
    <row r="5333" spans="1:14" ht="15.75" customHeight="1" x14ac:dyDescent="0.25">
      <c r="A5333" s="7">
        <v>3</v>
      </c>
      <c r="B5333" s="35" t="s">
        <v>2037</v>
      </c>
      <c r="C5333" s="9">
        <v>50</v>
      </c>
      <c r="D5333" s="7" t="s">
        <v>19</v>
      </c>
      <c r="E5333" s="108">
        <v>1697.5</v>
      </c>
      <c r="F5333" s="37">
        <f>E5333*C5333</f>
        <v>84875</v>
      </c>
      <c r="G5333" s="25"/>
      <c r="H5333" s="11"/>
      <c r="I5333" s="21"/>
      <c r="J5333" s="21"/>
      <c r="K5333" s="21"/>
      <c r="L5333" s="21"/>
      <c r="M5333" s="21"/>
      <c r="N5333" s="21"/>
    </row>
    <row r="5334" spans="1:14" ht="15.75" customHeight="1" x14ac:dyDescent="0.25">
      <c r="A5334" s="7"/>
      <c r="B5334" s="343" t="s">
        <v>342</v>
      </c>
      <c r="C5334" s="344"/>
      <c r="D5334" s="344"/>
      <c r="E5334" s="334"/>
      <c r="F5334" s="104">
        <f>SUM(F5331:F5333)</f>
        <v>1067000</v>
      </c>
      <c r="G5334" s="25"/>
      <c r="H5334" s="11"/>
      <c r="I5334" s="21"/>
      <c r="J5334" s="21"/>
      <c r="K5334" s="21"/>
      <c r="L5334" s="21"/>
      <c r="M5334" s="21"/>
      <c r="N5334" s="21"/>
    </row>
    <row r="5335" spans="1:14" ht="15.75" customHeight="1" x14ac:dyDescent="0.25">
      <c r="A5335" s="7"/>
      <c r="B5335" s="343" t="s">
        <v>343</v>
      </c>
      <c r="C5335" s="344"/>
      <c r="D5335" s="344"/>
      <c r="E5335" s="334"/>
      <c r="F5335" s="104">
        <f>F5334*11%</f>
        <v>117370</v>
      </c>
      <c r="G5335" s="25"/>
      <c r="H5335" s="11"/>
      <c r="I5335" s="21"/>
      <c r="J5335" s="21"/>
      <c r="K5335" s="21"/>
      <c r="L5335" s="21"/>
      <c r="M5335" s="21"/>
      <c r="N5335" s="21"/>
    </row>
    <row r="5336" spans="1:14" ht="15.75" customHeight="1" x14ac:dyDescent="0.25">
      <c r="A5336" s="7"/>
      <c r="B5336" s="345" t="s">
        <v>344</v>
      </c>
      <c r="C5336" s="344"/>
      <c r="D5336" s="344"/>
      <c r="E5336" s="334"/>
      <c r="F5336" s="107">
        <f>F5335+F5334</f>
        <v>1184370</v>
      </c>
      <c r="G5336" s="25"/>
      <c r="H5336" s="11"/>
      <c r="I5336" s="21"/>
      <c r="J5336" s="21"/>
      <c r="K5336" s="21"/>
      <c r="L5336" s="21"/>
      <c r="M5336" s="21"/>
      <c r="N5336" s="21"/>
    </row>
    <row r="5337" spans="1:14" ht="15.75" customHeight="1" x14ac:dyDescent="0.25">
      <c r="A5337" s="21"/>
      <c r="B5337" s="21"/>
      <c r="C5337" s="11"/>
      <c r="D5337" s="11"/>
      <c r="E5337" s="21"/>
      <c r="F5337" s="21"/>
      <c r="G5337" s="25"/>
      <c r="H5337" s="11"/>
      <c r="I5337" s="21"/>
      <c r="J5337" s="21"/>
      <c r="K5337" s="21"/>
      <c r="L5337" s="21"/>
      <c r="M5337" s="21"/>
      <c r="N5337" s="21"/>
    </row>
    <row r="5338" spans="1:14" ht="15.75" customHeight="1" x14ac:dyDescent="0.25">
      <c r="A5338" s="31" t="s">
        <v>14</v>
      </c>
      <c r="B5338" s="31" t="s">
        <v>234</v>
      </c>
      <c r="C5338" s="31" t="s">
        <v>16</v>
      </c>
      <c r="D5338" s="31" t="s">
        <v>17</v>
      </c>
      <c r="E5338" s="31" t="s">
        <v>235</v>
      </c>
      <c r="F5338" s="31" t="s">
        <v>236</v>
      </c>
      <c r="G5338" s="25" t="s">
        <v>2039</v>
      </c>
      <c r="H5338" s="11"/>
      <c r="I5338" s="21"/>
      <c r="J5338" s="21"/>
      <c r="K5338" s="21"/>
      <c r="L5338" s="21"/>
      <c r="M5338" s="21"/>
      <c r="N5338" s="21"/>
    </row>
    <row r="5339" spans="1:14" ht="15.75" customHeight="1" x14ac:dyDescent="0.25">
      <c r="A5339" s="7">
        <v>1</v>
      </c>
      <c r="B5339" s="38" t="s">
        <v>2040</v>
      </c>
      <c r="C5339" s="9">
        <v>25</v>
      </c>
      <c r="D5339" s="7" t="s">
        <v>1357</v>
      </c>
      <c r="E5339" s="37">
        <v>25800</v>
      </c>
      <c r="F5339" s="37">
        <f>E5339*C5339</f>
        <v>645000</v>
      </c>
      <c r="G5339" s="172">
        <v>45363</v>
      </c>
      <c r="H5339" s="11"/>
      <c r="I5339" s="21"/>
      <c r="J5339" s="21"/>
      <c r="K5339" s="21"/>
      <c r="L5339" s="21"/>
      <c r="M5339" s="21"/>
      <c r="N5339" s="21"/>
    </row>
    <row r="5340" spans="1:14" ht="15.75" customHeight="1" x14ac:dyDescent="0.25">
      <c r="A5340" s="7">
        <v>2</v>
      </c>
      <c r="B5340" s="35" t="s">
        <v>2041</v>
      </c>
      <c r="C5340" s="9">
        <v>1</v>
      </c>
      <c r="D5340" s="7" t="s">
        <v>247</v>
      </c>
      <c r="E5340" s="37">
        <v>975000</v>
      </c>
      <c r="F5340" s="37">
        <f>E5340*C5340</f>
        <v>975000</v>
      </c>
      <c r="G5340" s="42" t="s">
        <v>2042</v>
      </c>
      <c r="H5340" s="11"/>
      <c r="I5340" s="21"/>
      <c r="J5340" s="21"/>
      <c r="K5340" s="21"/>
      <c r="L5340" s="21"/>
      <c r="M5340" s="21"/>
      <c r="N5340" s="21"/>
    </row>
    <row r="5341" spans="1:14" ht="15.75" customHeight="1" x14ac:dyDescent="0.25">
      <c r="A5341" s="7">
        <v>3</v>
      </c>
      <c r="B5341" s="35" t="s">
        <v>2043</v>
      </c>
      <c r="C5341" s="9">
        <v>50</v>
      </c>
      <c r="D5341" s="7" t="s">
        <v>247</v>
      </c>
      <c r="E5341" s="37">
        <v>4500</v>
      </c>
      <c r="F5341" s="37">
        <f>E5341*C5341</f>
        <v>225000</v>
      </c>
      <c r="G5341" s="25"/>
      <c r="H5341" s="11"/>
      <c r="I5341" s="21"/>
      <c r="J5341" s="21"/>
      <c r="K5341" s="21"/>
      <c r="L5341" s="21"/>
      <c r="M5341" s="21"/>
      <c r="N5341" s="21"/>
    </row>
    <row r="5342" spans="1:14" ht="15.75" customHeight="1" x14ac:dyDescent="0.25">
      <c r="A5342" s="7"/>
      <c r="B5342" s="343" t="s">
        <v>342</v>
      </c>
      <c r="C5342" s="344"/>
      <c r="D5342" s="344"/>
      <c r="E5342" s="334"/>
      <c r="F5342" s="104">
        <f>SUM(F5339:F5341)</f>
        <v>1845000</v>
      </c>
      <c r="G5342" s="25"/>
      <c r="H5342" s="11"/>
      <c r="I5342" s="21"/>
      <c r="J5342" s="21"/>
      <c r="K5342" s="21"/>
      <c r="L5342" s="21"/>
      <c r="M5342" s="21"/>
      <c r="N5342" s="21"/>
    </row>
    <row r="5343" spans="1:14" ht="15.75" customHeight="1" x14ac:dyDescent="0.25">
      <c r="A5343" s="7"/>
      <c r="B5343" s="343" t="s">
        <v>343</v>
      </c>
      <c r="C5343" s="344"/>
      <c r="D5343" s="344"/>
      <c r="E5343" s="334"/>
      <c r="F5343" s="104">
        <f>F5342*11%</f>
        <v>202950</v>
      </c>
      <c r="G5343" s="25"/>
      <c r="H5343" s="11"/>
      <c r="I5343" s="21"/>
      <c r="J5343" s="21"/>
      <c r="K5343" s="21"/>
      <c r="L5343" s="21"/>
      <c r="M5343" s="21"/>
      <c r="N5343" s="21"/>
    </row>
    <row r="5344" spans="1:14" ht="15.75" customHeight="1" x14ac:dyDescent="0.25">
      <c r="A5344" s="7"/>
      <c r="B5344" s="345" t="s">
        <v>344</v>
      </c>
      <c r="C5344" s="344"/>
      <c r="D5344" s="344"/>
      <c r="E5344" s="334"/>
      <c r="F5344" s="107">
        <f>F5343+F5342</f>
        <v>2047950</v>
      </c>
      <c r="G5344" s="25"/>
      <c r="H5344" s="11"/>
      <c r="I5344" s="21"/>
      <c r="J5344" s="21"/>
      <c r="K5344" s="21"/>
      <c r="L5344" s="21"/>
      <c r="M5344" s="21"/>
      <c r="N5344" s="21"/>
    </row>
    <row r="5345" spans="1:14" ht="15.75" customHeight="1" x14ac:dyDescent="0.25">
      <c r="A5345" s="21"/>
      <c r="B5345" s="21"/>
      <c r="C5345" s="11"/>
      <c r="D5345" s="11"/>
      <c r="E5345" s="21"/>
      <c r="F5345" s="21"/>
      <c r="G5345" s="25"/>
      <c r="H5345" s="11"/>
      <c r="I5345" s="21"/>
      <c r="J5345" s="21"/>
      <c r="K5345" s="21"/>
      <c r="L5345" s="21"/>
      <c r="M5345" s="21"/>
      <c r="N5345" s="21"/>
    </row>
    <row r="5346" spans="1:14" ht="15.75" customHeight="1" x14ac:dyDescent="0.25">
      <c r="A5346" s="31" t="s">
        <v>14</v>
      </c>
      <c r="B5346" s="31" t="s">
        <v>234</v>
      </c>
      <c r="C5346" s="31" t="s">
        <v>16</v>
      </c>
      <c r="D5346" s="31" t="s">
        <v>17</v>
      </c>
      <c r="E5346" s="31" t="s">
        <v>235</v>
      </c>
      <c r="F5346" s="31" t="s">
        <v>236</v>
      </c>
      <c r="G5346" s="25" t="s">
        <v>2044</v>
      </c>
      <c r="H5346" s="11"/>
      <c r="I5346" s="21"/>
      <c r="J5346" s="21"/>
      <c r="K5346" s="21"/>
      <c r="L5346" s="21"/>
      <c r="M5346" s="21"/>
      <c r="N5346" s="21"/>
    </row>
    <row r="5347" spans="1:14" ht="15.75" customHeight="1" x14ac:dyDescent="0.25">
      <c r="A5347" s="7">
        <v>1</v>
      </c>
      <c r="B5347" s="41" t="s">
        <v>2045</v>
      </c>
      <c r="C5347" s="9">
        <v>1</v>
      </c>
      <c r="D5347" s="7" t="s">
        <v>347</v>
      </c>
      <c r="E5347" s="37">
        <v>6511400</v>
      </c>
      <c r="F5347" s="37">
        <f>E5347*C5347</f>
        <v>6511400</v>
      </c>
      <c r="G5347" s="172">
        <v>45357</v>
      </c>
      <c r="H5347" s="11"/>
      <c r="I5347" s="21"/>
      <c r="J5347" s="21"/>
      <c r="K5347" s="21"/>
      <c r="L5347" s="21"/>
      <c r="M5347" s="21"/>
      <c r="N5347" s="21"/>
    </row>
    <row r="5348" spans="1:14" ht="15.75" customHeight="1" x14ac:dyDescent="0.25">
      <c r="A5348" s="7"/>
      <c r="B5348" s="343" t="s">
        <v>342</v>
      </c>
      <c r="C5348" s="344"/>
      <c r="D5348" s="344"/>
      <c r="E5348" s="334"/>
      <c r="F5348" s="104">
        <f>SUM(F5347)</f>
        <v>6511400</v>
      </c>
      <c r="G5348" s="25" t="s">
        <v>2046</v>
      </c>
      <c r="H5348" s="11"/>
      <c r="I5348" s="21"/>
      <c r="J5348" s="21"/>
      <c r="K5348" s="21"/>
      <c r="L5348" s="21"/>
      <c r="M5348" s="21"/>
      <c r="N5348" s="21"/>
    </row>
    <row r="5349" spans="1:14" ht="15.75" customHeight="1" x14ac:dyDescent="0.25">
      <c r="A5349" s="7"/>
      <c r="B5349" s="343" t="s">
        <v>343</v>
      </c>
      <c r="C5349" s="344"/>
      <c r="D5349" s="344"/>
      <c r="E5349" s="334"/>
      <c r="F5349" s="104">
        <f>F5348*11%</f>
        <v>716254</v>
      </c>
      <c r="G5349" s="25"/>
      <c r="H5349" s="11"/>
      <c r="I5349" s="21"/>
      <c r="J5349" s="21"/>
      <c r="K5349" s="21"/>
      <c r="L5349" s="21"/>
      <c r="M5349" s="21"/>
      <c r="N5349" s="21"/>
    </row>
    <row r="5350" spans="1:14" ht="15.75" customHeight="1" x14ac:dyDescent="0.25">
      <c r="A5350" s="7"/>
      <c r="B5350" s="345" t="s">
        <v>344</v>
      </c>
      <c r="C5350" s="344"/>
      <c r="D5350" s="344"/>
      <c r="E5350" s="334"/>
      <c r="F5350" s="107">
        <f>F5349+F5348</f>
        <v>7227654</v>
      </c>
      <c r="G5350" s="25"/>
      <c r="H5350" s="11"/>
      <c r="I5350" s="21"/>
      <c r="J5350" s="21"/>
      <c r="K5350" s="21"/>
      <c r="L5350" s="21"/>
      <c r="M5350" s="21"/>
      <c r="N5350" s="21"/>
    </row>
    <row r="5351" spans="1:14" ht="15.75" customHeight="1" x14ac:dyDescent="0.25">
      <c r="A5351" s="21"/>
      <c r="B5351" s="21"/>
      <c r="C5351" s="11"/>
      <c r="D5351" s="11"/>
      <c r="E5351" s="21"/>
      <c r="F5351" s="114"/>
      <c r="G5351" s="25"/>
      <c r="H5351" s="11"/>
      <c r="I5351" s="21"/>
      <c r="J5351" s="21"/>
      <c r="K5351" s="21"/>
      <c r="L5351" s="21"/>
      <c r="M5351" s="21"/>
      <c r="N5351" s="21"/>
    </row>
    <row r="5352" spans="1:14" ht="15.75" customHeight="1" x14ac:dyDescent="0.25">
      <c r="A5352" s="31" t="s">
        <v>14</v>
      </c>
      <c r="B5352" s="31" t="s">
        <v>234</v>
      </c>
      <c r="C5352" s="31" t="s">
        <v>16</v>
      </c>
      <c r="D5352" s="31" t="s">
        <v>17</v>
      </c>
      <c r="E5352" s="31" t="s">
        <v>235</v>
      </c>
      <c r="F5352" s="31" t="s">
        <v>236</v>
      </c>
      <c r="G5352" s="25" t="s">
        <v>2047</v>
      </c>
      <c r="H5352" s="21"/>
      <c r="I5352" s="21"/>
      <c r="J5352" s="21"/>
      <c r="K5352" s="21"/>
      <c r="L5352" s="21"/>
      <c r="M5352" s="21"/>
      <c r="N5352" s="21"/>
    </row>
    <row r="5353" spans="1:14" ht="15.75" customHeight="1" x14ac:dyDescent="0.25">
      <c r="A5353" s="7">
        <v>1</v>
      </c>
      <c r="B5353" s="41" t="s">
        <v>2048</v>
      </c>
      <c r="C5353" s="9">
        <v>1</v>
      </c>
      <c r="D5353" s="7" t="s">
        <v>2049</v>
      </c>
      <c r="E5353" s="37">
        <v>1199450</v>
      </c>
      <c r="F5353" s="37">
        <f>E5353*C5353</f>
        <v>1199450</v>
      </c>
      <c r="G5353" s="172">
        <v>45351</v>
      </c>
      <c r="H5353" s="21"/>
      <c r="I5353" s="21"/>
      <c r="J5353" s="21"/>
      <c r="K5353" s="21"/>
      <c r="L5353" s="21"/>
      <c r="M5353" s="21"/>
      <c r="N5353" s="21"/>
    </row>
    <row r="5354" spans="1:14" ht="15.75" customHeight="1" x14ac:dyDescent="0.25">
      <c r="A5354" s="7"/>
      <c r="B5354" s="343" t="s">
        <v>342</v>
      </c>
      <c r="C5354" s="344"/>
      <c r="D5354" s="344"/>
      <c r="E5354" s="334"/>
      <c r="F5354" s="104">
        <f>SUM(F5353)</f>
        <v>1199450</v>
      </c>
      <c r="G5354" s="172" t="s">
        <v>2050</v>
      </c>
      <c r="H5354" s="21"/>
      <c r="I5354" s="21"/>
      <c r="J5354" s="21"/>
      <c r="K5354" s="21"/>
      <c r="L5354" s="21"/>
      <c r="M5354" s="21"/>
      <c r="N5354" s="21"/>
    </row>
    <row r="5355" spans="1:14" ht="15.75" customHeight="1" x14ac:dyDescent="0.25">
      <c r="A5355" s="7"/>
      <c r="B5355" s="343" t="s">
        <v>343</v>
      </c>
      <c r="C5355" s="344"/>
      <c r="D5355" s="344"/>
      <c r="E5355" s="334"/>
      <c r="F5355" s="104">
        <f>F5354*11%</f>
        <v>131939.5</v>
      </c>
      <c r="G5355" s="21"/>
      <c r="H5355" s="21"/>
      <c r="I5355" s="21"/>
      <c r="J5355" s="21"/>
      <c r="K5355" s="21"/>
      <c r="L5355" s="21"/>
      <c r="M5355" s="21"/>
      <c r="N5355" s="21"/>
    </row>
    <row r="5356" spans="1:14" ht="15.75" customHeight="1" x14ac:dyDescent="0.25">
      <c r="A5356" s="7"/>
      <c r="B5356" s="345" t="s">
        <v>344</v>
      </c>
      <c r="C5356" s="344"/>
      <c r="D5356" s="344"/>
      <c r="E5356" s="334"/>
      <c r="F5356" s="107">
        <f>F5355+F5354</f>
        <v>1331389.5</v>
      </c>
      <c r="G5356" s="21"/>
      <c r="H5356" s="21"/>
      <c r="I5356" s="21"/>
      <c r="J5356" s="21"/>
      <c r="K5356" s="21"/>
      <c r="L5356" s="21"/>
      <c r="M5356" s="21"/>
      <c r="N5356" s="21"/>
    </row>
    <row r="5357" spans="1:14" ht="15.75" customHeight="1" x14ac:dyDescent="0.25">
      <c r="A5357" s="21"/>
      <c r="B5357" s="21"/>
      <c r="C5357" s="11"/>
      <c r="D5357" s="11"/>
      <c r="E5357" s="21"/>
      <c r="F5357" s="21"/>
      <c r="G5357" s="25"/>
      <c r="H5357" s="11"/>
      <c r="I5357" s="21"/>
      <c r="J5357" s="21"/>
      <c r="K5357" s="21"/>
      <c r="L5357" s="21"/>
      <c r="M5357" s="21"/>
      <c r="N5357" s="21"/>
    </row>
    <row r="5358" spans="1:14" ht="15.75" customHeight="1" x14ac:dyDescent="0.25">
      <c r="A5358" s="31" t="s">
        <v>14</v>
      </c>
      <c r="B5358" s="31" t="s">
        <v>234</v>
      </c>
      <c r="C5358" s="31" t="s">
        <v>16</v>
      </c>
      <c r="D5358" s="31" t="s">
        <v>17</v>
      </c>
      <c r="E5358" s="31" t="s">
        <v>235</v>
      </c>
      <c r="F5358" s="31" t="s">
        <v>236</v>
      </c>
      <c r="G5358" s="25" t="s">
        <v>1904</v>
      </c>
      <c r="H5358" s="11"/>
      <c r="I5358" s="21"/>
      <c r="J5358" s="21"/>
      <c r="K5358" s="21"/>
      <c r="L5358" s="21"/>
      <c r="M5358" s="21"/>
      <c r="N5358" s="21"/>
    </row>
    <row r="5359" spans="1:14" ht="15.75" customHeight="1" x14ac:dyDescent="0.25">
      <c r="A5359" s="7">
        <v>1</v>
      </c>
      <c r="B5359" s="35" t="s">
        <v>2051</v>
      </c>
      <c r="C5359" s="9">
        <v>5</v>
      </c>
      <c r="D5359" s="7" t="s">
        <v>19</v>
      </c>
      <c r="E5359" s="37">
        <v>59375</v>
      </c>
      <c r="F5359" s="37">
        <f t="shared" ref="F5359:F5368" si="61">E5359*C5359</f>
        <v>296875</v>
      </c>
      <c r="G5359" s="172">
        <v>45358</v>
      </c>
      <c r="H5359" s="11"/>
      <c r="I5359" s="21"/>
      <c r="J5359" s="21"/>
      <c r="K5359" s="21"/>
      <c r="L5359" s="21"/>
      <c r="M5359" s="21"/>
      <c r="N5359" s="21"/>
    </row>
    <row r="5360" spans="1:14" ht="15.75" customHeight="1" x14ac:dyDescent="0.25">
      <c r="A5360" s="7">
        <v>2</v>
      </c>
      <c r="B5360" s="41" t="s">
        <v>2052</v>
      </c>
      <c r="C5360" s="9">
        <v>3</v>
      </c>
      <c r="D5360" s="7" t="s">
        <v>19</v>
      </c>
      <c r="E5360" s="37">
        <v>96425</v>
      </c>
      <c r="F5360" s="37">
        <f t="shared" si="61"/>
        <v>289275</v>
      </c>
      <c r="G5360" s="25" t="s">
        <v>2053</v>
      </c>
      <c r="H5360" s="11"/>
      <c r="I5360" s="21"/>
      <c r="J5360" s="21"/>
      <c r="K5360" s="21"/>
      <c r="L5360" s="21"/>
      <c r="M5360" s="21"/>
      <c r="N5360" s="21"/>
    </row>
    <row r="5361" spans="1:14" ht="15.75" customHeight="1" x14ac:dyDescent="0.25">
      <c r="A5361" s="7">
        <v>3</v>
      </c>
      <c r="B5361" s="41" t="s">
        <v>2054</v>
      </c>
      <c r="C5361" s="9">
        <v>3</v>
      </c>
      <c r="D5361" s="7" t="s">
        <v>19</v>
      </c>
      <c r="E5361" s="37">
        <v>142310</v>
      </c>
      <c r="F5361" s="37">
        <f t="shared" si="61"/>
        <v>426930</v>
      </c>
      <c r="G5361" s="25"/>
      <c r="H5361" s="11"/>
      <c r="I5361" s="21"/>
      <c r="J5361" s="21"/>
      <c r="K5361" s="21"/>
      <c r="L5361" s="21"/>
      <c r="M5361" s="21"/>
      <c r="N5361" s="21"/>
    </row>
    <row r="5362" spans="1:14" ht="15.75" customHeight="1" x14ac:dyDescent="0.25">
      <c r="A5362" s="7">
        <v>4</v>
      </c>
      <c r="B5362" s="41" t="s">
        <v>2055</v>
      </c>
      <c r="C5362" s="9">
        <v>5</v>
      </c>
      <c r="D5362" s="7" t="s">
        <v>19</v>
      </c>
      <c r="E5362" s="37">
        <v>17575</v>
      </c>
      <c r="F5362" s="37">
        <f t="shared" si="61"/>
        <v>87875</v>
      </c>
      <c r="G5362" s="25"/>
      <c r="H5362" s="11"/>
      <c r="I5362" s="21"/>
      <c r="J5362" s="21"/>
      <c r="K5362" s="21"/>
      <c r="L5362" s="21"/>
      <c r="M5362" s="21"/>
      <c r="N5362" s="21"/>
    </row>
    <row r="5363" spans="1:14" ht="15.75" customHeight="1" x14ac:dyDescent="0.25">
      <c r="A5363" s="7">
        <v>5</v>
      </c>
      <c r="B5363" s="41" t="s">
        <v>2056</v>
      </c>
      <c r="C5363" s="9">
        <v>5</v>
      </c>
      <c r="D5363" s="7" t="s">
        <v>19</v>
      </c>
      <c r="E5363" s="37">
        <v>19475</v>
      </c>
      <c r="F5363" s="37">
        <f t="shared" si="61"/>
        <v>97375</v>
      </c>
      <c r="G5363" s="25"/>
      <c r="H5363" s="11"/>
      <c r="I5363" s="21"/>
      <c r="J5363" s="21"/>
      <c r="K5363" s="21"/>
      <c r="L5363" s="21"/>
      <c r="M5363" s="21"/>
      <c r="N5363" s="21"/>
    </row>
    <row r="5364" spans="1:14" ht="15.75" customHeight="1" x14ac:dyDescent="0.25">
      <c r="A5364" s="7">
        <v>6</v>
      </c>
      <c r="B5364" s="41" t="s">
        <v>2057</v>
      </c>
      <c r="C5364" s="9">
        <v>5</v>
      </c>
      <c r="D5364" s="7" t="s">
        <v>19</v>
      </c>
      <c r="E5364" s="37">
        <v>22325</v>
      </c>
      <c r="F5364" s="37">
        <f t="shared" si="61"/>
        <v>111625</v>
      </c>
      <c r="G5364" s="25"/>
      <c r="H5364" s="11"/>
      <c r="I5364" s="21"/>
      <c r="J5364" s="21"/>
      <c r="K5364" s="21"/>
      <c r="L5364" s="21"/>
      <c r="M5364" s="21"/>
      <c r="N5364" s="21"/>
    </row>
    <row r="5365" spans="1:14" ht="15.75" customHeight="1" x14ac:dyDescent="0.25">
      <c r="A5365" s="7">
        <v>7</v>
      </c>
      <c r="B5365" s="41" t="s">
        <v>2058</v>
      </c>
      <c r="C5365" s="9">
        <v>5</v>
      </c>
      <c r="D5365" s="7" t="s">
        <v>19</v>
      </c>
      <c r="E5365" s="37">
        <v>24225</v>
      </c>
      <c r="F5365" s="37">
        <f t="shared" si="61"/>
        <v>121125</v>
      </c>
      <c r="G5365" s="25"/>
      <c r="H5365" s="11"/>
      <c r="I5365" s="21"/>
      <c r="J5365" s="21"/>
      <c r="K5365" s="21"/>
      <c r="L5365" s="21"/>
      <c r="M5365" s="21"/>
      <c r="N5365" s="21"/>
    </row>
    <row r="5366" spans="1:14" ht="15.75" customHeight="1" x14ac:dyDescent="0.25">
      <c r="A5366" s="7">
        <v>8</v>
      </c>
      <c r="B5366" s="41" t="s">
        <v>2059</v>
      </c>
      <c r="C5366" s="9">
        <v>5</v>
      </c>
      <c r="D5366" s="7" t="s">
        <v>19</v>
      </c>
      <c r="E5366" s="37">
        <v>31825</v>
      </c>
      <c r="F5366" s="37">
        <f t="shared" si="61"/>
        <v>159125</v>
      </c>
      <c r="G5366" s="25"/>
      <c r="H5366" s="11"/>
      <c r="I5366" s="21"/>
      <c r="J5366" s="21"/>
      <c r="K5366" s="21"/>
      <c r="L5366" s="21"/>
      <c r="M5366" s="21"/>
      <c r="N5366" s="21"/>
    </row>
    <row r="5367" spans="1:14" ht="15.75" customHeight="1" x14ac:dyDescent="0.25">
      <c r="A5367" s="7">
        <v>9</v>
      </c>
      <c r="B5367" s="41" t="s">
        <v>2060</v>
      </c>
      <c r="C5367" s="9">
        <v>5</v>
      </c>
      <c r="D5367" s="7" t="s">
        <v>19</v>
      </c>
      <c r="E5367" s="37">
        <v>36860</v>
      </c>
      <c r="F5367" s="37">
        <f t="shared" si="61"/>
        <v>184300</v>
      </c>
      <c r="G5367" s="25"/>
      <c r="H5367" s="11"/>
      <c r="I5367" s="21"/>
      <c r="J5367" s="21"/>
      <c r="K5367" s="21"/>
      <c r="L5367" s="21"/>
      <c r="M5367" s="21"/>
      <c r="N5367" s="21"/>
    </row>
    <row r="5368" spans="1:14" ht="15.75" customHeight="1" x14ac:dyDescent="0.25">
      <c r="A5368" s="7">
        <v>10</v>
      </c>
      <c r="B5368" s="41" t="s">
        <v>2061</v>
      </c>
      <c r="C5368" s="9">
        <v>5</v>
      </c>
      <c r="D5368" s="7" t="s">
        <v>19</v>
      </c>
      <c r="E5368" s="37">
        <v>53675</v>
      </c>
      <c r="F5368" s="37">
        <f t="shared" si="61"/>
        <v>268375</v>
      </c>
      <c r="G5368" s="25"/>
      <c r="H5368" s="11"/>
      <c r="I5368" s="21"/>
      <c r="J5368" s="21"/>
      <c r="K5368" s="21"/>
      <c r="L5368" s="21"/>
      <c r="M5368" s="21"/>
      <c r="N5368" s="21"/>
    </row>
    <row r="5369" spans="1:14" ht="15.75" customHeight="1" x14ac:dyDescent="0.25">
      <c r="A5369" s="35"/>
      <c r="B5369" s="343" t="s">
        <v>342</v>
      </c>
      <c r="C5369" s="344"/>
      <c r="D5369" s="344"/>
      <c r="E5369" s="334"/>
      <c r="F5369" s="104">
        <f>SUM(F5359:F5368)</f>
        <v>2042880</v>
      </c>
      <c r="G5369" s="25"/>
      <c r="H5369" s="11"/>
      <c r="I5369" s="21"/>
      <c r="J5369" s="21"/>
      <c r="K5369" s="21"/>
      <c r="L5369" s="21"/>
      <c r="M5369" s="21"/>
      <c r="N5369" s="21"/>
    </row>
    <row r="5370" spans="1:14" ht="15.75" customHeight="1" x14ac:dyDescent="0.25">
      <c r="A5370" s="35"/>
      <c r="B5370" s="343" t="s">
        <v>343</v>
      </c>
      <c r="C5370" s="344"/>
      <c r="D5370" s="344"/>
      <c r="E5370" s="334"/>
      <c r="F5370" s="104">
        <f>F5369*11%</f>
        <v>224716.79999999999</v>
      </c>
      <c r="G5370" s="25"/>
      <c r="H5370" s="11"/>
      <c r="I5370" s="21"/>
      <c r="J5370" s="21"/>
      <c r="K5370" s="21"/>
      <c r="L5370" s="21"/>
      <c r="M5370" s="21"/>
      <c r="N5370" s="21"/>
    </row>
    <row r="5371" spans="1:14" ht="15.75" customHeight="1" x14ac:dyDescent="0.25">
      <c r="A5371" s="35"/>
      <c r="B5371" s="345" t="s">
        <v>344</v>
      </c>
      <c r="C5371" s="344"/>
      <c r="D5371" s="344"/>
      <c r="E5371" s="334"/>
      <c r="F5371" s="107">
        <f>F5370+F5369</f>
        <v>2267596.7999999998</v>
      </c>
      <c r="G5371" s="25"/>
      <c r="H5371" s="11"/>
      <c r="I5371" s="21"/>
      <c r="J5371" s="21"/>
      <c r="K5371" s="21"/>
      <c r="L5371" s="21"/>
      <c r="M5371" s="21"/>
      <c r="N5371" s="21"/>
    </row>
    <row r="5372" spans="1:14" ht="15.75" customHeight="1" x14ac:dyDescent="0.25">
      <c r="A5372" s="21"/>
      <c r="B5372" s="21"/>
      <c r="C5372" s="11"/>
      <c r="D5372" s="11"/>
      <c r="E5372" s="11"/>
      <c r="F5372" s="21"/>
      <c r="G5372" s="21"/>
      <c r="H5372" s="21"/>
      <c r="I5372" s="21"/>
      <c r="J5372" s="21"/>
      <c r="K5372" s="21"/>
      <c r="L5372" s="21"/>
      <c r="M5372" s="21"/>
      <c r="N5372" s="21"/>
    </row>
    <row r="5373" spans="1:14" ht="15.75" customHeight="1" x14ac:dyDescent="0.25">
      <c r="A5373" s="31" t="s">
        <v>14</v>
      </c>
      <c r="B5373" s="31" t="s">
        <v>234</v>
      </c>
      <c r="C5373" s="31" t="s">
        <v>16</v>
      </c>
      <c r="D5373" s="31" t="s">
        <v>17</v>
      </c>
      <c r="E5373" s="31" t="s">
        <v>235</v>
      </c>
      <c r="F5373" s="31" t="s">
        <v>236</v>
      </c>
      <c r="G5373" s="25" t="s">
        <v>1926</v>
      </c>
      <c r="H5373" s="21"/>
      <c r="I5373" s="21"/>
      <c r="J5373" s="21"/>
      <c r="K5373" s="21"/>
      <c r="L5373" s="21"/>
      <c r="M5373" s="21"/>
      <c r="N5373" s="21"/>
    </row>
    <row r="5374" spans="1:14" ht="15.75" customHeight="1" x14ac:dyDescent="0.25">
      <c r="A5374" s="7">
        <v>1</v>
      </c>
      <c r="B5374" s="41" t="s">
        <v>1795</v>
      </c>
      <c r="C5374" s="9">
        <v>2</v>
      </c>
      <c r="D5374" s="7" t="s">
        <v>2049</v>
      </c>
      <c r="E5374" s="37">
        <v>2098075</v>
      </c>
      <c r="F5374" s="37">
        <f>E5374*C5374</f>
        <v>4196150</v>
      </c>
      <c r="G5374" s="172">
        <v>45363</v>
      </c>
      <c r="H5374" s="21"/>
      <c r="I5374" s="21"/>
      <c r="J5374" s="21"/>
      <c r="K5374" s="21"/>
      <c r="L5374" s="21"/>
      <c r="M5374" s="21"/>
      <c r="N5374" s="21"/>
    </row>
    <row r="5375" spans="1:14" ht="15.75" customHeight="1" x14ac:dyDescent="0.25">
      <c r="A5375" s="7"/>
      <c r="B5375" s="343" t="s">
        <v>342</v>
      </c>
      <c r="C5375" s="344"/>
      <c r="D5375" s="344"/>
      <c r="E5375" s="334"/>
      <c r="F5375" s="104">
        <f>SUM(F5374)</f>
        <v>4196150</v>
      </c>
      <c r="G5375" s="21" t="s">
        <v>2062</v>
      </c>
      <c r="H5375" s="21"/>
      <c r="I5375" s="21"/>
      <c r="J5375" s="21"/>
      <c r="K5375" s="21"/>
      <c r="L5375" s="21"/>
      <c r="M5375" s="21"/>
      <c r="N5375" s="21"/>
    </row>
    <row r="5376" spans="1:14" ht="15.75" customHeight="1" x14ac:dyDescent="0.25">
      <c r="A5376" s="7"/>
      <c r="B5376" s="343" t="s">
        <v>343</v>
      </c>
      <c r="C5376" s="344"/>
      <c r="D5376" s="344"/>
      <c r="E5376" s="334"/>
      <c r="F5376" s="167">
        <f>F5375*11%</f>
        <v>461576.5</v>
      </c>
      <c r="G5376" s="25"/>
      <c r="H5376" s="11"/>
      <c r="I5376" s="21"/>
      <c r="J5376" s="21"/>
      <c r="K5376" s="21"/>
      <c r="L5376" s="21"/>
      <c r="M5376" s="21"/>
      <c r="N5376" s="21"/>
    </row>
    <row r="5377" spans="1:14" ht="15.75" customHeight="1" x14ac:dyDescent="0.25">
      <c r="A5377" s="7"/>
      <c r="B5377" s="345" t="s">
        <v>344</v>
      </c>
      <c r="C5377" s="344"/>
      <c r="D5377" s="344"/>
      <c r="E5377" s="334"/>
      <c r="F5377" s="168">
        <f>F5376+F5375</f>
        <v>4657726.5</v>
      </c>
      <c r="G5377" s="25"/>
      <c r="H5377" s="11"/>
      <c r="I5377" s="21"/>
      <c r="J5377" s="21"/>
      <c r="K5377" s="21"/>
      <c r="L5377" s="21"/>
      <c r="M5377" s="21"/>
      <c r="N5377" s="21"/>
    </row>
    <row r="5378" spans="1:14" ht="15.75" customHeight="1" x14ac:dyDescent="0.25">
      <c r="A5378" s="21"/>
      <c r="B5378" s="21"/>
      <c r="C5378" s="11"/>
      <c r="D5378" s="11"/>
      <c r="E5378" s="21"/>
      <c r="F5378" s="21"/>
      <c r="G5378" s="25"/>
      <c r="H5378" s="11"/>
      <c r="I5378" s="21"/>
      <c r="J5378" s="21"/>
      <c r="K5378" s="21"/>
      <c r="L5378" s="21"/>
      <c r="M5378" s="21"/>
      <c r="N5378" s="21"/>
    </row>
    <row r="5379" spans="1:14" ht="15.75" customHeight="1" x14ac:dyDescent="0.25">
      <c r="A5379" s="31" t="s">
        <v>14</v>
      </c>
      <c r="B5379" s="31" t="s">
        <v>234</v>
      </c>
      <c r="C5379" s="31" t="s">
        <v>16</v>
      </c>
      <c r="D5379" s="31" t="s">
        <v>17</v>
      </c>
      <c r="E5379" s="31" t="s">
        <v>235</v>
      </c>
      <c r="F5379" s="31" t="s">
        <v>236</v>
      </c>
      <c r="G5379" s="25" t="s">
        <v>2063</v>
      </c>
      <c r="H5379" s="11"/>
      <c r="I5379" s="21"/>
      <c r="J5379" s="21"/>
      <c r="K5379" s="21"/>
      <c r="L5379" s="21"/>
      <c r="M5379" s="21"/>
      <c r="N5379" s="21"/>
    </row>
    <row r="5380" spans="1:14" ht="15.75" customHeight="1" x14ac:dyDescent="0.25">
      <c r="A5380" s="7">
        <v>1</v>
      </c>
      <c r="B5380" s="41" t="s">
        <v>2064</v>
      </c>
      <c r="C5380" s="9">
        <v>1</v>
      </c>
      <c r="D5380" s="7" t="s">
        <v>243</v>
      </c>
      <c r="E5380" s="37">
        <v>2723800</v>
      </c>
      <c r="F5380" s="37">
        <f>E5380*C5380</f>
        <v>2723800</v>
      </c>
      <c r="G5380" s="172">
        <v>45363</v>
      </c>
      <c r="H5380" s="11"/>
      <c r="I5380" s="21"/>
      <c r="J5380" s="21"/>
      <c r="K5380" s="21"/>
      <c r="L5380" s="21"/>
      <c r="M5380" s="21"/>
      <c r="N5380" s="21"/>
    </row>
    <row r="5381" spans="1:14" ht="15.75" customHeight="1" x14ac:dyDescent="0.25">
      <c r="A5381" s="7"/>
      <c r="B5381" s="343" t="s">
        <v>342</v>
      </c>
      <c r="C5381" s="344"/>
      <c r="D5381" s="344"/>
      <c r="E5381" s="334"/>
      <c r="F5381" s="104">
        <f>SUM(F5380)</f>
        <v>2723800</v>
      </c>
      <c r="G5381" s="25" t="s">
        <v>2065</v>
      </c>
      <c r="H5381" s="11"/>
      <c r="I5381" s="21"/>
      <c r="J5381" s="21"/>
      <c r="K5381" s="21"/>
      <c r="L5381" s="21"/>
      <c r="M5381" s="21"/>
      <c r="N5381" s="21"/>
    </row>
    <row r="5382" spans="1:14" ht="15.75" customHeight="1" x14ac:dyDescent="0.25">
      <c r="A5382" s="7"/>
      <c r="B5382" s="343" t="s">
        <v>343</v>
      </c>
      <c r="C5382" s="344"/>
      <c r="D5382" s="344"/>
      <c r="E5382" s="334"/>
      <c r="F5382" s="104">
        <f>F5381*11%</f>
        <v>299618</v>
      </c>
      <c r="G5382" s="25"/>
      <c r="H5382" s="11"/>
      <c r="I5382" s="21"/>
      <c r="J5382" s="21"/>
      <c r="K5382" s="21"/>
      <c r="L5382" s="21"/>
      <c r="M5382" s="21"/>
      <c r="N5382" s="21"/>
    </row>
    <row r="5383" spans="1:14" ht="15.75" customHeight="1" x14ac:dyDescent="0.25">
      <c r="A5383" s="7"/>
      <c r="B5383" s="345" t="s">
        <v>344</v>
      </c>
      <c r="C5383" s="344"/>
      <c r="D5383" s="344"/>
      <c r="E5383" s="334"/>
      <c r="F5383" s="107">
        <f>F5382+F5381</f>
        <v>3023418</v>
      </c>
      <c r="G5383" s="25"/>
      <c r="H5383" s="11"/>
      <c r="I5383" s="21"/>
      <c r="J5383" s="21"/>
      <c r="K5383" s="21"/>
      <c r="L5383" s="21"/>
      <c r="M5383" s="21"/>
      <c r="N5383" s="21"/>
    </row>
    <row r="5384" spans="1:14" ht="15.75" customHeight="1" x14ac:dyDescent="0.25">
      <c r="A5384" s="21"/>
      <c r="B5384" s="21"/>
      <c r="C5384" s="11"/>
      <c r="D5384" s="11"/>
      <c r="E5384" s="21"/>
      <c r="F5384" s="21"/>
      <c r="G5384" s="25"/>
      <c r="H5384" s="11"/>
      <c r="I5384" s="21"/>
      <c r="J5384" s="21"/>
      <c r="K5384" s="21"/>
      <c r="L5384" s="21"/>
      <c r="M5384" s="21"/>
      <c r="N5384" s="21"/>
    </row>
    <row r="5385" spans="1:14" ht="15.75" customHeight="1" x14ac:dyDescent="0.25">
      <c r="A5385" s="31" t="s">
        <v>14</v>
      </c>
      <c r="B5385" s="31" t="s">
        <v>234</v>
      </c>
      <c r="C5385" s="31" t="s">
        <v>16</v>
      </c>
      <c r="D5385" s="31" t="s">
        <v>17</v>
      </c>
      <c r="E5385" s="31" t="s">
        <v>235</v>
      </c>
      <c r="F5385" s="31" t="s">
        <v>236</v>
      </c>
      <c r="G5385" s="25" t="s">
        <v>2066</v>
      </c>
      <c r="H5385" s="11"/>
      <c r="I5385" s="21"/>
      <c r="J5385" s="21"/>
      <c r="K5385" s="21"/>
      <c r="L5385" s="21"/>
      <c r="M5385" s="21"/>
      <c r="N5385" s="21"/>
    </row>
    <row r="5386" spans="1:14" ht="15.75" customHeight="1" x14ac:dyDescent="0.25">
      <c r="A5386" s="7">
        <v>1</v>
      </c>
      <c r="B5386" s="41" t="s">
        <v>2067</v>
      </c>
      <c r="C5386" s="9">
        <v>2</v>
      </c>
      <c r="D5386" s="7" t="s">
        <v>1319</v>
      </c>
      <c r="E5386" s="37">
        <v>312000</v>
      </c>
      <c r="F5386" s="37">
        <f>E5386*C5386</f>
        <v>624000</v>
      </c>
      <c r="G5386" s="172">
        <v>45352</v>
      </c>
      <c r="H5386" s="11"/>
      <c r="I5386" s="21"/>
      <c r="J5386" s="21"/>
      <c r="K5386" s="21"/>
      <c r="L5386" s="21"/>
      <c r="M5386" s="21"/>
      <c r="N5386" s="21"/>
    </row>
    <row r="5387" spans="1:14" ht="15.75" customHeight="1" x14ac:dyDescent="0.25">
      <c r="A5387" s="7">
        <v>2</v>
      </c>
      <c r="B5387" s="61" t="s">
        <v>2068</v>
      </c>
      <c r="C5387" s="7">
        <v>2</v>
      </c>
      <c r="D5387" s="7" t="s">
        <v>1319</v>
      </c>
      <c r="E5387" s="36">
        <v>435000</v>
      </c>
      <c r="F5387" s="37">
        <f>E5387*C5387</f>
        <v>870000</v>
      </c>
      <c r="G5387" s="21" t="s">
        <v>2069</v>
      </c>
      <c r="H5387" s="21"/>
      <c r="I5387" s="21"/>
      <c r="J5387" s="21"/>
      <c r="K5387" s="21"/>
      <c r="L5387" s="21"/>
      <c r="M5387" s="21"/>
      <c r="N5387" s="21"/>
    </row>
    <row r="5388" spans="1:14" ht="15.75" customHeight="1" x14ac:dyDescent="0.25">
      <c r="A5388" s="7">
        <v>3</v>
      </c>
      <c r="B5388" s="61" t="s">
        <v>2070</v>
      </c>
      <c r="C5388" s="7">
        <v>2</v>
      </c>
      <c r="D5388" s="7" t="s">
        <v>1319</v>
      </c>
      <c r="E5388" s="36">
        <v>648700</v>
      </c>
      <c r="F5388" s="37">
        <f>E5388*C5388</f>
        <v>1297400</v>
      </c>
      <c r="G5388" s="21"/>
      <c r="H5388" s="21"/>
      <c r="I5388" s="21"/>
      <c r="J5388" s="21"/>
      <c r="K5388" s="21"/>
      <c r="L5388" s="21"/>
      <c r="M5388" s="21"/>
      <c r="N5388" s="21"/>
    </row>
    <row r="5389" spans="1:14" ht="15.75" customHeight="1" x14ac:dyDescent="0.25">
      <c r="A5389" s="7"/>
      <c r="B5389" s="343" t="s">
        <v>342</v>
      </c>
      <c r="C5389" s="344"/>
      <c r="D5389" s="344"/>
      <c r="E5389" s="334"/>
      <c r="F5389" s="104">
        <f>SUM(F5386:F5388)</f>
        <v>2791400</v>
      </c>
      <c r="G5389" s="21"/>
      <c r="H5389" s="21"/>
      <c r="I5389" s="21"/>
      <c r="J5389" s="21"/>
      <c r="K5389" s="21"/>
      <c r="L5389" s="21"/>
      <c r="M5389" s="21"/>
      <c r="N5389" s="21"/>
    </row>
    <row r="5390" spans="1:14" ht="15.75" customHeight="1" x14ac:dyDescent="0.25">
      <c r="A5390" s="7"/>
      <c r="B5390" s="343" t="s">
        <v>343</v>
      </c>
      <c r="C5390" s="344"/>
      <c r="D5390" s="344"/>
      <c r="E5390" s="334"/>
      <c r="F5390" s="104">
        <f>F5389*11%</f>
        <v>307054</v>
      </c>
      <c r="G5390" s="21"/>
      <c r="H5390" s="25"/>
      <c r="I5390" s="11"/>
      <c r="J5390" s="21"/>
      <c r="K5390" s="21"/>
      <c r="L5390" s="21"/>
      <c r="M5390" s="21"/>
      <c r="N5390" s="21"/>
    </row>
    <row r="5391" spans="1:14" ht="15.75" customHeight="1" x14ac:dyDescent="0.25">
      <c r="A5391" s="7"/>
      <c r="B5391" s="345" t="s">
        <v>344</v>
      </c>
      <c r="C5391" s="344"/>
      <c r="D5391" s="344"/>
      <c r="E5391" s="334"/>
      <c r="F5391" s="107">
        <f>F5390+F5389</f>
        <v>3098454</v>
      </c>
      <c r="G5391" s="25"/>
      <c r="H5391" s="11"/>
      <c r="I5391" s="21"/>
      <c r="J5391" s="21"/>
      <c r="K5391" s="21"/>
      <c r="L5391" s="21"/>
      <c r="M5391" s="21"/>
      <c r="N5391" s="21"/>
    </row>
    <row r="5392" spans="1:14" ht="15.75" customHeight="1" x14ac:dyDescent="0.25">
      <c r="A5392" s="21"/>
      <c r="B5392" s="21"/>
      <c r="C5392" s="21"/>
      <c r="D5392" s="21"/>
      <c r="E5392" s="21"/>
      <c r="F5392" s="21"/>
      <c r="G5392" s="21"/>
      <c r="H5392" s="21"/>
      <c r="I5392" s="21"/>
      <c r="J5392" s="21"/>
      <c r="K5392" s="21"/>
      <c r="L5392" s="21"/>
      <c r="M5392" s="21"/>
      <c r="N5392" s="21"/>
    </row>
    <row r="5393" spans="1:14" ht="15.75" customHeight="1" x14ac:dyDescent="0.25">
      <c r="A5393" s="31" t="s">
        <v>14</v>
      </c>
      <c r="B5393" s="31" t="s">
        <v>234</v>
      </c>
      <c r="C5393" s="31" t="s">
        <v>16</v>
      </c>
      <c r="D5393" s="31" t="s">
        <v>17</v>
      </c>
      <c r="E5393" s="31" t="s">
        <v>235</v>
      </c>
      <c r="F5393" s="31" t="s">
        <v>236</v>
      </c>
      <c r="G5393" s="25" t="s">
        <v>2071</v>
      </c>
      <c r="H5393" s="21"/>
      <c r="I5393" s="21"/>
      <c r="J5393" s="21"/>
      <c r="K5393" s="21"/>
      <c r="L5393" s="21"/>
      <c r="M5393" s="21"/>
      <c r="N5393" s="21"/>
    </row>
    <row r="5394" spans="1:14" ht="15.75" customHeight="1" x14ac:dyDescent="0.25">
      <c r="A5394" s="7">
        <v>1</v>
      </c>
      <c r="B5394" s="41" t="s">
        <v>2072</v>
      </c>
      <c r="C5394" s="9">
        <v>1</v>
      </c>
      <c r="D5394" s="7" t="s">
        <v>2073</v>
      </c>
      <c r="E5394" s="37">
        <v>39875000</v>
      </c>
      <c r="F5394" s="37">
        <f>E5394*C5394</f>
        <v>39875000</v>
      </c>
      <c r="G5394" s="172">
        <v>45343</v>
      </c>
      <c r="H5394" s="11"/>
      <c r="I5394" s="21"/>
      <c r="J5394" s="21"/>
      <c r="K5394" s="21"/>
      <c r="L5394" s="21"/>
      <c r="M5394" s="21"/>
      <c r="N5394" s="21"/>
    </row>
    <row r="5395" spans="1:14" ht="15.75" customHeight="1" x14ac:dyDescent="0.25">
      <c r="A5395" s="7"/>
      <c r="B5395" s="343" t="s">
        <v>342</v>
      </c>
      <c r="C5395" s="344"/>
      <c r="D5395" s="344"/>
      <c r="E5395" s="334"/>
      <c r="F5395" s="104">
        <f>SUM(F5392:F5394)</f>
        <v>39875000</v>
      </c>
      <c r="G5395" s="21" t="s">
        <v>2074</v>
      </c>
      <c r="H5395" s="11"/>
      <c r="I5395" s="21"/>
      <c r="J5395" s="21"/>
      <c r="K5395" s="21"/>
      <c r="L5395" s="21"/>
      <c r="M5395" s="21"/>
      <c r="N5395" s="21"/>
    </row>
    <row r="5396" spans="1:14" ht="15.75" customHeight="1" x14ac:dyDescent="0.25">
      <c r="A5396" s="7"/>
      <c r="B5396" s="343" t="s">
        <v>343</v>
      </c>
      <c r="C5396" s="344"/>
      <c r="D5396" s="344"/>
      <c r="E5396" s="334"/>
      <c r="F5396" s="104">
        <f>F5395*11%</f>
        <v>4386250</v>
      </c>
      <c r="G5396" s="25"/>
      <c r="H5396" s="11"/>
      <c r="I5396" s="21"/>
      <c r="J5396" s="21"/>
      <c r="K5396" s="21"/>
      <c r="L5396" s="21"/>
      <c r="M5396" s="21"/>
      <c r="N5396" s="21"/>
    </row>
    <row r="5397" spans="1:14" ht="15.75" customHeight="1" x14ac:dyDescent="0.25">
      <c r="A5397" s="7"/>
      <c r="B5397" s="345" t="s">
        <v>344</v>
      </c>
      <c r="C5397" s="344"/>
      <c r="D5397" s="344"/>
      <c r="E5397" s="334"/>
      <c r="F5397" s="107">
        <f>F5396+F5395</f>
        <v>44261250</v>
      </c>
      <c r="G5397" s="25"/>
      <c r="H5397" s="11"/>
      <c r="I5397" s="21"/>
      <c r="J5397" s="21"/>
      <c r="K5397" s="21"/>
      <c r="L5397" s="21"/>
      <c r="M5397" s="21"/>
      <c r="N5397" s="21"/>
    </row>
    <row r="5398" spans="1:14" ht="15.75" customHeight="1" x14ac:dyDescent="0.25">
      <c r="A5398" s="21"/>
      <c r="B5398" s="21"/>
      <c r="C5398" s="11"/>
      <c r="D5398" s="11"/>
      <c r="E5398" s="21"/>
      <c r="F5398" s="21"/>
      <c r="G5398" s="25"/>
      <c r="H5398" s="11"/>
      <c r="I5398" s="21"/>
      <c r="J5398" s="21"/>
      <c r="K5398" s="21"/>
      <c r="L5398" s="21"/>
      <c r="M5398" s="21"/>
      <c r="N5398" s="21"/>
    </row>
    <row r="5399" spans="1:14" ht="15.75" customHeight="1" x14ac:dyDescent="0.25">
      <c r="A5399" s="31" t="s">
        <v>14</v>
      </c>
      <c r="B5399" s="31" t="s">
        <v>234</v>
      </c>
      <c r="C5399" s="31" t="s">
        <v>16</v>
      </c>
      <c r="D5399" s="31" t="s">
        <v>17</v>
      </c>
      <c r="E5399" s="31" t="s">
        <v>235</v>
      </c>
      <c r="F5399" s="31" t="s">
        <v>236</v>
      </c>
      <c r="G5399" s="25" t="s">
        <v>2063</v>
      </c>
      <c r="H5399" s="11"/>
      <c r="I5399" s="21"/>
      <c r="J5399" s="21"/>
      <c r="K5399" s="21"/>
      <c r="L5399" s="21"/>
      <c r="M5399" s="21"/>
      <c r="N5399" s="21"/>
    </row>
    <row r="5400" spans="1:14" ht="15.75" customHeight="1" x14ac:dyDescent="0.25">
      <c r="A5400" s="7">
        <v>1</v>
      </c>
      <c r="B5400" s="41" t="s">
        <v>2075</v>
      </c>
      <c r="C5400" s="9">
        <v>10</v>
      </c>
      <c r="D5400" s="7" t="s">
        <v>1417</v>
      </c>
      <c r="E5400" s="37">
        <v>75800</v>
      </c>
      <c r="F5400" s="37">
        <f>E5400*C5400</f>
        <v>758000</v>
      </c>
      <c r="G5400" s="172">
        <v>45366</v>
      </c>
      <c r="H5400" s="11"/>
      <c r="I5400" s="21"/>
      <c r="J5400" s="21"/>
      <c r="K5400" s="21"/>
      <c r="L5400" s="21"/>
      <c r="M5400" s="21"/>
      <c r="N5400" s="21"/>
    </row>
    <row r="5401" spans="1:14" ht="15.75" customHeight="1" x14ac:dyDescent="0.25">
      <c r="A5401" s="7"/>
      <c r="B5401" s="343" t="s">
        <v>342</v>
      </c>
      <c r="C5401" s="344"/>
      <c r="D5401" s="344"/>
      <c r="E5401" s="334"/>
      <c r="F5401" s="104">
        <f>SUM(F5398:F5400)</f>
        <v>758000</v>
      </c>
      <c r="G5401" s="25" t="s">
        <v>2076</v>
      </c>
      <c r="H5401" s="11"/>
      <c r="I5401" s="21"/>
      <c r="J5401" s="21"/>
      <c r="K5401" s="21"/>
      <c r="L5401" s="21"/>
      <c r="M5401" s="21"/>
      <c r="N5401" s="21"/>
    </row>
    <row r="5402" spans="1:14" ht="15.75" customHeight="1" x14ac:dyDescent="0.25">
      <c r="A5402" s="7"/>
      <c r="B5402" s="343" t="s">
        <v>343</v>
      </c>
      <c r="C5402" s="344"/>
      <c r="D5402" s="344"/>
      <c r="E5402" s="334"/>
      <c r="F5402" s="104">
        <f>F5401*11%</f>
        <v>83380</v>
      </c>
      <c r="G5402" s="25"/>
      <c r="H5402" s="11"/>
      <c r="I5402" s="21"/>
      <c r="J5402" s="21"/>
      <c r="K5402" s="21"/>
      <c r="L5402" s="21"/>
      <c r="M5402" s="21"/>
      <c r="N5402" s="21"/>
    </row>
    <row r="5403" spans="1:14" ht="15.75" customHeight="1" x14ac:dyDescent="0.25">
      <c r="A5403" s="7"/>
      <c r="B5403" s="345" t="s">
        <v>344</v>
      </c>
      <c r="C5403" s="344"/>
      <c r="D5403" s="344"/>
      <c r="E5403" s="334"/>
      <c r="F5403" s="107">
        <f>F5402+F5401</f>
        <v>841380</v>
      </c>
      <c r="G5403" s="25"/>
      <c r="H5403" s="11"/>
      <c r="I5403" s="21"/>
      <c r="J5403" s="21"/>
      <c r="K5403" s="21"/>
      <c r="L5403" s="21"/>
      <c r="M5403" s="21"/>
      <c r="N5403" s="21"/>
    </row>
    <row r="5404" spans="1:14" ht="15.75" customHeight="1" x14ac:dyDescent="0.25">
      <c r="A5404" s="21"/>
      <c r="B5404" s="21"/>
      <c r="C5404" s="11"/>
      <c r="D5404" s="11"/>
      <c r="E5404" s="21"/>
      <c r="F5404" s="21"/>
      <c r="G5404" s="25"/>
      <c r="H5404" s="11"/>
      <c r="I5404" s="21"/>
      <c r="J5404" s="21"/>
      <c r="K5404" s="21"/>
      <c r="L5404" s="21"/>
      <c r="M5404" s="21"/>
      <c r="N5404" s="21"/>
    </row>
    <row r="5405" spans="1:14" ht="15.75" customHeight="1" x14ac:dyDescent="0.25">
      <c r="A5405" s="31" t="s">
        <v>14</v>
      </c>
      <c r="B5405" s="31" t="s">
        <v>234</v>
      </c>
      <c r="C5405" s="31" t="s">
        <v>16</v>
      </c>
      <c r="D5405" s="31" t="s">
        <v>17</v>
      </c>
      <c r="E5405" s="31" t="s">
        <v>235</v>
      </c>
      <c r="F5405" s="31" t="s">
        <v>236</v>
      </c>
      <c r="G5405" s="25" t="s">
        <v>2077</v>
      </c>
      <c r="H5405" s="11"/>
      <c r="I5405" s="21"/>
      <c r="J5405" s="21"/>
      <c r="K5405" s="21"/>
      <c r="L5405" s="21"/>
      <c r="M5405" s="21"/>
      <c r="N5405" s="21"/>
    </row>
    <row r="5406" spans="1:14" ht="15.75" customHeight="1" x14ac:dyDescent="0.25">
      <c r="A5406" s="7">
        <v>1</v>
      </c>
      <c r="B5406" s="41" t="s">
        <v>2078</v>
      </c>
      <c r="C5406" s="9">
        <v>2</v>
      </c>
      <c r="D5406" s="7" t="s">
        <v>19</v>
      </c>
      <c r="E5406" s="37">
        <v>441350</v>
      </c>
      <c r="F5406" s="37">
        <f>E5406*C5406</f>
        <v>882700</v>
      </c>
      <c r="G5406" s="172">
        <v>45371</v>
      </c>
      <c r="H5406" s="11"/>
      <c r="I5406" s="21"/>
      <c r="J5406" s="21"/>
      <c r="K5406" s="21"/>
      <c r="L5406" s="21"/>
      <c r="M5406" s="21"/>
      <c r="N5406" s="21"/>
    </row>
    <row r="5407" spans="1:14" ht="15.75" customHeight="1" x14ac:dyDescent="0.25">
      <c r="A5407" s="7"/>
      <c r="B5407" s="343" t="s">
        <v>342</v>
      </c>
      <c r="C5407" s="344"/>
      <c r="D5407" s="344"/>
      <c r="E5407" s="334"/>
      <c r="F5407" s="104">
        <f>SUM(F5404:F5406)</f>
        <v>882700</v>
      </c>
      <c r="G5407" s="25" t="s">
        <v>2079</v>
      </c>
      <c r="H5407" s="11"/>
      <c r="I5407" s="21"/>
      <c r="J5407" s="21"/>
      <c r="K5407" s="21"/>
      <c r="L5407" s="21"/>
      <c r="M5407" s="21"/>
      <c r="N5407" s="21"/>
    </row>
    <row r="5408" spans="1:14" ht="15.75" customHeight="1" x14ac:dyDescent="0.25">
      <c r="A5408" s="7"/>
      <c r="B5408" s="343" t="s">
        <v>343</v>
      </c>
      <c r="C5408" s="344"/>
      <c r="D5408" s="344"/>
      <c r="E5408" s="334"/>
      <c r="F5408" s="104">
        <f>F5407*11%</f>
        <v>97097</v>
      </c>
      <c r="G5408" s="25"/>
      <c r="H5408" s="11"/>
      <c r="I5408" s="21"/>
      <c r="J5408" s="21"/>
      <c r="K5408" s="21"/>
      <c r="L5408" s="21"/>
      <c r="M5408" s="21"/>
      <c r="N5408" s="21"/>
    </row>
    <row r="5409" spans="1:14" ht="15.75" customHeight="1" x14ac:dyDescent="0.25">
      <c r="A5409" s="7"/>
      <c r="B5409" s="345" t="s">
        <v>344</v>
      </c>
      <c r="C5409" s="344"/>
      <c r="D5409" s="344"/>
      <c r="E5409" s="334"/>
      <c r="F5409" s="107">
        <f>F5408+F5407</f>
        <v>979797</v>
      </c>
      <c r="G5409" s="25"/>
      <c r="H5409" s="11"/>
      <c r="I5409" s="21"/>
      <c r="J5409" s="21"/>
      <c r="K5409" s="21"/>
      <c r="L5409" s="21"/>
      <c r="M5409" s="21"/>
      <c r="N5409" s="21"/>
    </row>
    <row r="5410" spans="1:14" ht="15.75" customHeight="1" x14ac:dyDescent="0.25">
      <c r="A5410" s="21"/>
      <c r="B5410" s="21"/>
      <c r="C5410" s="11"/>
      <c r="D5410" s="11"/>
      <c r="E5410" s="21"/>
      <c r="F5410" s="21"/>
      <c r="G5410" s="25"/>
      <c r="H5410" s="11"/>
      <c r="I5410" s="21"/>
      <c r="J5410" s="21"/>
      <c r="K5410" s="21"/>
      <c r="L5410" s="21"/>
      <c r="M5410" s="21"/>
      <c r="N5410" s="21"/>
    </row>
    <row r="5411" spans="1:14" ht="15.75" customHeight="1" x14ac:dyDescent="0.25">
      <c r="A5411" s="31" t="s">
        <v>14</v>
      </c>
      <c r="B5411" s="31" t="s">
        <v>234</v>
      </c>
      <c r="C5411" s="31" t="s">
        <v>16</v>
      </c>
      <c r="D5411" s="31" t="s">
        <v>17</v>
      </c>
      <c r="E5411" s="31" t="s">
        <v>235</v>
      </c>
      <c r="F5411" s="31" t="s">
        <v>236</v>
      </c>
      <c r="G5411" s="25" t="s">
        <v>2080</v>
      </c>
      <c r="H5411" s="11"/>
      <c r="I5411" s="21"/>
      <c r="J5411" s="21"/>
      <c r="K5411" s="21"/>
      <c r="L5411" s="21"/>
      <c r="M5411" s="21"/>
      <c r="N5411" s="21"/>
    </row>
    <row r="5412" spans="1:14" ht="15.75" customHeight="1" x14ac:dyDescent="0.25">
      <c r="A5412" s="7">
        <v>1</v>
      </c>
      <c r="B5412" s="41" t="s">
        <v>2081</v>
      </c>
      <c r="C5412" s="9">
        <v>1</v>
      </c>
      <c r="D5412" s="7" t="s">
        <v>347</v>
      </c>
      <c r="E5412" s="37">
        <v>305188</v>
      </c>
      <c r="F5412" s="37">
        <f>E5412*C5412</f>
        <v>305188</v>
      </c>
      <c r="G5412" s="172">
        <v>45371</v>
      </c>
      <c r="H5412" s="11"/>
      <c r="I5412" s="21"/>
      <c r="J5412" s="21"/>
      <c r="K5412" s="21"/>
      <c r="L5412" s="21"/>
      <c r="M5412" s="21"/>
      <c r="N5412" s="21"/>
    </row>
    <row r="5413" spans="1:14" ht="15.75" customHeight="1" x14ac:dyDescent="0.25">
      <c r="A5413" s="7"/>
      <c r="B5413" s="343" t="s">
        <v>342</v>
      </c>
      <c r="C5413" s="344"/>
      <c r="D5413" s="344"/>
      <c r="E5413" s="334"/>
      <c r="F5413" s="104">
        <f>SUM(F5410:F5412)</f>
        <v>305188</v>
      </c>
      <c r="G5413" s="25" t="s">
        <v>2082</v>
      </c>
      <c r="H5413" s="11"/>
      <c r="I5413" s="21"/>
      <c r="J5413" s="21"/>
      <c r="K5413" s="21"/>
      <c r="L5413" s="21"/>
      <c r="M5413" s="21"/>
      <c r="N5413" s="21"/>
    </row>
    <row r="5414" spans="1:14" ht="15.75" customHeight="1" x14ac:dyDescent="0.25">
      <c r="A5414" s="7"/>
      <c r="B5414" s="343" t="s">
        <v>343</v>
      </c>
      <c r="C5414" s="344"/>
      <c r="D5414" s="344"/>
      <c r="E5414" s="334"/>
      <c r="F5414" s="104">
        <f>F5413*11%</f>
        <v>33570.68</v>
      </c>
      <c r="G5414" s="25"/>
      <c r="H5414" s="11"/>
      <c r="I5414" s="21"/>
      <c r="J5414" s="21"/>
      <c r="K5414" s="21"/>
      <c r="L5414" s="21"/>
      <c r="M5414" s="21"/>
      <c r="N5414" s="21"/>
    </row>
    <row r="5415" spans="1:14" ht="15.75" customHeight="1" x14ac:dyDescent="0.25">
      <c r="A5415" s="7"/>
      <c r="B5415" s="345" t="s">
        <v>344</v>
      </c>
      <c r="C5415" s="344"/>
      <c r="D5415" s="344"/>
      <c r="E5415" s="334"/>
      <c r="F5415" s="107">
        <f>F5414+F5413</f>
        <v>338758.68</v>
      </c>
      <c r="G5415" s="25"/>
      <c r="H5415" s="11"/>
      <c r="I5415" s="21"/>
      <c r="J5415" s="21"/>
      <c r="K5415" s="21"/>
      <c r="L5415" s="21"/>
      <c r="M5415" s="21"/>
      <c r="N5415" s="21"/>
    </row>
    <row r="5416" spans="1:14" ht="15.75" customHeight="1" x14ac:dyDescent="0.25">
      <c r="A5416" s="21"/>
      <c r="B5416" s="21"/>
      <c r="C5416" s="11"/>
      <c r="D5416" s="11"/>
      <c r="E5416" s="21"/>
      <c r="F5416" s="21"/>
      <c r="G5416" s="25"/>
      <c r="H5416" s="11"/>
      <c r="I5416" s="21"/>
      <c r="J5416" s="21"/>
      <c r="K5416" s="21"/>
      <c r="L5416" s="21"/>
      <c r="M5416" s="21"/>
      <c r="N5416" s="21"/>
    </row>
    <row r="5417" spans="1:14" ht="15.75" customHeight="1" x14ac:dyDescent="0.25">
      <c r="A5417" s="31" t="s">
        <v>14</v>
      </c>
      <c r="B5417" s="31" t="s">
        <v>234</v>
      </c>
      <c r="C5417" s="31" t="s">
        <v>16</v>
      </c>
      <c r="D5417" s="31" t="s">
        <v>17</v>
      </c>
      <c r="E5417" s="31" t="s">
        <v>235</v>
      </c>
      <c r="F5417" s="31" t="s">
        <v>236</v>
      </c>
      <c r="G5417" s="25" t="s">
        <v>2083</v>
      </c>
      <c r="H5417" s="11"/>
      <c r="I5417" s="21"/>
      <c r="J5417" s="21"/>
      <c r="K5417" s="21"/>
      <c r="L5417" s="21"/>
      <c r="M5417" s="21"/>
      <c r="N5417" s="21"/>
    </row>
    <row r="5418" spans="1:14" ht="15.75" customHeight="1" x14ac:dyDescent="0.25">
      <c r="A5418" s="7">
        <v>1</v>
      </c>
      <c r="B5418" s="41" t="s">
        <v>2084</v>
      </c>
      <c r="C5418" s="9">
        <v>20</v>
      </c>
      <c r="D5418" s="7" t="s">
        <v>19</v>
      </c>
      <c r="E5418" s="37">
        <v>30000</v>
      </c>
      <c r="F5418" s="37">
        <f>E5418*C5418</f>
        <v>600000</v>
      </c>
      <c r="G5418" s="172">
        <v>45371</v>
      </c>
      <c r="H5418" s="11"/>
      <c r="I5418" s="21"/>
      <c r="J5418" s="21"/>
      <c r="K5418" s="21"/>
      <c r="L5418" s="21"/>
      <c r="M5418" s="21"/>
      <c r="N5418" s="21"/>
    </row>
    <row r="5419" spans="1:14" ht="15.75" customHeight="1" x14ac:dyDescent="0.25">
      <c r="A5419" s="7"/>
      <c r="B5419" s="343" t="s">
        <v>342</v>
      </c>
      <c r="C5419" s="344"/>
      <c r="D5419" s="344"/>
      <c r="E5419" s="334"/>
      <c r="F5419" s="104">
        <f>SUM(F5416:F5418)</f>
        <v>600000</v>
      </c>
      <c r="G5419" s="25" t="s">
        <v>2085</v>
      </c>
      <c r="H5419" s="11"/>
      <c r="I5419" s="21"/>
      <c r="J5419" s="21"/>
      <c r="K5419" s="21"/>
      <c r="L5419" s="21"/>
      <c r="M5419" s="21"/>
      <c r="N5419" s="21"/>
    </row>
    <row r="5420" spans="1:14" ht="15.75" customHeight="1" x14ac:dyDescent="0.25">
      <c r="A5420" s="7"/>
      <c r="B5420" s="343" t="s">
        <v>343</v>
      </c>
      <c r="C5420" s="344"/>
      <c r="D5420" s="344"/>
      <c r="E5420" s="334"/>
      <c r="F5420" s="104">
        <f>F5419*11%</f>
        <v>66000</v>
      </c>
      <c r="G5420" s="25"/>
      <c r="H5420" s="11"/>
      <c r="I5420" s="21"/>
      <c r="J5420" s="21"/>
      <c r="K5420" s="21"/>
      <c r="L5420" s="21"/>
      <c r="M5420" s="21"/>
      <c r="N5420" s="21"/>
    </row>
    <row r="5421" spans="1:14" ht="15.75" customHeight="1" x14ac:dyDescent="0.25">
      <c r="A5421" s="7"/>
      <c r="B5421" s="345" t="s">
        <v>344</v>
      </c>
      <c r="C5421" s="344"/>
      <c r="D5421" s="344"/>
      <c r="E5421" s="334"/>
      <c r="F5421" s="107">
        <f>F5420+F5419</f>
        <v>666000</v>
      </c>
      <c r="G5421" s="25"/>
      <c r="H5421" s="11"/>
      <c r="I5421" s="21"/>
      <c r="J5421" s="21"/>
      <c r="K5421" s="21"/>
      <c r="L5421" s="21"/>
      <c r="M5421" s="21"/>
      <c r="N5421" s="21"/>
    </row>
    <row r="5422" spans="1:14" ht="15.75" customHeight="1" x14ac:dyDescent="0.25">
      <c r="A5422" s="21"/>
      <c r="B5422" s="21"/>
      <c r="C5422" s="11"/>
      <c r="D5422" s="11"/>
      <c r="E5422" s="21"/>
      <c r="F5422" s="21"/>
      <c r="G5422" s="25"/>
      <c r="H5422" s="11"/>
      <c r="I5422" s="21"/>
      <c r="J5422" s="21"/>
      <c r="K5422" s="21"/>
      <c r="L5422" s="21"/>
      <c r="M5422" s="21"/>
      <c r="N5422" s="21"/>
    </row>
    <row r="5423" spans="1:14" ht="15.75" customHeight="1" x14ac:dyDescent="0.25">
      <c r="A5423" s="31" t="s">
        <v>14</v>
      </c>
      <c r="B5423" s="31" t="s">
        <v>234</v>
      </c>
      <c r="C5423" s="31" t="s">
        <v>16</v>
      </c>
      <c r="D5423" s="31" t="s">
        <v>17</v>
      </c>
      <c r="E5423" s="31" t="s">
        <v>235</v>
      </c>
      <c r="F5423" s="31" t="s">
        <v>236</v>
      </c>
      <c r="G5423" s="25" t="s">
        <v>1926</v>
      </c>
      <c r="H5423" s="11"/>
      <c r="I5423" s="21"/>
      <c r="J5423" s="21"/>
      <c r="K5423" s="21"/>
      <c r="L5423" s="21"/>
      <c r="M5423" s="21"/>
      <c r="N5423" s="21"/>
    </row>
    <row r="5424" spans="1:14" ht="15.75" customHeight="1" x14ac:dyDescent="0.25">
      <c r="A5424" s="7">
        <v>1</v>
      </c>
      <c r="B5424" s="35" t="s">
        <v>2086</v>
      </c>
      <c r="C5424" s="9">
        <v>1</v>
      </c>
      <c r="D5424" s="7" t="s">
        <v>1412</v>
      </c>
      <c r="E5424" s="37">
        <v>6958275</v>
      </c>
      <c r="F5424" s="37">
        <f>E5424*C5424</f>
        <v>6958275</v>
      </c>
      <c r="G5424" s="172">
        <v>45372</v>
      </c>
      <c r="H5424" s="11"/>
      <c r="I5424" s="21"/>
      <c r="J5424" s="21"/>
      <c r="K5424" s="21"/>
      <c r="L5424" s="21"/>
      <c r="M5424" s="21"/>
      <c r="N5424" s="21"/>
    </row>
    <row r="5425" spans="1:14" ht="15.75" customHeight="1" x14ac:dyDescent="0.25">
      <c r="A5425" s="7">
        <v>2</v>
      </c>
      <c r="B5425" s="41" t="s">
        <v>2087</v>
      </c>
      <c r="C5425" s="9">
        <v>1</v>
      </c>
      <c r="D5425" s="7" t="s">
        <v>243</v>
      </c>
      <c r="E5425" s="37">
        <v>13874750</v>
      </c>
      <c r="F5425" s="37">
        <f>E5425*C5425</f>
        <v>13874750</v>
      </c>
      <c r="G5425" s="25" t="s">
        <v>2088</v>
      </c>
      <c r="H5425" s="11"/>
      <c r="I5425" s="21"/>
      <c r="J5425" s="21"/>
      <c r="K5425" s="21"/>
      <c r="L5425" s="21"/>
      <c r="M5425" s="21"/>
      <c r="N5425" s="21"/>
    </row>
    <row r="5426" spans="1:14" ht="15.75" customHeight="1" x14ac:dyDescent="0.25">
      <c r="A5426" s="7"/>
      <c r="B5426" s="343" t="s">
        <v>342</v>
      </c>
      <c r="C5426" s="344"/>
      <c r="D5426" s="344"/>
      <c r="E5426" s="334"/>
      <c r="F5426" s="104">
        <f>SUM(F5424:F5425)</f>
        <v>20833025</v>
      </c>
      <c r="G5426" s="25"/>
      <c r="H5426" s="11"/>
      <c r="I5426" s="21"/>
      <c r="J5426" s="21"/>
      <c r="K5426" s="21"/>
      <c r="L5426" s="21"/>
      <c r="M5426" s="21"/>
      <c r="N5426" s="21"/>
    </row>
    <row r="5427" spans="1:14" ht="15.75" customHeight="1" x14ac:dyDescent="0.25">
      <c r="A5427" s="7"/>
      <c r="B5427" s="343" t="s">
        <v>343</v>
      </c>
      <c r="C5427" s="344"/>
      <c r="D5427" s="344"/>
      <c r="E5427" s="334"/>
      <c r="F5427" s="167">
        <f>F5426*11%</f>
        <v>2291632.75</v>
      </c>
      <c r="G5427" s="25"/>
      <c r="H5427" s="11"/>
      <c r="I5427" s="21"/>
      <c r="J5427" s="21"/>
      <c r="K5427" s="21"/>
      <c r="L5427" s="21"/>
      <c r="M5427" s="21"/>
      <c r="N5427" s="21"/>
    </row>
    <row r="5428" spans="1:14" ht="15.75" customHeight="1" x14ac:dyDescent="0.25">
      <c r="A5428" s="7"/>
      <c r="B5428" s="345" t="s">
        <v>344</v>
      </c>
      <c r="C5428" s="344"/>
      <c r="D5428" s="344"/>
      <c r="E5428" s="334"/>
      <c r="F5428" s="168">
        <f>F5427+F5426</f>
        <v>23124657.75</v>
      </c>
      <c r="G5428" s="25"/>
      <c r="H5428" s="11"/>
      <c r="I5428" s="21"/>
      <c r="J5428" s="21"/>
      <c r="K5428" s="21"/>
      <c r="L5428" s="21"/>
      <c r="M5428" s="21"/>
      <c r="N5428" s="21"/>
    </row>
    <row r="5429" spans="1:14" ht="15.75" customHeight="1" x14ac:dyDescent="0.25">
      <c r="A5429" s="21"/>
      <c r="B5429" s="21"/>
      <c r="C5429" s="11"/>
      <c r="D5429" s="11"/>
      <c r="E5429" s="21"/>
      <c r="F5429" s="21"/>
      <c r="G5429" s="25"/>
      <c r="H5429" s="11"/>
      <c r="I5429" s="21"/>
      <c r="J5429" s="21"/>
      <c r="K5429" s="21"/>
      <c r="L5429" s="21"/>
      <c r="M5429" s="21"/>
      <c r="N5429" s="21"/>
    </row>
    <row r="5430" spans="1:14" ht="15.75" customHeight="1" x14ac:dyDescent="0.25">
      <c r="A5430" s="31" t="s">
        <v>14</v>
      </c>
      <c r="B5430" s="31" t="s">
        <v>234</v>
      </c>
      <c r="C5430" s="31" t="s">
        <v>16</v>
      </c>
      <c r="D5430" s="31" t="s">
        <v>17</v>
      </c>
      <c r="E5430" s="31" t="s">
        <v>235</v>
      </c>
      <c r="F5430" s="31" t="s">
        <v>236</v>
      </c>
      <c r="G5430" s="25" t="s">
        <v>257</v>
      </c>
      <c r="H5430" s="11"/>
      <c r="I5430" s="21"/>
      <c r="J5430" s="21"/>
      <c r="K5430" s="21"/>
      <c r="L5430" s="21"/>
      <c r="M5430" s="21"/>
      <c r="N5430" s="21"/>
    </row>
    <row r="5431" spans="1:14" ht="15.75" customHeight="1" x14ac:dyDescent="0.25">
      <c r="A5431" s="7">
        <v>1</v>
      </c>
      <c r="B5431" s="35" t="s">
        <v>2089</v>
      </c>
      <c r="C5431" s="9">
        <v>30</v>
      </c>
      <c r="D5431" s="7" t="s">
        <v>2090</v>
      </c>
      <c r="E5431" s="37">
        <v>18810</v>
      </c>
      <c r="F5431" s="37">
        <f>E5431*C5431</f>
        <v>564300</v>
      </c>
      <c r="G5431" s="172">
        <v>45372</v>
      </c>
      <c r="H5431" s="11"/>
      <c r="I5431" s="21"/>
      <c r="J5431" s="21"/>
      <c r="K5431" s="21"/>
      <c r="L5431" s="21"/>
      <c r="M5431" s="21"/>
      <c r="N5431" s="21"/>
    </row>
    <row r="5432" spans="1:14" ht="15.75" customHeight="1" x14ac:dyDescent="0.25">
      <c r="A5432" s="7">
        <v>2</v>
      </c>
      <c r="B5432" s="41" t="s">
        <v>2091</v>
      </c>
      <c r="C5432" s="9">
        <v>30</v>
      </c>
      <c r="D5432" s="7" t="s">
        <v>2090</v>
      </c>
      <c r="E5432" s="37">
        <v>12160</v>
      </c>
      <c r="F5432" s="37">
        <f>E5432*C5432</f>
        <v>364800</v>
      </c>
      <c r="G5432" s="25" t="s">
        <v>2092</v>
      </c>
      <c r="H5432" s="11"/>
      <c r="I5432" s="21"/>
      <c r="J5432" s="21"/>
      <c r="K5432" s="21"/>
      <c r="L5432" s="21"/>
      <c r="M5432" s="21"/>
      <c r="N5432" s="21"/>
    </row>
    <row r="5433" spans="1:14" ht="15.75" customHeight="1" x14ac:dyDescent="0.25">
      <c r="A5433" s="7">
        <v>3</v>
      </c>
      <c r="B5433" s="41" t="s">
        <v>2093</v>
      </c>
      <c r="C5433" s="9">
        <v>10</v>
      </c>
      <c r="D5433" s="7" t="s">
        <v>2094</v>
      </c>
      <c r="E5433" s="37">
        <v>19000</v>
      </c>
      <c r="F5433" s="37">
        <f>E5433*C5433</f>
        <v>190000</v>
      </c>
      <c r="G5433" s="25" t="s">
        <v>2095</v>
      </c>
      <c r="H5433" s="11"/>
      <c r="I5433" s="21"/>
      <c r="J5433" s="21"/>
      <c r="K5433" s="21"/>
      <c r="L5433" s="21"/>
      <c r="M5433" s="21"/>
      <c r="N5433" s="21"/>
    </row>
    <row r="5434" spans="1:14" ht="15.75" customHeight="1" x14ac:dyDescent="0.25">
      <c r="A5434" s="7"/>
      <c r="B5434" s="343" t="s">
        <v>342</v>
      </c>
      <c r="C5434" s="344"/>
      <c r="D5434" s="344"/>
      <c r="E5434" s="334"/>
      <c r="F5434" s="104">
        <f>SUM(F5431:F5433)</f>
        <v>1119100</v>
      </c>
      <c r="G5434" s="21"/>
      <c r="H5434" s="21"/>
      <c r="I5434" s="21"/>
      <c r="J5434" s="21"/>
      <c r="K5434" s="21"/>
      <c r="L5434" s="21"/>
      <c r="M5434" s="21"/>
      <c r="N5434" s="21"/>
    </row>
    <row r="5435" spans="1:14" ht="15.75" customHeight="1" x14ac:dyDescent="0.25">
      <c r="A5435" s="7"/>
      <c r="B5435" s="343" t="s">
        <v>343</v>
      </c>
      <c r="C5435" s="344"/>
      <c r="D5435" s="344"/>
      <c r="E5435" s="334"/>
      <c r="F5435" s="167">
        <f>F5434*11%</f>
        <v>123101</v>
      </c>
      <c r="G5435" s="21"/>
      <c r="H5435" s="21"/>
      <c r="I5435" s="21"/>
      <c r="J5435" s="21"/>
      <c r="K5435" s="21"/>
      <c r="L5435" s="21"/>
      <c r="M5435" s="21"/>
      <c r="N5435" s="21"/>
    </row>
    <row r="5436" spans="1:14" ht="15.75" customHeight="1" x14ac:dyDescent="0.25">
      <c r="A5436" s="7"/>
      <c r="B5436" s="345" t="s">
        <v>344</v>
      </c>
      <c r="C5436" s="344"/>
      <c r="D5436" s="344"/>
      <c r="E5436" s="334"/>
      <c r="F5436" s="168">
        <f>F5435+F5434</f>
        <v>1242201</v>
      </c>
      <c r="G5436" s="25"/>
      <c r="H5436" s="11"/>
      <c r="I5436" s="21"/>
      <c r="J5436" s="21"/>
      <c r="K5436" s="21"/>
      <c r="L5436" s="21"/>
      <c r="M5436" s="21"/>
      <c r="N5436" s="21"/>
    </row>
    <row r="5437" spans="1:14" ht="15.75" customHeight="1" x14ac:dyDescent="0.25">
      <c r="A5437" s="21"/>
      <c r="B5437" s="21"/>
      <c r="C5437" s="11"/>
      <c r="D5437" s="11"/>
      <c r="E5437" s="21"/>
      <c r="F5437" s="21"/>
      <c r="G5437" s="25"/>
      <c r="H5437" s="11"/>
      <c r="I5437" s="21"/>
      <c r="J5437" s="21"/>
      <c r="K5437" s="21"/>
      <c r="L5437" s="21"/>
      <c r="M5437" s="21"/>
      <c r="N5437" s="21"/>
    </row>
    <row r="5438" spans="1:14" ht="15.75" customHeight="1" x14ac:dyDescent="0.25">
      <c r="A5438" s="31" t="s">
        <v>14</v>
      </c>
      <c r="B5438" s="31" t="s">
        <v>234</v>
      </c>
      <c r="C5438" s="31" t="s">
        <v>16</v>
      </c>
      <c r="D5438" s="31" t="s">
        <v>17</v>
      </c>
      <c r="E5438" s="31" t="s">
        <v>235</v>
      </c>
      <c r="F5438" s="31" t="s">
        <v>236</v>
      </c>
      <c r="G5438" s="25" t="s">
        <v>2066</v>
      </c>
      <c r="H5438" s="11"/>
      <c r="I5438" s="21"/>
      <c r="J5438" s="21"/>
      <c r="K5438" s="21"/>
      <c r="L5438" s="21"/>
      <c r="M5438" s="21"/>
      <c r="N5438" s="21"/>
    </row>
    <row r="5439" spans="1:14" ht="15.75" customHeight="1" x14ac:dyDescent="0.25">
      <c r="A5439" s="7">
        <v>1</v>
      </c>
      <c r="B5439" s="120" t="s">
        <v>1658</v>
      </c>
      <c r="C5439" s="129">
        <v>10</v>
      </c>
      <c r="D5439" s="7" t="s">
        <v>243</v>
      </c>
      <c r="E5439" s="130">
        <v>44152010</v>
      </c>
      <c r="F5439" s="130">
        <f>E5439*C5439</f>
        <v>441520100</v>
      </c>
      <c r="G5439" s="172">
        <v>45372</v>
      </c>
      <c r="H5439" s="11"/>
      <c r="I5439" s="21"/>
      <c r="J5439" s="21"/>
      <c r="K5439" s="21"/>
      <c r="L5439" s="21"/>
      <c r="M5439" s="21"/>
      <c r="N5439" s="21"/>
    </row>
    <row r="5440" spans="1:14" ht="15.75" customHeight="1" x14ac:dyDescent="0.25">
      <c r="A5440" s="7">
        <v>2</v>
      </c>
      <c r="B5440" s="131" t="s">
        <v>1659</v>
      </c>
      <c r="C5440" s="129">
        <v>5</v>
      </c>
      <c r="D5440" s="7" t="s">
        <v>243</v>
      </c>
      <c r="E5440" s="130">
        <v>61206600</v>
      </c>
      <c r="F5440" s="130">
        <f>E5440*C5440</f>
        <v>306033000</v>
      </c>
      <c r="G5440" s="25" t="s">
        <v>2096</v>
      </c>
      <c r="H5440" s="11"/>
      <c r="I5440" s="21"/>
      <c r="J5440" s="21"/>
      <c r="K5440" s="21"/>
      <c r="L5440" s="21"/>
      <c r="M5440" s="21"/>
      <c r="N5440" s="21"/>
    </row>
    <row r="5441" spans="1:14" ht="15.75" customHeight="1" x14ac:dyDescent="0.25">
      <c r="A5441" s="7"/>
      <c r="B5441" s="343" t="s">
        <v>342</v>
      </c>
      <c r="C5441" s="344"/>
      <c r="D5441" s="344"/>
      <c r="E5441" s="334"/>
      <c r="F5441" s="104">
        <f>SUM(F5438:F5440)</f>
        <v>747553100</v>
      </c>
      <c r="G5441" s="25"/>
      <c r="H5441" s="11"/>
      <c r="I5441" s="21"/>
      <c r="J5441" s="21"/>
      <c r="K5441" s="21"/>
      <c r="L5441" s="21"/>
      <c r="M5441" s="21"/>
      <c r="N5441" s="21"/>
    </row>
    <row r="5442" spans="1:14" ht="15.75" customHeight="1" x14ac:dyDescent="0.25">
      <c r="A5442" s="7"/>
      <c r="B5442" s="345" t="s">
        <v>2097</v>
      </c>
      <c r="C5442" s="344"/>
      <c r="D5442" s="344"/>
      <c r="E5442" s="334"/>
      <c r="F5442" s="107">
        <f>F5441*70%</f>
        <v>523287169.99999994</v>
      </c>
      <c r="G5442" s="25"/>
      <c r="H5442" s="11"/>
      <c r="I5442" s="21"/>
      <c r="J5442" s="21"/>
      <c r="K5442" s="21"/>
      <c r="L5442" s="21"/>
      <c r="M5442" s="21"/>
      <c r="N5442" s="21"/>
    </row>
    <row r="5443" spans="1:14" ht="15.75" customHeight="1" x14ac:dyDescent="0.25">
      <c r="A5443" s="7"/>
      <c r="B5443" s="343" t="s">
        <v>343</v>
      </c>
      <c r="C5443" s="344"/>
      <c r="D5443" s="344"/>
      <c r="E5443" s="334"/>
      <c r="F5443" s="104">
        <f>F5442*11%</f>
        <v>57561588.699999996</v>
      </c>
      <c r="G5443" s="25"/>
      <c r="H5443" s="11"/>
      <c r="I5443" s="21"/>
      <c r="J5443" s="21"/>
      <c r="K5443" s="21"/>
      <c r="L5443" s="21"/>
      <c r="M5443" s="21"/>
      <c r="N5443" s="21"/>
    </row>
    <row r="5444" spans="1:14" ht="15.75" customHeight="1" x14ac:dyDescent="0.25">
      <c r="A5444" s="7"/>
      <c r="B5444" s="345" t="s">
        <v>344</v>
      </c>
      <c r="C5444" s="344"/>
      <c r="D5444" s="344"/>
      <c r="E5444" s="334"/>
      <c r="F5444" s="107">
        <f>SUM(F5442:F5443)</f>
        <v>580848758.69999993</v>
      </c>
      <c r="G5444" s="25"/>
      <c r="H5444" s="11"/>
      <c r="I5444" s="21"/>
      <c r="J5444" s="21"/>
      <c r="K5444" s="21"/>
      <c r="L5444" s="21"/>
      <c r="M5444" s="21"/>
      <c r="N5444" s="21"/>
    </row>
    <row r="5445" spans="1:14" ht="15.75" customHeight="1" x14ac:dyDescent="0.25">
      <c r="A5445" s="21"/>
      <c r="B5445" s="21"/>
      <c r="C5445" s="11"/>
      <c r="D5445" s="11"/>
      <c r="E5445" s="21"/>
      <c r="F5445" s="21"/>
      <c r="G5445" s="25"/>
      <c r="H5445" s="11"/>
      <c r="I5445" s="21"/>
      <c r="J5445" s="21"/>
      <c r="K5445" s="21"/>
      <c r="L5445" s="21"/>
      <c r="M5445" s="21"/>
      <c r="N5445" s="21"/>
    </row>
    <row r="5446" spans="1:14" ht="15.75" customHeight="1" x14ac:dyDescent="0.25">
      <c r="A5446" s="31" t="s">
        <v>14</v>
      </c>
      <c r="B5446" s="31" t="s">
        <v>234</v>
      </c>
      <c r="C5446" s="31" t="s">
        <v>16</v>
      </c>
      <c r="D5446" s="31" t="s">
        <v>17</v>
      </c>
      <c r="E5446" s="31" t="s">
        <v>235</v>
      </c>
      <c r="F5446" s="31" t="s">
        <v>236</v>
      </c>
      <c r="G5446" s="25" t="s">
        <v>1889</v>
      </c>
      <c r="H5446" s="11"/>
      <c r="I5446" s="21"/>
      <c r="J5446" s="21"/>
      <c r="K5446" s="21"/>
      <c r="L5446" s="21"/>
      <c r="M5446" s="21"/>
      <c r="N5446" s="21"/>
    </row>
    <row r="5447" spans="1:14" ht="15.75" customHeight="1" x14ac:dyDescent="0.25">
      <c r="A5447" s="7">
        <v>1</v>
      </c>
      <c r="B5447" s="41" t="s">
        <v>2098</v>
      </c>
      <c r="C5447" s="9">
        <v>2</v>
      </c>
      <c r="D5447" s="7" t="s">
        <v>19</v>
      </c>
      <c r="E5447" s="37">
        <v>2050000</v>
      </c>
      <c r="F5447" s="37">
        <f>E5447*C5447</f>
        <v>4100000</v>
      </c>
      <c r="G5447" s="172">
        <v>45372</v>
      </c>
      <c r="H5447" s="11"/>
      <c r="I5447" s="21"/>
      <c r="J5447" s="21"/>
      <c r="K5447" s="21"/>
      <c r="L5447" s="21"/>
      <c r="M5447" s="21"/>
      <c r="N5447" s="21"/>
    </row>
    <row r="5448" spans="1:14" ht="15.75" customHeight="1" x14ac:dyDescent="0.25">
      <c r="A5448" s="7"/>
      <c r="B5448" s="343" t="s">
        <v>342</v>
      </c>
      <c r="C5448" s="344"/>
      <c r="D5448" s="344"/>
      <c r="E5448" s="334"/>
      <c r="F5448" s="104">
        <f>SUM(F5445:F5447)</f>
        <v>4100000</v>
      </c>
      <c r="G5448" s="25" t="s">
        <v>2099</v>
      </c>
      <c r="H5448" s="11"/>
      <c r="I5448" s="21"/>
      <c r="J5448" s="21"/>
      <c r="K5448" s="21"/>
      <c r="L5448" s="21"/>
      <c r="M5448" s="21"/>
      <c r="N5448" s="21"/>
    </row>
    <row r="5449" spans="1:14" ht="15.75" customHeight="1" x14ac:dyDescent="0.25">
      <c r="A5449" s="7"/>
      <c r="B5449" s="343" t="s">
        <v>343</v>
      </c>
      <c r="C5449" s="344"/>
      <c r="D5449" s="344"/>
      <c r="E5449" s="334"/>
      <c r="F5449" s="104">
        <f>F5448*11%</f>
        <v>451000</v>
      </c>
      <c r="G5449" s="25"/>
      <c r="H5449" s="11"/>
      <c r="I5449" s="21"/>
      <c r="J5449" s="21"/>
      <c r="K5449" s="21"/>
      <c r="L5449" s="21"/>
      <c r="M5449" s="21"/>
      <c r="N5449" s="21"/>
    </row>
    <row r="5450" spans="1:14" ht="15.75" customHeight="1" x14ac:dyDescent="0.25">
      <c r="A5450" s="7"/>
      <c r="B5450" s="345" t="s">
        <v>344</v>
      </c>
      <c r="C5450" s="344"/>
      <c r="D5450" s="344"/>
      <c r="E5450" s="334"/>
      <c r="F5450" s="107">
        <f>F5449+F5448</f>
        <v>4551000</v>
      </c>
      <c r="G5450" s="25"/>
      <c r="H5450" s="11"/>
      <c r="I5450" s="21"/>
      <c r="J5450" s="21"/>
      <c r="K5450" s="21"/>
      <c r="L5450" s="21"/>
      <c r="M5450" s="21"/>
      <c r="N5450" s="21"/>
    </row>
    <row r="5451" spans="1:14" ht="15.75" customHeight="1" x14ac:dyDescent="0.25">
      <c r="A5451" s="21"/>
      <c r="B5451" s="21"/>
      <c r="C5451" s="11"/>
      <c r="D5451" s="11"/>
      <c r="E5451" s="21"/>
      <c r="F5451" s="21"/>
      <c r="G5451" s="25"/>
      <c r="H5451" s="11"/>
      <c r="I5451" s="21"/>
      <c r="J5451" s="21"/>
      <c r="K5451" s="21"/>
      <c r="L5451" s="21"/>
      <c r="M5451" s="21"/>
      <c r="N5451" s="21"/>
    </row>
    <row r="5452" spans="1:14" ht="15.75" customHeight="1" x14ac:dyDescent="0.25">
      <c r="A5452" s="31" t="s">
        <v>14</v>
      </c>
      <c r="B5452" s="31" t="s">
        <v>234</v>
      </c>
      <c r="C5452" s="31" t="s">
        <v>16</v>
      </c>
      <c r="D5452" s="31" t="s">
        <v>17</v>
      </c>
      <c r="E5452" s="31" t="s">
        <v>235</v>
      </c>
      <c r="F5452" s="31" t="s">
        <v>236</v>
      </c>
      <c r="G5452" s="25" t="s">
        <v>2100</v>
      </c>
      <c r="H5452" s="11"/>
      <c r="I5452" s="21"/>
      <c r="J5452" s="21"/>
      <c r="K5452" s="21"/>
      <c r="L5452" s="21"/>
      <c r="M5452" s="21"/>
      <c r="N5452" s="21"/>
    </row>
    <row r="5453" spans="1:14" ht="15.75" customHeight="1" x14ac:dyDescent="0.25">
      <c r="A5453" s="7">
        <v>1</v>
      </c>
      <c r="B5453" s="41" t="s">
        <v>2101</v>
      </c>
      <c r="C5453" s="9">
        <v>2</v>
      </c>
      <c r="D5453" s="7" t="s">
        <v>247</v>
      </c>
      <c r="E5453" s="37">
        <v>2450000</v>
      </c>
      <c r="F5453" s="37">
        <f>E5453*C5453</f>
        <v>4900000</v>
      </c>
      <c r="G5453" s="25" t="s">
        <v>2102</v>
      </c>
      <c r="H5453" s="11"/>
      <c r="I5453" s="21"/>
      <c r="J5453" s="21"/>
      <c r="K5453" s="21"/>
      <c r="L5453" s="21"/>
      <c r="M5453" s="21"/>
      <c r="N5453" s="21"/>
    </row>
    <row r="5454" spans="1:14" ht="15.75" customHeight="1" x14ac:dyDescent="0.25">
      <c r="A5454" s="7"/>
      <c r="B5454" s="343" t="s">
        <v>342</v>
      </c>
      <c r="C5454" s="344"/>
      <c r="D5454" s="344"/>
      <c r="E5454" s="334"/>
      <c r="F5454" s="104">
        <f>SUM(F5451:F5453)</f>
        <v>4900000</v>
      </c>
      <c r="G5454" s="25" t="s">
        <v>2103</v>
      </c>
      <c r="H5454" s="11"/>
      <c r="I5454" s="21"/>
      <c r="J5454" s="21"/>
      <c r="K5454" s="21"/>
      <c r="L5454" s="21"/>
      <c r="M5454" s="21"/>
      <c r="N5454" s="21"/>
    </row>
    <row r="5455" spans="1:14" ht="15.75" customHeight="1" x14ac:dyDescent="0.25">
      <c r="A5455" s="7"/>
      <c r="B5455" s="343" t="s">
        <v>343</v>
      </c>
      <c r="C5455" s="344"/>
      <c r="D5455" s="344"/>
      <c r="E5455" s="334"/>
      <c r="F5455" s="104">
        <f>F5454*11%</f>
        <v>539000</v>
      </c>
      <c r="G5455" s="25"/>
      <c r="H5455" s="11"/>
      <c r="I5455" s="21"/>
      <c r="J5455" s="21"/>
      <c r="K5455" s="21"/>
      <c r="L5455" s="21"/>
      <c r="M5455" s="21"/>
      <c r="N5455" s="21"/>
    </row>
    <row r="5456" spans="1:14" ht="15.75" customHeight="1" x14ac:dyDescent="0.25">
      <c r="A5456" s="7"/>
      <c r="B5456" s="345" t="s">
        <v>344</v>
      </c>
      <c r="C5456" s="344"/>
      <c r="D5456" s="344"/>
      <c r="E5456" s="334"/>
      <c r="F5456" s="107">
        <f>F5455+F5454</f>
        <v>5439000</v>
      </c>
      <c r="G5456" s="25"/>
      <c r="H5456" s="11"/>
      <c r="I5456" s="21"/>
      <c r="J5456" s="21"/>
      <c r="K5456" s="21"/>
      <c r="L5456" s="21"/>
      <c r="M5456" s="21"/>
      <c r="N5456" s="21"/>
    </row>
    <row r="5457" spans="1:14" ht="15.75" customHeight="1" x14ac:dyDescent="0.25">
      <c r="A5457" s="21"/>
      <c r="B5457" s="21"/>
      <c r="C5457" s="11"/>
      <c r="D5457" s="11"/>
      <c r="E5457" s="21"/>
      <c r="F5457" s="21"/>
      <c r="G5457" s="25"/>
      <c r="H5457" s="11"/>
      <c r="I5457" s="21"/>
      <c r="J5457" s="21"/>
      <c r="K5457" s="21"/>
      <c r="L5457" s="21"/>
      <c r="M5457" s="21"/>
      <c r="N5457" s="21"/>
    </row>
    <row r="5458" spans="1:14" ht="15.75" customHeight="1" x14ac:dyDescent="0.25">
      <c r="A5458" s="31" t="s">
        <v>14</v>
      </c>
      <c r="B5458" s="31" t="s">
        <v>234</v>
      </c>
      <c r="C5458" s="31" t="s">
        <v>16</v>
      </c>
      <c r="D5458" s="31" t="s">
        <v>17</v>
      </c>
      <c r="E5458" s="31" t="s">
        <v>235</v>
      </c>
      <c r="F5458" s="31" t="s">
        <v>236</v>
      </c>
      <c r="G5458" s="25" t="s">
        <v>1904</v>
      </c>
      <c r="H5458" s="11"/>
      <c r="I5458" s="21"/>
      <c r="J5458" s="21"/>
      <c r="K5458" s="21"/>
      <c r="L5458" s="21"/>
      <c r="M5458" s="21"/>
      <c r="N5458" s="21"/>
    </row>
    <row r="5459" spans="1:14" ht="15.75" customHeight="1" x14ac:dyDescent="0.25">
      <c r="A5459" s="7">
        <v>1</v>
      </c>
      <c r="B5459" s="124" t="s">
        <v>2104</v>
      </c>
      <c r="C5459" s="9">
        <v>1</v>
      </c>
      <c r="D5459" s="7" t="s">
        <v>19</v>
      </c>
      <c r="E5459" s="37">
        <v>2079075</v>
      </c>
      <c r="F5459" s="37">
        <f t="shared" ref="F5459:F5464" si="62">E5459*C5459</f>
        <v>2079075</v>
      </c>
      <c r="G5459" s="172">
        <v>45370</v>
      </c>
      <c r="H5459" s="11"/>
      <c r="I5459" s="21"/>
      <c r="J5459" s="21"/>
      <c r="K5459" s="21"/>
      <c r="L5459" s="21"/>
      <c r="M5459" s="21"/>
      <c r="N5459" s="21"/>
    </row>
    <row r="5460" spans="1:14" ht="15.75" customHeight="1" x14ac:dyDescent="0.25">
      <c r="A5460" s="7">
        <v>2</v>
      </c>
      <c r="B5460" s="41" t="s">
        <v>2105</v>
      </c>
      <c r="C5460" s="9">
        <v>1</v>
      </c>
      <c r="D5460" s="7" t="s">
        <v>251</v>
      </c>
      <c r="E5460" s="37">
        <v>44175</v>
      </c>
      <c r="F5460" s="37">
        <f t="shared" si="62"/>
        <v>44175</v>
      </c>
      <c r="G5460" s="25" t="s">
        <v>2106</v>
      </c>
      <c r="H5460" s="11"/>
      <c r="I5460" s="21"/>
      <c r="J5460" s="21"/>
      <c r="K5460" s="21"/>
      <c r="L5460" s="21"/>
      <c r="M5460" s="21"/>
      <c r="N5460" s="21"/>
    </row>
    <row r="5461" spans="1:14" ht="15.75" customHeight="1" x14ac:dyDescent="0.25">
      <c r="A5461" s="7">
        <v>3</v>
      </c>
      <c r="B5461" s="41" t="s">
        <v>2107</v>
      </c>
      <c r="C5461" s="9">
        <v>1</v>
      </c>
      <c r="D5461" s="7" t="s">
        <v>251</v>
      </c>
      <c r="E5461" s="37">
        <v>2218725</v>
      </c>
      <c r="F5461" s="37">
        <f t="shared" si="62"/>
        <v>2218725</v>
      </c>
      <c r="G5461" s="25"/>
      <c r="H5461" s="11"/>
      <c r="I5461" s="21"/>
      <c r="J5461" s="21"/>
      <c r="K5461" s="21"/>
      <c r="L5461" s="21"/>
      <c r="M5461" s="21"/>
      <c r="N5461" s="21"/>
    </row>
    <row r="5462" spans="1:14" ht="15.75" customHeight="1" x14ac:dyDescent="0.25">
      <c r="A5462" s="7">
        <v>4</v>
      </c>
      <c r="B5462" s="35" t="s">
        <v>2108</v>
      </c>
      <c r="C5462" s="9">
        <v>1</v>
      </c>
      <c r="D5462" s="7" t="s">
        <v>19</v>
      </c>
      <c r="E5462" s="37">
        <v>147060</v>
      </c>
      <c r="F5462" s="37">
        <f t="shared" si="62"/>
        <v>147060</v>
      </c>
      <c r="G5462" s="25"/>
      <c r="H5462" s="11"/>
      <c r="I5462" s="21"/>
      <c r="J5462" s="21"/>
      <c r="K5462" s="21"/>
      <c r="L5462" s="21"/>
      <c r="M5462" s="21"/>
      <c r="N5462" s="21"/>
    </row>
    <row r="5463" spans="1:14" ht="15.75" customHeight="1" x14ac:dyDescent="0.25">
      <c r="A5463" s="7">
        <v>5</v>
      </c>
      <c r="B5463" s="35" t="s">
        <v>2109</v>
      </c>
      <c r="C5463" s="9">
        <v>1</v>
      </c>
      <c r="D5463" s="7" t="s">
        <v>19</v>
      </c>
      <c r="E5463" s="37">
        <v>78256</v>
      </c>
      <c r="F5463" s="37">
        <f t="shared" si="62"/>
        <v>78256</v>
      </c>
      <c r="G5463" s="25"/>
      <c r="H5463" s="11"/>
      <c r="I5463" s="21"/>
      <c r="J5463" s="21"/>
      <c r="K5463" s="21"/>
      <c r="L5463" s="21"/>
      <c r="M5463" s="21"/>
      <c r="N5463" s="21"/>
    </row>
    <row r="5464" spans="1:14" ht="15.75" customHeight="1" x14ac:dyDescent="0.25">
      <c r="A5464" s="7">
        <v>6</v>
      </c>
      <c r="B5464" s="35" t="s">
        <v>2110</v>
      </c>
      <c r="C5464" s="9">
        <v>1</v>
      </c>
      <c r="D5464" s="7" t="s">
        <v>19</v>
      </c>
      <c r="E5464" s="37">
        <v>78256</v>
      </c>
      <c r="F5464" s="37">
        <f t="shared" si="62"/>
        <v>78256</v>
      </c>
      <c r="G5464" s="25"/>
      <c r="H5464" s="11"/>
      <c r="I5464" s="21"/>
      <c r="J5464" s="21"/>
      <c r="K5464" s="21"/>
      <c r="L5464" s="21"/>
      <c r="M5464" s="21"/>
      <c r="N5464" s="21"/>
    </row>
    <row r="5465" spans="1:14" ht="15.75" customHeight="1" x14ac:dyDescent="0.25">
      <c r="A5465" s="7"/>
      <c r="B5465" s="343" t="s">
        <v>342</v>
      </c>
      <c r="C5465" s="344"/>
      <c r="D5465" s="344"/>
      <c r="E5465" s="334"/>
      <c r="F5465" s="104">
        <f>SUM(F5459:F5464)</f>
        <v>4645547</v>
      </c>
      <c r="G5465" s="25"/>
      <c r="H5465" s="11"/>
      <c r="I5465" s="21"/>
      <c r="J5465" s="21"/>
      <c r="K5465" s="21"/>
      <c r="L5465" s="21"/>
      <c r="M5465" s="21"/>
      <c r="N5465" s="21"/>
    </row>
    <row r="5466" spans="1:14" ht="15.75" customHeight="1" x14ac:dyDescent="0.25">
      <c r="A5466" s="7"/>
      <c r="B5466" s="343" t="s">
        <v>343</v>
      </c>
      <c r="C5466" s="344"/>
      <c r="D5466" s="344"/>
      <c r="E5466" s="334"/>
      <c r="F5466" s="167">
        <f>F5465*11%</f>
        <v>511010.17</v>
      </c>
      <c r="G5466" s="25"/>
      <c r="H5466" s="11"/>
      <c r="I5466" s="21"/>
      <c r="J5466" s="21"/>
      <c r="K5466" s="21"/>
      <c r="L5466" s="21"/>
      <c r="M5466" s="21"/>
      <c r="N5466" s="21"/>
    </row>
    <row r="5467" spans="1:14" ht="15.75" customHeight="1" x14ac:dyDescent="0.25">
      <c r="A5467" s="7"/>
      <c r="B5467" s="345" t="s">
        <v>344</v>
      </c>
      <c r="C5467" s="344"/>
      <c r="D5467" s="344"/>
      <c r="E5467" s="334"/>
      <c r="F5467" s="168">
        <f>F5466+F5465</f>
        <v>5156557.17</v>
      </c>
      <c r="G5467" s="25"/>
      <c r="H5467" s="11"/>
      <c r="I5467" s="21"/>
      <c r="J5467" s="21"/>
      <c r="K5467" s="21"/>
      <c r="L5467" s="21"/>
      <c r="M5467" s="21"/>
      <c r="N5467" s="21"/>
    </row>
    <row r="5468" spans="1:14" ht="15.75" customHeight="1" x14ac:dyDescent="0.25">
      <c r="A5468" s="21"/>
      <c r="B5468" s="21"/>
      <c r="C5468" s="11"/>
      <c r="D5468" s="11"/>
      <c r="E5468" s="21"/>
      <c r="F5468" s="21"/>
      <c r="G5468" s="25"/>
      <c r="H5468" s="11"/>
      <c r="I5468" s="21"/>
      <c r="J5468" s="21"/>
      <c r="K5468" s="21"/>
      <c r="L5468" s="21"/>
      <c r="M5468" s="21"/>
      <c r="N5468" s="21"/>
    </row>
    <row r="5469" spans="1:14" ht="15.75" customHeight="1" x14ac:dyDescent="0.25">
      <c r="A5469" s="31" t="s">
        <v>14</v>
      </c>
      <c r="B5469" s="31" t="s">
        <v>234</v>
      </c>
      <c r="C5469" s="31" t="s">
        <v>16</v>
      </c>
      <c r="D5469" s="31" t="s">
        <v>17</v>
      </c>
      <c r="E5469" s="31" t="s">
        <v>235</v>
      </c>
      <c r="F5469" s="31" t="s">
        <v>236</v>
      </c>
      <c r="G5469" s="25" t="s">
        <v>2080</v>
      </c>
      <c r="H5469" s="11"/>
      <c r="I5469" s="21"/>
      <c r="J5469" s="21"/>
      <c r="K5469" s="21"/>
      <c r="L5469" s="21"/>
      <c r="M5469" s="21"/>
      <c r="N5469" s="21"/>
    </row>
    <row r="5470" spans="1:14" ht="15.75" customHeight="1" x14ac:dyDescent="0.25">
      <c r="A5470" s="7">
        <v>1</v>
      </c>
      <c r="B5470" s="41" t="s">
        <v>2111</v>
      </c>
      <c r="C5470" s="9">
        <v>30</v>
      </c>
      <c r="D5470" s="7" t="s">
        <v>363</v>
      </c>
      <c r="E5470" s="37">
        <v>5510</v>
      </c>
      <c r="F5470" s="37">
        <f>E5470*C5470</f>
        <v>165300</v>
      </c>
      <c r="G5470" s="172">
        <v>45359</v>
      </c>
      <c r="H5470" s="11"/>
      <c r="I5470" s="21"/>
      <c r="J5470" s="21"/>
      <c r="K5470" s="21"/>
      <c r="L5470" s="21"/>
      <c r="M5470" s="21"/>
      <c r="N5470" s="21"/>
    </row>
    <row r="5471" spans="1:14" ht="15.75" customHeight="1" x14ac:dyDescent="0.25">
      <c r="A5471" s="7">
        <v>2</v>
      </c>
      <c r="B5471" s="41" t="s">
        <v>2112</v>
      </c>
      <c r="C5471" s="9">
        <v>5</v>
      </c>
      <c r="D5471" s="7" t="s">
        <v>363</v>
      </c>
      <c r="E5471" s="37">
        <v>1563225</v>
      </c>
      <c r="F5471" s="37">
        <f>E5471*C5471</f>
        <v>7816125</v>
      </c>
      <c r="G5471" s="25" t="s">
        <v>2113</v>
      </c>
      <c r="H5471" s="11"/>
      <c r="I5471" s="21"/>
      <c r="J5471" s="21"/>
      <c r="K5471" s="21"/>
      <c r="L5471" s="21"/>
      <c r="M5471" s="21"/>
      <c r="N5471" s="21"/>
    </row>
    <row r="5472" spans="1:14" ht="15.75" customHeight="1" x14ac:dyDescent="0.25">
      <c r="A5472" s="7">
        <v>3</v>
      </c>
      <c r="B5472" s="41" t="s">
        <v>2114</v>
      </c>
      <c r="C5472" s="9">
        <v>8</v>
      </c>
      <c r="D5472" s="7" t="s">
        <v>363</v>
      </c>
      <c r="E5472" s="37">
        <v>125210</v>
      </c>
      <c r="F5472" s="37">
        <f>E5472*C5472</f>
        <v>1001680</v>
      </c>
      <c r="G5472" s="25"/>
      <c r="H5472" s="11"/>
      <c r="I5472" s="21"/>
      <c r="J5472" s="21"/>
      <c r="K5472" s="21"/>
      <c r="L5472" s="21"/>
      <c r="M5472" s="21"/>
      <c r="N5472" s="21"/>
    </row>
    <row r="5473" spans="1:14" ht="15.75" customHeight="1" x14ac:dyDescent="0.25">
      <c r="A5473" s="7"/>
      <c r="B5473" s="343" t="s">
        <v>342</v>
      </c>
      <c r="C5473" s="344"/>
      <c r="D5473" s="344"/>
      <c r="E5473" s="334"/>
      <c r="F5473" s="104">
        <f>SUM(F5470:F5472)</f>
        <v>8983105</v>
      </c>
      <c r="G5473" s="25"/>
      <c r="H5473" s="11"/>
      <c r="I5473" s="21"/>
      <c r="J5473" s="21"/>
      <c r="K5473" s="21"/>
      <c r="L5473" s="21"/>
      <c r="M5473" s="21"/>
      <c r="N5473" s="21"/>
    </row>
    <row r="5474" spans="1:14" ht="15.75" customHeight="1" x14ac:dyDescent="0.25">
      <c r="A5474" s="7"/>
      <c r="B5474" s="343" t="s">
        <v>343</v>
      </c>
      <c r="C5474" s="344"/>
      <c r="D5474" s="344"/>
      <c r="E5474" s="334"/>
      <c r="F5474" s="167">
        <f>F5473*11%</f>
        <v>988141.55</v>
      </c>
      <c r="G5474" s="25"/>
      <c r="H5474" s="11"/>
      <c r="I5474" s="21"/>
      <c r="J5474" s="21"/>
      <c r="K5474" s="21"/>
      <c r="L5474" s="21"/>
      <c r="M5474" s="21"/>
      <c r="N5474" s="21"/>
    </row>
    <row r="5475" spans="1:14" ht="15.75" customHeight="1" x14ac:dyDescent="0.25">
      <c r="A5475" s="7"/>
      <c r="B5475" s="345" t="s">
        <v>344</v>
      </c>
      <c r="C5475" s="344"/>
      <c r="D5475" s="344"/>
      <c r="E5475" s="334"/>
      <c r="F5475" s="168">
        <f>F5474+F5473</f>
        <v>9971246.5500000007</v>
      </c>
      <c r="G5475" s="25"/>
      <c r="H5475" s="11"/>
      <c r="I5475" s="21"/>
      <c r="J5475" s="21"/>
      <c r="K5475" s="21"/>
      <c r="L5475" s="21"/>
      <c r="M5475" s="21"/>
      <c r="N5475" s="21"/>
    </row>
    <row r="5476" spans="1:14" ht="15.75" customHeight="1" x14ac:dyDescent="0.25">
      <c r="A5476" s="21"/>
      <c r="B5476" s="21"/>
      <c r="C5476" s="11"/>
      <c r="D5476" s="11"/>
      <c r="E5476" s="21"/>
      <c r="F5476" s="21"/>
      <c r="G5476" s="25"/>
      <c r="H5476" s="11"/>
      <c r="I5476" s="21"/>
      <c r="J5476" s="21"/>
      <c r="K5476" s="21"/>
      <c r="L5476" s="21"/>
      <c r="M5476" s="21"/>
      <c r="N5476" s="21"/>
    </row>
    <row r="5477" spans="1:14" ht="15.75" customHeight="1" x14ac:dyDescent="0.25">
      <c r="A5477" s="31" t="s">
        <v>14</v>
      </c>
      <c r="B5477" s="31" t="s">
        <v>234</v>
      </c>
      <c r="C5477" s="31" t="s">
        <v>16</v>
      </c>
      <c r="D5477" s="31" t="s">
        <v>17</v>
      </c>
      <c r="E5477" s="31" t="s">
        <v>235</v>
      </c>
      <c r="F5477" s="31" t="s">
        <v>236</v>
      </c>
      <c r="G5477" s="25" t="s">
        <v>2080</v>
      </c>
      <c r="H5477" s="33" t="s">
        <v>238</v>
      </c>
      <c r="I5477" s="11"/>
      <c r="J5477" s="31" t="s">
        <v>239</v>
      </c>
      <c r="K5477" s="31" t="s">
        <v>240</v>
      </c>
      <c r="L5477" s="31" t="s">
        <v>241</v>
      </c>
      <c r="M5477" s="31" t="s">
        <v>13</v>
      </c>
      <c r="N5477" s="21"/>
    </row>
    <row r="5478" spans="1:14" ht="15.75" customHeight="1" x14ac:dyDescent="0.25">
      <c r="A5478" s="7">
        <v>1</v>
      </c>
      <c r="B5478" s="120" t="s">
        <v>2115</v>
      </c>
      <c r="C5478" s="129">
        <v>24</v>
      </c>
      <c r="D5478" s="7" t="s">
        <v>363</v>
      </c>
      <c r="E5478" s="130">
        <v>21000</v>
      </c>
      <c r="F5478" s="130">
        <f>E5478*C5478</f>
        <v>504000</v>
      </c>
      <c r="G5478" s="172">
        <v>45370</v>
      </c>
      <c r="H5478" s="7"/>
      <c r="I5478" s="11"/>
      <c r="J5478" s="37">
        <f>K5478/C5478</f>
        <v>20375</v>
      </c>
      <c r="K5478" s="37">
        <v>489000</v>
      </c>
      <c r="L5478" s="182" t="s">
        <v>2116</v>
      </c>
      <c r="M5478" s="35"/>
      <c r="N5478" s="21"/>
    </row>
    <row r="5479" spans="1:14" ht="15.75" customHeight="1" x14ac:dyDescent="0.25">
      <c r="A5479" s="7">
        <v>2</v>
      </c>
      <c r="B5479" s="131" t="s">
        <v>2117</v>
      </c>
      <c r="C5479" s="129">
        <v>1</v>
      </c>
      <c r="D5479" s="7" t="s">
        <v>363</v>
      </c>
      <c r="E5479" s="130">
        <v>129800</v>
      </c>
      <c r="F5479" s="130">
        <f>E5479*C5479</f>
        <v>129800</v>
      </c>
      <c r="G5479" s="25" t="s">
        <v>2118</v>
      </c>
      <c r="H5479" s="7"/>
      <c r="I5479" s="11"/>
      <c r="J5479" s="37"/>
      <c r="K5479" s="37">
        <f>J5479*C5479</f>
        <v>0</v>
      </c>
      <c r="L5479" s="7"/>
      <c r="M5479" s="35"/>
      <c r="N5479" s="21"/>
    </row>
    <row r="5480" spans="1:14" ht="15.75" customHeight="1" x14ac:dyDescent="0.25">
      <c r="A5480" s="7"/>
      <c r="B5480" s="343" t="s">
        <v>342</v>
      </c>
      <c r="C5480" s="344"/>
      <c r="D5480" s="344"/>
      <c r="E5480" s="334"/>
      <c r="F5480" s="104">
        <f>SUM(F5477:F5479)</f>
        <v>633800</v>
      </c>
      <c r="G5480" s="25"/>
      <c r="H5480" s="11"/>
      <c r="I5480" s="21"/>
      <c r="J5480" s="35" t="s">
        <v>342</v>
      </c>
      <c r="K5480" s="104">
        <f>SUM(K5478:K5479)</f>
        <v>489000</v>
      </c>
      <c r="L5480" s="358" t="s">
        <v>2119</v>
      </c>
      <c r="M5480" s="334"/>
      <c r="N5480" s="21"/>
    </row>
    <row r="5481" spans="1:14" ht="15.75" customHeight="1" x14ac:dyDescent="0.25">
      <c r="A5481" s="7"/>
      <c r="B5481" s="343" t="s">
        <v>343</v>
      </c>
      <c r="C5481" s="344"/>
      <c r="D5481" s="344"/>
      <c r="E5481" s="334"/>
      <c r="F5481" s="167">
        <v>14278</v>
      </c>
      <c r="G5481" s="21"/>
      <c r="H5481" s="11"/>
      <c r="I5481" s="21"/>
      <c r="J5481" s="35" t="s">
        <v>343</v>
      </c>
      <c r="K5481" s="167">
        <f>K5480*11%</f>
        <v>53790</v>
      </c>
      <c r="L5481" s="355"/>
      <c r="M5481" s="356"/>
      <c r="N5481" s="21"/>
    </row>
    <row r="5482" spans="1:14" ht="15.75" customHeight="1" x14ac:dyDescent="0.25">
      <c r="A5482" s="7"/>
      <c r="B5482" s="345" t="s">
        <v>344</v>
      </c>
      <c r="C5482" s="344"/>
      <c r="D5482" s="344"/>
      <c r="E5482" s="334"/>
      <c r="F5482" s="168">
        <f>F5481+F5480</f>
        <v>648078</v>
      </c>
      <c r="G5482" s="21"/>
      <c r="H5482" s="11"/>
      <c r="I5482" s="21"/>
      <c r="J5482" s="35" t="s">
        <v>344</v>
      </c>
      <c r="K5482" s="168">
        <f>K5481+K5480</f>
        <v>542790</v>
      </c>
      <c r="L5482" s="357"/>
      <c r="M5482" s="348"/>
      <c r="N5482" s="21"/>
    </row>
    <row r="5483" spans="1:14" ht="15.75" customHeight="1" x14ac:dyDescent="0.25">
      <c r="A5483" s="21"/>
      <c r="B5483" s="21"/>
      <c r="C5483" s="11"/>
      <c r="D5483" s="11"/>
      <c r="E5483" s="21"/>
      <c r="F5483" s="21"/>
      <c r="G5483" s="25"/>
      <c r="H5483" s="11"/>
      <c r="I5483" s="21"/>
      <c r="J5483" s="21"/>
      <c r="K5483" s="21"/>
      <c r="L5483" s="21"/>
      <c r="M5483" s="21"/>
      <c r="N5483" s="21"/>
    </row>
    <row r="5484" spans="1:14" ht="15.75" customHeight="1" x14ac:dyDescent="0.25">
      <c r="A5484" s="31" t="s">
        <v>14</v>
      </c>
      <c r="B5484" s="31" t="s">
        <v>234</v>
      </c>
      <c r="C5484" s="31" t="s">
        <v>16</v>
      </c>
      <c r="D5484" s="31" t="s">
        <v>17</v>
      </c>
      <c r="E5484" s="31" t="s">
        <v>235</v>
      </c>
      <c r="F5484" s="31" t="s">
        <v>236</v>
      </c>
      <c r="G5484" s="25" t="s">
        <v>2080</v>
      </c>
      <c r="H5484" s="33" t="s">
        <v>238</v>
      </c>
      <c r="I5484" s="11"/>
      <c r="J5484" s="31" t="s">
        <v>239</v>
      </c>
      <c r="K5484" s="31" t="s">
        <v>240</v>
      </c>
      <c r="L5484" s="31" t="s">
        <v>241</v>
      </c>
      <c r="M5484" s="31" t="s">
        <v>13</v>
      </c>
      <c r="N5484" s="21"/>
    </row>
    <row r="5485" spans="1:14" ht="15.75" customHeight="1" x14ac:dyDescent="0.25">
      <c r="A5485" s="7">
        <v>1</v>
      </c>
      <c r="B5485" s="41" t="s">
        <v>2120</v>
      </c>
      <c r="C5485" s="9">
        <v>3</v>
      </c>
      <c r="D5485" s="7" t="s">
        <v>347</v>
      </c>
      <c r="E5485" s="37">
        <v>2550000</v>
      </c>
      <c r="F5485" s="37">
        <f>E5485*C5485</f>
        <v>7650000</v>
      </c>
      <c r="G5485" s="172">
        <v>45369</v>
      </c>
      <c r="H5485" s="7"/>
      <c r="I5485" s="11"/>
      <c r="J5485" s="37"/>
      <c r="K5485" s="37">
        <f>J5485*C5485</f>
        <v>0</v>
      </c>
      <c r="L5485" s="7"/>
      <c r="M5485" s="35"/>
      <c r="N5485" s="21"/>
    </row>
    <row r="5486" spans="1:14" ht="15.75" customHeight="1" x14ac:dyDescent="0.25">
      <c r="A5486" s="7"/>
      <c r="B5486" s="343" t="s">
        <v>342</v>
      </c>
      <c r="C5486" s="344"/>
      <c r="D5486" s="344"/>
      <c r="E5486" s="334"/>
      <c r="F5486" s="104">
        <f>SUM(F5483:F5485)</f>
        <v>7650000</v>
      </c>
      <c r="G5486" s="25" t="s">
        <v>2121</v>
      </c>
      <c r="H5486" s="11"/>
      <c r="I5486" s="21"/>
      <c r="J5486" s="35" t="s">
        <v>342</v>
      </c>
      <c r="K5486" s="104">
        <f>SUM(K5485)</f>
        <v>0</v>
      </c>
      <c r="L5486" s="358" t="s">
        <v>2119</v>
      </c>
      <c r="M5486" s="334"/>
      <c r="N5486" s="21"/>
    </row>
    <row r="5487" spans="1:14" ht="15.75" customHeight="1" x14ac:dyDescent="0.25">
      <c r="A5487" s="7"/>
      <c r="B5487" s="343" t="s">
        <v>343</v>
      </c>
      <c r="C5487" s="344"/>
      <c r="D5487" s="344"/>
      <c r="E5487" s="334"/>
      <c r="F5487" s="104">
        <f>F5486*11%</f>
        <v>841500</v>
      </c>
      <c r="G5487" s="25"/>
      <c r="H5487" s="11"/>
      <c r="I5487" s="21"/>
      <c r="J5487" s="35" t="s">
        <v>343</v>
      </c>
      <c r="K5487" s="104">
        <f>K5486*11%</f>
        <v>0</v>
      </c>
      <c r="L5487" s="355"/>
      <c r="M5487" s="356"/>
      <c r="N5487" s="21"/>
    </row>
    <row r="5488" spans="1:14" ht="15.75" customHeight="1" x14ac:dyDescent="0.25">
      <c r="A5488" s="7"/>
      <c r="B5488" s="345" t="s">
        <v>344</v>
      </c>
      <c r="C5488" s="344"/>
      <c r="D5488" s="344"/>
      <c r="E5488" s="334"/>
      <c r="F5488" s="107">
        <f>F5487+F5486</f>
        <v>8491500</v>
      </c>
      <c r="G5488" s="25"/>
      <c r="H5488" s="11"/>
      <c r="I5488" s="21"/>
      <c r="J5488" s="35" t="s">
        <v>344</v>
      </c>
      <c r="K5488" s="107">
        <f>K5487+K5486</f>
        <v>0</v>
      </c>
      <c r="L5488" s="357"/>
      <c r="M5488" s="348"/>
      <c r="N5488" s="21"/>
    </row>
    <row r="5489" spans="1:14" ht="15.75" customHeight="1" x14ac:dyDescent="0.25">
      <c r="A5489" s="21"/>
      <c r="B5489" s="21"/>
      <c r="C5489" s="11"/>
      <c r="D5489" s="11"/>
      <c r="E5489" s="21"/>
      <c r="F5489" s="21"/>
      <c r="G5489" s="25"/>
      <c r="H5489" s="11"/>
      <c r="I5489" s="21"/>
      <c r="J5489" s="21"/>
      <c r="K5489" s="21"/>
      <c r="L5489" s="21"/>
      <c r="M5489" s="21"/>
      <c r="N5489" s="21"/>
    </row>
    <row r="5490" spans="1:14" ht="15.75" customHeight="1" x14ac:dyDescent="0.25">
      <c r="A5490" s="31" t="s">
        <v>14</v>
      </c>
      <c r="B5490" s="31" t="s">
        <v>234</v>
      </c>
      <c r="C5490" s="31" t="s">
        <v>16</v>
      </c>
      <c r="D5490" s="31" t="s">
        <v>17</v>
      </c>
      <c r="E5490" s="31" t="s">
        <v>235</v>
      </c>
      <c r="F5490" s="31" t="s">
        <v>236</v>
      </c>
      <c r="G5490" s="144" t="s">
        <v>2122</v>
      </c>
      <c r="H5490" s="33" t="s">
        <v>238</v>
      </c>
      <c r="I5490" s="11"/>
      <c r="J5490" s="31" t="s">
        <v>239</v>
      </c>
      <c r="K5490" s="31" t="s">
        <v>240</v>
      </c>
      <c r="L5490" s="31" t="s">
        <v>241</v>
      </c>
      <c r="M5490" s="31" t="s">
        <v>13</v>
      </c>
      <c r="N5490" s="21"/>
    </row>
    <row r="5491" spans="1:14" ht="15.75" customHeight="1" x14ac:dyDescent="0.25">
      <c r="A5491" s="7">
        <v>1</v>
      </c>
      <c r="B5491" s="120" t="s">
        <v>2123</v>
      </c>
      <c r="C5491" s="129">
        <v>1</v>
      </c>
      <c r="D5491" s="7" t="s">
        <v>251</v>
      </c>
      <c r="E5491" s="130">
        <v>218252475</v>
      </c>
      <c r="F5491" s="130">
        <f>E5491*C5491</f>
        <v>218252475</v>
      </c>
      <c r="G5491" s="172">
        <v>45373</v>
      </c>
      <c r="H5491" s="7"/>
      <c r="I5491" s="11"/>
      <c r="J5491" s="37"/>
      <c r="K5491" s="37">
        <f>J5491*C5491</f>
        <v>0</v>
      </c>
      <c r="L5491" s="7"/>
      <c r="M5491" s="35"/>
      <c r="N5491" s="21"/>
    </row>
    <row r="5492" spans="1:14" ht="15.75" customHeight="1" x14ac:dyDescent="0.25">
      <c r="A5492" s="7"/>
      <c r="B5492" s="343" t="s">
        <v>342</v>
      </c>
      <c r="C5492" s="344"/>
      <c r="D5492" s="344"/>
      <c r="E5492" s="334"/>
      <c r="F5492" s="104">
        <f>SUM(F5490:F5491)</f>
        <v>218252475</v>
      </c>
      <c r="G5492" s="21" t="s">
        <v>2124</v>
      </c>
      <c r="H5492" s="11"/>
      <c r="I5492" s="21"/>
      <c r="J5492" s="35" t="s">
        <v>342</v>
      </c>
      <c r="K5492" s="104">
        <f>SUM(K5491)</f>
        <v>0</v>
      </c>
      <c r="L5492" s="358" t="s">
        <v>2119</v>
      </c>
      <c r="M5492" s="334"/>
      <c r="N5492" s="21"/>
    </row>
    <row r="5493" spans="1:14" ht="15.75" customHeight="1" x14ac:dyDescent="0.25">
      <c r="A5493" s="7"/>
      <c r="B5493" s="345" t="s">
        <v>1660</v>
      </c>
      <c r="C5493" s="344"/>
      <c r="D5493" s="344"/>
      <c r="E5493" s="334"/>
      <c r="F5493" s="107">
        <f>F5492*30%</f>
        <v>65475742.5</v>
      </c>
      <c r="G5493" s="21"/>
      <c r="H5493" s="11"/>
      <c r="I5493" s="21"/>
      <c r="J5493" s="35" t="s">
        <v>343</v>
      </c>
      <c r="K5493" s="104">
        <f>K5492*11%</f>
        <v>0</v>
      </c>
      <c r="L5493" s="355"/>
      <c r="M5493" s="356"/>
      <c r="N5493" s="21"/>
    </row>
    <row r="5494" spans="1:14" ht="15.75" customHeight="1" x14ac:dyDescent="0.25">
      <c r="A5494" s="7"/>
      <c r="B5494" s="343" t="s">
        <v>343</v>
      </c>
      <c r="C5494" s="344"/>
      <c r="D5494" s="344"/>
      <c r="E5494" s="334"/>
      <c r="F5494" s="104">
        <f>F5493*11%</f>
        <v>7202331.6749999998</v>
      </c>
      <c r="G5494" s="21"/>
      <c r="H5494" s="11"/>
      <c r="I5494" s="21"/>
      <c r="J5494" s="35" t="s">
        <v>344</v>
      </c>
      <c r="K5494" s="107">
        <f>K5493+K5492</f>
        <v>0</v>
      </c>
      <c r="L5494" s="357"/>
      <c r="M5494" s="348"/>
      <c r="N5494" s="21"/>
    </row>
    <row r="5495" spans="1:14" ht="15.75" customHeight="1" x14ac:dyDescent="0.25">
      <c r="A5495" s="7"/>
      <c r="B5495" s="345" t="s">
        <v>344</v>
      </c>
      <c r="C5495" s="344"/>
      <c r="D5495" s="344"/>
      <c r="E5495" s="334"/>
      <c r="F5495" s="107">
        <f>F5493+F5494</f>
        <v>72678074.174999997</v>
      </c>
      <c r="G5495" s="21"/>
      <c r="H5495" s="11"/>
      <c r="I5495" s="21"/>
      <c r="J5495" s="21"/>
      <c r="K5495" s="21"/>
      <c r="L5495" s="21"/>
      <c r="M5495" s="21"/>
      <c r="N5495" s="21"/>
    </row>
    <row r="5496" spans="1:14" ht="15.75" customHeight="1" x14ac:dyDescent="0.25">
      <c r="A5496" s="21"/>
      <c r="B5496" s="21"/>
      <c r="C5496" s="11"/>
      <c r="D5496" s="11"/>
      <c r="E5496" s="21"/>
      <c r="F5496" s="21"/>
      <c r="G5496" s="21"/>
      <c r="H5496" s="11"/>
      <c r="I5496" s="21"/>
      <c r="J5496" s="21"/>
      <c r="K5496" s="21"/>
      <c r="L5496" s="21"/>
      <c r="M5496" s="21"/>
      <c r="N5496" s="21"/>
    </row>
    <row r="5497" spans="1:14" ht="15.75" customHeight="1" x14ac:dyDescent="0.25">
      <c r="A5497" s="31" t="s">
        <v>14</v>
      </c>
      <c r="B5497" s="31" t="s">
        <v>234</v>
      </c>
      <c r="C5497" s="31" t="s">
        <v>16</v>
      </c>
      <c r="D5497" s="31" t="s">
        <v>17</v>
      </c>
      <c r="E5497" s="31" t="s">
        <v>235</v>
      </c>
      <c r="F5497" s="31" t="s">
        <v>236</v>
      </c>
      <c r="G5497" s="25" t="s">
        <v>2080</v>
      </c>
      <c r="H5497" s="33" t="s">
        <v>238</v>
      </c>
      <c r="I5497" s="11"/>
      <c r="J5497" s="31" t="s">
        <v>239</v>
      </c>
      <c r="K5497" s="31" t="s">
        <v>240</v>
      </c>
      <c r="L5497" s="31" t="s">
        <v>241</v>
      </c>
      <c r="M5497" s="31" t="s">
        <v>13</v>
      </c>
      <c r="N5497" s="21"/>
    </row>
    <row r="5498" spans="1:14" ht="15.75" customHeight="1" x14ac:dyDescent="0.25">
      <c r="A5498" s="7">
        <v>1</v>
      </c>
      <c r="B5498" s="41" t="s">
        <v>2125</v>
      </c>
      <c r="C5498" s="9">
        <v>4</v>
      </c>
      <c r="D5498" s="7" t="s">
        <v>989</v>
      </c>
      <c r="E5498" s="37">
        <v>110000</v>
      </c>
      <c r="F5498" s="37">
        <f>E5498*C5498</f>
        <v>440000</v>
      </c>
      <c r="G5498" s="172">
        <v>45377</v>
      </c>
      <c r="H5498" s="7"/>
      <c r="I5498" s="11"/>
      <c r="J5498" s="37"/>
      <c r="K5498" s="37">
        <f>J5498*C5498</f>
        <v>0</v>
      </c>
      <c r="L5498" s="7"/>
      <c r="M5498" s="35"/>
      <c r="N5498" s="21"/>
    </row>
    <row r="5499" spans="1:14" ht="15.75" customHeight="1" x14ac:dyDescent="0.25">
      <c r="A5499" s="7"/>
      <c r="B5499" s="343" t="s">
        <v>342</v>
      </c>
      <c r="C5499" s="344"/>
      <c r="D5499" s="344"/>
      <c r="E5499" s="334"/>
      <c r="F5499" s="104">
        <f>SUM(F5496:F5498)</f>
        <v>440000</v>
      </c>
      <c r="G5499" s="25" t="s">
        <v>2126</v>
      </c>
      <c r="H5499" s="11"/>
      <c r="I5499" s="21"/>
      <c r="J5499" s="35" t="s">
        <v>342</v>
      </c>
      <c r="K5499" s="104">
        <f>SUM(K5498)</f>
        <v>0</v>
      </c>
      <c r="L5499" s="358" t="s">
        <v>2119</v>
      </c>
      <c r="M5499" s="334"/>
      <c r="N5499" s="21"/>
    </row>
    <row r="5500" spans="1:14" ht="15.75" customHeight="1" x14ac:dyDescent="0.25">
      <c r="A5500" s="7"/>
      <c r="B5500" s="343" t="s">
        <v>343</v>
      </c>
      <c r="C5500" s="344"/>
      <c r="D5500" s="344"/>
      <c r="E5500" s="334"/>
      <c r="F5500" s="104">
        <f>F5499*11%</f>
        <v>48400</v>
      </c>
      <c r="G5500" s="25"/>
      <c r="H5500" s="11"/>
      <c r="I5500" s="21"/>
      <c r="J5500" s="35" t="s">
        <v>343</v>
      </c>
      <c r="K5500" s="104">
        <f>K5499*11%</f>
        <v>0</v>
      </c>
      <c r="L5500" s="355"/>
      <c r="M5500" s="356"/>
      <c r="N5500" s="21"/>
    </row>
    <row r="5501" spans="1:14" ht="15.75" customHeight="1" x14ac:dyDescent="0.25">
      <c r="A5501" s="7"/>
      <c r="B5501" s="345" t="s">
        <v>344</v>
      </c>
      <c r="C5501" s="344"/>
      <c r="D5501" s="344"/>
      <c r="E5501" s="334"/>
      <c r="F5501" s="107">
        <f>F5500+F5499</f>
        <v>488400</v>
      </c>
      <c r="G5501" s="25"/>
      <c r="H5501" s="11"/>
      <c r="I5501" s="21"/>
      <c r="J5501" s="35" t="s">
        <v>344</v>
      </c>
      <c r="K5501" s="107">
        <f>K5500+K5499</f>
        <v>0</v>
      </c>
      <c r="L5501" s="357"/>
      <c r="M5501" s="348"/>
      <c r="N5501" s="21"/>
    </row>
    <row r="5502" spans="1:14" ht="15.75" customHeight="1" x14ac:dyDescent="0.25">
      <c r="A5502" s="21"/>
      <c r="B5502" s="21"/>
      <c r="C5502" s="11"/>
      <c r="D5502" s="11"/>
      <c r="E5502" s="21"/>
      <c r="F5502" s="21"/>
      <c r="G5502" s="25"/>
      <c r="H5502" s="11"/>
      <c r="I5502" s="21"/>
      <c r="J5502" s="21"/>
      <c r="K5502" s="21"/>
      <c r="L5502" s="21"/>
      <c r="M5502" s="21"/>
      <c r="N5502" s="21"/>
    </row>
    <row r="5503" spans="1:14" ht="15.75" customHeight="1" x14ac:dyDescent="0.25">
      <c r="A5503" s="31" t="s">
        <v>14</v>
      </c>
      <c r="B5503" s="31" t="s">
        <v>234</v>
      </c>
      <c r="C5503" s="31" t="s">
        <v>16</v>
      </c>
      <c r="D5503" s="31" t="s">
        <v>17</v>
      </c>
      <c r="E5503" s="31" t="s">
        <v>235</v>
      </c>
      <c r="F5503" s="31" t="s">
        <v>236</v>
      </c>
      <c r="G5503" s="21"/>
      <c r="H5503" s="21"/>
      <c r="I5503" s="21"/>
      <c r="J5503" s="21"/>
      <c r="K5503" s="21"/>
      <c r="L5503" s="21"/>
      <c r="M5503" s="21"/>
      <c r="N5503" s="21"/>
    </row>
    <row r="5504" spans="1:14" ht="15.75" customHeight="1" x14ac:dyDescent="0.25">
      <c r="A5504" s="7">
        <v>1</v>
      </c>
      <c r="B5504" s="38" t="s">
        <v>2127</v>
      </c>
      <c r="C5504" s="9">
        <v>7</v>
      </c>
      <c r="D5504" s="7" t="s">
        <v>1137</v>
      </c>
      <c r="E5504" s="37">
        <v>66800</v>
      </c>
      <c r="F5504" s="37">
        <v>467600</v>
      </c>
      <c r="G5504" s="21" t="s">
        <v>2128</v>
      </c>
      <c r="H5504" s="21"/>
      <c r="I5504" s="21"/>
      <c r="J5504" s="21"/>
      <c r="K5504" s="21"/>
      <c r="L5504" s="21"/>
      <c r="M5504" s="21"/>
      <c r="N5504" s="21"/>
    </row>
    <row r="5505" spans="1:14" ht="15.75" customHeight="1" x14ac:dyDescent="0.25">
      <c r="A5505" s="7">
        <v>2</v>
      </c>
      <c r="B5505" s="35" t="s">
        <v>2129</v>
      </c>
      <c r="C5505" s="9">
        <v>2</v>
      </c>
      <c r="D5505" s="7" t="s">
        <v>19</v>
      </c>
      <c r="E5505" s="37">
        <v>52500</v>
      </c>
      <c r="F5505" s="37">
        <v>105000</v>
      </c>
      <c r="G5505" s="172">
        <v>45369</v>
      </c>
      <c r="H5505" s="21"/>
      <c r="I5505" s="21"/>
      <c r="J5505" s="21"/>
      <c r="K5505" s="21"/>
      <c r="L5505" s="21"/>
      <c r="M5505" s="21"/>
      <c r="N5505" s="21"/>
    </row>
    <row r="5506" spans="1:14" ht="15.75" customHeight="1" x14ac:dyDescent="0.25">
      <c r="A5506" s="7">
        <v>3</v>
      </c>
      <c r="B5506" s="35" t="s">
        <v>2130</v>
      </c>
      <c r="C5506" s="9">
        <v>4</v>
      </c>
      <c r="D5506" s="7" t="s">
        <v>19</v>
      </c>
      <c r="E5506" s="37">
        <v>115500</v>
      </c>
      <c r="F5506" s="37">
        <v>462000</v>
      </c>
      <c r="G5506" s="21" t="s">
        <v>2131</v>
      </c>
      <c r="H5506" s="21"/>
      <c r="I5506" s="21"/>
      <c r="J5506" s="21"/>
      <c r="K5506" s="21"/>
      <c r="L5506" s="21"/>
      <c r="M5506" s="21"/>
      <c r="N5506" s="21"/>
    </row>
    <row r="5507" spans="1:14" ht="15.75" customHeight="1" x14ac:dyDescent="0.25">
      <c r="A5507" s="7">
        <v>4</v>
      </c>
      <c r="B5507" s="35" t="s">
        <v>2132</v>
      </c>
      <c r="C5507" s="9">
        <v>3</v>
      </c>
      <c r="D5507" s="7" t="s">
        <v>19</v>
      </c>
      <c r="E5507" s="37">
        <v>76900</v>
      </c>
      <c r="F5507" s="37">
        <v>230700</v>
      </c>
      <c r="G5507" s="21"/>
      <c r="H5507" s="21"/>
      <c r="I5507" s="21"/>
      <c r="J5507" s="21"/>
      <c r="K5507" s="21"/>
      <c r="L5507" s="21"/>
      <c r="M5507" s="21"/>
      <c r="N5507" s="21"/>
    </row>
    <row r="5508" spans="1:14" ht="15.75" customHeight="1" x14ac:dyDescent="0.25">
      <c r="A5508" s="7"/>
      <c r="B5508" s="343" t="s">
        <v>342</v>
      </c>
      <c r="C5508" s="344"/>
      <c r="D5508" s="344"/>
      <c r="E5508" s="334"/>
      <c r="F5508" s="104">
        <v>1265300</v>
      </c>
      <c r="G5508" s="21"/>
      <c r="H5508" s="21"/>
      <c r="I5508" s="21"/>
      <c r="J5508" s="21"/>
      <c r="K5508" s="21"/>
      <c r="L5508" s="21"/>
      <c r="M5508" s="21"/>
      <c r="N5508" s="21"/>
    </row>
    <row r="5509" spans="1:14" ht="15.75" customHeight="1" x14ac:dyDescent="0.25">
      <c r="A5509" s="7"/>
      <c r="B5509" s="343" t="s">
        <v>343</v>
      </c>
      <c r="C5509" s="344"/>
      <c r="D5509" s="344"/>
      <c r="E5509" s="334"/>
      <c r="F5509" s="104">
        <v>139183</v>
      </c>
      <c r="G5509" s="21"/>
      <c r="H5509" s="21"/>
      <c r="I5509" s="21"/>
      <c r="J5509" s="21"/>
      <c r="K5509" s="21"/>
      <c r="L5509" s="21"/>
      <c r="M5509" s="21"/>
      <c r="N5509" s="21"/>
    </row>
    <row r="5510" spans="1:14" ht="15.75" customHeight="1" x14ac:dyDescent="0.25">
      <c r="A5510" s="7"/>
      <c r="B5510" s="345" t="s">
        <v>344</v>
      </c>
      <c r="C5510" s="344"/>
      <c r="D5510" s="344"/>
      <c r="E5510" s="334"/>
      <c r="F5510" s="107">
        <v>1404483</v>
      </c>
      <c r="G5510" s="21"/>
      <c r="H5510" s="21"/>
      <c r="I5510" s="21"/>
      <c r="J5510" s="21"/>
      <c r="K5510" s="21"/>
      <c r="L5510" s="21"/>
      <c r="M5510" s="21"/>
      <c r="N5510" s="21"/>
    </row>
    <row r="5511" spans="1:14" ht="15.75" customHeight="1" x14ac:dyDescent="0.25">
      <c r="A5511" s="21"/>
      <c r="B5511" s="21"/>
      <c r="C5511" s="11"/>
      <c r="D5511" s="11"/>
      <c r="E5511" s="21"/>
      <c r="F5511" s="21"/>
      <c r="G5511" s="25"/>
      <c r="H5511" s="11"/>
      <c r="I5511" s="21"/>
      <c r="J5511" s="21"/>
      <c r="K5511" s="21"/>
      <c r="L5511" s="21"/>
      <c r="M5511" s="21"/>
      <c r="N5511" s="21"/>
    </row>
    <row r="5512" spans="1:14" ht="15.75" customHeight="1" x14ac:dyDescent="0.25">
      <c r="A5512" s="21"/>
      <c r="B5512" s="21"/>
      <c r="C5512" s="11"/>
      <c r="D5512" s="11"/>
      <c r="E5512" s="21"/>
      <c r="F5512" s="21"/>
      <c r="G5512" s="25"/>
      <c r="H5512" s="11"/>
      <c r="I5512" s="21"/>
      <c r="J5512" s="21"/>
      <c r="K5512" s="21"/>
      <c r="L5512" s="21"/>
      <c r="M5512" s="21"/>
      <c r="N5512" s="21"/>
    </row>
    <row r="5513" spans="1:14" ht="15.75" customHeight="1" x14ac:dyDescent="0.25">
      <c r="A5513" s="31" t="s">
        <v>14</v>
      </c>
      <c r="B5513" s="31" t="s">
        <v>234</v>
      </c>
      <c r="C5513" s="31" t="s">
        <v>16</v>
      </c>
      <c r="D5513" s="31" t="s">
        <v>17</v>
      </c>
      <c r="E5513" s="31" t="s">
        <v>235</v>
      </c>
      <c r="F5513" s="31" t="s">
        <v>236</v>
      </c>
      <c r="G5513" s="144" t="s">
        <v>1926</v>
      </c>
      <c r="H5513" s="33" t="s">
        <v>238</v>
      </c>
      <c r="I5513" s="11"/>
      <c r="J5513" s="31" t="s">
        <v>239</v>
      </c>
      <c r="K5513" s="31" t="s">
        <v>240</v>
      </c>
      <c r="L5513" s="31" t="s">
        <v>241</v>
      </c>
      <c r="M5513" s="31" t="s">
        <v>13</v>
      </c>
      <c r="N5513" s="21"/>
    </row>
    <row r="5514" spans="1:14" ht="15.75" customHeight="1" x14ac:dyDescent="0.25">
      <c r="A5514" s="7">
        <v>1</v>
      </c>
      <c r="B5514" s="38" t="s">
        <v>2133</v>
      </c>
      <c r="C5514" s="9">
        <v>2</v>
      </c>
      <c r="D5514" s="7" t="s">
        <v>251</v>
      </c>
      <c r="E5514" s="37">
        <v>5412150</v>
      </c>
      <c r="F5514" s="37">
        <v>10824300</v>
      </c>
      <c r="G5514" s="172">
        <v>45369</v>
      </c>
      <c r="H5514" s="7"/>
      <c r="I5514" s="11"/>
      <c r="J5514" s="37"/>
      <c r="K5514" s="37">
        <f>J5514*C5514</f>
        <v>0</v>
      </c>
      <c r="L5514" s="7"/>
      <c r="M5514" s="35"/>
      <c r="N5514" s="21"/>
    </row>
    <row r="5515" spans="1:14" ht="15.75" customHeight="1" x14ac:dyDescent="0.25">
      <c r="A5515" s="7"/>
      <c r="B5515" s="343" t="s">
        <v>342</v>
      </c>
      <c r="C5515" s="344"/>
      <c r="D5515" s="344"/>
      <c r="E5515" s="334"/>
      <c r="F5515" s="104">
        <v>10824300</v>
      </c>
      <c r="G5515" s="21" t="s">
        <v>2134</v>
      </c>
      <c r="H5515" s="11"/>
      <c r="I5515" s="21"/>
      <c r="J5515" s="35" t="s">
        <v>342</v>
      </c>
      <c r="K5515" s="104">
        <f>SUM(K5514)</f>
        <v>0</v>
      </c>
      <c r="L5515" s="358" t="s">
        <v>2119</v>
      </c>
      <c r="M5515" s="334"/>
      <c r="N5515" s="21"/>
    </row>
    <row r="5516" spans="1:14" ht="15.75" customHeight="1" x14ac:dyDescent="0.25">
      <c r="A5516" s="7"/>
      <c r="B5516" s="343" t="s">
        <v>343</v>
      </c>
      <c r="C5516" s="344"/>
      <c r="D5516" s="344"/>
      <c r="E5516" s="334"/>
      <c r="F5516" s="104">
        <v>1190673</v>
      </c>
      <c r="G5516" s="21" t="s">
        <v>2135</v>
      </c>
      <c r="H5516" s="11"/>
      <c r="I5516" s="21"/>
      <c r="J5516" s="35" t="s">
        <v>343</v>
      </c>
      <c r="K5516" s="104">
        <f>K5515*11%</f>
        <v>0</v>
      </c>
      <c r="L5516" s="355"/>
      <c r="M5516" s="356"/>
      <c r="N5516" s="21"/>
    </row>
    <row r="5517" spans="1:14" ht="15.75" customHeight="1" x14ac:dyDescent="0.25">
      <c r="A5517" s="7"/>
      <c r="B5517" s="345" t="s">
        <v>344</v>
      </c>
      <c r="C5517" s="344"/>
      <c r="D5517" s="344"/>
      <c r="E5517" s="334"/>
      <c r="F5517" s="107">
        <v>12014973</v>
      </c>
      <c r="G5517" s="21"/>
      <c r="H5517" s="11"/>
      <c r="I5517" s="21"/>
      <c r="J5517" s="35" t="s">
        <v>344</v>
      </c>
      <c r="K5517" s="107">
        <f>K5516+K5515</f>
        <v>0</v>
      </c>
      <c r="L5517" s="357"/>
      <c r="M5517" s="348"/>
      <c r="N5517" s="21"/>
    </row>
    <row r="5518" spans="1:14" ht="15.75" customHeight="1" x14ac:dyDescent="0.25">
      <c r="A5518" s="21"/>
      <c r="B5518" s="21"/>
      <c r="C5518" s="11"/>
      <c r="D5518" s="11"/>
      <c r="E5518" s="21"/>
      <c r="F5518" s="21"/>
      <c r="G5518" s="25"/>
      <c r="H5518" s="11"/>
      <c r="I5518" s="21"/>
      <c r="J5518" s="21"/>
      <c r="K5518" s="21"/>
      <c r="L5518" s="21"/>
      <c r="M5518" s="21"/>
      <c r="N5518" s="21"/>
    </row>
    <row r="5519" spans="1:14" ht="15.75" customHeight="1" x14ac:dyDescent="0.25">
      <c r="A5519" s="31" t="s">
        <v>14</v>
      </c>
      <c r="B5519" s="31" t="s">
        <v>234</v>
      </c>
      <c r="C5519" s="31" t="s">
        <v>16</v>
      </c>
      <c r="D5519" s="31" t="s">
        <v>17</v>
      </c>
      <c r="E5519" s="31" t="s">
        <v>235</v>
      </c>
      <c r="F5519" s="31" t="s">
        <v>236</v>
      </c>
      <c r="G5519" s="25" t="s">
        <v>257</v>
      </c>
      <c r="H5519" s="33" t="s">
        <v>238</v>
      </c>
      <c r="I5519" s="11"/>
      <c r="J5519" s="31" t="s">
        <v>239</v>
      </c>
      <c r="K5519" s="31" t="s">
        <v>240</v>
      </c>
      <c r="L5519" s="31" t="s">
        <v>241</v>
      </c>
      <c r="M5519" s="31" t="s">
        <v>13</v>
      </c>
      <c r="N5519" s="21"/>
    </row>
    <row r="5520" spans="1:14" ht="15.75" customHeight="1" x14ac:dyDescent="0.25">
      <c r="A5520" s="7">
        <v>1</v>
      </c>
      <c r="B5520" s="41" t="s">
        <v>2136</v>
      </c>
      <c r="C5520" s="9">
        <v>8</v>
      </c>
      <c r="D5520" s="7" t="s">
        <v>19</v>
      </c>
      <c r="E5520" s="37">
        <v>71250</v>
      </c>
      <c r="F5520" s="37">
        <f>E5520*C5520</f>
        <v>570000</v>
      </c>
      <c r="G5520" s="172">
        <v>45378</v>
      </c>
      <c r="H5520" s="7"/>
      <c r="I5520" s="11"/>
      <c r="J5520" s="37"/>
      <c r="K5520" s="37">
        <f>J5520*C5520</f>
        <v>0</v>
      </c>
      <c r="L5520" s="7"/>
      <c r="M5520" s="35"/>
      <c r="N5520" s="21"/>
    </row>
    <row r="5521" spans="1:14" ht="15.75" customHeight="1" x14ac:dyDescent="0.25">
      <c r="A5521" s="7"/>
      <c r="B5521" s="343" t="s">
        <v>342</v>
      </c>
      <c r="C5521" s="344"/>
      <c r="D5521" s="344"/>
      <c r="E5521" s="334"/>
      <c r="F5521" s="104">
        <f>SUM(F5518:F5520)</f>
        <v>570000</v>
      </c>
      <c r="G5521" s="25" t="s">
        <v>2137</v>
      </c>
      <c r="H5521" s="11"/>
      <c r="I5521" s="21"/>
      <c r="J5521" s="35" t="s">
        <v>342</v>
      </c>
      <c r="K5521" s="104">
        <f>SUM(K5520)</f>
        <v>0</v>
      </c>
      <c r="L5521" s="358" t="s">
        <v>2119</v>
      </c>
      <c r="M5521" s="334"/>
      <c r="N5521" s="21"/>
    </row>
    <row r="5522" spans="1:14" ht="15.75" customHeight="1" x14ac:dyDescent="0.25">
      <c r="A5522" s="7"/>
      <c r="B5522" s="343" t="s">
        <v>343</v>
      </c>
      <c r="C5522" s="344"/>
      <c r="D5522" s="344"/>
      <c r="E5522" s="334"/>
      <c r="F5522" s="104">
        <f>F5521*11%</f>
        <v>62700</v>
      </c>
      <c r="G5522" s="25"/>
      <c r="H5522" s="11"/>
      <c r="I5522" s="21"/>
      <c r="J5522" s="35" t="s">
        <v>343</v>
      </c>
      <c r="K5522" s="104">
        <f>K5521*11%</f>
        <v>0</v>
      </c>
      <c r="L5522" s="355"/>
      <c r="M5522" s="356"/>
      <c r="N5522" s="21"/>
    </row>
    <row r="5523" spans="1:14" ht="15.75" customHeight="1" x14ac:dyDescent="0.25">
      <c r="A5523" s="7"/>
      <c r="B5523" s="345" t="s">
        <v>344</v>
      </c>
      <c r="C5523" s="344"/>
      <c r="D5523" s="344"/>
      <c r="E5523" s="334"/>
      <c r="F5523" s="107">
        <f>F5522+F5521</f>
        <v>632700</v>
      </c>
      <c r="G5523" s="25"/>
      <c r="H5523" s="11"/>
      <c r="I5523" s="21"/>
      <c r="J5523" s="35" t="s">
        <v>344</v>
      </c>
      <c r="K5523" s="107">
        <f>K5522+K5521</f>
        <v>0</v>
      </c>
      <c r="L5523" s="357"/>
      <c r="M5523" s="348"/>
      <c r="N5523" s="21"/>
    </row>
    <row r="5524" spans="1:14" ht="15.75" customHeight="1" x14ac:dyDescent="0.25">
      <c r="A5524" s="21"/>
      <c r="B5524" s="21"/>
      <c r="C5524" s="11"/>
      <c r="D5524" s="11"/>
      <c r="E5524" s="21"/>
      <c r="F5524" s="21"/>
      <c r="G5524" s="25"/>
      <c r="H5524" s="11"/>
      <c r="I5524" s="21"/>
      <c r="J5524" s="21"/>
      <c r="K5524" s="21"/>
      <c r="L5524" s="21"/>
      <c r="M5524" s="21"/>
      <c r="N5524" s="21"/>
    </row>
    <row r="5525" spans="1:14" ht="15.75" customHeight="1" x14ac:dyDescent="0.25">
      <c r="A5525" s="31" t="s">
        <v>14</v>
      </c>
      <c r="B5525" s="31" t="s">
        <v>234</v>
      </c>
      <c r="C5525" s="31" t="s">
        <v>16</v>
      </c>
      <c r="D5525" s="31" t="s">
        <v>17</v>
      </c>
      <c r="E5525" s="31" t="s">
        <v>235</v>
      </c>
      <c r="F5525" s="31" t="s">
        <v>236</v>
      </c>
      <c r="G5525" s="25" t="s">
        <v>1938</v>
      </c>
      <c r="H5525" s="11"/>
      <c r="I5525" s="21"/>
      <c r="J5525" s="21"/>
      <c r="K5525" s="21"/>
      <c r="L5525" s="21"/>
      <c r="M5525" s="21"/>
      <c r="N5525" s="21"/>
    </row>
    <row r="5526" spans="1:14" ht="15.75" customHeight="1" x14ac:dyDescent="0.25">
      <c r="A5526" s="7">
        <v>1</v>
      </c>
      <c r="B5526" s="38" t="s">
        <v>2138</v>
      </c>
      <c r="C5526" s="9">
        <v>6</v>
      </c>
      <c r="D5526" s="7" t="s">
        <v>19</v>
      </c>
      <c r="E5526" s="37">
        <v>13775</v>
      </c>
      <c r="F5526" s="37">
        <v>82650</v>
      </c>
      <c r="G5526" s="172">
        <v>45378</v>
      </c>
      <c r="H5526" s="11"/>
      <c r="I5526" s="21"/>
      <c r="J5526" s="21"/>
      <c r="K5526" s="21"/>
      <c r="L5526" s="21"/>
      <c r="M5526" s="21"/>
      <c r="N5526" s="21"/>
    </row>
    <row r="5527" spans="1:14" ht="15.75" customHeight="1" x14ac:dyDescent="0.25">
      <c r="A5527" s="7">
        <v>2</v>
      </c>
      <c r="B5527" s="35" t="s">
        <v>2139</v>
      </c>
      <c r="C5527" s="9">
        <v>4</v>
      </c>
      <c r="D5527" s="7" t="s">
        <v>19</v>
      </c>
      <c r="E5527" s="37">
        <v>27550</v>
      </c>
      <c r="F5527" s="37">
        <v>110200</v>
      </c>
      <c r="G5527" s="25" t="s">
        <v>2140</v>
      </c>
      <c r="H5527" s="11"/>
      <c r="I5527" s="21"/>
      <c r="J5527" s="21"/>
      <c r="K5527" s="21"/>
      <c r="L5527" s="21"/>
      <c r="M5527" s="21"/>
      <c r="N5527" s="21"/>
    </row>
    <row r="5528" spans="1:14" ht="15.75" customHeight="1" x14ac:dyDescent="0.25">
      <c r="A5528" s="7">
        <v>3</v>
      </c>
      <c r="B5528" s="35" t="s">
        <v>2141</v>
      </c>
      <c r="C5528" s="9">
        <v>4</v>
      </c>
      <c r="D5528" s="7" t="s">
        <v>251</v>
      </c>
      <c r="E5528" s="37">
        <v>36860</v>
      </c>
      <c r="F5528" s="37">
        <v>147440</v>
      </c>
      <c r="G5528" s="25"/>
      <c r="H5528" s="11"/>
      <c r="I5528" s="21"/>
      <c r="J5528" s="21"/>
      <c r="K5528" s="21"/>
      <c r="L5528" s="21"/>
      <c r="M5528" s="21"/>
      <c r="N5528" s="21"/>
    </row>
    <row r="5529" spans="1:14" ht="15.75" customHeight="1" x14ac:dyDescent="0.25">
      <c r="A5529" s="7">
        <v>4</v>
      </c>
      <c r="B5529" s="35" t="s">
        <v>2142</v>
      </c>
      <c r="C5529" s="9">
        <v>10</v>
      </c>
      <c r="D5529" s="7" t="s">
        <v>19</v>
      </c>
      <c r="E5529" s="37">
        <v>19760</v>
      </c>
      <c r="F5529" s="37">
        <v>197600</v>
      </c>
      <c r="G5529" s="25"/>
      <c r="H5529" s="11"/>
      <c r="I5529" s="21"/>
      <c r="J5529" s="21"/>
      <c r="K5529" s="21"/>
      <c r="L5529" s="21"/>
      <c r="M5529" s="21"/>
      <c r="N5529" s="21"/>
    </row>
    <row r="5530" spans="1:14" ht="15.75" customHeight="1" x14ac:dyDescent="0.25">
      <c r="A5530" s="7"/>
      <c r="B5530" s="343" t="s">
        <v>342</v>
      </c>
      <c r="C5530" s="344"/>
      <c r="D5530" s="344"/>
      <c r="E5530" s="334"/>
      <c r="F5530" s="104">
        <v>537890</v>
      </c>
      <c r="G5530" s="25"/>
      <c r="H5530" s="11"/>
      <c r="I5530" s="21"/>
      <c r="J5530" s="21"/>
      <c r="K5530" s="21"/>
      <c r="L5530" s="21"/>
      <c r="M5530" s="21"/>
      <c r="N5530" s="21"/>
    </row>
    <row r="5531" spans="1:14" ht="15.75" customHeight="1" x14ac:dyDescent="0.25">
      <c r="A5531" s="7"/>
      <c r="B5531" s="343" t="s">
        <v>343</v>
      </c>
      <c r="C5531" s="344"/>
      <c r="D5531" s="344"/>
      <c r="E5531" s="334"/>
      <c r="F5531" s="167">
        <v>59167.9</v>
      </c>
      <c r="G5531" s="25"/>
      <c r="H5531" s="11"/>
      <c r="I5531" s="21"/>
      <c r="J5531" s="21"/>
      <c r="K5531" s="21"/>
      <c r="L5531" s="21"/>
      <c r="M5531" s="21"/>
      <c r="N5531" s="21"/>
    </row>
    <row r="5532" spans="1:14" ht="15.75" customHeight="1" x14ac:dyDescent="0.25">
      <c r="A5532" s="7"/>
      <c r="B5532" s="345" t="s">
        <v>344</v>
      </c>
      <c r="C5532" s="344"/>
      <c r="D5532" s="344"/>
      <c r="E5532" s="334"/>
      <c r="F5532" s="168">
        <v>597057.9</v>
      </c>
      <c r="G5532" s="25"/>
      <c r="H5532" s="11"/>
      <c r="I5532" s="21"/>
      <c r="J5532" s="21"/>
      <c r="K5532" s="21"/>
      <c r="L5532" s="21"/>
      <c r="M5532" s="21"/>
      <c r="N5532" s="21"/>
    </row>
    <row r="5533" spans="1:14" ht="15.75" customHeight="1" x14ac:dyDescent="0.25">
      <c r="A5533" s="21"/>
      <c r="B5533" s="21"/>
      <c r="C5533" s="11"/>
      <c r="D5533" s="11"/>
      <c r="E5533" s="21"/>
      <c r="F5533" s="21"/>
      <c r="G5533" s="25"/>
      <c r="H5533" s="11"/>
      <c r="I5533" s="21"/>
      <c r="J5533" s="21"/>
      <c r="K5533" s="21"/>
      <c r="L5533" s="21"/>
      <c r="M5533" s="21"/>
      <c r="N5533" s="21"/>
    </row>
    <row r="5534" spans="1:14" ht="15.75" customHeight="1" x14ac:dyDescent="0.25">
      <c r="A5534" s="21"/>
      <c r="B5534" s="21"/>
      <c r="C5534" s="11"/>
      <c r="D5534" s="11"/>
      <c r="E5534" s="21"/>
      <c r="F5534" s="21"/>
      <c r="G5534" s="25"/>
      <c r="H5534" s="11"/>
      <c r="I5534" s="21"/>
      <c r="J5534" s="21"/>
      <c r="K5534" s="21"/>
      <c r="L5534" s="21"/>
      <c r="M5534" s="21"/>
      <c r="N5534" s="21"/>
    </row>
    <row r="5535" spans="1:14" ht="15.75" customHeight="1" x14ac:dyDescent="0.25">
      <c r="A5535" s="31" t="s">
        <v>14</v>
      </c>
      <c r="B5535" s="31" t="s">
        <v>234</v>
      </c>
      <c r="C5535" s="31" t="s">
        <v>16</v>
      </c>
      <c r="D5535" s="31" t="s">
        <v>17</v>
      </c>
      <c r="E5535" s="31" t="s">
        <v>235</v>
      </c>
      <c r="F5535" s="31" t="s">
        <v>236</v>
      </c>
      <c r="G5535" s="25" t="s">
        <v>2128</v>
      </c>
      <c r="H5535" s="33" t="s">
        <v>238</v>
      </c>
      <c r="I5535" s="11"/>
      <c r="J5535" s="31" t="s">
        <v>239</v>
      </c>
      <c r="K5535" s="31" t="s">
        <v>240</v>
      </c>
      <c r="L5535" s="31" t="s">
        <v>241</v>
      </c>
      <c r="M5535" s="31" t="s">
        <v>13</v>
      </c>
      <c r="N5535" s="21"/>
    </row>
    <row r="5536" spans="1:14" ht="15.75" customHeight="1" x14ac:dyDescent="0.25">
      <c r="A5536" s="7">
        <v>1</v>
      </c>
      <c r="B5536" s="21" t="s">
        <v>2143</v>
      </c>
      <c r="C5536" s="9">
        <v>3</v>
      </c>
      <c r="D5536" s="7" t="s">
        <v>19</v>
      </c>
      <c r="E5536" s="37">
        <v>25625000</v>
      </c>
      <c r="F5536" s="37">
        <f>E5536*C5536</f>
        <v>76875000</v>
      </c>
      <c r="G5536" s="172">
        <v>45324</v>
      </c>
      <c r="H5536" s="7"/>
      <c r="I5536" s="11"/>
      <c r="J5536" s="37"/>
      <c r="K5536" s="37">
        <f>J5536*C5536</f>
        <v>0</v>
      </c>
      <c r="L5536" s="7"/>
      <c r="M5536" s="35"/>
      <c r="N5536" s="21"/>
    </row>
    <row r="5537" spans="1:14" ht="15.75" customHeight="1" x14ac:dyDescent="0.25">
      <c r="A5537" s="7"/>
      <c r="B5537" s="343" t="s">
        <v>342</v>
      </c>
      <c r="C5537" s="344"/>
      <c r="D5537" s="344"/>
      <c r="E5537" s="334"/>
      <c r="F5537" s="104">
        <f>SUM(F5534:F5536)</f>
        <v>76875000</v>
      </c>
      <c r="G5537" s="25" t="s">
        <v>2144</v>
      </c>
      <c r="H5537" s="11"/>
      <c r="I5537" s="21"/>
      <c r="J5537" s="35" t="s">
        <v>342</v>
      </c>
      <c r="K5537" s="104">
        <f>SUM(K5536)</f>
        <v>0</v>
      </c>
      <c r="L5537" s="358" t="s">
        <v>2119</v>
      </c>
      <c r="M5537" s="334"/>
      <c r="N5537" s="21"/>
    </row>
    <row r="5538" spans="1:14" ht="15.75" customHeight="1" x14ac:dyDescent="0.25">
      <c r="A5538" s="7"/>
      <c r="B5538" s="343" t="s">
        <v>343</v>
      </c>
      <c r="C5538" s="344"/>
      <c r="D5538" s="344"/>
      <c r="E5538" s="334"/>
      <c r="F5538" s="104">
        <f>F5537*11%</f>
        <v>8456250</v>
      </c>
      <c r="G5538" s="25"/>
      <c r="H5538" s="11"/>
      <c r="I5538" s="21"/>
      <c r="J5538" s="35" t="s">
        <v>343</v>
      </c>
      <c r="K5538" s="104">
        <f>K5537*11%</f>
        <v>0</v>
      </c>
      <c r="L5538" s="355"/>
      <c r="M5538" s="356"/>
      <c r="N5538" s="21"/>
    </row>
    <row r="5539" spans="1:14" ht="15.75" customHeight="1" x14ac:dyDescent="0.25">
      <c r="A5539" s="7"/>
      <c r="B5539" s="345" t="s">
        <v>344</v>
      </c>
      <c r="C5539" s="344"/>
      <c r="D5539" s="344"/>
      <c r="E5539" s="334"/>
      <c r="F5539" s="107">
        <f>F5538+F5537</f>
        <v>85331250</v>
      </c>
      <c r="G5539" s="25"/>
      <c r="H5539" s="11"/>
      <c r="I5539" s="21"/>
      <c r="J5539" s="35" t="s">
        <v>344</v>
      </c>
      <c r="K5539" s="107">
        <f>K5538+K5537</f>
        <v>0</v>
      </c>
      <c r="L5539" s="357"/>
      <c r="M5539" s="348"/>
      <c r="N5539" s="21"/>
    </row>
    <row r="5540" spans="1:14" ht="15.75" customHeight="1" x14ac:dyDescent="0.25">
      <c r="A5540" s="21"/>
      <c r="B5540" s="21"/>
      <c r="C5540" s="11"/>
      <c r="D5540" s="11"/>
      <c r="E5540" s="21"/>
      <c r="F5540" s="21"/>
      <c r="G5540" s="25"/>
      <c r="H5540" s="11"/>
      <c r="I5540" s="21"/>
      <c r="J5540" s="21"/>
      <c r="K5540" s="21"/>
      <c r="L5540" s="21"/>
      <c r="M5540" s="21"/>
      <c r="N5540" s="21"/>
    </row>
    <row r="5541" spans="1:14" ht="15.75" customHeight="1" x14ac:dyDescent="0.25">
      <c r="A5541" s="21"/>
      <c r="B5541" s="21"/>
      <c r="C5541" s="11"/>
      <c r="D5541" s="11"/>
      <c r="E5541" s="21"/>
      <c r="F5541" s="21"/>
      <c r="G5541" s="25"/>
      <c r="H5541" s="11"/>
      <c r="I5541" s="21"/>
      <c r="J5541" s="21"/>
      <c r="K5541" s="21"/>
      <c r="L5541" s="21"/>
      <c r="M5541" s="21"/>
      <c r="N5541" s="21"/>
    </row>
    <row r="5542" spans="1:14" ht="15.75" customHeight="1" x14ac:dyDescent="0.25">
      <c r="A5542" s="31" t="s">
        <v>14</v>
      </c>
      <c r="B5542" s="31" t="s">
        <v>234</v>
      </c>
      <c r="C5542" s="31" t="s">
        <v>16</v>
      </c>
      <c r="D5542" s="31" t="s">
        <v>17</v>
      </c>
      <c r="E5542" s="31" t="s">
        <v>235</v>
      </c>
      <c r="F5542" s="31" t="s">
        <v>236</v>
      </c>
      <c r="G5542" s="25" t="s">
        <v>2128</v>
      </c>
      <c r="H5542" s="33" t="s">
        <v>238</v>
      </c>
      <c r="I5542" s="11"/>
      <c r="J5542" s="31" t="s">
        <v>239</v>
      </c>
      <c r="K5542" s="31" t="s">
        <v>240</v>
      </c>
      <c r="L5542" s="31" t="s">
        <v>241</v>
      </c>
      <c r="M5542" s="31" t="s">
        <v>13</v>
      </c>
      <c r="N5542" s="21"/>
    </row>
    <row r="5543" spans="1:14" ht="15.75" customHeight="1" x14ac:dyDescent="0.25">
      <c r="A5543" s="7">
        <v>1</v>
      </c>
      <c r="B5543" s="21" t="s">
        <v>2145</v>
      </c>
      <c r="C5543" s="9">
        <v>2</v>
      </c>
      <c r="D5543" s="7" t="s">
        <v>19</v>
      </c>
      <c r="E5543" s="37">
        <v>205500</v>
      </c>
      <c r="F5543" s="37">
        <f>E5543*C5543</f>
        <v>411000</v>
      </c>
      <c r="G5543" s="172">
        <v>45376</v>
      </c>
      <c r="H5543" s="7"/>
      <c r="I5543" s="11"/>
      <c r="J5543" s="37"/>
      <c r="K5543" s="37">
        <f>J5543*C5543</f>
        <v>0</v>
      </c>
      <c r="L5543" s="7"/>
      <c r="M5543" s="35"/>
      <c r="N5543" s="21"/>
    </row>
    <row r="5544" spans="1:14" ht="15.75" customHeight="1" x14ac:dyDescent="0.25">
      <c r="A5544" s="7">
        <v>2</v>
      </c>
      <c r="B5544" s="41" t="s">
        <v>2146</v>
      </c>
      <c r="C5544" s="9">
        <v>5</v>
      </c>
      <c r="D5544" s="7" t="s">
        <v>1137</v>
      </c>
      <c r="E5544" s="37">
        <v>73500</v>
      </c>
      <c r="F5544" s="37">
        <f>E5544*C5544</f>
        <v>367500</v>
      </c>
      <c r="G5544" s="25" t="s">
        <v>2147</v>
      </c>
      <c r="H5544" s="7"/>
      <c r="I5544" s="11"/>
      <c r="J5544" s="37"/>
      <c r="K5544" s="37">
        <f>J5544*C5544</f>
        <v>0</v>
      </c>
      <c r="L5544" s="7"/>
      <c r="M5544" s="35"/>
      <c r="N5544" s="21"/>
    </row>
    <row r="5545" spans="1:14" ht="15.75" customHeight="1" x14ac:dyDescent="0.25">
      <c r="A5545" s="7"/>
      <c r="B5545" s="343" t="s">
        <v>342</v>
      </c>
      <c r="C5545" s="344"/>
      <c r="D5545" s="344"/>
      <c r="E5545" s="334"/>
      <c r="F5545" s="104">
        <f>SUM(F5543:F5544)</f>
        <v>778500</v>
      </c>
      <c r="G5545" s="25"/>
      <c r="H5545" s="11"/>
      <c r="I5545" s="21"/>
      <c r="J5545" s="35" t="s">
        <v>342</v>
      </c>
      <c r="K5545" s="104">
        <f>SUM(K5543:K5544)</f>
        <v>0</v>
      </c>
      <c r="L5545" s="358" t="s">
        <v>2119</v>
      </c>
      <c r="M5545" s="334"/>
      <c r="N5545" s="21"/>
    </row>
    <row r="5546" spans="1:14" ht="15.75" customHeight="1" x14ac:dyDescent="0.25">
      <c r="A5546" s="7"/>
      <c r="B5546" s="343" t="s">
        <v>343</v>
      </c>
      <c r="C5546" s="344"/>
      <c r="D5546" s="344"/>
      <c r="E5546" s="334"/>
      <c r="F5546" s="104">
        <f>F5545*11%</f>
        <v>85635</v>
      </c>
      <c r="G5546" s="25"/>
      <c r="H5546" s="11"/>
      <c r="I5546" s="21"/>
      <c r="J5546" s="35" t="s">
        <v>343</v>
      </c>
      <c r="K5546" s="167">
        <f>K5545*11%</f>
        <v>0</v>
      </c>
      <c r="L5546" s="355"/>
      <c r="M5546" s="356"/>
      <c r="N5546" s="21"/>
    </row>
    <row r="5547" spans="1:14" ht="15.75" customHeight="1" x14ac:dyDescent="0.25">
      <c r="A5547" s="7"/>
      <c r="B5547" s="345" t="s">
        <v>344</v>
      </c>
      <c r="C5547" s="344"/>
      <c r="D5547" s="344"/>
      <c r="E5547" s="334"/>
      <c r="F5547" s="107">
        <f>F5545+F5546</f>
        <v>864135</v>
      </c>
      <c r="G5547" s="25"/>
      <c r="H5547" s="11"/>
      <c r="I5547" s="21"/>
      <c r="J5547" s="35" t="s">
        <v>344</v>
      </c>
      <c r="K5547" s="168">
        <f>K5546+K5545</f>
        <v>0</v>
      </c>
      <c r="L5547" s="357"/>
      <c r="M5547" s="348"/>
      <c r="N5547" s="21"/>
    </row>
    <row r="5548" spans="1:14" ht="15.75" customHeight="1" x14ac:dyDescent="0.25">
      <c r="A5548" s="21"/>
      <c r="B5548" s="21"/>
      <c r="C5548" s="11"/>
      <c r="D5548" s="11"/>
      <c r="E5548" s="21"/>
      <c r="F5548" s="21"/>
      <c r="G5548" s="25"/>
      <c r="H5548" s="11"/>
      <c r="I5548" s="21"/>
      <c r="J5548" s="21"/>
      <c r="K5548" s="21"/>
      <c r="L5548" s="21"/>
      <c r="M5548" s="21"/>
      <c r="N5548" s="21"/>
    </row>
    <row r="5549" spans="1:14" ht="15.75" customHeight="1" x14ac:dyDescent="0.25">
      <c r="A5549" s="31" t="s">
        <v>14</v>
      </c>
      <c r="B5549" s="31" t="s">
        <v>234</v>
      </c>
      <c r="C5549" s="31" t="s">
        <v>16</v>
      </c>
      <c r="D5549" s="31" t="s">
        <v>17</v>
      </c>
      <c r="E5549" s="31" t="s">
        <v>235</v>
      </c>
      <c r="F5549" s="31" t="s">
        <v>236</v>
      </c>
      <c r="G5549" s="144" t="s">
        <v>1938</v>
      </c>
      <c r="H5549" s="33" t="s">
        <v>238</v>
      </c>
      <c r="I5549" s="11"/>
      <c r="J5549" s="31" t="s">
        <v>239</v>
      </c>
      <c r="K5549" s="31" t="s">
        <v>240</v>
      </c>
      <c r="L5549" s="31" t="s">
        <v>241</v>
      </c>
      <c r="M5549" s="31" t="s">
        <v>13</v>
      </c>
      <c r="N5549" s="21"/>
    </row>
    <row r="5550" spans="1:14" ht="15.75" customHeight="1" x14ac:dyDescent="0.25">
      <c r="A5550" s="7">
        <v>1</v>
      </c>
      <c r="B5550" s="38" t="s">
        <v>2148</v>
      </c>
      <c r="C5550" s="9">
        <v>4</v>
      </c>
      <c r="D5550" s="7" t="s">
        <v>251</v>
      </c>
      <c r="E5550" s="37">
        <v>150000</v>
      </c>
      <c r="F5550" s="37">
        <v>600000</v>
      </c>
      <c r="G5550" s="172">
        <v>45384</v>
      </c>
      <c r="H5550" s="7">
        <v>3.2258100000000001</v>
      </c>
      <c r="I5550" s="11"/>
      <c r="J5550" s="37"/>
      <c r="K5550" s="37">
        <f>J5550*C5550</f>
        <v>0</v>
      </c>
      <c r="L5550" s="7"/>
      <c r="M5550" s="35"/>
      <c r="N5550" s="21"/>
    </row>
    <row r="5551" spans="1:14" ht="15.75" customHeight="1" x14ac:dyDescent="0.25">
      <c r="A5551" s="7"/>
      <c r="B5551" s="343" t="s">
        <v>342</v>
      </c>
      <c r="C5551" s="344"/>
      <c r="D5551" s="344"/>
      <c r="E5551" s="334"/>
      <c r="F5551" s="104">
        <v>600000</v>
      </c>
      <c r="G5551" s="21" t="s">
        <v>2149</v>
      </c>
      <c r="H5551" s="11"/>
      <c r="I5551" s="21"/>
      <c r="J5551" s="35" t="s">
        <v>342</v>
      </c>
      <c r="K5551" s="104">
        <f>SUM(K5550)</f>
        <v>0</v>
      </c>
      <c r="L5551" s="358" t="s">
        <v>2119</v>
      </c>
      <c r="M5551" s="334"/>
      <c r="N5551" s="21"/>
    </row>
    <row r="5552" spans="1:14" ht="15.75" customHeight="1" x14ac:dyDescent="0.25">
      <c r="A5552" s="7"/>
      <c r="B5552" s="343" t="s">
        <v>343</v>
      </c>
      <c r="C5552" s="344"/>
      <c r="D5552" s="344"/>
      <c r="E5552" s="334"/>
      <c r="F5552" s="104">
        <v>66000</v>
      </c>
      <c r="G5552" s="21"/>
      <c r="H5552" s="11"/>
      <c r="I5552" s="21"/>
      <c r="J5552" s="35" t="s">
        <v>343</v>
      </c>
      <c r="K5552" s="104">
        <f>K5551*11%</f>
        <v>0</v>
      </c>
      <c r="L5552" s="355"/>
      <c r="M5552" s="356"/>
      <c r="N5552" s="21"/>
    </row>
    <row r="5553" spans="1:14" ht="15.75" customHeight="1" x14ac:dyDescent="0.25">
      <c r="A5553" s="7"/>
      <c r="B5553" s="345" t="s">
        <v>344</v>
      </c>
      <c r="C5553" s="344"/>
      <c r="D5553" s="344"/>
      <c r="E5553" s="334"/>
      <c r="F5553" s="107">
        <v>666000</v>
      </c>
      <c r="G5553" s="21"/>
      <c r="H5553" s="11"/>
      <c r="I5553" s="21"/>
      <c r="J5553" s="35" t="s">
        <v>344</v>
      </c>
      <c r="K5553" s="107">
        <f>K5552+K5551</f>
        <v>0</v>
      </c>
      <c r="L5553" s="357"/>
      <c r="M5553" s="348"/>
      <c r="N5553" s="21"/>
    </row>
    <row r="5554" spans="1:14" ht="15.75" customHeight="1" x14ac:dyDescent="0.25">
      <c r="A5554" s="21"/>
      <c r="B5554" s="21"/>
      <c r="C5554" s="11"/>
      <c r="D5554" s="11"/>
      <c r="E5554" s="21"/>
      <c r="F5554" s="21"/>
      <c r="G5554" s="25"/>
      <c r="H5554" s="11"/>
      <c r="I5554" s="21"/>
      <c r="J5554" s="21"/>
      <c r="K5554" s="21"/>
      <c r="L5554" s="21"/>
      <c r="M5554" s="21"/>
      <c r="N5554" s="21"/>
    </row>
    <row r="5555" spans="1:14" ht="15.75" customHeight="1" x14ac:dyDescent="0.25">
      <c r="A5555" s="31" t="s">
        <v>14</v>
      </c>
      <c r="B5555" s="31" t="s">
        <v>234</v>
      </c>
      <c r="C5555" s="31" t="s">
        <v>16</v>
      </c>
      <c r="D5555" s="31" t="s">
        <v>17</v>
      </c>
      <c r="E5555" s="31" t="s">
        <v>235</v>
      </c>
      <c r="F5555" s="31" t="s">
        <v>236</v>
      </c>
      <c r="G5555" s="144" t="s">
        <v>1938</v>
      </c>
      <c r="H5555" s="33" t="s">
        <v>238</v>
      </c>
      <c r="I5555" s="11"/>
      <c r="J5555" s="31" t="s">
        <v>239</v>
      </c>
      <c r="K5555" s="31" t="s">
        <v>240</v>
      </c>
      <c r="L5555" s="31" t="s">
        <v>241</v>
      </c>
      <c r="M5555" s="31" t="s">
        <v>13</v>
      </c>
      <c r="N5555" s="21"/>
    </row>
    <row r="5556" spans="1:14" ht="15.75" customHeight="1" x14ac:dyDescent="0.25">
      <c r="A5556" s="7">
        <v>1</v>
      </c>
      <c r="B5556" s="38" t="s">
        <v>2150</v>
      </c>
      <c r="C5556" s="9">
        <v>2</v>
      </c>
      <c r="D5556" s="7" t="s">
        <v>19</v>
      </c>
      <c r="E5556" s="37">
        <v>242500</v>
      </c>
      <c r="F5556" s="37">
        <f>E5556*C5556</f>
        <v>485000</v>
      </c>
      <c r="G5556" s="172">
        <v>45383</v>
      </c>
      <c r="H5556" s="7"/>
      <c r="I5556" s="11"/>
      <c r="J5556" s="37"/>
      <c r="K5556" s="37">
        <f>J5556*C5556</f>
        <v>0</v>
      </c>
      <c r="L5556" s="7"/>
      <c r="M5556" s="35"/>
      <c r="N5556" s="21"/>
    </row>
    <row r="5557" spans="1:14" ht="15.75" customHeight="1" x14ac:dyDescent="0.25">
      <c r="A5557" s="7"/>
      <c r="B5557" s="343" t="s">
        <v>342</v>
      </c>
      <c r="C5557" s="344"/>
      <c r="D5557" s="344"/>
      <c r="E5557" s="334"/>
      <c r="F5557" s="104">
        <f>SUM(F5555:F5556)</f>
        <v>485000</v>
      </c>
      <c r="G5557" s="21" t="s">
        <v>2151</v>
      </c>
      <c r="H5557" s="11"/>
      <c r="I5557" s="21"/>
      <c r="J5557" s="35" t="s">
        <v>342</v>
      </c>
      <c r="K5557" s="104">
        <f>SUM(K5556)</f>
        <v>0</v>
      </c>
      <c r="L5557" s="358" t="s">
        <v>2119</v>
      </c>
      <c r="M5557" s="334"/>
      <c r="N5557" s="21"/>
    </row>
    <row r="5558" spans="1:14" ht="15.75" customHeight="1" x14ac:dyDescent="0.25">
      <c r="A5558" s="7"/>
      <c r="B5558" s="343" t="s">
        <v>343</v>
      </c>
      <c r="C5558" s="344"/>
      <c r="D5558" s="344"/>
      <c r="E5558" s="334"/>
      <c r="F5558" s="104">
        <f>F5557*11%</f>
        <v>53350</v>
      </c>
      <c r="G5558" s="21"/>
      <c r="H5558" s="11"/>
      <c r="I5558" s="21"/>
      <c r="J5558" s="35" t="s">
        <v>343</v>
      </c>
      <c r="K5558" s="104">
        <f>K5557*11%</f>
        <v>0</v>
      </c>
      <c r="L5558" s="355"/>
      <c r="M5558" s="356"/>
      <c r="N5558" s="21"/>
    </row>
    <row r="5559" spans="1:14" ht="15.75" customHeight="1" x14ac:dyDescent="0.25">
      <c r="A5559" s="7"/>
      <c r="B5559" s="345" t="s">
        <v>344</v>
      </c>
      <c r="C5559" s="344"/>
      <c r="D5559" s="344"/>
      <c r="E5559" s="334"/>
      <c r="F5559" s="107">
        <f>F5557+F5558</f>
        <v>538350</v>
      </c>
      <c r="G5559" s="21"/>
      <c r="H5559" s="11"/>
      <c r="I5559" s="21"/>
      <c r="J5559" s="35" t="s">
        <v>344</v>
      </c>
      <c r="K5559" s="107">
        <f>K5558+K5557</f>
        <v>0</v>
      </c>
      <c r="L5559" s="357"/>
      <c r="M5559" s="348"/>
      <c r="N5559" s="21"/>
    </row>
    <row r="5560" spans="1:14" ht="15.75" customHeight="1" x14ac:dyDescent="0.25">
      <c r="A5560" s="21"/>
      <c r="B5560" s="21"/>
      <c r="C5560" s="11"/>
      <c r="D5560" s="11"/>
      <c r="E5560" s="21"/>
      <c r="F5560" s="21"/>
      <c r="G5560" s="25"/>
      <c r="H5560" s="11"/>
      <c r="I5560" s="21"/>
      <c r="J5560" s="21"/>
      <c r="K5560" s="21"/>
      <c r="L5560" s="21"/>
      <c r="M5560" s="21"/>
      <c r="N5560" s="21"/>
    </row>
    <row r="5561" spans="1:14" ht="15.75" customHeight="1" x14ac:dyDescent="0.25">
      <c r="A5561" s="31" t="s">
        <v>14</v>
      </c>
      <c r="B5561" s="31" t="s">
        <v>234</v>
      </c>
      <c r="C5561" s="31" t="s">
        <v>16</v>
      </c>
      <c r="D5561" s="31" t="s">
        <v>17</v>
      </c>
      <c r="E5561" s="31" t="s">
        <v>235</v>
      </c>
      <c r="F5561" s="31" t="s">
        <v>236</v>
      </c>
      <c r="G5561" s="25"/>
      <c r="H5561" s="33" t="s">
        <v>238</v>
      </c>
      <c r="I5561" s="11"/>
      <c r="J5561" s="31" t="s">
        <v>239</v>
      </c>
      <c r="K5561" s="31" t="s">
        <v>240</v>
      </c>
      <c r="L5561" s="31" t="s">
        <v>241</v>
      </c>
      <c r="M5561" s="31" t="s">
        <v>13</v>
      </c>
      <c r="N5561" s="21"/>
    </row>
    <row r="5562" spans="1:14" ht="15.75" customHeight="1" x14ac:dyDescent="0.25">
      <c r="A5562" s="7">
        <v>1</v>
      </c>
      <c r="B5562" s="124" t="s">
        <v>2152</v>
      </c>
      <c r="C5562" s="9">
        <v>1</v>
      </c>
      <c r="D5562" s="7" t="s">
        <v>19</v>
      </c>
      <c r="E5562" s="37">
        <v>445500</v>
      </c>
      <c r="F5562" s="37">
        <f>E5562*C5562</f>
        <v>445500</v>
      </c>
      <c r="G5562" s="25"/>
      <c r="H5562" s="7"/>
      <c r="I5562" s="11"/>
      <c r="J5562" s="37"/>
      <c r="K5562" s="37">
        <f>J5562*C5562</f>
        <v>0</v>
      </c>
      <c r="L5562" s="7"/>
      <c r="M5562" s="35"/>
      <c r="N5562" s="21"/>
    </row>
    <row r="5563" spans="1:14" ht="15.75" customHeight="1" x14ac:dyDescent="0.25">
      <c r="A5563" s="7"/>
      <c r="B5563" s="343" t="s">
        <v>342</v>
      </c>
      <c r="C5563" s="344"/>
      <c r="D5563" s="344"/>
      <c r="E5563" s="334"/>
      <c r="F5563" s="104">
        <f>SUM(F5561:F5562)</f>
        <v>445500</v>
      </c>
      <c r="G5563" s="25"/>
      <c r="H5563" s="11"/>
      <c r="I5563" s="21"/>
      <c r="J5563" s="35" t="s">
        <v>342</v>
      </c>
      <c r="K5563" s="104">
        <f>SUM(K5562)</f>
        <v>0</v>
      </c>
      <c r="L5563" s="358" t="s">
        <v>2119</v>
      </c>
      <c r="M5563" s="334"/>
      <c r="N5563" s="21"/>
    </row>
    <row r="5564" spans="1:14" ht="15.75" customHeight="1" x14ac:dyDescent="0.25">
      <c r="A5564" s="7"/>
      <c r="B5564" s="343" t="s">
        <v>343</v>
      </c>
      <c r="C5564" s="344"/>
      <c r="D5564" s="344"/>
      <c r="E5564" s="334"/>
      <c r="F5564" s="104">
        <f>F5563*11%</f>
        <v>49005</v>
      </c>
      <c r="G5564" s="25"/>
      <c r="H5564" s="11"/>
      <c r="I5564" s="21"/>
      <c r="J5564" s="35" t="s">
        <v>343</v>
      </c>
      <c r="K5564" s="104">
        <f>K5563*11%</f>
        <v>0</v>
      </c>
      <c r="L5564" s="355"/>
      <c r="M5564" s="356"/>
      <c r="N5564" s="21"/>
    </row>
    <row r="5565" spans="1:14" ht="15.75" customHeight="1" x14ac:dyDescent="0.25">
      <c r="A5565" s="7"/>
      <c r="B5565" s="345" t="s">
        <v>344</v>
      </c>
      <c r="C5565" s="344"/>
      <c r="D5565" s="344"/>
      <c r="E5565" s="334"/>
      <c r="F5565" s="107">
        <f>F5563+F5564</f>
        <v>494505</v>
      </c>
      <c r="G5565" s="25"/>
      <c r="H5565" s="11"/>
      <c r="I5565" s="21"/>
      <c r="J5565" s="35" t="s">
        <v>344</v>
      </c>
      <c r="K5565" s="107">
        <f>K5564+K5563</f>
        <v>0</v>
      </c>
      <c r="L5565" s="357"/>
      <c r="M5565" s="348"/>
      <c r="N5565" s="21"/>
    </row>
    <row r="5566" spans="1:14" ht="15.75" customHeight="1" x14ac:dyDescent="0.25">
      <c r="A5566" s="21"/>
      <c r="B5566" s="21"/>
      <c r="C5566" s="11"/>
      <c r="D5566" s="11"/>
      <c r="E5566" s="21"/>
      <c r="F5566" s="21"/>
      <c r="G5566" s="25"/>
      <c r="H5566" s="11"/>
      <c r="I5566" s="21"/>
      <c r="J5566" s="21"/>
      <c r="K5566" s="21"/>
      <c r="L5566" s="21"/>
      <c r="M5566" s="21"/>
      <c r="N5566" s="21"/>
    </row>
    <row r="5567" spans="1:14" ht="15.75" customHeight="1" x14ac:dyDescent="0.25">
      <c r="A5567" s="31" t="s">
        <v>14</v>
      </c>
      <c r="B5567" s="31" t="s">
        <v>234</v>
      </c>
      <c r="C5567" s="31" t="s">
        <v>16</v>
      </c>
      <c r="D5567" s="31" t="s">
        <v>17</v>
      </c>
      <c r="E5567" s="31" t="s">
        <v>235</v>
      </c>
      <c r="F5567" s="31" t="s">
        <v>236</v>
      </c>
      <c r="G5567" s="25" t="s">
        <v>245</v>
      </c>
      <c r="H5567" s="33" t="s">
        <v>238</v>
      </c>
      <c r="I5567" s="11"/>
      <c r="J5567" s="31" t="s">
        <v>239</v>
      </c>
      <c r="K5567" s="31" t="s">
        <v>240</v>
      </c>
      <c r="L5567" s="31" t="s">
        <v>241</v>
      </c>
      <c r="M5567" s="31" t="s">
        <v>13</v>
      </c>
      <c r="N5567" s="21"/>
    </row>
    <row r="5568" spans="1:14" ht="15.75" customHeight="1" x14ac:dyDescent="0.25">
      <c r="A5568" s="7">
        <v>1</v>
      </c>
      <c r="B5568" s="183" t="s">
        <v>2153</v>
      </c>
      <c r="C5568" s="9">
        <v>50</v>
      </c>
      <c r="D5568" s="7" t="s">
        <v>247</v>
      </c>
      <c r="E5568" s="37">
        <v>1750000</v>
      </c>
      <c r="F5568" s="37">
        <v>1750000</v>
      </c>
      <c r="G5568" s="172">
        <v>45386</v>
      </c>
      <c r="H5568" s="7"/>
      <c r="I5568" s="11"/>
      <c r="J5568" s="37"/>
      <c r="K5568" s="37">
        <f>J5568*C5568</f>
        <v>0</v>
      </c>
      <c r="L5568" s="7"/>
      <c r="M5568" s="35"/>
      <c r="N5568" s="21"/>
    </row>
    <row r="5569" spans="1:14" ht="15.75" customHeight="1" x14ac:dyDescent="0.25">
      <c r="A5569" s="7"/>
      <c r="B5569" s="343" t="s">
        <v>342</v>
      </c>
      <c r="C5569" s="344"/>
      <c r="D5569" s="344"/>
      <c r="E5569" s="334"/>
      <c r="F5569" s="104">
        <f>SUM(F5567:F5568)</f>
        <v>1750000</v>
      </c>
      <c r="G5569" s="25" t="s">
        <v>2154</v>
      </c>
      <c r="H5569" s="11"/>
      <c r="I5569" s="21"/>
      <c r="J5569" s="35" t="s">
        <v>342</v>
      </c>
      <c r="K5569" s="104">
        <f>SUM(K5568)</f>
        <v>0</v>
      </c>
      <c r="L5569" s="358" t="s">
        <v>2119</v>
      </c>
      <c r="M5569" s="334"/>
      <c r="N5569" s="21"/>
    </row>
    <row r="5570" spans="1:14" ht="15.75" customHeight="1" x14ac:dyDescent="0.25">
      <c r="A5570" s="7"/>
      <c r="B5570" s="343" t="s">
        <v>343</v>
      </c>
      <c r="C5570" s="344"/>
      <c r="D5570" s="344"/>
      <c r="E5570" s="334"/>
      <c r="F5570" s="104">
        <f>F5569*11%</f>
        <v>192500</v>
      </c>
      <c r="G5570" s="25"/>
      <c r="H5570" s="11"/>
      <c r="I5570" s="21"/>
      <c r="J5570" s="35" t="s">
        <v>343</v>
      </c>
      <c r="K5570" s="104">
        <f>K5569*11%</f>
        <v>0</v>
      </c>
      <c r="L5570" s="355"/>
      <c r="M5570" s="356"/>
      <c r="N5570" s="21"/>
    </row>
    <row r="5571" spans="1:14" ht="15.75" customHeight="1" x14ac:dyDescent="0.25">
      <c r="A5571" s="7"/>
      <c r="B5571" s="345" t="s">
        <v>344</v>
      </c>
      <c r="C5571" s="344"/>
      <c r="D5571" s="344"/>
      <c r="E5571" s="334"/>
      <c r="F5571" s="107">
        <f>F5569+F5570</f>
        <v>1942500</v>
      </c>
      <c r="G5571" s="25"/>
      <c r="H5571" s="11"/>
      <c r="I5571" s="21"/>
      <c r="J5571" s="35" t="s">
        <v>344</v>
      </c>
      <c r="K5571" s="107">
        <f>K5570+K5569</f>
        <v>0</v>
      </c>
      <c r="L5571" s="357"/>
      <c r="M5571" s="348"/>
      <c r="N5571" s="21"/>
    </row>
    <row r="5572" spans="1:14" ht="15.75" customHeight="1" x14ac:dyDescent="0.25">
      <c r="A5572" s="21"/>
      <c r="B5572" s="21"/>
      <c r="C5572" s="11"/>
      <c r="D5572" s="11"/>
      <c r="E5572" s="21"/>
      <c r="F5572" s="21"/>
      <c r="G5572" s="25"/>
      <c r="H5572" s="11"/>
      <c r="I5572" s="21"/>
      <c r="J5572" s="21"/>
      <c r="K5572" s="21"/>
      <c r="L5572" s="21"/>
      <c r="M5572" s="21"/>
      <c r="N5572" s="21"/>
    </row>
    <row r="5573" spans="1:14" ht="15.75" customHeight="1" x14ac:dyDescent="0.25">
      <c r="A5573" s="31" t="s">
        <v>14</v>
      </c>
      <c r="B5573" s="31" t="s">
        <v>234</v>
      </c>
      <c r="C5573" s="31" t="s">
        <v>16</v>
      </c>
      <c r="D5573" s="31" t="s">
        <v>17</v>
      </c>
      <c r="E5573" s="31" t="s">
        <v>235</v>
      </c>
      <c r="F5573" s="31" t="s">
        <v>236</v>
      </c>
      <c r="G5573" s="25" t="s">
        <v>2155</v>
      </c>
      <c r="H5573" s="11"/>
      <c r="I5573" s="21"/>
      <c r="J5573" s="21"/>
      <c r="K5573" s="21"/>
      <c r="L5573" s="21"/>
      <c r="M5573" s="21"/>
      <c r="N5573" s="21"/>
    </row>
    <row r="5574" spans="1:14" ht="15.75" customHeight="1" x14ac:dyDescent="0.25">
      <c r="A5574" s="7">
        <v>1</v>
      </c>
      <c r="B5574" s="41" t="s">
        <v>2156</v>
      </c>
      <c r="C5574" s="9">
        <v>4</v>
      </c>
      <c r="D5574" s="7" t="s">
        <v>363</v>
      </c>
      <c r="E5574" s="37">
        <v>74000</v>
      </c>
      <c r="F5574" s="37">
        <f>E5574*C5574</f>
        <v>296000</v>
      </c>
      <c r="G5574" s="25"/>
      <c r="H5574" s="11"/>
      <c r="I5574" s="21"/>
      <c r="J5574" s="21"/>
      <c r="K5574" s="21"/>
      <c r="L5574" s="21"/>
      <c r="M5574" s="21"/>
      <c r="N5574" s="21"/>
    </row>
    <row r="5575" spans="1:14" ht="15.75" customHeight="1" x14ac:dyDescent="0.25">
      <c r="A5575" s="7">
        <v>2</v>
      </c>
      <c r="B5575" s="41" t="s">
        <v>2157</v>
      </c>
      <c r="C5575" s="9">
        <v>4</v>
      </c>
      <c r="D5575" s="7" t="s">
        <v>363</v>
      </c>
      <c r="E5575" s="37">
        <v>65000</v>
      </c>
      <c r="F5575" s="37">
        <f>E5575*C5575</f>
        <v>260000</v>
      </c>
      <c r="G5575" s="25"/>
      <c r="H5575" s="11"/>
      <c r="I5575" s="21"/>
      <c r="J5575" s="21"/>
      <c r="K5575" s="21"/>
      <c r="L5575" s="21"/>
      <c r="M5575" s="21"/>
      <c r="N5575" s="21"/>
    </row>
    <row r="5576" spans="1:14" ht="15.75" customHeight="1" x14ac:dyDescent="0.25">
      <c r="A5576" s="7">
        <v>3</v>
      </c>
      <c r="B5576" s="41" t="s">
        <v>2158</v>
      </c>
      <c r="C5576" s="9">
        <v>6</v>
      </c>
      <c r="D5576" s="7" t="s">
        <v>363</v>
      </c>
      <c r="E5576" s="37">
        <v>45000</v>
      </c>
      <c r="F5576" s="37">
        <f>E5576*C5576</f>
        <v>270000</v>
      </c>
      <c r="G5576" s="25"/>
      <c r="H5576" s="11"/>
      <c r="I5576" s="21"/>
      <c r="J5576" s="21"/>
      <c r="K5576" s="21"/>
      <c r="L5576" s="21"/>
      <c r="M5576" s="21"/>
      <c r="N5576" s="21"/>
    </row>
    <row r="5577" spans="1:14" ht="15.75" customHeight="1" x14ac:dyDescent="0.25">
      <c r="A5577" s="7"/>
      <c r="B5577" s="343" t="s">
        <v>342</v>
      </c>
      <c r="C5577" s="344"/>
      <c r="D5577" s="344"/>
      <c r="E5577" s="334"/>
      <c r="F5577" s="104">
        <f>SUM(F5574:F5576)</f>
        <v>826000</v>
      </c>
      <c r="G5577" s="25"/>
      <c r="H5577" s="11"/>
      <c r="I5577" s="21"/>
      <c r="J5577" s="21"/>
      <c r="K5577" s="21"/>
      <c r="L5577" s="21"/>
      <c r="M5577" s="21"/>
      <c r="N5577" s="21"/>
    </row>
    <row r="5578" spans="1:14" ht="15.75" customHeight="1" x14ac:dyDescent="0.25">
      <c r="A5578" s="7"/>
      <c r="B5578" s="343" t="s">
        <v>343</v>
      </c>
      <c r="C5578" s="344"/>
      <c r="D5578" s="344"/>
      <c r="E5578" s="334"/>
      <c r="F5578" s="167">
        <f>F5577*11%</f>
        <v>90860</v>
      </c>
      <c r="G5578" s="25"/>
      <c r="H5578" s="11"/>
      <c r="I5578" s="21"/>
      <c r="J5578" s="21"/>
      <c r="K5578" s="21"/>
      <c r="L5578" s="21"/>
      <c r="M5578" s="21"/>
      <c r="N5578" s="21"/>
    </row>
    <row r="5579" spans="1:14" ht="15.75" customHeight="1" x14ac:dyDescent="0.25">
      <c r="A5579" s="7"/>
      <c r="B5579" s="345" t="s">
        <v>344</v>
      </c>
      <c r="C5579" s="344"/>
      <c r="D5579" s="344"/>
      <c r="E5579" s="334"/>
      <c r="F5579" s="168">
        <f>F5578+F5577</f>
        <v>916860</v>
      </c>
      <c r="G5579" s="25"/>
      <c r="H5579" s="11"/>
      <c r="I5579" s="21"/>
      <c r="J5579" s="21"/>
      <c r="K5579" s="21"/>
      <c r="L5579" s="21"/>
      <c r="M5579" s="21"/>
      <c r="N5579" s="21"/>
    </row>
    <row r="5580" spans="1:14" ht="15.75" customHeight="1" x14ac:dyDescent="0.25">
      <c r="A5580" s="21"/>
      <c r="B5580" s="21"/>
      <c r="C5580" s="11"/>
      <c r="D5580" s="11"/>
      <c r="E5580" s="21"/>
      <c r="F5580" s="21"/>
      <c r="G5580" s="25"/>
      <c r="H5580" s="11"/>
      <c r="I5580" s="21"/>
      <c r="J5580" s="21"/>
      <c r="K5580" s="21"/>
      <c r="L5580" s="21"/>
      <c r="M5580" s="21"/>
      <c r="N5580" s="21"/>
    </row>
    <row r="5581" spans="1:14" ht="15.75" customHeight="1" x14ac:dyDescent="0.25">
      <c r="A5581" s="31" t="s">
        <v>14</v>
      </c>
      <c r="B5581" s="31" t="s">
        <v>234</v>
      </c>
      <c r="C5581" s="31" t="s">
        <v>16</v>
      </c>
      <c r="D5581" s="31" t="s">
        <v>17</v>
      </c>
      <c r="E5581" s="31" t="s">
        <v>235</v>
      </c>
      <c r="F5581" s="31" t="s">
        <v>236</v>
      </c>
      <c r="G5581" s="25" t="s">
        <v>1938</v>
      </c>
      <c r="H5581" s="33" t="s">
        <v>238</v>
      </c>
      <c r="I5581" s="11"/>
      <c r="J5581" s="31" t="s">
        <v>239</v>
      </c>
      <c r="K5581" s="31" t="s">
        <v>240</v>
      </c>
      <c r="L5581" s="31" t="s">
        <v>241</v>
      </c>
      <c r="M5581" s="31" t="s">
        <v>13</v>
      </c>
      <c r="N5581" s="21"/>
    </row>
    <row r="5582" spans="1:14" ht="15.75" customHeight="1" x14ac:dyDescent="0.25">
      <c r="A5582" s="7">
        <v>1</v>
      </c>
      <c r="B5582" s="41" t="s">
        <v>2159</v>
      </c>
      <c r="C5582" s="9">
        <v>1</v>
      </c>
      <c r="D5582" s="7" t="s">
        <v>19</v>
      </c>
      <c r="E5582" s="37">
        <v>566010</v>
      </c>
      <c r="F5582" s="37">
        <f>E5582*C5582</f>
        <v>566010</v>
      </c>
      <c r="G5582" s="172">
        <v>45357</v>
      </c>
      <c r="H5582" s="7"/>
      <c r="I5582" s="11"/>
      <c r="J5582" s="37"/>
      <c r="K5582" s="37">
        <f>J5582*C5582</f>
        <v>0</v>
      </c>
      <c r="L5582" s="7"/>
      <c r="M5582" s="35"/>
      <c r="N5582" s="21"/>
    </row>
    <row r="5583" spans="1:14" ht="15.75" customHeight="1" x14ac:dyDescent="0.25">
      <c r="A5583" s="7">
        <v>2</v>
      </c>
      <c r="B5583" s="41" t="s">
        <v>2160</v>
      </c>
      <c r="C5583" s="9">
        <v>5</v>
      </c>
      <c r="D5583" s="7" t="s">
        <v>19</v>
      </c>
      <c r="E5583" s="37">
        <v>1852025</v>
      </c>
      <c r="F5583" s="37">
        <f>E5583*C5583</f>
        <v>9260125</v>
      </c>
      <c r="G5583" s="25" t="s">
        <v>2161</v>
      </c>
      <c r="H5583" s="7"/>
      <c r="I5583" s="11"/>
      <c r="J5583" s="37"/>
      <c r="K5583" s="37">
        <f>J5583*C5583</f>
        <v>0</v>
      </c>
      <c r="L5583" s="7"/>
      <c r="M5583" s="35"/>
      <c r="N5583" s="21"/>
    </row>
    <row r="5584" spans="1:14" ht="15.75" customHeight="1" x14ac:dyDescent="0.25">
      <c r="A5584" s="7"/>
      <c r="B5584" s="343" t="s">
        <v>342</v>
      </c>
      <c r="C5584" s="344"/>
      <c r="D5584" s="344"/>
      <c r="E5584" s="334"/>
      <c r="F5584" s="104">
        <f>SUM(F5582:F5583)</f>
        <v>9826135</v>
      </c>
      <c r="G5584" s="25"/>
      <c r="H5584" s="11"/>
      <c r="I5584" s="21"/>
      <c r="J5584" s="35" t="s">
        <v>342</v>
      </c>
      <c r="K5584" s="104">
        <f>SUM(K5582:K5583)</f>
        <v>0</v>
      </c>
      <c r="L5584" s="358" t="s">
        <v>2119</v>
      </c>
      <c r="M5584" s="334"/>
      <c r="N5584" s="21"/>
    </row>
    <row r="5585" spans="1:14" ht="15.75" customHeight="1" x14ac:dyDescent="0.25">
      <c r="A5585" s="7"/>
      <c r="B5585" s="343" t="s">
        <v>343</v>
      </c>
      <c r="C5585" s="344"/>
      <c r="D5585" s="344"/>
      <c r="E5585" s="334"/>
      <c r="F5585" s="167">
        <f>F5584*11%</f>
        <v>1080874.8500000001</v>
      </c>
      <c r="G5585" s="25"/>
      <c r="H5585" s="11"/>
      <c r="I5585" s="21"/>
      <c r="J5585" s="35" t="s">
        <v>343</v>
      </c>
      <c r="K5585" s="167">
        <f>K5584*11%</f>
        <v>0</v>
      </c>
      <c r="L5585" s="355"/>
      <c r="M5585" s="356"/>
      <c r="N5585" s="21"/>
    </row>
    <row r="5586" spans="1:14" ht="15.75" customHeight="1" x14ac:dyDescent="0.25">
      <c r="A5586" s="7"/>
      <c r="B5586" s="345" t="s">
        <v>344</v>
      </c>
      <c r="C5586" s="344"/>
      <c r="D5586" s="344"/>
      <c r="E5586" s="334"/>
      <c r="F5586" s="168">
        <f>F5585+F5584</f>
        <v>10907009.85</v>
      </c>
      <c r="G5586" s="25"/>
      <c r="H5586" s="11"/>
      <c r="I5586" s="21"/>
      <c r="J5586" s="35" t="s">
        <v>344</v>
      </c>
      <c r="K5586" s="168">
        <f>K5585+K5584</f>
        <v>0</v>
      </c>
      <c r="L5586" s="357"/>
      <c r="M5586" s="348"/>
      <c r="N5586" s="21"/>
    </row>
    <row r="5587" spans="1:14" ht="15.75" customHeight="1" x14ac:dyDescent="0.25">
      <c r="A5587" s="21"/>
      <c r="B5587" s="21"/>
      <c r="C5587" s="11"/>
      <c r="D5587" s="11"/>
      <c r="E5587" s="21"/>
      <c r="F5587" s="21"/>
      <c r="G5587" s="25"/>
      <c r="H5587" s="11"/>
      <c r="I5587" s="21"/>
      <c r="J5587" s="21"/>
      <c r="K5587" s="21"/>
      <c r="L5587" s="21"/>
      <c r="M5587" s="21"/>
      <c r="N5587" s="21"/>
    </row>
    <row r="5588" spans="1:14" ht="15.75" customHeight="1" x14ac:dyDescent="0.25">
      <c r="A5588" s="31" t="s">
        <v>14</v>
      </c>
      <c r="B5588" s="31" t="s">
        <v>234</v>
      </c>
      <c r="C5588" s="31" t="s">
        <v>16</v>
      </c>
      <c r="D5588" s="31" t="s">
        <v>17</v>
      </c>
      <c r="E5588" s="31" t="s">
        <v>235</v>
      </c>
      <c r="F5588" s="31" t="s">
        <v>236</v>
      </c>
      <c r="G5588" s="25" t="s">
        <v>2128</v>
      </c>
      <c r="H5588" s="11"/>
      <c r="I5588" s="21"/>
      <c r="J5588" s="21"/>
      <c r="K5588" s="21"/>
      <c r="L5588" s="21"/>
      <c r="M5588" s="21"/>
      <c r="N5588" s="21"/>
    </row>
    <row r="5589" spans="1:14" ht="15.75" customHeight="1" x14ac:dyDescent="0.25">
      <c r="A5589" s="7">
        <v>1</v>
      </c>
      <c r="B5589" s="35" t="s">
        <v>2162</v>
      </c>
      <c r="C5589" s="9">
        <v>2</v>
      </c>
      <c r="D5589" s="7" t="s">
        <v>243</v>
      </c>
      <c r="E5589" s="37">
        <v>6167000</v>
      </c>
      <c r="F5589" s="37">
        <f>E5589*C5589</f>
        <v>12334000</v>
      </c>
      <c r="G5589" s="172">
        <v>45377</v>
      </c>
      <c r="H5589" s="11"/>
      <c r="I5589" s="21"/>
      <c r="J5589" s="21"/>
      <c r="K5589" s="21"/>
      <c r="L5589" s="21"/>
      <c r="M5589" s="21"/>
      <c r="N5589" s="21"/>
    </row>
    <row r="5590" spans="1:14" ht="15.75" customHeight="1" x14ac:dyDescent="0.25">
      <c r="A5590" s="7">
        <v>2</v>
      </c>
      <c r="B5590" s="41" t="s">
        <v>2163</v>
      </c>
      <c r="C5590" s="9">
        <v>2</v>
      </c>
      <c r="D5590" s="7" t="s">
        <v>243</v>
      </c>
      <c r="E5590" s="37">
        <v>5030500</v>
      </c>
      <c r="F5590" s="37">
        <f>E5590*C5590</f>
        <v>10061000</v>
      </c>
      <c r="G5590" s="25" t="s">
        <v>2164</v>
      </c>
      <c r="H5590" s="11"/>
      <c r="I5590" s="21"/>
      <c r="J5590" s="21"/>
      <c r="K5590" s="21"/>
      <c r="L5590" s="21"/>
      <c r="M5590" s="21"/>
      <c r="N5590" s="21"/>
    </row>
    <row r="5591" spans="1:14" ht="15.75" customHeight="1" x14ac:dyDescent="0.25">
      <c r="A5591" s="7">
        <v>3</v>
      </c>
      <c r="B5591" s="41" t="s">
        <v>2165</v>
      </c>
      <c r="C5591" s="9">
        <v>60</v>
      </c>
      <c r="D5591" s="7" t="s">
        <v>1357</v>
      </c>
      <c r="E5591" s="37">
        <v>18500</v>
      </c>
      <c r="F5591" s="37">
        <f>E5591*C5591</f>
        <v>1110000</v>
      </c>
      <c r="G5591" s="25"/>
      <c r="H5591" s="11"/>
      <c r="I5591" s="21"/>
      <c r="J5591" s="21"/>
      <c r="K5591" s="21"/>
      <c r="L5591" s="21"/>
      <c r="M5591" s="21"/>
      <c r="N5591" s="21"/>
    </row>
    <row r="5592" spans="1:14" ht="15.75" customHeight="1" x14ac:dyDescent="0.25">
      <c r="A5592" s="7"/>
      <c r="B5592" s="343" t="s">
        <v>342</v>
      </c>
      <c r="C5592" s="344"/>
      <c r="D5592" s="344"/>
      <c r="E5592" s="334"/>
      <c r="F5592" s="104">
        <f>SUM(F5589:F5591)</f>
        <v>23505000</v>
      </c>
      <c r="G5592" s="165"/>
      <c r="H5592" s="11"/>
      <c r="I5592" s="21"/>
      <c r="J5592" s="21"/>
      <c r="K5592" s="21"/>
      <c r="L5592" s="21"/>
      <c r="M5592" s="21"/>
      <c r="N5592" s="21"/>
    </row>
    <row r="5593" spans="1:14" ht="15.75" customHeight="1" x14ac:dyDescent="0.25">
      <c r="A5593" s="7"/>
      <c r="B5593" s="343" t="s">
        <v>634</v>
      </c>
      <c r="C5593" s="344"/>
      <c r="D5593" s="344"/>
      <c r="E5593" s="334"/>
      <c r="F5593" s="104">
        <v>705150</v>
      </c>
      <c r="G5593" s="25"/>
      <c r="H5593" s="11"/>
      <c r="I5593" s="21"/>
      <c r="J5593" s="21"/>
      <c r="K5593" s="21"/>
      <c r="L5593" s="21"/>
      <c r="M5593" s="21"/>
      <c r="N5593" s="21"/>
    </row>
    <row r="5594" spans="1:14" ht="15.75" customHeight="1" x14ac:dyDescent="0.25">
      <c r="A5594" s="7"/>
      <c r="B5594" s="343" t="s">
        <v>343</v>
      </c>
      <c r="C5594" s="344"/>
      <c r="D5594" s="344"/>
      <c r="E5594" s="334"/>
      <c r="F5594" s="167">
        <f>(F5592-F5593)*11%</f>
        <v>2507983.5</v>
      </c>
      <c r="G5594" s="25"/>
      <c r="H5594" s="11"/>
      <c r="I5594" s="21"/>
      <c r="J5594" s="21"/>
      <c r="K5594" s="21"/>
      <c r="L5594" s="21"/>
      <c r="M5594" s="21"/>
      <c r="N5594" s="21"/>
    </row>
    <row r="5595" spans="1:14" ht="15.75" customHeight="1" x14ac:dyDescent="0.25">
      <c r="A5595" s="7"/>
      <c r="B5595" s="345" t="s">
        <v>344</v>
      </c>
      <c r="C5595" s="344"/>
      <c r="D5595" s="344"/>
      <c r="E5595" s="334"/>
      <c r="F5595" s="168">
        <f>F5592-F5593+F5594</f>
        <v>25307833.5</v>
      </c>
      <c r="G5595" s="25"/>
      <c r="H5595" s="11"/>
      <c r="I5595" s="21"/>
      <c r="J5595" s="21"/>
      <c r="K5595" s="21"/>
      <c r="L5595" s="21"/>
      <c r="M5595" s="21"/>
      <c r="N5595" s="21"/>
    </row>
    <row r="5596" spans="1:14" ht="15.75" customHeight="1" x14ac:dyDescent="0.25">
      <c r="A5596" s="21"/>
      <c r="B5596" s="21"/>
      <c r="C5596" s="11"/>
      <c r="D5596" s="11"/>
      <c r="E5596" s="21"/>
      <c r="F5596" s="21"/>
      <c r="G5596" s="25"/>
      <c r="H5596" s="11"/>
      <c r="I5596" s="21"/>
      <c r="J5596" s="21"/>
      <c r="K5596" s="21"/>
      <c r="L5596" s="21"/>
      <c r="M5596" s="21"/>
      <c r="N5596" s="21"/>
    </row>
    <row r="5597" spans="1:14" ht="15.75" customHeight="1" x14ac:dyDescent="0.25">
      <c r="A5597" s="31" t="s">
        <v>14</v>
      </c>
      <c r="B5597" s="31" t="s">
        <v>234</v>
      </c>
      <c r="C5597" s="31" t="s">
        <v>16</v>
      </c>
      <c r="D5597" s="31" t="s">
        <v>17</v>
      </c>
      <c r="E5597" s="31" t="s">
        <v>235</v>
      </c>
      <c r="F5597" s="31" t="s">
        <v>236</v>
      </c>
      <c r="G5597" s="25" t="s">
        <v>2128</v>
      </c>
      <c r="H5597" s="33" t="s">
        <v>238</v>
      </c>
      <c r="I5597" s="11"/>
      <c r="J5597" s="31" t="s">
        <v>239</v>
      </c>
      <c r="K5597" s="31" t="s">
        <v>240</v>
      </c>
      <c r="L5597" s="31" t="s">
        <v>241</v>
      </c>
      <c r="M5597" s="31" t="s">
        <v>13</v>
      </c>
      <c r="N5597" s="21"/>
    </row>
    <row r="5598" spans="1:14" ht="15.75" customHeight="1" x14ac:dyDescent="0.25">
      <c r="A5598" s="7">
        <v>1</v>
      </c>
      <c r="B5598" s="41" t="s">
        <v>2166</v>
      </c>
      <c r="C5598" s="9">
        <v>300</v>
      </c>
      <c r="D5598" s="7" t="s">
        <v>19</v>
      </c>
      <c r="E5598" s="37">
        <v>5700</v>
      </c>
      <c r="F5598" s="37">
        <f>E5598*C5598</f>
        <v>1710000</v>
      </c>
      <c r="G5598" s="172">
        <v>45387</v>
      </c>
      <c r="H5598" s="7"/>
      <c r="I5598" s="11"/>
      <c r="J5598" s="37"/>
      <c r="K5598" s="37">
        <f>J5598*C5598</f>
        <v>0</v>
      </c>
      <c r="L5598" s="7"/>
      <c r="M5598" s="35"/>
      <c r="N5598" s="21"/>
    </row>
    <row r="5599" spans="1:14" ht="15.75" customHeight="1" x14ac:dyDescent="0.25">
      <c r="A5599" s="7"/>
      <c r="B5599" s="343" t="s">
        <v>342</v>
      </c>
      <c r="C5599" s="344"/>
      <c r="D5599" s="344"/>
      <c r="E5599" s="334"/>
      <c r="F5599" s="104">
        <f>SUM(F5598)</f>
        <v>1710000</v>
      </c>
      <c r="G5599" s="25" t="s">
        <v>2167</v>
      </c>
      <c r="H5599" s="11"/>
      <c r="I5599" s="21"/>
      <c r="J5599" s="35" t="s">
        <v>342</v>
      </c>
      <c r="K5599" s="104">
        <f>SUM(K5598)</f>
        <v>0</v>
      </c>
      <c r="L5599" s="358" t="s">
        <v>2119</v>
      </c>
      <c r="M5599" s="334"/>
      <c r="N5599" s="21"/>
    </row>
    <row r="5600" spans="1:14" ht="15.75" customHeight="1" x14ac:dyDescent="0.25">
      <c r="A5600" s="7"/>
      <c r="B5600" s="343" t="s">
        <v>634</v>
      </c>
      <c r="C5600" s="344"/>
      <c r="D5600" s="344"/>
      <c r="E5600" s="334"/>
      <c r="F5600" s="104">
        <f>F5599*3%</f>
        <v>51300</v>
      </c>
      <c r="G5600" s="165">
        <f>F5599-F5600</f>
        <v>1658700</v>
      </c>
      <c r="H5600" s="11"/>
      <c r="I5600" s="21"/>
      <c r="J5600" s="35" t="s">
        <v>343</v>
      </c>
      <c r="K5600" s="104">
        <f>K5599*11%</f>
        <v>0</v>
      </c>
      <c r="L5600" s="355"/>
      <c r="M5600" s="356"/>
      <c r="N5600" s="21"/>
    </row>
    <row r="5601" spans="1:14" ht="15.75" customHeight="1" x14ac:dyDescent="0.25">
      <c r="A5601" s="7"/>
      <c r="B5601" s="343" t="s">
        <v>343</v>
      </c>
      <c r="C5601" s="344"/>
      <c r="D5601" s="344"/>
      <c r="E5601" s="334"/>
      <c r="F5601" s="104">
        <f>(F5599-F5600)*11%</f>
        <v>182457</v>
      </c>
      <c r="G5601" s="165">
        <f>G5600*11%</f>
        <v>182457</v>
      </c>
      <c r="H5601" s="11"/>
      <c r="I5601" s="21"/>
      <c r="J5601" s="35" t="s">
        <v>344</v>
      </c>
      <c r="K5601" s="107">
        <f>K5600+K5599</f>
        <v>0</v>
      </c>
      <c r="L5601" s="357"/>
      <c r="M5601" s="348"/>
      <c r="N5601" s="21"/>
    </row>
    <row r="5602" spans="1:14" ht="15.75" customHeight="1" x14ac:dyDescent="0.25">
      <c r="A5602" s="7"/>
      <c r="B5602" s="345" t="s">
        <v>344</v>
      </c>
      <c r="C5602" s="344"/>
      <c r="D5602" s="344"/>
      <c r="E5602" s="334"/>
      <c r="F5602" s="107">
        <f>F5599-F5600+F5601</f>
        <v>1841157</v>
      </c>
      <c r="G5602" s="165">
        <f>G5601+G5600</f>
        <v>1841157</v>
      </c>
      <c r="H5602" s="11"/>
      <c r="I5602" s="21"/>
      <c r="J5602" s="21"/>
      <c r="K5602" s="21"/>
      <c r="L5602" s="21"/>
      <c r="M5602" s="21"/>
      <c r="N5602" s="21"/>
    </row>
    <row r="5603" spans="1:14" ht="15.75" customHeight="1" x14ac:dyDescent="0.25">
      <c r="A5603" s="21"/>
      <c r="B5603" s="21"/>
      <c r="C5603" s="11"/>
      <c r="D5603" s="11"/>
      <c r="E5603" s="21"/>
      <c r="F5603" s="21"/>
      <c r="G5603" s="25"/>
      <c r="H5603" s="11"/>
      <c r="I5603" s="21"/>
      <c r="J5603" s="21"/>
      <c r="K5603" s="21"/>
      <c r="L5603" s="21"/>
      <c r="M5603" s="21"/>
      <c r="N5603" s="21"/>
    </row>
    <row r="5604" spans="1:14" ht="15.75" customHeight="1" x14ac:dyDescent="0.25">
      <c r="A5604" s="21"/>
      <c r="B5604" s="21"/>
      <c r="C5604" s="11"/>
      <c r="D5604" s="11"/>
      <c r="E5604" s="21"/>
      <c r="F5604" s="21"/>
      <c r="G5604" s="25"/>
      <c r="H5604" s="11"/>
      <c r="I5604" s="21"/>
      <c r="J5604" s="21"/>
      <c r="K5604" s="21"/>
      <c r="L5604" s="21"/>
      <c r="M5604" s="21"/>
      <c r="N5604" s="21"/>
    </row>
    <row r="5605" spans="1:14" ht="15.75" customHeight="1" x14ac:dyDescent="0.25">
      <c r="A5605" s="31" t="s">
        <v>14</v>
      </c>
      <c r="B5605" s="31" t="s">
        <v>234</v>
      </c>
      <c r="C5605" s="31" t="s">
        <v>16</v>
      </c>
      <c r="D5605" s="31" t="s">
        <v>17</v>
      </c>
      <c r="E5605" s="31" t="s">
        <v>235</v>
      </c>
      <c r="F5605" s="31" t="s">
        <v>236</v>
      </c>
      <c r="G5605" s="25" t="s">
        <v>1889</v>
      </c>
      <c r="H5605" s="33" t="s">
        <v>238</v>
      </c>
      <c r="I5605" s="11"/>
      <c r="J5605" s="31" t="s">
        <v>239</v>
      </c>
      <c r="K5605" s="31" t="s">
        <v>240</v>
      </c>
      <c r="L5605" s="31" t="s">
        <v>241</v>
      </c>
      <c r="M5605" s="31" t="s">
        <v>13</v>
      </c>
      <c r="N5605" s="21"/>
    </row>
    <row r="5606" spans="1:14" ht="15.75" customHeight="1" x14ac:dyDescent="0.25">
      <c r="A5606" s="7">
        <v>1</v>
      </c>
      <c r="B5606" s="124" t="s">
        <v>2168</v>
      </c>
      <c r="C5606" s="9">
        <v>4</v>
      </c>
      <c r="D5606" s="7" t="s">
        <v>363</v>
      </c>
      <c r="E5606" s="37">
        <v>55000</v>
      </c>
      <c r="F5606" s="37">
        <f>E5606*C5606</f>
        <v>220000</v>
      </c>
      <c r="G5606" s="25"/>
      <c r="H5606" s="7"/>
      <c r="I5606" s="11"/>
      <c r="J5606" s="37">
        <f>K5606/C5606</f>
        <v>43050</v>
      </c>
      <c r="K5606" s="37">
        <v>172200</v>
      </c>
      <c r="L5606" s="182" t="s">
        <v>2169</v>
      </c>
      <c r="M5606" s="35" t="s">
        <v>2170</v>
      </c>
      <c r="N5606" s="21"/>
    </row>
    <row r="5607" spans="1:14" ht="15.75" customHeight="1" x14ac:dyDescent="0.25">
      <c r="A5607" s="7"/>
      <c r="B5607" s="343" t="s">
        <v>342</v>
      </c>
      <c r="C5607" s="344"/>
      <c r="D5607" s="344"/>
      <c r="E5607" s="334"/>
      <c r="F5607" s="104">
        <f>SUM(F5606)</f>
        <v>220000</v>
      </c>
      <c r="G5607" s="25"/>
      <c r="H5607" s="11"/>
      <c r="I5607" s="21"/>
      <c r="J5607" s="35" t="s">
        <v>342</v>
      </c>
      <c r="K5607" s="104">
        <f>SUM(K5606)</f>
        <v>172200</v>
      </c>
      <c r="L5607" s="358" t="s">
        <v>2119</v>
      </c>
      <c r="M5607" s="334"/>
      <c r="N5607" s="21"/>
    </row>
    <row r="5608" spans="1:14" ht="15.75" customHeight="1" x14ac:dyDescent="0.25">
      <c r="A5608" s="7"/>
      <c r="B5608" s="343" t="s">
        <v>343</v>
      </c>
      <c r="C5608" s="344"/>
      <c r="D5608" s="344"/>
      <c r="E5608" s="334"/>
      <c r="F5608" s="167">
        <f>F5607*11%</f>
        <v>24200</v>
      </c>
      <c r="G5608" s="25"/>
      <c r="H5608" s="11"/>
      <c r="I5608" s="21"/>
      <c r="J5608" s="35" t="s">
        <v>343</v>
      </c>
      <c r="K5608" s="104">
        <f>K5607*11%</f>
        <v>18942</v>
      </c>
      <c r="L5608" s="355"/>
      <c r="M5608" s="356"/>
      <c r="N5608" s="21"/>
    </row>
    <row r="5609" spans="1:14" ht="15.75" customHeight="1" x14ac:dyDescent="0.25">
      <c r="A5609" s="7"/>
      <c r="B5609" s="345" t="s">
        <v>344</v>
      </c>
      <c r="C5609" s="344"/>
      <c r="D5609" s="344"/>
      <c r="E5609" s="334"/>
      <c r="F5609" s="168">
        <f>F5608+F5607</f>
        <v>244200</v>
      </c>
      <c r="G5609" s="25"/>
      <c r="H5609" s="11"/>
      <c r="I5609" s="21"/>
      <c r="J5609" s="35" t="s">
        <v>344</v>
      </c>
      <c r="K5609" s="107">
        <f>K5608+K5607</f>
        <v>191142</v>
      </c>
      <c r="L5609" s="357"/>
      <c r="M5609" s="348"/>
      <c r="N5609" s="21"/>
    </row>
    <row r="5610" spans="1:14" ht="15.75" customHeight="1" x14ac:dyDescent="0.25">
      <c r="A5610" s="21"/>
      <c r="B5610" s="21"/>
      <c r="C5610" s="11"/>
      <c r="D5610" s="11"/>
      <c r="E5610" s="21"/>
      <c r="F5610" s="21"/>
      <c r="G5610" s="25"/>
      <c r="H5610" s="11"/>
      <c r="I5610" s="21"/>
      <c r="J5610" s="21"/>
      <c r="K5610" s="21"/>
      <c r="L5610" s="21"/>
      <c r="M5610" s="21"/>
      <c r="N5610" s="21"/>
    </row>
    <row r="5611" spans="1:14" ht="15.75" customHeight="1" x14ac:dyDescent="0.25">
      <c r="A5611" s="21"/>
      <c r="B5611" s="21"/>
      <c r="C5611" s="11"/>
      <c r="D5611" s="11"/>
      <c r="E5611" s="21"/>
      <c r="F5611" s="21"/>
      <c r="G5611" s="25"/>
      <c r="H5611" s="11"/>
      <c r="I5611" s="21"/>
      <c r="J5611" s="21"/>
      <c r="K5611" s="21"/>
      <c r="L5611" s="21"/>
      <c r="M5611" s="21"/>
      <c r="N5611" s="21"/>
    </row>
    <row r="5612" spans="1:14" ht="15.75" customHeight="1" x14ac:dyDescent="0.25">
      <c r="A5612" s="31" t="s">
        <v>14</v>
      </c>
      <c r="B5612" s="31" t="s">
        <v>234</v>
      </c>
      <c r="C5612" s="31" t="s">
        <v>16</v>
      </c>
      <c r="D5612" s="31" t="s">
        <v>17</v>
      </c>
      <c r="E5612" s="31" t="s">
        <v>235</v>
      </c>
      <c r="F5612" s="31" t="s">
        <v>236</v>
      </c>
      <c r="G5612" s="25" t="s">
        <v>1926</v>
      </c>
      <c r="H5612" s="33" t="s">
        <v>238</v>
      </c>
      <c r="I5612" s="11"/>
      <c r="J5612" s="31" t="s">
        <v>239</v>
      </c>
      <c r="K5612" s="31" t="s">
        <v>240</v>
      </c>
      <c r="L5612" s="31" t="s">
        <v>241</v>
      </c>
      <c r="M5612" s="31" t="s">
        <v>13</v>
      </c>
      <c r="N5612" s="21"/>
    </row>
    <row r="5613" spans="1:14" ht="15.75" customHeight="1" x14ac:dyDescent="0.25">
      <c r="A5613" s="7">
        <v>1</v>
      </c>
      <c r="B5613" s="124" t="s">
        <v>2171</v>
      </c>
      <c r="C5613" s="9">
        <v>84</v>
      </c>
      <c r="D5613" s="7" t="s">
        <v>1522</v>
      </c>
      <c r="E5613" s="37">
        <v>47025</v>
      </c>
      <c r="F5613" s="37">
        <f>E5613*C5613</f>
        <v>3950100</v>
      </c>
      <c r="G5613" s="172">
        <v>45383</v>
      </c>
      <c r="H5613" s="7"/>
      <c r="I5613" s="11"/>
      <c r="J5613" s="37"/>
      <c r="K5613" s="37">
        <f>J5613*C5613</f>
        <v>0</v>
      </c>
      <c r="L5613" s="7"/>
      <c r="M5613" s="35"/>
      <c r="N5613" s="21"/>
    </row>
    <row r="5614" spans="1:14" ht="15.75" customHeight="1" x14ac:dyDescent="0.25">
      <c r="A5614" s="7"/>
      <c r="B5614" s="343" t="s">
        <v>342</v>
      </c>
      <c r="C5614" s="344"/>
      <c r="D5614" s="344"/>
      <c r="E5614" s="334"/>
      <c r="F5614" s="104">
        <f>SUM(F5613)</f>
        <v>3950100</v>
      </c>
      <c r="G5614" s="25" t="s">
        <v>2172</v>
      </c>
      <c r="H5614" s="11"/>
      <c r="I5614" s="21"/>
      <c r="J5614" s="35" t="s">
        <v>342</v>
      </c>
      <c r="K5614" s="104">
        <f>SUM(K5613)</f>
        <v>0</v>
      </c>
      <c r="L5614" s="358" t="s">
        <v>2119</v>
      </c>
      <c r="M5614" s="334"/>
      <c r="N5614" s="21"/>
    </row>
    <row r="5615" spans="1:14" ht="15.75" customHeight="1" x14ac:dyDescent="0.25">
      <c r="A5615" s="7"/>
      <c r="B5615" s="343" t="s">
        <v>343</v>
      </c>
      <c r="C5615" s="344"/>
      <c r="D5615" s="344"/>
      <c r="E5615" s="334"/>
      <c r="F5615" s="167">
        <f>F5614*11%</f>
        <v>434511</v>
      </c>
      <c r="G5615" s="25"/>
      <c r="H5615" s="11"/>
      <c r="I5615" s="21"/>
      <c r="J5615" s="35" t="s">
        <v>343</v>
      </c>
      <c r="K5615" s="104">
        <f>K5614*11%</f>
        <v>0</v>
      </c>
      <c r="L5615" s="355"/>
      <c r="M5615" s="356"/>
      <c r="N5615" s="21"/>
    </row>
    <row r="5616" spans="1:14" ht="15.75" customHeight="1" x14ac:dyDescent="0.25">
      <c r="A5616" s="7"/>
      <c r="B5616" s="345" t="s">
        <v>344</v>
      </c>
      <c r="C5616" s="344"/>
      <c r="D5616" s="344"/>
      <c r="E5616" s="334"/>
      <c r="F5616" s="168">
        <f>F5615+F5614</f>
        <v>4384611</v>
      </c>
      <c r="G5616" s="25"/>
      <c r="H5616" s="11"/>
      <c r="I5616" s="21"/>
      <c r="J5616" s="35" t="s">
        <v>344</v>
      </c>
      <c r="K5616" s="107">
        <f>K5615+K5614</f>
        <v>0</v>
      </c>
      <c r="L5616" s="357"/>
      <c r="M5616" s="348"/>
      <c r="N5616" s="21"/>
    </row>
    <row r="5617" spans="1:14" ht="15.75" customHeight="1" x14ac:dyDescent="0.25">
      <c r="A5617" s="21"/>
      <c r="B5617" s="21"/>
      <c r="C5617" s="11"/>
      <c r="D5617" s="11"/>
      <c r="E5617" s="21"/>
      <c r="F5617" s="21"/>
      <c r="G5617" s="25"/>
      <c r="H5617" s="11"/>
      <c r="I5617" s="21"/>
      <c r="J5617" s="21"/>
      <c r="K5617" s="21"/>
      <c r="L5617" s="21"/>
      <c r="M5617" s="21"/>
      <c r="N5617" s="21"/>
    </row>
    <row r="5618" spans="1:14" ht="15.75" customHeight="1" x14ac:dyDescent="0.25">
      <c r="A5618" s="31" t="s">
        <v>14</v>
      </c>
      <c r="B5618" s="31" t="s">
        <v>234</v>
      </c>
      <c r="C5618" s="31" t="s">
        <v>16</v>
      </c>
      <c r="D5618" s="31" t="s">
        <v>17</v>
      </c>
      <c r="E5618" s="31" t="s">
        <v>235</v>
      </c>
      <c r="F5618" s="31" t="s">
        <v>236</v>
      </c>
      <c r="G5618" s="144" t="s">
        <v>2173</v>
      </c>
      <c r="H5618" s="11"/>
      <c r="I5618" s="21"/>
      <c r="J5618" s="21"/>
      <c r="K5618" s="21"/>
      <c r="L5618" s="21"/>
      <c r="M5618" s="21"/>
      <c r="N5618" s="21"/>
    </row>
    <row r="5619" spans="1:14" ht="15.75" customHeight="1" x14ac:dyDescent="0.25">
      <c r="A5619" s="7">
        <v>1</v>
      </c>
      <c r="B5619" s="41" t="s">
        <v>1885</v>
      </c>
      <c r="C5619" s="7">
        <v>2</v>
      </c>
      <c r="D5619" s="7" t="s">
        <v>19</v>
      </c>
      <c r="E5619" s="37">
        <v>1877500</v>
      </c>
      <c r="F5619" s="37">
        <f>E5619*C5619</f>
        <v>3755000</v>
      </c>
      <c r="G5619" s="172">
        <v>45334</v>
      </c>
      <c r="H5619" s="11"/>
      <c r="I5619" s="21"/>
      <c r="J5619" s="21"/>
      <c r="K5619" s="21"/>
      <c r="L5619" s="21"/>
      <c r="M5619" s="21"/>
      <c r="N5619" s="21"/>
    </row>
    <row r="5620" spans="1:14" ht="15.75" customHeight="1" x14ac:dyDescent="0.25">
      <c r="A5620" s="7">
        <v>2</v>
      </c>
      <c r="B5620" s="35" t="s">
        <v>1886</v>
      </c>
      <c r="C5620" s="7">
        <v>4</v>
      </c>
      <c r="D5620" s="7" t="s">
        <v>19</v>
      </c>
      <c r="E5620" s="37">
        <v>48000</v>
      </c>
      <c r="F5620" s="37">
        <f>E5620*C5620</f>
        <v>192000</v>
      </c>
      <c r="G5620" s="25" t="s">
        <v>1887</v>
      </c>
      <c r="H5620" s="11"/>
      <c r="I5620" s="21"/>
      <c r="J5620" s="21"/>
      <c r="K5620" s="21"/>
      <c r="L5620" s="21"/>
      <c r="M5620" s="21"/>
      <c r="N5620" s="21"/>
    </row>
    <row r="5621" spans="1:14" ht="15.75" customHeight="1" x14ac:dyDescent="0.25">
      <c r="A5621" s="7"/>
      <c r="B5621" s="59" t="s">
        <v>342</v>
      </c>
      <c r="C5621" s="59"/>
      <c r="D5621" s="59"/>
      <c r="E5621" s="59"/>
      <c r="F5621" s="104">
        <f>SUM(F5619:F5620)</f>
        <v>3947000</v>
      </c>
      <c r="G5621" s="25" t="s">
        <v>1888</v>
      </c>
      <c r="H5621" s="11"/>
      <c r="I5621" s="21"/>
      <c r="J5621" s="35" t="s">
        <v>342</v>
      </c>
      <c r="K5621" s="21"/>
      <c r="L5621" s="21"/>
      <c r="M5621" s="21"/>
      <c r="N5621" s="21"/>
    </row>
    <row r="5622" spans="1:14" ht="15.75" customHeight="1" x14ac:dyDescent="0.25">
      <c r="A5622" s="7"/>
      <c r="B5622" s="59" t="s">
        <v>343</v>
      </c>
      <c r="C5622" s="59"/>
      <c r="D5622" s="59"/>
      <c r="E5622" s="59"/>
      <c r="F5622" s="167">
        <f>F5621*11%</f>
        <v>434170</v>
      </c>
      <c r="G5622" s="25"/>
      <c r="H5622" s="11"/>
      <c r="I5622" s="21"/>
      <c r="J5622" s="35" t="s">
        <v>343</v>
      </c>
      <c r="K5622" s="21"/>
      <c r="L5622" s="21"/>
      <c r="M5622" s="21"/>
      <c r="N5622" s="21"/>
    </row>
    <row r="5623" spans="1:14" ht="15.75" customHeight="1" x14ac:dyDescent="0.25">
      <c r="A5623" s="7"/>
      <c r="B5623" s="345" t="s">
        <v>344</v>
      </c>
      <c r="C5623" s="344"/>
      <c r="D5623" s="344"/>
      <c r="E5623" s="334"/>
      <c r="F5623" s="168">
        <f>F5622+F5621</f>
        <v>4381170</v>
      </c>
      <c r="G5623" s="25"/>
      <c r="H5623" s="11"/>
      <c r="I5623" s="21"/>
      <c r="J5623" s="35" t="s">
        <v>344</v>
      </c>
      <c r="K5623" s="21"/>
      <c r="L5623" s="21"/>
      <c r="M5623" s="21"/>
      <c r="N5623" s="21"/>
    </row>
    <row r="5624" spans="1:14" ht="15.75" customHeight="1" x14ac:dyDescent="0.25">
      <c r="A5624" s="21"/>
      <c r="B5624" s="21"/>
      <c r="C5624" s="11"/>
      <c r="D5624" s="11"/>
      <c r="E5624" s="21"/>
      <c r="F5624" s="21"/>
      <c r="G5624" s="25"/>
      <c r="H5624" s="11"/>
      <c r="I5624" s="21"/>
      <c r="J5624" s="21"/>
      <c r="K5624" s="21"/>
      <c r="L5624" s="21"/>
      <c r="M5624" s="21"/>
      <c r="N5624" s="21"/>
    </row>
    <row r="5625" spans="1:14" ht="15.75" customHeight="1" x14ac:dyDescent="0.25">
      <c r="A5625" s="21"/>
      <c r="B5625" s="21"/>
      <c r="C5625" s="11"/>
      <c r="D5625" s="11"/>
      <c r="E5625" s="21"/>
      <c r="F5625" s="21"/>
      <c r="G5625" s="25"/>
      <c r="H5625" s="11"/>
      <c r="I5625" s="21"/>
      <c r="J5625" s="21"/>
      <c r="K5625" s="21"/>
      <c r="L5625" s="21"/>
      <c r="M5625" s="21"/>
      <c r="N5625" s="21"/>
    </row>
    <row r="5626" spans="1:14" ht="15.75" customHeight="1" x14ac:dyDescent="0.25">
      <c r="A5626" s="31" t="s">
        <v>14</v>
      </c>
      <c r="B5626" s="31" t="s">
        <v>234</v>
      </c>
      <c r="C5626" s="31" t="s">
        <v>16</v>
      </c>
      <c r="D5626" s="31" t="s">
        <v>17</v>
      </c>
      <c r="E5626" s="31" t="s">
        <v>235</v>
      </c>
      <c r="F5626" s="31" t="s">
        <v>236</v>
      </c>
      <c r="G5626" s="25" t="s">
        <v>1889</v>
      </c>
      <c r="H5626" s="33" t="s">
        <v>238</v>
      </c>
      <c r="I5626" s="11"/>
      <c r="J5626" s="31" t="s">
        <v>239</v>
      </c>
      <c r="K5626" s="31" t="s">
        <v>240</v>
      </c>
      <c r="L5626" s="31" t="s">
        <v>241</v>
      </c>
      <c r="M5626" s="31" t="s">
        <v>13</v>
      </c>
      <c r="N5626" s="21"/>
    </row>
    <row r="5627" spans="1:14" ht="15.75" customHeight="1" x14ac:dyDescent="0.25">
      <c r="A5627" s="7">
        <v>1</v>
      </c>
      <c r="B5627" s="35" t="s">
        <v>2174</v>
      </c>
      <c r="C5627" s="9">
        <v>3</v>
      </c>
      <c r="D5627" s="7" t="s">
        <v>19</v>
      </c>
      <c r="E5627" s="37">
        <v>211500</v>
      </c>
      <c r="F5627" s="37">
        <f t="shared" ref="F5627:F5636" si="63">E5627*C5627</f>
        <v>634500</v>
      </c>
      <c r="G5627" s="25" t="s">
        <v>2175</v>
      </c>
      <c r="H5627" s="7"/>
      <c r="I5627" s="11"/>
      <c r="J5627" s="37"/>
      <c r="K5627" s="37">
        <f t="shared" ref="K5627:K5636" si="64">J5627*C5627</f>
        <v>0</v>
      </c>
      <c r="L5627" s="7"/>
      <c r="M5627" s="35"/>
      <c r="N5627" s="21"/>
    </row>
    <row r="5628" spans="1:14" ht="15.75" customHeight="1" x14ac:dyDescent="0.25">
      <c r="A5628" s="7">
        <v>2</v>
      </c>
      <c r="B5628" s="41" t="s">
        <v>2176</v>
      </c>
      <c r="C5628" s="9">
        <v>13</v>
      </c>
      <c r="D5628" s="7" t="s">
        <v>19</v>
      </c>
      <c r="E5628" s="37">
        <v>1495000</v>
      </c>
      <c r="F5628" s="37">
        <f t="shared" si="63"/>
        <v>19435000</v>
      </c>
      <c r="G5628" s="172">
        <v>45247</v>
      </c>
      <c r="H5628" s="7"/>
      <c r="I5628" s="11"/>
      <c r="J5628" s="37"/>
      <c r="K5628" s="37">
        <f t="shared" si="64"/>
        <v>0</v>
      </c>
      <c r="L5628" s="7"/>
      <c r="M5628" s="35"/>
      <c r="N5628" s="21"/>
    </row>
    <row r="5629" spans="1:14" ht="15.75" customHeight="1" x14ac:dyDescent="0.25">
      <c r="A5629" s="7">
        <v>3</v>
      </c>
      <c r="B5629" s="41" t="s">
        <v>2177</v>
      </c>
      <c r="C5629" s="9">
        <v>1</v>
      </c>
      <c r="D5629" s="7" t="s">
        <v>19</v>
      </c>
      <c r="E5629" s="37">
        <v>82000</v>
      </c>
      <c r="F5629" s="37">
        <f t="shared" si="63"/>
        <v>82000</v>
      </c>
      <c r="G5629" s="25" t="s">
        <v>2178</v>
      </c>
      <c r="H5629" s="7"/>
      <c r="I5629" s="11"/>
      <c r="J5629" s="37"/>
      <c r="K5629" s="37">
        <f t="shared" si="64"/>
        <v>0</v>
      </c>
      <c r="L5629" s="7"/>
      <c r="M5629" s="35"/>
      <c r="N5629" s="21"/>
    </row>
    <row r="5630" spans="1:14" ht="15.75" customHeight="1" x14ac:dyDescent="0.25">
      <c r="A5630" s="7">
        <v>4</v>
      </c>
      <c r="B5630" s="41" t="s">
        <v>2179</v>
      </c>
      <c r="C5630" s="9">
        <v>11</v>
      </c>
      <c r="D5630" s="7" t="s">
        <v>19</v>
      </c>
      <c r="E5630" s="37">
        <v>106600</v>
      </c>
      <c r="F5630" s="37">
        <f t="shared" si="63"/>
        <v>1172600</v>
      </c>
      <c r="G5630" s="25"/>
      <c r="H5630" s="7"/>
      <c r="I5630" s="11"/>
      <c r="J5630" s="37"/>
      <c r="K5630" s="37">
        <f t="shared" si="64"/>
        <v>0</v>
      </c>
      <c r="L5630" s="7"/>
      <c r="M5630" s="35"/>
      <c r="N5630" s="21"/>
    </row>
    <row r="5631" spans="1:14" ht="15.75" customHeight="1" x14ac:dyDescent="0.25">
      <c r="A5631" s="7">
        <v>5</v>
      </c>
      <c r="B5631" s="41" t="s">
        <v>2180</v>
      </c>
      <c r="C5631" s="9">
        <v>4</v>
      </c>
      <c r="D5631" s="7" t="s">
        <v>19</v>
      </c>
      <c r="E5631" s="37">
        <v>346800</v>
      </c>
      <c r="F5631" s="37">
        <f t="shared" si="63"/>
        <v>1387200</v>
      </c>
      <c r="G5631" s="25"/>
      <c r="H5631" s="7"/>
      <c r="I5631" s="11"/>
      <c r="J5631" s="37"/>
      <c r="K5631" s="37">
        <f t="shared" si="64"/>
        <v>0</v>
      </c>
      <c r="L5631" s="7"/>
      <c r="M5631" s="35"/>
      <c r="N5631" s="21"/>
    </row>
    <row r="5632" spans="1:14" ht="15.75" customHeight="1" x14ac:dyDescent="0.25">
      <c r="A5632" s="7">
        <v>6</v>
      </c>
      <c r="B5632" s="41" t="s">
        <v>2181</v>
      </c>
      <c r="C5632" s="9">
        <v>4</v>
      </c>
      <c r="D5632" s="7" t="s">
        <v>19</v>
      </c>
      <c r="E5632" s="37">
        <v>840500</v>
      </c>
      <c r="F5632" s="37">
        <f t="shared" si="63"/>
        <v>3362000</v>
      </c>
      <c r="G5632" s="25"/>
      <c r="H5632" s="7"/>
      <c r="I5632" s="11"/>
      <c r="J5632" s="37"/>
      <c r="K5632" s="37">
        <f t="shared" si="64"/>
        <v>0</v>
      </c>
      <c r="L5632" s="7"/>
      <c r="M5632" s="35"/>
      <c r="N5632" s="21"/>
    </row>
    <row r="5633" spans="1:14" ht="15.75" customHeight="1" x14ac:dyDescent="0.25">
      <c r="A5633" s="7">
        <v>7</v>
      </c>
      <c r="B5633" s="41" t="s">
        <v>2182</v>
      </c>
      <c r="C5633" s="9">
        <v>2</v>
      </c>
      <c r="D5633" s="7" t="s">
        <v>19</v>
      </c>
      <c r="E5633" s="37">
        <v>372800</v>
      </c>
      <c r="F5633" s="37">
        <f t="shared" si="63"/>
        <v>745600</v>
      </c>
      <c r="G5633" s="25"/>
      <c r="H5633" s="7"/>
      <c r="I5633" s="11"/>
      <c r="J5633" s="37"/>
      <c r="K5633" s="37">
        <f t="shared" si="64"/>
        <v>0</v>
      </c>
      <c r="L5633" s="7"/>
      <c r="M5633" s="35"/>
      <c r="N5633" s="21"/>
    </row>
    <row r="5634" spans="1:14" ht="15.75" customHeight="1" x14ac:dyDescent="0.25">
      <c r="A5634" s="7">
        <v>8</v>
      </c>
      <c r="B5634" s="41" t="s">
        <v>2183</v>
      </c>
      <c r="C5634" s="9">
        <v>2</v>
      </c>
      <c r="D5634" s="7" t="s">
        <v>19</v>
      </c>
      <c r="E5634" s="37">
        <v>400500</v>
      </c>
      <c r="F5634" s="37">
        <f t="shared" si="63"/>
        <v>801000</v>
      </c>
      <c r="G5634" s="25"/>
      <c r="H5634" s="7"/>
      <c r="I5634" s="11"/>
      <c r="J5634" s="37"/>
      <c r="K5634" s="37">
        <f t="shared" si="64"/>
        <v>0</v>
      </c>
      <c r="L5634" s="7"/>
      <c r="M5634" s="35"/>
      <c r="N5634" s="21"/>
    </row>
    <row r="5635" spans="1:14" ht="15.75" customHeight="1" x14ac:dyDescent="0.25">
      <c r="A5635" s="7">
        <v>9</v>
      </c>
      <c r="B5635" s="41" t="s">
        <v>2184</v>
      </c>
      <c r="C5635" s="9">
        <v>1</v>
      </c>
      <c r="D5635" s="7" t="s">
        <v>19</v>
      </c>
      <c r="E5635" s="37">
        <v>250000</v>
      </c>
      <c r="F5635" s="37">
        <f t="shared" si="63"/>
        <v>250000</v>
      </c>
      <c r="G5635" s="25"/>
      <c r="H5635" s="7"/>
      <c r="I5635" s="11"/>
      <c r="J5635" s="37"/>
      <c r="K5635" s="37">
        <f t="shared" si="64"/>
        <v>0</v>
      </c>
      <c r="L5635" s="7"/>
      <c r="M5635" s="35"/>
      <c r="N5635" s="21"/>
    </row>
    <row r="5636" spans="1:14" ht="15.75" customHeight="1" x14ac:dyDescent="0.25">
      <c r="A5636" s="7">
        <v>10</v>
      </c>
      <c r="B5636" s="41" t="s">
        <v>2185</v>
      </c>
      <c r="C5636" s="9">
        <v>2</v>
      </c>
      <c r="D5636" s="7" t="s">
        <v>19</v>
      </c>
      <c r="E5636" s="37">
        <v>204500</v>
      </c>
      <c r="F5636" s="37">
        <f t="shared" si="63"/>
        <v>409000</v>
      </c>
      <c r="G5636" s="25"/>
      <c r="H5636" s="7"/>
      <c r="I5636" s="11"/>
      <c r="J5636" s="37"/>
      <c r="K5636" s="37">
        <f t="shared" si="64"/>
        <v>0</v>
      </c>
      <c r="L5636" s="7"/>
      <c r="M5636" s="35"/>
      <c r="N5636" s="21"/>
    </row>
    <row r="5637" spans="1:14" ht="15.75" customHeight="1" x14ac:dyDescent="0.25">
      <c r="A5637" s="7"/>
      <c r="B5637" s="343" t="s">
        <v>342</v>
      </c>
      <c r="C5637" s="344"/>
      <c r="D5637" s="344"/>
      <c r="E5637" s="334"/>
      <c r="F5637" s="104">
        <f>SUM(F5627:F5636)</f>
        <v>28278900</v>
      </c>
      <c r="G5637" s="165">
        <f>F5637+27500000+10800000</f>
        <v>66578900</v>
      </c>
      <c r="H5637" s="11"/>
      <c r="I5637" s="21"/>
      <c r="J5637" s="35" t="s">
        <v>342</v>
      </c>
      <c r="K5637" s="104">
        <f>SUM(K5627:K5636)</f>
        <v>0</v>
      </c>
      <c r="L5637" s="21"/>
      <c r="M5637" s="21"/>
      <c r="N5637" s="21"/>
    </row>
    <row r="5638" spans="1:14" ht="15.75" customHeight="1" x14ac:dyDescent="0.25">
      <c r="A5638" s="7"/>
      <c r="B5638" s="343" t="s">
        <v>343</v>
      </c>
      <c r="C5638" s="344"/>
      <c r="D5638" s="344"/>
      <c r="E5638" s="334"/>
      <c r="F5638" s="167">
        <f>F5637*11%</f>
        <v>3110679</v>
      </c>
      <c r="G5638" s="25"/>
      <c r="H5638" s="11"/>
      <c r="I5638" s="21"/>
      <c r="J5638" s="35" t="s">
        <v>343</v>
      </c>
      <c r="K5638" s="167">
        <f>K5637*11%</f>
        <v>0</v>
      </c>
      <c r="L5638" s="21"/>
      <c r="M5638" s="21"/>
      <c r="N5638" s="21"/>
    </row>
    <row r="5639" spans="1:14" ht="15.75" customHeight="1" x14ac:dyDescent="0.25">
      <c r="A5639" s="7"/>
      <c r="B5639" s="345" t="s">
        <v>344</v>
      </c>
      <c r="C5639" s="344"/>
      <c r="D5639" s="344"/>
      <c r="E5639" s="334"/>
      <c r="F5639" s="168">
        <f>F5638+F5637</f>
        <v>31389579</v>
      </c>
      <c r="G5639" s="25"/>
      <c r="H5639" s="11"/>
      <c r="I5639" s="21"/>
      <c r="J5639" s="35" t="s">
        <v>344</v>
      </c>
      <c r="K5639" s="168">
        <f>K5638+K5637</f>
        <v>0</v>
      </c>
      <c r="L5639" s="21"/>
      <c r="M5639" s="21"/>
      <c r="N5639" s="21"/>
    </row>
    <row r="5640" spans="1:14" ht="15.75" customHeight="1" x14ac:dyDescent="0.25">
      <c r="A5640" s="21"/>
      <c r="B5640" s="21"/>
      <c r="C5640" s="11"/>
      <c r="D5640" s="11"/>
      <c r="E5640" s="21"/>
      <c r="F5640" s="21"/>
      <c r="G5640" s="25"/>
      <c r="H5640" s="11"/>
      <c r="I5640" s="21"/>
      <c r="J5640" s="21"/>
      <c r="K5640" s="21"/>
      <c r="L5640" s="21"/>
      <c r="M5640" s="21"/>
      <c r="N5640" s="21"/>
    </row>
    <row r="5641" spans="1:14" ht="15.75" customHeight="1" x14ac:dyDescent="0.25">
      <c r="A5641" s="31" t="s">
        <v>14</v>
      </c>
      <c r="B5641" s="31" t="s">
        <v>234</v>
      </c>
      <c r="C5641" s="31" t="s">
        <v>16</v>
      </c>
      <c r="D5641" s="31" t="s">
        <v>17</v>
      </c>
      <c r="E5641" s="31" t="s">
        <v>235</v>
      </c>
      <c r="F5641" s="31" t="s">
        <v>236</v>
      </c>
      <c r="G5641" s="32" t="s">
        <v>257</v>
      </c>
      <c r="H5641" s="33" t="s">
        <v>238</v>
      </c>
      <c r="I5641" s="11"/>
      <c r="J5641" s="31" t="s">
        <v>239</v>
      </c>
      <c r="K5641" s="31" t="s">
        <v>240</v>
      </c>
      <c r="L5641" s="31" t="s">
        <v>241</v>
      </c>
      <c r="M5641" s="31" t="s">
        <v>13</v>
      </c>
      <c r="N5641" s="21"/>
    </row>
    <row r="5642" spans="1:14" ht="15.75" customHeight="1" x14ac:dyDescent="0.25">
      <c r="A5642" s="7">
        <v>1</v>
      </c>
      <c r="B5642" s="35" t="s">
        <v>2186</v>
      </c>
      <c r="C5642" s="9">
        <v>10</v>
      </c>
      <c r="D5642" s="7" t="s">
        <v>260</v>
      </c>
      <c r="E5642" s="37">
        <v>23920</v>
      </c>
      <c r="F5642" s="37">
        <f t="shared" ref="F5642:F5647" si="65">E5642*C5642</f>
        <v>239200</v>
      </c>
      <c r="G5642" s="25" t="s">
        <v>2187</v>
      </c>
      <c r="H5642" s="7">
        <v>8</v>
      </c>
      <c r="I5642" s="11"/>
      <c r="J5642" s="37">
        <v>23000</v>
      </c>
      <c r="K5642" s="37">
        <f t="shared" ref="K5642:K5647" si="66">J5642*C5642</f>
        <v>230000</v>
      </c>
      <c r="L5642" s="349" t="s">
        <v>2188</v>
      </c>
      <c r="M5642" s="359" t="s">
        <v>2189</v>
      </c>
      <c r="N5642" s="21"/>
    </row>
    <row r="5643" spans="1:14" ht="15.75" customHeight="1" x14ac:dyDescent="0.25">
      <c r="A5643" s="7">
        <v>2</v>
      </c>
      <c r="B5643" s="41" t="s">
        <v>2190</v>
      </c>
      <c r="C5643" s="9">
        <v>10</v>
      </c>
      <c r="D5643" s="7" t="s">
        <v>260</v>
      </c>
      <c r="E5643" s="37">
        <v>35880</v>
      </c>
      <c r="F5643" s="37">
        <f t="shared" si="65"/>
        <v>358800</v>
      </c>
      <c r="G5643" s="184" t="s">
        <v>2191</v>
      </c>
      <c r="H5643" s="7">
        <v>8</v>
      </c>
      <c r="I5643" s="21"/>
      <c r="J5643" s="37">
        <v>26000</v>
      </c>
      <c r="K5643" s="37">
        <f t="shared" si="66"/>
        <v>260000</v>
      </c>
      <c r="L5643" s="350"/>
      <c r="M5643" s="350"/>
      <c r="N5643" s="21"/>
    </row>
    <row r="5644" spans="1:14" ht="15.75" customHeight="1" x14ac:dyDescent="0.25">
      <c r="A5644" s="7">
        <v>3</v>
      </c>
      <c r="B5644" s="41" t="s">
        <v>2192</v>
      </c>
      <c r="C5644" s="9">
        <v>10</v>
      </c>
      <c r="D5644" s="7" t="s">
        <v>260</v>
      </c>
      <c r="E5644" s="37">
        <v>50232</v>
      </c>
      <c r="F5644" s="37">
        <f t="shared" si="65"/>
        <v>502320</v>
      </c>
      <c r="G5644" s="25"/>
      <c r="H5644" s="7">
        <v>8</v>
      </c>
      <c r="I5644" s="21"/>
      <c r="J5644" s="37">
        <v>42000</v>
      </c>
      <c r="K5644" s="37">
        <f t="shared" si="66"/>
        <v>420000</v>
      </c>
      <c r="L5644" s="350"/>
      <c r="M5644" s="350"/>
      <c r="N5644" s="21"/>
    </row>
    <row r="5645" spans="1:14" ht="15.75" customHeight="1" x14ac:dyDescent="0.25">
      <c r="A5645" s="7">
        <v>4</v>
      </c>
      <c r="B5645" s="41" t="s">
        <v>2193</v>
      </c>
      <c r="C5645" s="9">
        <v>10</v>
      </c>
      <c r="D5645" s="7" t="s">
        <v>260</v>
      </c>
      <c r="E5645" s="37">
        <v>59800</v>
      </c>
      <c r="F5645" s="37">
        <f t="shared" si="65"/>
        <v>598000</v>
      </c>
      <c r="G5645" s="25"/>
      <c r="H5645" s="7">
        <v>8</v>
      </c>
      <c r="I5645" s="21"/>
      <c r="J5645" s="37">
        <v>52000</v>
      </c>
      <c r="K5645" s="37">
        <f t="shared" si="66"/>
        <v>520000</v>
      </c>
      <c r="L5645" s="350"/>
      <c r="M5645" s="350"/>
      <c r="N5645" s="21"/>
    </row>
    <row r="5646" spans="1:14" ht="15.75" customHeight="1" x14ac:dyDescent="0.25">
      <c r="A5646" s="7">
        <v>5</v>
      </c>
      <c r="B5646" s="41" t="s">
        <v>2194</v>
      </c>
      <c r="C5646" s="9">
        <v>10</v>
      </c>
      <c r="D5646" s="7" t="s">
        <v>260</v>
      </c>
      <c r="E5646" s="37">
        <v>92000</v>
      </c>
      <c r="F5646" s="37">
        <f t="shared" si="65"/>
        <v>920000</v>
      </c>
      <c r="G5646" s="25"/>
      <c r="H5646" s="7">
        <v>8</v>
      </c>
      <c r="I5646" s="21"/>
      <c r="J5646" s="37">
        <v>82000</v>
      </c>
      <c r="K5646" s="37">
        <f t="shared" si="66"/>
        <v>820000</v>
      </c>
      <c r="L5646" s="350"/>
      <c r="M5646" s="350"/>
      <c r="N5646" s="21"/>
    </row>
    <row r="5647" spans="1:14" ht="15.75" customHeight="1" x14ac:dyDescent="0.25">
      <c r="A5647" s="7">
        <v>6</v>
      </c>
      <c r="B5647" s="41" t="s">
        <v>2195</v>
      </c>
      <c r="C5647" s="9">
        <v>10</v>
      </c>
      <c r="D5647" s="7" t="s">
        <v>260</v>
      </c>
      <c r="E5647" s="37">
        <v>120980</v>
      </c>
      <c r="F5647" s="37">
        <f t="shared" si="65"/>
        <v>1209800</v>
      </c>
      <c r="G5647" s="25"/>
      <c r="H5647" s="7">
        <v>8</v>
      </c>
      <c r="I5647" s="21"/>
      <c r="J5647" s="37">
        <v>100000</v>
      </c>
      <c r="K5647" s="37">
        <f t="shared" si="66"/>
        <v>1000000</v>
      </c>
      <c r="L5647" s="351"/>
      <c r="M5647" s="351"/>
      <c r="N5647" s="21"/>
    </row>
    <row r="5648" spans="1:14" ht="15.75" customHeight="1" x14ac:dyDescent="0.25">
      <c r="A5648" s="7"/>
      <c r="B5648" s="343" t="s">
        <v>342</v>
      </c>
      <c r="C5648" s="344"/>
      <c r="D5648" s="344"/>
      <c r="E5648" s="334"/>
      <c r="F5648" s="104">
        <f>SUM(F5642:F5647)</f>
        <v>3828120</v>
      </c>
      <c r="G5648" s="25"/>
      <c r="H5648" s="11"/>
      <c r="I5648" s="21"/>
      <c r="J5648" s="35" t="s">
        <v>342</v>
      </c>
      <c r="K5648" s="104">
        <f>SUM(K5642:K5647)</f>
        <v>3250000</v>
      </c>
      <c r="L5648" s="358" t="s">
        <v>2119</v>
      </c>
      <c r="M5648" s="334"/>
      <c r="N5648" s="21"/>
    </row>
    <row r="5649" spans="1:14" ht="15.75" customHeight="1" x14ac:dyDescent="0.25">
      <c r="A5649" s="7"/>
      <c r="B5649" s="343" t="s">
        <v>343</v>
      </c>
      <c r="C5649" s="344"/>
      <c r="D5649" s="344"/>
      <c r="E5649" s="334"/>
      <c r="F5649" s="167">
        <f>F5648*11%</f>
        <v>421093.2</v>
      </c>
      <c r="G5649" s="25"/>
      <c r="H5649" s="11"/>
      <c r="I5649" s="21"/>
      <c r="J5649" s="35" t="s">
        <v>343</v>
      </c>
      <c r="K5649" s="104">
        <f>K5648*11%</f>
        <v>357500</v>
      </c>
      <c r="L5649" s="355"/>
      <c r="M5649" s="356"/>
      <c r="N5649" s="21"/>
    </row>
    <row r="5650" spans="1:14" ht="15.75" customHeight="1" x14ac:dyDescent="0.25">
      <c r="A5650" s="7"/>
      <c r="B5650" s="345" t="s">
        <v>344</v>
      </c>
      <c r="C5650" s="344"/>
      <c r="D5650" s="344"/>
      <c r="E5650" s="334"/>
      <c r="F5650" s="168">
        <f>F5649+F5648</f>
        <v>4249213.2</v>
      </c>
      <c r="G5650" s="25"/>
      <c r="H5650" s="11"/>
      <c r="I5650" s="21"/>
      <c r="J5650" s="35" t="s">
        <v>344</v>
      </c>
      <c r="K5650" s="107">
        <f>K5649+K5648</f>
        <v>3607500</v>
      </c>
      <c r="L5650" s="357"/>
      <c r="M5650" s="348"/>
      <c r="N5650" s="21"/>
    </row>
    <row r="5651" spans="1:14" ht="15.75" customHeight="1" x14ac:dyDescent="0.25">
      <c r="A5651" s="21"/>
      <c r="B5651" s="21"/>
      <c r="C5651" s="11"/>
      <c r="D5651" s="11"/>
      <c r="E5651" s="21"/>
      <c r="F5651" s="21"/>
      <c r="G5651" s="25"/>
      <c r="H5651" s="11"/>
      <c r="I5651" s="21"/>
      <c r="J5651" s="21"/>
      <c r="K5651" s="21"/>
      <c r="L5651" s="21"/>
      <c r="M5651" s="21"/>
      <c r="N5651" s="21"/>
    </row>
    <row r="5652" spans="1:14" ht="15.75" customHeight="1" x14ac:dyDescent="0.25">
      <c r="A5652" s="21"/>
      <c r="B5652" s="21"/>
      <c r="C5652" s="11"/>
      <c r="D5652" s="11"/>
      <c r="E5652" s="21"/>
      <c r="F5652" s="21"/>
      <c r="G5652" s="25"/>
      <c r="H5652" s="11"/>
      <c r="I5652" s="21"/>
      <c r="J5652" s="21"/>
      <c r="K5652" s="21"/>
      <c r="L5652" s="21"/>
      <c r="M5652" s="21"/>
      <c r="N5652" s="21"/>
    </row>
    <row r="5653" spans="1:14" ht="15.75" customHeight="1" x14ac:dyDescent="0.25">
      <c r="A5653" s="31" t="s">
        <v>14</v>
      </c>
      <c r="B5653" s="31" t="s">
        <v>234</v>
      </c>
      <c r="C5653" s="31" t="s">
        <v>16</v>
      </c>
      <c r="D5653" s="31" t="s">
        <v>17</v>
      </c>
      <c r="E5653" s="31" t="s">
        <v>235</v>
      </c>
      <c r="F5653" s="31" t="s">
        <v>236</v>
      </c>
      <c r="G5653" s="25"/>
      <c r="H5653" s="33" t="s">
        <v>238</v>
      </c>
      <c r="I5653" s="11"/>
      <c r="J5653" s="31" t="s">
        <v>239</v>
      </c>
      <c r="K5653" s="31" t="s">
        <v>240</v>
      </c>
      <c r="L5653" s="31" t="s">
        <v>241</v>
      </c>
      <c r="M5653" s="31" t="s">
        <v>13</v>
      </c>
      <c r="N5653" s="21"/>
    </row>
    <row r="5654" spans="1:14" ht="15.75" customHeight="1" x14ac:dyDescent="0.25">
      <c r="A5654" s="7">
        <v>1</v>
      </c>
      <c r="B5654" s="35" t="s">
        <v>2186</v>
      </c>
      <c r="C5654" s="9">
        <v>10</v>
      </c>
      <c r="D5654" s="7" t="s">
        <v>260</v>
      </c>
      <c r="E5654" s="37">
        <v>23920</v>
      </c>
      <c r="F5654" s="37">
        <f>E5654*C5654</f>
        <v>239200</v>
      </c>
      <c r="G5654" s="25"/>
      <c r="H5654" s="7"/>
      <c r="I5654" s="11"/>
      <c r="J5654" s="37"/>
      <c r="K5654" s="37">
        <f>J5654*C5654</f>
        <v>0</v>
      </c>
      <c r="L5654" s="7"/>
      <c r="M5654" s="35"/>
      <c r="N5654" s="21"/>
    </row>
    <row r="5655" spans="1:14" ht="15.75" customHeight="1" x14ac:dyDescent="0.25">
      <c r="A5655" s="7"/>
      <c r="B5655" s="343" t="s">
        <v>342</v>
      </c>
      <c r="C5655" s="344"/>
      <c r="D5655" s="344"/>
      <c r="E5655" s="334"/>
      <c r="F5655" s="104">
        <f>SUM(F5654)</f>
        <v>239200</v>
      </c>
      <c r="G5655" s="25"/>
      <c r="H5655" s="11"/>
      <c r="I5655" s="21"/>
      <c r="J5655" s="35" t="s">
        <v>342</v>
      </c>
      <c r="K5655" s="104">
        <f>SUM(K5654)</f>
        <v>0</v>
      </c>
      <c r="L5655" s="358" t="s">
        <v>2119</v>
      </c>
      <c r="M5655" s="334"/>
      <c r="N5655" s="21"/>
    </row>
    <row r="5656" spans="1:14" ht="15.75" customHeight="1" x14ac:dyDescent="0.25">
      <c r="A5656" s="7"/>
      <c r="B5656" s="343" t="s">
        <v>343</v>
      </c>
      <c r="C5656" s="344"/>
      <c r="D5656" s="344"/>
      <c r="E5656" s="334"/>
      <c r="F5656" s="167">
        <f>F5655*11%</f>
        <v>26312</v>
      </c>
      <c r="G5656" s="25"/>
      <c r="H5656" s="11"/>
      <c r="I5656" s="21"/>
      <c r="J5656" s="35" t="s">
        <v>343</v>
      </c>
      <c r="K5656" s="104">
        <f>K5655*11%</f>
        <v>0</v>
      </c>
      <c r="L5656" s="355"/>
      <c r="M5656" s="356"/>
      <c r="N5656" s="21"/>
    </row>
    <row r="5657" spans="1:14" ht="15.75" customHeight="1" x14ac:dyDescent="0.25">
      <c r="A5657" s="7"/>
      <c r="B5657" s="345" t="s">
        <v>344</v>
      </c>
      <c r="C5657" s="344"/>
      <c r="D5657" s="344"/>
      <c r="E5657" s="334"/>
      <c r="F5657" s="168">
        <f>F5656+F5655</f>
        <v>265512</v>
      </c>
      <c r="G5657" s="25"/>
      <c r="H5657" s="11"/>
      <c r="I5657" s="21"/>
      <c r="J5657" s="35" t="s">
        <v>344</v>
      </c>
      <c r="K5657" s="107">
        <f>K5656+K5655</f>
        <v>0</v>
      </c>
      <c r="L5657" s="357"/>
      <c r="M5657" s="348"/>
      <c r="N5657" s="21"/>
    </row>
    <row r="5658" spans="1:14" ht="15.75" customHeight="1" x14ac:dyDescent="0.25">
      <c r="A5658" s="21"/>
      <c r="B5658" s="21"/>
      <c r="C5658" s="11"/>
      <c r="D5658" s="11"/>
      <c r="E5658" s="21"/>
      <c r="F5658" s="21"/>
      <c r="G5658" s="25"/>
      <c r="H5658" s="11"/>
      <c r="I5658" s="21"/>
      <c r="J5658" s="21"/>
      <c r="K5658" s="21"/>
      <c r="L5658" s="21"/>
      <c r="M5658" s="21"/>
      <c r="N5658" s="21"/>
    </row>
    <row r="5659" spans="1:14" ht="15.75" customHeight="1" x14ac:dyDescent="0.25">
      <c r="A5659" s="31" t="s">
        <v>14</v>
      </c>
      <c r="B5659" s="31" t="s">
        <v>234</v>
      </c>
      <c r="C5659" s="31" t="s">
        <v>16</v>
      </c>
      <c r="D5659" s="31" t="s">
        <v>17</v>
      </c>
      <c r="E5659" s="31" t="s">
        <v>235</v>
      </c>
      <c r="F5659" s="31" t="s">
        <v>236</v>
      </c>
      <c r="G5659" s="25" t="s">
        <v>257</v>
      </c>
      <c r="H5659" s="33" t="s">
        <v>238</v>
      </c>
      <c r="I5659" s="11"/>
      <c r="J5659" s="31" t="s">
        <v>239</v>
      </c>
      <c r="K5659" s="31" t="s">
        <v>240</v>
      </c>
      <c r="L5659" s="31" t="s">
        <v>241</v>
      </c>
      <c r="M5659" s="31" t="s">
        <v>13</v>
      </c>
      <c r="N5659" s="21"/>
    </row>
    <row r="5660" spans="1:14" ht="15.75" customHeight="1" x14ac:dyDescent="0.25">
      <c r="A5660" s="7">
        <v>1</v>
      </c>
      <c r="B5660" s="35" t="s">
        <v>263</v>
      </c>
      <c r="C5660" s="9">
        <v>12</v>
      </c>
      <c r="D5660" s="7" t="s">
        <v>260</v>
      </c>
      <c r="E5660" s="37">
        <v>94576</v>
      </c>
      <c r="F5660" s="37">
        <f>E5660*C5660</f>
        <v>1134912</v>
      </c>
      <c r="G5660" s="25" t="s">
        <v>264</v>
      </c>
      <c r="H5660" s="7">
        <v>8</v>
      </c>
      <c r="I5660" s="11"/>
      <c r="J5660" s="37"/>
      <c r="K5660" s="37">
        <f>J5660*C5660</f>
        <v>0</v>
      </c>
      <c r="L5660" s="7"/>
      <c r="M5660" s="35"/>
      <c r="N5660" s="21"/>
    </row>
    <row r="5661" spans="1:14" ht="15.75" customHeight="1" x14ac:dyDescent="0.25">
      <c r="A5661" s="7"/>
      <c r="B5661" s="343" t="s">
        <v>342</v>
      </c>
      <c r="C5661" s="344"/>
      <c r="D5661" s="344"/>
      <c r="E5661" s="334"/>
      <c r="F5661" s="104">
        <f>SUM(F5660)</f>
        <v>1134912</v>
      </c>
      <c r="G5661" s="172">
        <v>45406</v>
      </c>
      <c r="H5661" s="11"/>
      <c r="I5661" s="21"/>
      <c r="J5661" s="35" t="s">
        <v>342</v>
      </c>
      <c r="K5661" s="104">
        <f>SUM(K5660)</f>
        <v>0</v>
      </c>
      <c r="L5661" s="358" t="s">
        <v>2119</v>
      </c>
      <c r="M5661" s="334"/>
      <c r="N5661" s="21"/>
    </row>
    <row r="5662" spans="1:14" ht="15.75" customHeight="1" x14ac:dyDescent="0.25">
      <c r="A5662" s="7"/>
      <c r="B5662" s="343" t="s">
        <v>343</v>
      </c>
      <c r="C5662" s="344"/>
      <c r="D5662" s="344"/>
      <c r="E5662" s="334"/>
      <c r="F5662" s="167">
        <f>F5661*11%</f>
        <v>124840.32000000001</v>
      </c>
      <c r="G5662" s="25"/>
      <c r="H5662" s="11"/>
      <c r="I5662" s="21"/>
      <c r="J5662" s="35" t="s">
        <v>343</v>
      </c>
      <c r="K5662" s="104">
        <f>K5661*11%</f>
        <v>0</v>
      </c>
      <c r="L5662" s="355"/>
      <c r="M5662" s="356"/>
      <c r="N5662" s="21"/>
    </row>
    <row r="5663" spans="1:14" ht="15.75" customHeight="1" x14ac:dyDescent="0.25">
      <c r="A5663" s="7"/>
      <c r="B5663" s="345" t="s">
        <v>344</v>
      </c>
      <c r="C5663" s="344"/>
      <c r="D5663" s="344"/>
      <c r="E5663" s="334"/>
      <c r="F5663" s="168">
        <f>F5662+F5661</f>
        <v>1259752.32</v>
      </c>
      <c r="G5663" s="25"/>
      <c r="H5663" s="11"/>
      <c r="I5663" s="21"/>
      <c r="J5663" s="35" t="s">
        <v>344</v>
      </c>
      <c r="K5663" s="107">
        <f>K5662+K5661</f>
        <v>0</v>
      </c>
      <c r="L5663" s="357"/>
      <c r="M5663" s="348"/>
      <c r="N5663" s="21"/>
    </row>
    <row r="5664" spans="1:14" ht="15.75" customHeight="1" x14ac:dyDescent="0.25">
      <c r="A5664" s="21"/>
      <c r="B5664" s="21"/>
      <c r="C5664" s="11"/>
      <c r="D5664" s="11"/>
      <c r="E5664" s="21"/>
      <c r="F5664" s="21"/>
      <c r="G5664" s="25"/>
      <c r="H5664" s="11"/>
      <c r="I5664" s="21"/>
      <c r="J5664" s="21"/>
      <c r="K5664" s="21"/>
      <c r="L5664" s="21"/>
      <c r="M5664" s="21"/>
      <c r="N5664" s="21"/>
    </row>
    <row r="5665" spans="1:14" ht="15.75" customHeight="1" x14ac:dyDescent="0.25">
      <c r="A5665" s="31" t="s">
        <v>14</v>
      </c>
      <c r="B5665" s="31" t="s">
        <v>234</v>
      </c>
      <c r="C5665" s="31" t="s">
        <v>16</v>
      </c>
      <c r="D5665" s="31" t="s">
        <v>17</v>
      </c>
      <c r="E5665" s="31" t="s">
        <v>235</v>
      </c>
      <c r="F5665" s="31" t="s">
        <v>236</v>
      </c>
      <c r="G5665" s="25" t="s">
        <v>257</v>
      </c>
      <c r="H5665" s="33" t="s">
        <v>238</v>
      </c>
      <c r="I5665" s="11"/>
      <c r="J5665" s="31" t="s">
        <v>239</v>
      </c>
      <c r="K5665" s="31" t="s">
        <v>240</v>
      </c>
      <c r="L5665" s="31" t="s">
        <v>241</v>
      </c>
      <c r="M5665" s="31" t="s">
        <v>13</v>
      </c>
      <c r="N5665" s="21"/>
    </row>
    <row r="5666" spans="1:14" ht="15.75" customHeight="1" x14ac:dyDescent="0.25">
      <c r="A5666" s="7">
        <v>1</v>
      </c>
      <c r="B5666" s="35" t="s">
        <v>259</v>
      </c>
      <c r="C5666" s="9">
        <v>1</v>
      </c>
      <c r="D5666" s="7" t="s">
        <v>260</v>
      </c>
      <c r="E5666" s="37">
        <v>195000</v>
      </c>
      <c r="F5666" s="37">
        <f>E5666*C5666</f>
        <v>195000</v>
      </c>
      <c r="G5666" s="25" t="s">
        <v>261</v>
      </c>
      <c r="H5666" s="7">
        <v>0</v>
      </c>
      <c r="I5666" s="11"/>
      <c r="J5666" s="37"/>
      <c r="K5666" s="37">
        <f>J5666*C5666</f>
        <v>0</v>
      </c>
      <c r="L5666" s="7"/>
      <c r="M5666" s="35"/>
      <c r="N5666" s="185" t="s">
        <v>2196</v>
      </c>
    </row>
    <row r="5667" spans="1:14" ht="15.75" customHeight="1" x14ac:dyDescent="0.25">
      <c r="A5667" s="7"/>
      <c r="B5667" s="343" t="s">
        <v>342</v>
      </c>
      <c r="C5667" s="344"/>
      <c r="D5667" s="344"/>
      <c r="E5667" s="334"/>
      <c r="F5667" s="104">
        <f>SUM(F5666)</f>
        <v>195000</v>
      </c>
      <c r="G5667" s="172" t="s">
        <v>2197</v>
      </c>
      <c r="H5667" s="11"/>
      <c r="I5667" s="21"/>
      <c r="J5667" s="35" t="s">
        <v>342</v>
      </c>
      <c r="K5667" s="104">
        <f>SUM(K5666)</f>
        <v>0</v>
      </c>
      <c r="L5667" s="358" t="s">
        <v>2119</v>
      </c>
      <c r="M5667" s="334"/>
      <c r="N5667" s="21"/>
    </row>
    <row r="5668" spans="1:14" ht="15.75" customHeight="1" x14ac:dyDescent="0.25">
      <c r="A5668" s="7"/>
      <c r="B5668" s="343" t="s">
        <v>343</v>
      </c>
      <c r="C5668" s="344"/>
      <c r="D5668" s="344"/>
      <c r="E5668" s="334"/>
      <c r="F5668" s="167">
        <f>F5667*11%</f>
        <v>21450</v>
      </c>
      <c r="G5668" s="25"/>
      <c r="H5668" s="11"/>
      <c r="I5668" s="21"/>
      <c r="J5668" s="35" t="s">
        <v>343</v>
      </c>
      <c r="K5668" s="104">
        <f>K5667*11%</f>
        <v>0</v>
      </c>
      <c r="L5668" s="355"/>
      <c r="M5668" s="356"/>
      <c r="N5668" s="21"/>
    </row>
    <row r="5669" spans="1:14" ht="15.75" customHeight="1" x14ac:dyDescent="0.25">
      <c r="A5669" s="7"/>
      <c r="B5669" s="345" t="s">
        <v>344</v>
      </c>
      <c r="C5669" s="344"/>
      <c r="D5669" s="344"/>
      <c r="E5669" s="334"/>
      <c r="F5669" s="168">
        <f>F5668+F5667</f>
        <v>216450</v>
      </c>
      <c r="G5669" s="25"/>
      <c r="H5669" s="11"/>
      <c r="I5669" s="21"/>
      <c r="J5669" s="35" t="s">
        <v>344</v>
      </c>
      <c r="K5669" s="107">
        <f>K5668+K5667</f>
        <v>0</v>
      </c>
      <c r="L5669" s="357"/>
      <c r="M5669" s="348"/>
      <c r="N5669" s="21"/>
    </row>
    <row r="5670" spans="1:14" ht="15.75" customHeight="1" x14ac:dyDescent="0.25">
      <c r="A5670" s="21"/>
      <c r="B5670" s="21"/>
      <c r="C5670" s="11"/>
      <c r="D5670" s="11"/>
      <c r="E5670" s="21"/>
      <c r="F5670" s="21"/>
      <c r="G5670" s="25"/>
      <c r="H5670" s="11"/>
      <c r="I5670" s="21"/>
      <c r="J5670" s="21"/>
      <c r="K5670" s="21"/>
      <c r="L5670" s="21"/>
      <c r="M5670" s="21"/>
      <c r="N5670" s="21"/>
    </row>
    <row r="5671" spans="1:14" ht="15.75" customHeight="1" x14ac:dyDescent="0.25">
      <c r="A5671" s="31" t="s">
        <v>14</v>
      </c>
      <c r="B5671" s="31" t="s">
        <v>234</v>
      </c>
      <c r="C5671" s="31" t="s">
        <v>16</v>
      </c>
      <c r="D5671" s="31" t="s">
        <v>17</v>
      </c>
      <c r="E5671" s="31" t="s">
        <v>235</v>
      </c>
      <c r="F5671" s="31" t="s">
        <v>236</v>
      </c>
      <c r="G5671" s="25" t="s">
        <v>245</v>
      </c>
      <c r="H5671" s="33" t="s">
        <v>238</v>
      </c>
      <c r="I5671" s="11"/>
      <c r="J5671" s="31" t="s">
        <v>239</v>
      </c>
      <c r="K5671" s="31" t="s">
        <v>240</v>
      </c>
      <c r="L5671" s="31" t="s">
        <v>241</v>
      </c>
      <c r="M5671" s="31" t="s">
        <v>13</v>
      </c>
      <c r="N5671" s="21"/>
    </row>
    <row r="5672" spans="1:14" ht="15.75" customHeight="1" x14ac:dyDescent="0.25">
      <c r="A5672" s="7">
        <v>1</v>
      </c>
      <c r="B5672" s="38" t="s">
        <v>246</v>
      </c>
      <c r="C5672" s="9">
        <v>400</v>
      </c>
      <c r="D5672" s="7" t="s">
        <v>247</v>
      </c>
      <c r="E5672" s="37">
        <v>3000</v>
      </c>
      <c r="F5672" s="37">
        <f>E5672*C5672</f>
        <v>1200000</v>
      </c>
      <c r="G5672" s="40" t="s">
        <v>248</v>
      </c>
      <c r="H5672" s="7"/>
      <c r="I5672" s="11"/>
      <c r="J5672" s="37">
        <v>2200</v>
      </c>
      <c r="K5672" s="37">
        <f>J5672*C5672</f>
        <v>880000</v>
      </c>
      <c r="L5672" s="7" t="s">
        <v>249</v>
      </c>
      <c r="M5672" s="35"/>
      <c r="N5672" s="185" t="s">
        <v>2196</v>
      </c>
    </row>
    <row r="5673" spans="1:14" ht="15.75" customHeight="1" x14ac:dyDescent="0.25">
      <c r="A5673" s="7">
        <v>2</v>
      </c>
      <c r="B5673" s="41" t="s">
        <v>250</v>
      </c>
      <c r="C5673" s="9">
        <v>4</v>
      </c>
      <c r="D5673" s="7" t="s">
        <v>251</v>
      </c>
      <c r="E5673" s="37">
        <v>6000</v>
      </c>
      <c r="F5673" s="37">
        <f>E5673*C5673</f>
        <v>24000</v>
      </c>
      <c r="G5673" s="42" t="s">
        <v>252</v>
      </c>
      <c r="H5673" s="7"/>
      <c r="I5673" s="11"/>
      <c r="J5673" s="37">
        <v>5000</v>
      </c>
      <c r="K5673" s="37">
        <f>J5673*C5673</f>
        <v>20000</v>
      </c>
      <c r="L5673" s="7" t="s">
        <v>253</v>
      </c>
      <c r="M5673" s="35" t="s">
        <v>254</v>
      </c>
      <c r="N5673" s="21"/>
    </row>
    <row r="5674" spans="1:14" ht="15.75" customHeight="1" x14ac:dyDescent="0.25">
      <c r="A5674" s="7">
        <v>3</v>
      </c>
      <c r="B5674" s="35" t="s">
        <v>255</v>
      </c>
      <c r="C5674" s="9">
        <v>5</v>
      </c>
      <c r="D5674" s="7" t="s">
        <v>247</v>
      </c>
      <c r="E5674" s="37">
        <v>24000</v>
      </c>
      <c r="F5674" s="37">
        <f>E5674*C5674</f>
        <v>120000</v>
      </c>
      <c r="G5674" s="25"/>
      <c r="H5674" s="7"/>
      <c r="I5674" s="11"/>
      <c r="J5674" s="37">
        <v>20000</v>
      </c>
      <c r="K5674" s="37">
        <f>J5674*C5674</f>
        <v>100000</v>
      </c>
      <c r="L5674" s="7" t="s">
        <v>253</v>
      </c>
      <c r="M5674" s="35" t="s">
        <v>256</v>
      </c>
      <c r="N5674" s="21"/>
    </row>
    <row r="5675" spans="1:14" ht="15.75" customHeight="1" x14ac:dyDescent="0.25">
      <c r="A5675" s="7"/>
      <c r="B5675" s="343" t="s">
        <v>342</v>
      </c>
      <c r="C5675" s="344"/>
      <c r="D5675" s="344"/>
      <c r="E5675" s="334"/>
      <c r="F5675" s="104">
        <f>SUM(F5672:F5674)</f>
        <v>1344000</v>
      </c>
      <c r="G5675" s="186" t="s">
        <v>13</v>
      </c>
      <c r="H5675" s="21"/>
      <c r="I5675" s="11"/>
      <c r="J5675" s="35" t="s">
        <v>342</v>
      </c>
      <c r="K5675" s="104">
        <f>SUM(K5672:K5674)</f>
        <v>1000000</v>
      </c>
      <c r="L5675" s="358" t="s">
        <v>2119</v>
      </c>
      <c r="M5675" s="334"/>
      <c r="N5675" s="21"/>
    </row>
    <row r="5676" spans="1:14" ht="15.75" customHeight="1" x14ac:dyDescent="0.25">
      <c r="A5676" s="7"/>
      <c r="B5676" s="343" t="s">
        <v>343</v>
      </c>
      <c r="C5676" s="344"/>
      <c r="D5676" s="344"/>
      <c r="E5676" s="334"/>
      <c r="F5676" s="104">
        <f>F5675*11%</f>
        <v>147840</v>
      </c>
      <c r="G5676" s="186"/>
      <c r="H5676" s="21"/>
      <c r="I5676" s="11"/>
      <c r="J5676" s="35" t="s">
        <v>343</v>
      </c>
      <c r="K5676" s="104">
        <f>K5675*11%</f>
        <v>110000</v>
      </c>
      <c r="L5676" s="355"/>
      <c r="M5676" s="356"/>
      <c r="N5676" s="21"/>
    </row>
    <row r="5677" spans="1:14" ht="15.75" customHeight="1" x14ac:dyDescent="0.25">
      <c r="A5677" s="7"/>
      <c r="B5677" s="345" t="s">
        <v>344</v>
      </c>
      <c r="C5677" s="344"/>
      <c r="D5677" s="344"/>
      <c r="E5677" s="334"/>
      <c r="F5677" s="107">
        <f>F5676+F5675</f>
        <v>1491840</v>
      </c>
      <c r="G5677" s="186"/>
      <c r="H5677" s="21"/>
      <c r="I5677" s="11"/>
      <c r="J5677" s="35" t="s">
        <v>344</v>
      </c>
      <c r="K5677" s="107">
        <f>K5676+K5675</f>
        <v>1110000</v>
      </c>
      <c r="L5677" s="357"/>
      <c r="M5677" s="348"/>
      <c r="N5677" s="21"/>
    </row>
    <row r="5678" spans="1:14" ht="15.75" customHeight="1" x14ac:dyDescent="0.25">
      <c r="A5678" s="21"/>
      <c r="B5678" s="21"/>
      <c r="C5678" s="11"/>
      <c r="D5678" s="11"/>
      <c r="E5678" s="21"/>
      <c r="F5678" s="21"/>
      <c r="G5678" s="25"/>
      <c r="H5678" s="11"/>
      <c r="I5678" s="21"/>
      <c r="J5678" s="21"/>
      <c r="K5678" s="21"/>
      <c r="L5678" s="21"/>
      <c r="M5678" s="21"/>
      <c r="N5678" s="21"/>
    </row>
    <row r="5679" spans="1:14" ht="15.75" customHeight="1" x14ac:dyDescent="0.25">
      <c r="A5679" s="31" t="s">
        <v>14</v>
      </c>
      <c r="B5679" s="31" t="s">
        <v>234</v>
      </c>
      <c r="C5679" s="31" t="s">
        <v>16</v>
      </c>
      <c r="D5679" s="31" t="s">
        <v>17</v>
      </c>
      <c r="E5679" s="31" t="s">
        <v>235</v>
      </c>
      <c r="F5679" s="31" t="s">
        <v>236</v>
      </c>
      <c r="G5679" s="32" t="s">
        <v>237</v>
      </c>
      <c r="H5679" s="33" t="s">
        <v>238</v>
      </c>
      <c r="I5679" s="11"/>
      <c r="J5679" s="31" t="s">
        <v>239</v>
      </c>
      <c r="K5679" s="31" t="s">
        <v>240</v>
      </c>
      <c r="L5679" s="31" t="s">
        <v>241</v>
      </c>
      <c r="M5679" s="31" t="s">
        <v>13</v>
      </c>
      <c r="N5679" s="21"/>
    </row>
    <row r="5680" spans="1:14" ht="15.75" customHeight="1" x14ac:dyDescent="0.25">
      <c r="A5680" s="7">
        <v>1</v>
      </c>
      <c r="B5680" s="35" t="s">
        <v>242</v>
      </c>
      <c r="C5680" s="7">
        <v>3</v>
      </c>
      <c r="D5680" s="7" t="s">
        <v>243</v>
      </c>
      <c r="E5680" s="36">
        <v>36250000</v>
      </c>
      <c r="F5680" s="37">
        <f>E5680*C5680</f>
        <v>108750000</v>
      </c>
      <c r="G5680" s="21" t="s">
        <v>244</v>
      </c>
      <c r="H5680" s="7"/>
      <c r="I5680" s="11"/>
      <c r="J5680" s="37"/>
      <c r="K5680" s="37">
        <f>J5680*C5680</f>
        <v>0</v>
      </c>
      <c r="L5680" s="7"/>
      <c r="M5680" s="35"/>
      <c r="N5680" s="21"/>
    </row>
    <row r="5681" spans="1:14" ht="15.75" customHeight="1" x14ac:dyDescent="0.25">
      <c r="A5681" s="7"/>
      <c r="B5681" s="343" t="s">
        <v>342</v>
      </c>
      <c r="C5681" s="344"/>
      <c r="D5681" s="344"/>
      <c r="E5681" s="334"/>
      <c r="F5681" s="104">
        <f>SUM(F5680)</f>
        <v>108750000</v>
      </c>
      <c r="G5681" s="42" t="s">
        <v>2198</v>
      </c>
      <c r="H5681" s="21"/>
      <c r="I5681" s="11"/>
      <c r="J5681" s="35" t="s">
        <v>342</v>
      </c>
      <c r="K5681" s="104">
        <f>SUM(K5680)</f>
        <v>0</v>
      </c>
      <c r="L5681" s="358" t="s">
        <v>2119</v>
      </c>
      <c r="M5681" s="334"/>
      <c r="N5681" s="21"/>
    </row>
    <row r="5682" spans="1:14" ht="15.75" customHeight="1" x14ac:dyDescent="0.25">
      <c r="A5682" s="7"/>
      <c r="B5682" s="343" t="s">
        <v>634</v>
      </c>
      <c r="C5682" s="344"/>
      <c r="D5682" s="344"/>
      <c r="E5682" s="334"/>
      <c r="F5682" s="37">
        <v>8700000</v>
      </c>
      <c r="G5682" s="21"/>
      <c r="H5682" s="21"/>
      <c r="I5682" s="11"/>
      <c r="J5682" s="35" t="s">
        <v>343</v>
      </c>
      <c r="K5682" s="104">
        <f>K5681*11%</f>
        <v>0</v>
      </c>
      <c r="L5682" s="355"/>
      <c r="M5682" s="356"/>
      <c r="N5682" s="21"/>
    </row>
    <row r="5683" spans="1:14" ht="15.75" customHeight="1" x14ac:dyDescent="0.25">
      <c r="A5683" s="7"/>
      <c r="B5683" s="343" t="s">
        <v>343</v>
      </c>
      <c r="C5683" s="344"/>
      <c r="D5683" s="344"/>
      <c r="E5683" s="334"/>
      <c r="F5683" s="104">
        <f>(F5681-F5682)*11%</f>
        <v>11005500</v>
      </c>
      <c r="G5683" s="21"/>
      <c r="H5683" s="21"/>
      <c r="I5683" s="11"/>
      <c r="J5683" s="35" t="s">
        <v>344</v>
      </c>
      <c r="K5683" s="107">
        <f>K5682+K5681</f>
        <v>0</v>
      </c>
      <c r="L5683" s="357"/>
      <c r="M5683" s="348"/>
      <c r="N5683" s="21"/>
    </row>
    <row r="5684" spans="1:14" ht="15.75" customHeight="1" x14ac:dyDescent="0.25">
      <c r="A5684" s="7"/>
      <c r="B5684" s="345" t="s">
        <v>344</v>
      </c>
      <c r="C5684" s="344"/>
      <c r="D5684" s="344"/>
      <c r="E5684" s="334"/>
      <c r="F5684" s="107">
        <f>F5681-F5682+F5683</f>
        <v>111055500</v>
      </c>
      <c r="G5684" s="21"/>
      <c r="H5684" s="21"/>
      <c r="I5684" s="21"/>
      <c r="J5684" s="21"/>
      <c r="K5684" s="21"/>
      <c r="L5684" s="11"/>
      <c r="M5684" s="21"/>
      <c r="N5684" s="21"/>
    </row>
  </sheetData>
  <mergeCells count="2317">
    <mergeCell ref="B2518:E2518"/>
    <mergeCell ref="B2519:E2519"/>
    <mergeCell ref="B2523:E2523"/>
    <mergeCell ref="B2524:E2524"/>
    <mergeCell ref="B2525:E2525"/>
    <mergeCell ref="B2529:E2529"/>
    <mergeCell ref="B2530:E2530"/>
    <mergeCell ref="B2531:E2531"/>
    <mergeCell ref="B2538:E2538"/>
    <mergeCell ref="B2539:E2539"/>
    <mergeCell ref="B2540:E2540"/>
    <mergeCell ref="B2548:E2548"/>
    <mergeCell ref="B2549:E2549"/>
    <mergeCell ref="B2550:E2550"/>
    <mergeCell ref="B2555:E2555"/>
    <mergeCell ref="B2556:E2556"/>
    <mergeCell ref="B2557:E2557"/>
    <mergeCell ref="B2561:E2561"/>
    <mergeCell ref="B2562:E2562"/>
    <mergeCell ref="B2563:E2563"/>
    <mergeCell ref="B2567:E2567"/>
    <mergeCell ref="B2568:E2568"/>
    <mergeCell ref="B2569:E2569"/>
    <mergeCell ref="B2574:E2574"/>
    <mergeCell ref="B2575:E2575"/>
    <mergeCell ref="B2576:E2576"/>
    <mergeCell ref="B2586:E2586"/>
    <mergeCell ref="B2587:E2587"/>
    <mergeCell ref="B2588:E2588"/>
    <mergeCell ref="B2589:E2589"/>
    <mergeCell ref="B2590:E2590"/>
    <mergeCell ref="B2591:E2591"/>
    <mergeCell ref="B2595:E2595"/>
    <mergeCell ref="B2596:E2596"/>
    <mergeCell ref="B2666:E2666"/>
    <mergeCell ref="B2667:E2667"/>
    <mergeCell ref="B2668:E2668"/>
    <mergeCell ref="B2669:E2669"/>
    <mergeCell ref="B2670:E2670"/>
    <mergeCell ref="B2671:E2671"/>
    <mergeCell ref="B2675:E2675"/>
    <mergeCell ref="B2676:E2676"/>
    <mergeCell ref="B2677:E2677"/>
    <mergeCell ref="B2681:E2681"/>
    <mergeCell ref="B2682:E2682"/>
    <mergeCell ref="B2683:E2683"/>
    <mergeCell ref="B2700:E2700"/>
    <mergeCell ref="B2701:E2701"/>
    <mergeCell ref="B2702:E2702"/>
    <mergeCell ref="B2706:E2706"/>
    <mergeCell ref="B2707:E2707"/>
    <mergeCell ref="B2687:E2687"/>
    <mergeCell ref="B2688:E2688"/>
    <mergeCell ref="B2689:E2689"/>
    <mergeCell ref="B2597:E2597"/>
    <mergeCell ref="B2609:E2609"/>
    <mergeCell ref="B2610:E2610"/>
    <mergeCell ref="B2611:E2611"/>
    <mergeCell ref="B2612:E2612"/>
    <mergeCell ref="B2613:E2613"/>
    <mergeCell ref="B2614:E2614"/>
    <mergeCell ref="B2629:E2629"/>
    <mergeCell ref="B2630:E2630"/>
    <mergeCell ref="B2631:E2631"/>
    <mergeCell ref="B2632:E2632"/>
    <mergeCell ref="B2633:E2633"/>
    <mergeCell ref="B2634:E2634"/>
    <mergeCell ref="B2653:E2653"/>
    <mergeCell ref="B2654:E2654"/>
    <mergeCell ref="B2655:E2655"/>
    <mergeCell ref="B2656:E2656"/>
    <mergeCell ref="B2738:E2738"/>
    <mergeCell ref="B2739:E2739"/>
    <mergeCell ref="B2740:E2740"/>
    <mergeCell ref="B2744:E2744"/>
    <mergeCell ref="B2745:E2745"/>
    <mergeCell ref="B2746:E2746"/>
    <mergeCell ref="B2750:E2750"/>
    <mergeCell ref="B2780:E2780"/>
    <mergeCell ref="B2781:E2781"/>
    <mergeCell ref="B2782:E2782"/>
    <mergeCell ref="B2786:E2786"/>
    <mergeCell ref="B2787:E2787"/>
    <mergeCell ref="B2788:E2788"/>
    <mergeCell ref="B2792:E2792"/>
    <mergeCell ref="B2693:E2693"/>
    <mergeCell ref="B2694:E2694"/>
    <mergeCell ref="B2695:E2695"/>
    <mergeCell ref="B2708:E2708"/>
    <mergeCell ref="B2719:E2719"/>
    <mergeCell ref="B2720:E2720"/>
    <mergeCell ref="B2721:E2721"/>
    <mergeCell ref="B2726:E2726"/>
    <mergeCell ref="B2727:E2727"/>
    <mergeCell ref="B2728:E2728"/>
    <mergeCell ref="B2732:E2732"/>
    <mergeCell ref="B2733:E2733"/>
    <mergeCell ref="B2734:E2734"/>
    <mergeCell ref="B2793:E2793"/>
    <mergeCell ref="B2794:E2794"/>
    <mergeCell ref="B2798:E2798"/>
    <mergeCell ref="B2756:E2756"/>
    <mergeCell ref="B2757:E2757"/>
    <mergeCell ref="B2758:E2758"/>
    <mergeCell ref="B2762:E2762"/>
    <mergeCell ref="B2763:E2763"/>
    <mergeCell ref="B2764:E2764"/>
    <mergeCell ref="B2768:E2768"/>
    <mergeCell ref="B2769:E2769"/>
    <mergeCell ref="B2770:E2770"/>
    <mergeCell ref="B2774:E2774"/>
    <mergeCell ref="B2775:E2775"/>
    <mergeCell ref="B2776:E2776"/>
    <mergeCell ref="B2751:E2751"/>
    <mergeCell ref="B2752:E2752"/>
    <mergeCell ref="B2799:E2799"/>
    <mergeCell ref="B2800:E2800"/>
    <mergeCell ref="B2804:E2804"/>
    <mergeCell ref="B2805:E2805"/>
    <mergeCell ref="B2806:E2806"/>
    <mergeCell ref="B2811:E2811"/>
    <mergeCell ref="B2812:E2812"/>
    <mergeCell ref="B2813:E2813"/>
    <mergeCell ref="B2818:E2818"/>
    <mergeCell ref="B2819:E2819"/>
    <mergeCell ref="B2820:E2820"/>
    <mergeCell ref="B2825:E2825"/>
    <mergeCell ref="B2826:E2826"/>
    <mergeCell ref="B2827:E2827"/>
    <mergeCell ref="B2828:E2828"/>
    <mergeCell ref="B2829:E2829"/>
    <mergeCell ref="B2834:E2834"/>
    <mergeCell ref="B2835:E2835"/>
    <mergeCell ref="B2836:E2836"/>
    <mergeCell ref="B2840:E2840"/>
    <mergeCell ref="B2841:E2841"/>
    <mergeCell ref="B2842:E2842"/>
    <mergeCell ref="B2846:E2846"/>
    <mergeCell ref="B2847:E2847"/>
    <mergeCell ref="B2848:E2848"/>
    <mergeCell ref="B2852:E2852"/>
    <mergeCell ref="B2853:E2853"/>
    <mergeCell ref="B2854:E2854"/>
    <mergeCell ref="B2859:E2859"/>
    <mergeCell ref="B2860:E2860"/>
    <mergeCell ref="B2861:E2861"/>
    <mergeCell ref="B2867:E2867"/>
    <mergeCell ref="B2868:E2868"/>
    <mergeCell ref="B2869:E2869"/>
    <mergeCell ref="B2873:E2873"/>
    <mergeCell ref="B2874:E2874"/>
    <mergeCell ref="B2875:E2875"/>
    <mergeCell ref="B2882:E2882"/>
    <mergeCell ref="B2883:E2883"/>
    <mergeCell ref="B2884:E2884"/>
    <mergeCell ref="B2891:E2891"/>
    <mergeCell ref="B2892:E2892"/>
    <mergeCell ref="B2893:E2893"/>
    <mergeCell ref="B2899:E2899"/>
    <mergeCell ref="B2900:E2900"/>
    <mergeCell ref="B2901:E2901"/>
    <mergeCell ref="B2907:E2907"/>
    <mergeCell ref="B2908:E2908"/>
    <mergeCell ref="B2909:E2909"/>
    <mergeCell ref="B2916:E2916"/>
    <mergeCell ref="B2917:E2917"/>
    <mergeCell ref="B2918:E2918"/>
    <mergeCell ref="B2923:E2923"/>
    <mergeCell ref="B2924:E2924"/>
    <mergeCell ref="B2925:E2925"/>
    <mergeCell ref="B2929:E2929"/>
    <mergeCell ref="B2930:E2930"/>
    <mergeCell ref="B2931:E2931"/>
    <mergeCell ref="B2938:E2938"/>
    <mergeCell ref="B2939:E2939"/>
    <mergeCell ref="B2940:E2940"/>
    <mergeCell ref="B2944:E2944"/>
    <mergeCell ref="B2945:E2945"/>
    <mergeCell ref="B2946:E2946"/>
    <mergeCell ref="B2950:E2950"/>
    <mergeCell ref="B2951:E2951"/>
    <mergeCell ref="B2952:E2952"/>
    <mergeCell ref="B2957:E2957"/>
    <mergeCell ref="B2958:E2958"/>
    <mergeCell ref="B2959:E2959"/>
    <mergeCell ref="B2963:E2963"/>
    <mergeCell ref="B2964:E2964"/>
    <mergeCell ref="B2965:E2965"/>
    <mergeCell ref="B2971:E2971"/>
    <mergeCell ref="B2972:E2972"/>
    <mergeCell ref="B2973:E2973"/>
    <mergeCell ref="B2983:E2983"/>
    <mergeCell ref="B2984:E2984"/>
    <mergeCell ref="B2985:E2985"/>
    <mergeCell ref="B2986:E2986"/>
    <mergeCell ref="B2987:E2987"/>
    <mergeCell ref="B2988:E2988"/>
    <mergeCell ref="B3000:E3000"/>
    <mergeCell ref="B3001:E3001"/>
    <mergeCell ref="B3002:E3002"/>
    <mergeCell ref="B3003:E3003"/>
    <mergeCell ref="B3004:E3004"/>
    <mergeCell ref="B3005:E3005"/>
    <mergeCell ref="B3010:E3010"/>
    <mergeCell ref="B3011:E3011"/>
    <mergeCell ref="B3012:E3012"/>
    <mergeCell ref="B3016:E3016"/>
    <mergeCell ref="B3017:E3017"/>
    <mergeCell ref="B3018:E3018"/>
    <mergeCell ref="B3022:E3022"/>
    <mergeCell ref="B3023:E3023"/>
    <mergeCell ref="B3024:E3024"/>
    <mergeCell ref="B3028:E3028"/>
    <mergeCell ref="B3029:E3029"/>
    <mergeCell ref="B3030:E3030"/>
    <mergeCell ref="B3034:E3034"/>
    <mergeCell ref="B3035:E3035"/>
    <mergeCell ref="B3036:E3036"/>
    <mergeCell ref="B3041:E3041"/>
    <mergeCell ref="B3042:E3042"/>
    <mergeCell ref="B3043:E3043"/>
    <mergeCell ref="B3047:E3047"/>
    <mergeCell ref="B3048:E3048"/>
    <mergeCell ref="B3049:E3049"/>
    <mergeCell ref="B3050:E3050"/>
    <mergeCell ref="B3051:E3051"/>
    <mergeCell ref="B3056:E3056"/>
    <mergeCell ref="B3057:E3057"/>
    <mergeCell ref="B3058:E3058"/>
    <mergeCell ref="B3073:E3073"/>
    <mergeCell ref="B3074:E3074"/>
    <mergeCell ref="B3075:E3075"/>
    <mergeCell ref="B3076:E3076"/>
    <mergeCell ref="B3077:E3077"/>
    <mergeCell ref="B3078:E3078"/>
    <mergeCell ref="B3083:E3083"/>
    <mergeCell ref="B3084:E3084"/>
    <mergeCell ref="B3085:E3085"/>
    <mergeCell ref="B3089:E3089"/>
    <mergeCell ref="B3090:E3090"/>
    <mergeCell ref="B3091:E3091"/>
    <mergeCell ref="B3095:E3095"/>
    <mergeCell ref="B3096:E3096"/>
    <mergeCell ref="B3097:E3097"/>
    <mergeCell ref="B3106:E3106"/>
    <mergeCell ref="B3107:E3107"/>
    <mergeCell ref="B3108:E3108"/>
    <mergeCell ref="B3112:E3112"/>
    <mergeCell ref="B3113:E3113"/>
    <mergeCell ref="B3114:E3114"/>
    <mergeCell ref="B3124:E3124"/>
    <mergeCell ref="B3151:E3151"/>
    <mergeCell ref="B3152:E3152"/>
    <mergeCell ref="B3153:E3153"/>
    <mergeCell ref="B3157:E3157"/>
    <mergeCell ref="B3158:E3158"/>
    <mergeCell ref="B3159:E3159"/>
    <mergeCell ref="B3171:E3171"/>
    <mergeCell ref="B3172:E3172"/>
    <mergeCell ref="B3173:E3173"/>
    <mergeCell ref="B3177:E3177"/>
    <mergeCell ref="B3178:E3178"/>
    <mergeCell ref="B3179:E3179"/>
    <mergeCell ref="B3183:E3183"/>
    <mergeCell ref="B3184:E3184"/>
    <mergeCell ref="B3185:E3185"/>
    <mergeCell ref="B3288:E3288"/>
    <mergeCell ref="B3292:E3292"/>
    <mergeCell ref="B3248:E3248"/>
    <mergeCell ref="B3249:E3249"/>
    <mergeCell ref="B3253:E3253"/>
    <mergeCell ref="B3254:E3254"/>
    <mergeCell ref="B3255:E3255"/>
    <mergeCell ref="B3266:E3266"/>
    <mergeCell ref="B3267:E3267"/>
    <mergeCell ref="B3268:E3268"/>
    <mergeCell ref="B3125:E3125"/>
    <mergeCell ref="B3126:E3126"/>
    <mergeCell ref="B3131:E3131"/>
    <mergeCell ref="B3132:E3132"/>
    <mergeCell ref="B3133:E3133"/>
    <mergeCell ref="B3145:E3145"/>
    <mergeCell ref="B3146:E3146"/>
    <mergeCell ref="B3147:E3147"/>
    <mergeCell ref="B3299:E3299"/>
    <mergeCell ref="B3300:E3300"/>
    <mergeCell ref="B3301:E3301"/>
    <mergeCell ref="B3302:E3302"/>
    <mergeCell ref="B3303:E3303"/>
    <mergeCell ref="B3192:E3192"/>
    <mergeCell ref="B3193:E3193"/>
    <mergeCell ref="B3194:E3194"/>
    <mergeCell ref="B3199:E3199"/>
    <mergeCell ref="B3200:E3200"/>
    <mergeCell ref="B3201:E3201"/>
    <mergeCell ref="B3209:E3209"/>
    <mergeCell ref="B3210:E3210"/>
    <mergeCell ref="B3211:E3211"/>
    <mergeCell ref="B3218:E3218"/>
    <mergeCell ref="B3219:E3219"/>
    <mergeCell ref="B3220:E3220"/>
    <mergeCell ref="B3221:E3221"/>
    <mergeCell ref="B3227:E3227"/>
    <mergeCell ref="B3228:E3228"/>
    <mergeCell ref="B3229:E3229"/>
    <mergeCell ref="B3230:E3230"/>
    <mergeCell ref="B3246:E3246"/>
    <mergeCell ref="B3247:E3247"/>
    <mergeCell ref="B3326:E3326"/>
    <mergeCell ref="B3327:E3327"/>
    <mergeCell ref="B3328:E3328"/>
    <mergeCell ref="B3333:E3333"/>
    <mergeCell ref="B3334:E3334"/>
    <mergeCell ref="B3335:E3335"/>
    <mergeCell ref="B3351:E3351"/>
    <mergeCell ref="B3315:E3315"/>
    <mergeCell ref="B3316:E3316"/>
    <mergeCell ref="B3320:E3320"/>
    <mergeCell ref="B3321:E3321"/>
    <mergeCell ref="B3322:E3322"/>
    <mergeCell ref="B3269:E3269"/>
    <mergeCell ref="B3270:E3270"/>
    <mergeCell ref="B3274:E3274"/>
    <mergeCell ref="B3275:E3275"/>
    <mergeCell ref="B3276:E3276"/>
    <mergeCell ref="B3280:E3280"/>
    <mergeCell ref="B3281:E3281"/>
    <mergeCell ref="B3282:E3282"/>
    <mergeCell ref="B3286:E3286"/>
    <mergeCell ref="B3287:E3287"/>
    <mergeCell ref="B3307:E3307"/>
    <mergeCell ref="B3308:E3308"/>
    <mergeCell ref="B3309:E3309"/>
    <mergeCell ref="B3314:E3314"/>
    <mergeCell ref="B3293:E3293"/>
    <mergeCell ref="B3294:E3294"/>
    <mergeCell ref="B3352:E3352"/>
    <mergeCell ref="B3353:E3353"/>
    <mergeCell ref="B3354:E3354"/>
    <mergeCell ref="B3358:E3358"/>
    <mergeCell ref="B3359:E3359"/>
    <mergeCell ref="B3360:E3360"/>
    <mergeCell ref="B3365:E3365"/>
    <mergeCell ref="B3366:E3366"/>
    <mergeCell ref="B3367:E3367"/>
    <mergeCell ref="B3372:E3372"/>
    <mergeCell ref="B3373:E3373"/>
    <mergeCell ref="B3374:E3374"/>
    <mergeCell ref="B3380:E3380"/>
    <mergeCell ref="B3381:E3381"/>
    <mergeCell ref="B3382:E3382"/>
    <mergeCell ref="B3388:E3388"/>
    <mergeCell ref="B3389:E3389"/>
    <mergeCell ref="B3390:E3390"/>
    <mergeCell ref="B3396:E3396"/>
    <mergeCell ref="B3397:E3397"/>
    <mergeCell ref="B3398:E3398"/>
    <mergeCell ref="B3404:E3404"/>
    <mergeCell ref="B3405:E3405"/>
    <mergeCell ref="B3406:E3406"/>
    <mergeCell ref="B3416:E3416"/>
    <mergeCell ref="B3417:E3417"/>
    <mergeCell ref="B3418:E3418"/>
    <mergeCell ref="B3423:E3423"/>
    <mergeCell ref="B3424:E3424"/>
    <mergeCell ref="B3425:E3425"/>
    <mergeCell ref="B3429:E3429"/>
    <mergeCell ref="B3430:E3430"/>
    <mergeCell ref="B3431:E3431"/>
    <mergeCell ref="B3436:E3436"/>
    <mergeCell ref="B3437:E3437"/>
    <mergeCell ref="B3438:E3438"/>
    <mergeCell ref="B3442:E3442"/>
    <mergeCell ref="B3443:E3443"/>
    <mergeCell ref="B3444:E3444"/>
    <mergeCell ref="B3450:E3450"/>
    <mergeCell ref="B3451:E3451"/>
    <mergeCell ref="B3452:E3452"/>
    <mergeCell ref="B3457:E3457"/>
    <mergeCell ref="B3458:E3458"/>
    <mergeCell ref="B3459:E3459"/>
    <mergeCell ref="B3463:E3463"/>
    <mergeCell ref="B3464:E3464"/>
    <mergeCell ref="B3465:E3465"/>
    <mergeCell ref="B3469:E3469"/>
    <mergeCell ref="B3470:E3470"/>
    <mergeCell ref="B3471:E3471"/>
    <mergeCell ref="B3477:E3477"/>
    <mergeCell ref="B3478:E3478"/>
    <mergeCell ref="B3479:E3479"/>
    <mergeCell ref="B3483:E3483"/>
    <mergeCell ref="B3484:E3484"/>
    <mergeCell ref="B3485:E3485"/>
    <mergeCell ref="B3493:E3493"/>
    <mergeCell ref="B3494:E3494"/>
    <mergeCell ref="B3495:E3495"/>
    <mergeCell ref="B3508:E3508"/>
    <mergeCell ref="B3509:E3509"/>
    <mergeCell ref="B3510:E3510"/>
    <mergeCell ref="B3516:E3516"/>
    <mergeCell ref="B3517:E3517"/>
    <mergeCell ref="B3518:E3518"/>
    <mergeCell ref="B3519:E3519"/>
    <mergeCell ref="B3520:E3520"/>
    <mergeCell ref="B3525:E3525"/>
    <mergeCell ref="B3526:E3526"/>
    <mergeCell ref="B3527:E3527"/>
    <mergeCell ref="B3535:E3535"/>
    <mergeCell ref="B3536:E3536"/>
    <mergeCell ref="B3537:E3537"/>
    <mergeCell ref="B3538:E3538"/>
    <mergeCell ref="B3547:E3547"/>
    <mergeCell ref="B3548:E3548"/>
    <mergeCell ref="B3549:E3549"/>
    <mergeCell ref="B3550:E3550"/>
    <mergeCell ref="B3557:E3557"/>
    <mergeCell ref="B3558:E3558"/>
    <mergeCell ref="B3559:E3559"/>
    <mergeCell ref="B3563:E3563"/>
    <mergeCell ref="B3564:E3564"/>
    <mergeCell ref="B3565:E3565"/>
    <mergeCell ref="B3569:E3569"/>
    <mergeCell ref="B3570:E3570"/>
    <mergeCell ref="B3571:E3571"/>
    <mergeCell ref="B3577:E3577"/>
    <mergeCell ref="B3578:E3578"/>
    <mergeCell ref="B3579:E3579"/>
    <mergeCell ref="B3584:E3584"/>
    <mergeCell ref="B3585:E3585"/>
    <mergeCell ref="B3586:E3586"/>
    <mergeCell ref="B3592:E3592"/>
    <mergeCell ref="B3593:E3593"/>
    <mergeCell ref="B3594:E3594"/>
    <mergeCell ref="B3598:E3598"/>
    <mergeCell ref="B3599:E3599"/>
    <mergeCell ref="B3600:E3600"/>
    <mergeCell ref="B3604:E3604"/>
    <mergeCell ref="B3605:E3605"/>
    <mergeCell ref="B3606:E3606"/>
    <mergeCell ref="B3612:E3612"/>
    <mergeCell ref="B3613:E3613"/>
    <mergeCell ref="B3614:E3614"/>
    <mergeCell ref="B3615:E3615"/>
    <mergeCell ref="B3616:E3616"/>
    <mergeCell ref="B3620:E3620"/>
    <mergeCell ref="B3621:E3621"/>
    <mergeCell ref="B3622:E3622"/>
    <mergeCell ref="B3626:E3626"/>
    <mergeCell ref="B3627:E3627"/>
    <mergeCell ref="B3628:E3628"/>
    <mergeCell ref="B3633:E3633"/>
    <mergeCell ref="B3634:E3634"/>
    <mergeCell ref="B3635:E3635"/>
    <mergeCell ref="B3643:E3643"/>
    <mergeCell ref="B3644:E3644"/>
    <mergeCell ref="B3645:E3645"/>
    <mergeCell ref="B3649:E3649"/>
    <mergeCell ref="B3650:E3650"/>
    <mergeCell ref="B3651:E3651"/>
    <mergeCell ref="B3658:E3658"/>
    <mergeCell ref="B3659:E3659"/>
    <mergeCell ref="B3660:E3660"/>
    <mergeCell ref="B3665:E3665"/>
    <mergeCell ref="B3666:E3666"/>
    <mergeCell ref="B3667:E3667"/>
    <mergeCell ref="B3671:E3671"/>
    <mergeCell ref="B3672:E3672"/>
    <mergeCell ref="B3673:E3673"/>
    <mergeCell ref="B3677:E3677"/>
    <mergeCell ref="B3678:E3678"/>
    <mergeCell ref="B3679:E3679"/>
    <mergeCell ref="B3686:E3686"/>
    <mergeCell ref="B3687:E3687"/>
    <mergeCell ref="B3688:E3688"/>
    <mergeCell ref="B3693:E3693"/>
    <mergeCell ref="B3694:E3694"/>
    <mergeCell ref="B3695:E3695"/>
    <mergeCell ref="B3700:E3700"/>
    <mergeCell ref="B3701:E3701"/>
    <mergeCell ref="B3702:E3702"/>
    <mergeCell ref="B3706:E3706"/>
    <mergeCell ref="B3707:E3707"/>
    <mergeCell ref="B3708:E3708"/>
    <mergeCell ref="B3714:E3714"/>
    <mergeCell ref="B3715:E3715"/>
    <mergeCell ref="B3716:E3716"/>
    <mergeCell ref="B3720:E3720"/>
    <mergeCell ref="B3721:E3721"/>
    <mergeCell ref="B3722:E3722"/>
    <mergeCell ref="B3728:E3728"/>
    <mergeCell ref="B3729:E3729"/>
    <mergeCell ref="B3730:E3730"/>
    <mergeCell ref="B3734:E3734"/>
    <mergeCell ref="B3735:E3735"/>
    <mergeCell ref="B3736:E3736"/>
    <mergeCell ref="B3741:E3741"/>
    <mergeCell ref="B3742:E3742"/>
    <mergeCell ref="B3743:E3743"/>
    <mergeCell ref="B3747:E3747"/>
    <mergeCell ref="B3748:E3748"/>
    <mergeCell ref="B3749:E3749"/>
    <mergeCell ref="B3755:E3755"/>
    <mergeCell ref="B3756:E3756"/>
    <mergeCell ref="B3757:E3757"/>
    <mergeCell ref="B3758:E3758"/>
    <mergeCell ref="B3766:E3766"/>
    <mergeCell ref="B3767:E3767"/>
    <mergeCell ref="B3768:E3768"/>
    <mergeCell ref="B3769:E3769"/>
    <mergeCell ref="B3778:E3778"/>
    <mergeCell ref="B3779:E3779"/>
    <mergeCell ref="B3780:E3780"/>
    <mergeCell ref="B3781:E3781"/>
    <mergeCell ref="B3785:E3785"/>
    <mergeCell ref="B3786:E3786"/>
    <mergeCell ref="B3787:E3787"/>
    <mergeCell ref="B3791:E3791"/>
    <mergeCell ref="B3792:E3792"/>
    <mergeCell ref="B3793:E3793"/>
    <mergeCell ref="B3799:E3799"/>
    <mergeCell ref="B3800:E3800"/>
    <mergeCell ref="B3801:E3801"/>
    <mergeCell ref="B3806:E3806"/>
    <mergeCell ref="B3807:E3807"/>
    <mergeCell ref="B3808:E3808"/>
    <mergeCell ref="B3812:E3812"/>
    <mergeCell ref="B3813:E3813"/>
    <mergeCell ref="B3814:E3814"/>
    <mergeCell ref="B3818:E3818"/>
    <mergeCell ref="B3819:E3819"/>
    <mergeCell ref="B3820:E3820"/>
    <mergeCell ref="B3824:E3824"/>
    <mergeCell ref="B3825:E3825"/>
    <mergeCell ref="B3826:E3826"/>
    <mergeCell ref="B3832:E3832"/>
    <mergeCell ref="B3833:E3833"/>
    <mergeCell ref="B3834:E3834"/>
    <mergeCell ref="B3838:E3838"/>
    <mergeCell ref="B3839:E3839"/>
    <mergeCell ref="B3840:E3840"/>
    <mergeCell ref="B3844:E3844"/>
    <mergeCell ref="B3845:E3845"/>
    <mergeCell ref="B3846:E3846"/>
    <mergeCell ref="B3850:E3850"/>
    <mergeCell ref="B3851:E3851"/>
    <mergeCell ref="B3852:E3852"/>
    <mergeCell ref="B3856:E3856"/>
    <mergeCell ref="B3857:E3857"/>
    <mergeCell ref="B3858:E3858"/>
    <mergeCell ref="B3863:E3863"/>
    <mergeCell ref="B3864:E3864"/>
    <mergeCell ref="B3865:E3865"/>
    <mergeCell ref="B3871:E3871"/>
    <mergeCell ref="B3872:E3872"/>
    <mergeCell ref="B3873:E3873"/>
    <mergeCell ref="B3879:E3879"/>
    <mergeCell ref="B3880:E3880"/>
    <mergeCell ref="B3881:E3881"/>
    <mergeCell ref="B3885:E3885"/>
    <mergeCell ref="B3886:E3886"/>
    <mergeCell ref="B3887:E3887"/>
    <mergeCell ref="B3891:E3891"/>
    <mergeCell ref="B3892:E3892"/>
    <mergeCell ref="B3893:E3893"/>
    <mergeCell ref="B3912:E3912"/>
    <mergeCell ref="B3913:E3913"/>
    <mergeCell ref="B3914:E3914"/>
    <mergeCell ref="B3915:E3915"/>
    <mergeCell ref="B3925:E3925"/>
    <mergeCell ref="B3926:E3926"/>
    <mergeCell ref="B3927:E3927"/>
    <mergeCell ref="B3928:E3928"/>
    <mergeCell ref="B3929:E3929"/>
    <mergeCell ref="B3930:E3930"/>
    <mergeCell ref="B3935:E3935"/>
    <mergeCell ref="B3936:E3936"/>
    <mergeCell ref="B3937:E3937"/>
    <mergeCell ref="B3941:E3941"/>
    <mergeCell ref="B3942:E3942"/>
    <mergeCell ref="B3943:E3943"/>
    <mergeCell ref="B3950:E3950"/>
    <mergeCell ref="B4043:E4043"/>
    <mergeCell ref="B4044:E4044"/>
    <mergeCell ref="B4048:E4048"/>
    <mergeCell ref="B4049:E4049"/>
    <mergeCell ref="B4050:E4050"/>
    <mergeCell ref="B4060:E4060"/>
    <mergeCell ref="B4061:E4061"/>
    <mergeCell ref="B4062:E4062"/>
    <mergeCell ref="B4066:E4066"/>
    <mergeCell ref="B4067:E4067"/>
    <mergeCell ref="B4011:E4011"/>
    <mergeCell ref="B4015:E4015"/>
    <mergeCell ref="B4016:E4016"/>
    <mergeCell ref="B4017:E4017"/>
    <mergeCell ref="B4021:E4021"/>
    <mergeCell ref="B4022:E4022"/>
    <mergeCell ref="B4023:E4023"/>
    <mergeCell ref="B4027:E4027"/>
    <mergeCell ref="B4028:E4028"/>
    <mergeCell ref="B4029:E4029"/>
    <mergeCell ref="B4035:E4035"/>
    <mergeCell ref="B4036:E4036"/>
    <mergeCell ref="B4037:E4037"/>
    <mergeCell ref="B4042:E4042"/>
    <mergeCell ref="B4068:E4068"/>
    <mergeCell ref="B4073:E4073"/>
    <mergeCell ref="B4074:E4074"/>
    <mergeCell ref="B4075:E4075"/>
    <mergeCell ref="B3951:E3951"/>
    <mergeCell ref="B3952:E3952"/>
    <mergeCell ref="B3956:E3956"/>
    <mergeCell ref="B3957:E3957"/>
    <mergeCell ref="B3958:E3958"/>
    <mergeCell ref="B3962:E3962"/>
    <mergeCell ref="B3963:E3963"/>
    <mergeCell ref="B3964:E3964"/>
    <mergeCell ref="B3968:E3968"/>
    <mergeCell ref="B3969:E3969"/>
    <mergeCell ref="B3970:E3970"/>
    <mergeCell ref="B3974:E3974"/>
    <mergeCell ref="B3975:E3975"/>
    <mergeCell ref="B3976:E3976"/>
    <mergeCell ref="B3980:E3980"/>
    <mergeCell ref="B3981:E3981"/>
    <mergeCell ref="B3982:E3982"/>
    <mergeCell ref="B3990:E3990"/>
    <mergeCell ref="B3991:E3991"/>
    <mergeCell ref="B3992:E3992"/>
    <mergeCell ref="B3996:E3996"/>
    <mergeCell ref="B3997:E3997"/>
    <mergeCell ref="B3998:E3998"/>
    <mergeCell ref="B4002:E4002"/>
    <mergeCell ref="B4003:E4003"/>
    <mergeCell ref="B4004:E4004"/>
    <mergeCell ref="B4009:E4009"/>
    <mergeCell ref="B4010:E4010"/>
    <mergeCell ref="B4083:E4083"/>
    <mergeCell ref="B4084:E4084"/>
    <mergeCell ref="B4085:E4085"/>
    <mergeCell ref="B4089:E4089"/>
    <mergeCell ref="B4090:E4090"/>
    <mergeCell ref="B4091:E4091"/>
    <mergeCell ref="B4095:E4095"/>
    <mergeCell ref="B4096:E4096"/>
    <mergeCell ref="B4097:E4097"/>
    <mergeCell ref="B4101:E4101"/>
    <mergeCell ref="B4102:E4102"/>
    <mergeCell ref="B4103:E4103"/>
    <mergeCell ref="B4108:E4108"/>
    <mergeCell ref="B4109:E4109"/>
    <mergeCell ref="B4110:E4110"/>
    <mergeCell ref="B4114:E4114"/>
    <mergeCell ref="B4115:E4115"/>
    <mergeCell ref="B4116:E4116"/>
    <mergeCell ref="B4124:E4124"/>
    <mergeCell ref="B4125:E4125"/>
    <mergeCell ref="B4126:E4126"/>
    <mergeCell ref="B4131:E4131"/>
    <mergeCell ref="B4132:E4132"/>
    <mergeCell ref="B4133:E4133"/>
    <mergeCell ref="B4137:E4137"/>
    <mergeCell ref="B4138:E4138"/>
    <mergeCell ref="B4139:E4139"/>
    <mergeCell ref="B4144:E4144"/>
    <mergeCell ref="B4145:E4145"/>
    <mergeCell ref="B4146:E4146"/>
    <mergeCell ref="B4152:E4152"/>
    <mergeCell ref="B4153:E4153"/>
    <mergeCell ref="B4154:E4154"/>
    <mergeCell ref="B4158:E4158"/>
    <mergeCell ref="B4159:E4159"/>
    <mergeCell ref="B4160:E4160"/>
    <mergeCell ref="B4164:E4164"/>
    <mergeCell ref="B4165:E4165"/>
    <mergeCell ref="B4166:E4166"/>
    <mergeCell ref="B4171:E4171"/>
    <mergeCell ref="B4172:E4172"/>
    <mergeCell ref="B4173:E4173"/>
    <mergeCell ref="B4174:E4174"/>
    <mergeCell ref="B4175:E4175"/>
    <mergeCell ref="B4179:E4179"/>
    <mergeCell ref="B4180:E4180"/>
    <mergeCell ref="B4181:E4181"/>
    <mergeCell ref="B4186:E4186"/>
    <mergeCell ref="B4187:E4187"/>
    <mergeCell ref="B4188:E4188"/>
    <mergeCell ref="B4192:E4192"/>
    <mergeCell ref="B4193:E4193"/>
    <mergeCell ref="B4194:E4194"/>
    <mergeCell ref="B4211:E4211"/>
    <mergeCell ref="B4212:E4212"/>
    <mergeCell ref="B4213:E4213"/>
    <mergeCell ref="B4219:E4219"/>
    <mergeCell ref="B4220:E4220"/>
    <mergeCell ref="B4221:E4221"/>
    <mergeCell ref="B4227:E4227"/>
    <mergeCell ref="B4228:E4228"/>
    <mergeCell ref="B4229:E4229"/>
    <mergeCell ref="B4230:E4230"/>
    <mergeCell ref="B4231:E4231"/>
    <mergeCell ref="B4246:E4246"/>
    <mergeCell ref="B4247:E4247"/>
    <mergeCell ref="B4248:E4248"/>
    <mergeCell ref="B4254:E4254"/>
    <mergeCell ref="B4255:E4255"/>
    <mergeCell ref="B4256:E4256"/>
    <mergeCell ref="B4260:E4260"/>
    <mergeCell ref="B4261:E4261"/>
    <mergeCell ref="B4262:E4262"/>
    <mergeCell ref="B4269:E4269"/>
    <mergeCell ref="B4270:E4270"/>
    <mergeCell ref="B4271:E4271"/>
    <mergeCell ref="B4272:E4272"/>
    <mergeCell ref="B4273:E4273"/>
    <mergeCell ref="B4277:E4277"/>
    <mergeCell ref="B4278:E4278"/>
    <mergeCell ref="B4279:E4279"/>
    <mergeCell ref="B4284:E4284"/>
    <mergeCell ref="B4285:E4285"/>
    <mergeCell ref="B4286:E4286"/>
    <mergeCell ref="B4290:E4290"/>
    <mergeCell ref="B4291:E4291"/>
    <mergeCell ref="B4292:E4292"/>
    <mergeCell ref="B4301:E4301"/>
    <mergeCell ref="B4302:E4302"/>
    <mergeCell ref="B4303:E4303"/>
    <mergeCell ref="B4312:E4312"/>
    <mergeCell ref="B4313:E4313"/>
    <mergeCell ref="B4314:E4314"/>
    <mergeCell ref="B4319:E4319"/>
    <mergeCell ref="B4320:E4320"/>
    <mergeCell ref="B4321:E4321"/>
    <mergeCell ref="B4329:E4329"/>
    <mergeCell ref="B4330:E4330"/>
    <mergeCell ref="B4331:E4331"/>
    <mergeCell ref="B4336:E4336"/>
    <mergeCell ref="B4337:E4337"/>
    <mergeCell ref="B4338:E4338"/>
    <mergeCell ref="B4342:E4342"/>
    <mergeCell ref="B4343:E4343"/>
    <mergeCell ref="B4344:E4344"/>
    <mergeCell ref="B4356:E4356"/>
    <mergeCell ref="B4357:E4357"/>
    <mergeCell ref="B4358:E4358"/>
    <mergeCell ref="B4368:E4368"/>
    <mergeCell ref="B4369:E4369"/>
    <mergeCell ref="B4370:E4370"/>
    <mergeCell ref="B4376:E4376"/>
    <mergeCell ref="B4377:E4377"/>
    <mergeCell ref="B4378:E4378"/>
    <mergeCell ref="B4382:E4382"/>
    <mergeCell ref="B4383:E4383"/>
    <mergeCell ref="B4384:E4384"/>
    <mergeCell ref="B4385:E4385"/>
    <mergeCell ref="B4386:E4386"/>
    <mergeCell ref="B4390:E4390"/>
    <mergeCell ref="B4391:E4391"/>
    <mergeCell ref="B4392:E4392"/>
    <mergeCell ref="B4396:E4396"/>
    <mergeCell ref="B4397:E4397"/>
    <mergeCell ref="B4398:E4398"/>
    <mergeCell ref="B4403:E4403"/>
    <mergeCell ref="B4404:E4404"/>
    <mergeCell ref="B4406:E4406"/>
    <mergeCell ref="B4407:E4407"/>
    <mergeCell ref="B4422:E4422"/>
    <mergeCell ref="B4423:E4423"/>
    <mergeCell ref="B4424:E4424"/>
    <mergeCell ref="B4435:E4435"/>
    <mergeCell ref="B4436:E4436"/>
    <mergeCell ref="B4437:E4437"/>
    <mergeCell ref="B4442:E4442"/>
    <mergeCell ref="B4443:E4443"/>
    <mergeCell ref="B4445:E4445"/>
    <mergeCell ref="B4450:E4450"/>
    <mergeCell ref="B4451:E4451"/>
    <mergeCell ref="B4452:E4452"/>
    <mergeCell ref="B4456:E4456"/>
    <mergeCell ref="B4457:E4457"/>
    <mergeCell ref="B4458:E4458"/>
    <mergeCell ref="B4462:E4462"/>
    <mergeCell ref="B4463:E4463"/>
    <mergeCell ref="B4464:E4464"/>
    <mergeCell ref="B4468:E4468"/>
    <mergeCell ref="B4469:E4469"/>
    <mergeCell ref="B4470:E4470"/>
    <mergeCell ref="B4475:E4475"/>
    <mergeCell ref="B4476:E4476"/>
    <mergeCell ref="B4477:E4477"/>
    <mergeCell ref="B4482:E4482"/>
    <mergeCell ref="B4586:E4586"/>
    <mergeCell ref="B4587:E4587"/>
    <mergeCell ref="B4592:E4592"/>
    <mergeCell ref="B4593:E4593"/>
    <mergeCell ref="B4594:E4594"/>
    <mergeCell ref="B4602:E4602"/>
    <mergeCell ref="B4603:E4603"/>
    <mergeCell ref="B4604:E4604"/>
    <mergeCell ref="B4610:E4610"/>
    <mergeCell ref="B4611:E4611"/>
    <mergeCell ref="B4612:E4612"/>
    <mergeCell ref="B4618:E4618"/>
    <mergeCell ref="B4619:E4619"/>
    <mergeCell ref="B4620:E4620"/>
    <mergeCell ref="B4483:E4483"/>
    <mergeCell ref="B4484:E4484"/>
    <mergeCell ref="B4489:E4489"/>
    <mergeCell ref="B4490:E4490"/>
    <mergeCell ref="B4491:E4491"/>
    <mergeCell ref="B4495:E4495"/>
    <mergeCell ref="B4496:E4496"/>
    <mergeCell ref="B4497:E4497"/>
    <mergeCell ref="B4501:E4501"/>
    <mergeCell ref="B4502:E4502"/>
    <mergeCell ref="B4503:E4503"/>
    <mergeCell ref="B4507:E4507"/>
    <mergeCell ref="B4508:E4508"/>
    <mergeCell ref="B4509:E4509"/>
    <mergeCell ref="B4513:E4513"/>
    <mergeCell ref="B4514:E4514"/>
    <mergeCell ref="B4515:E4515"/>
    <mergeCell ref="B5493:E5493"/>
    <mergeCell ref="B4784:E4784"/>
    <mergeCell ref="B4785:E4785"/>
    <mergeCell ref="B4789:E4789"/>
    <mergeCell ref="B4790:E4790"/>
    <mergeCell ref="B4791:E4791"/>
    <mergeCell ref="B4796:E4796"/>
    <mergeCell ref="B4797:E4797"/>
    <mergeCell ref="B4798:E4798"/>
    <mergeCell ref="B4522:E4522"/>
    <mergeCell ref="B4523:E4523"/>
    <mergeCell ref="B4524:E4524"/>
    <mergeCell ref="B4530:E4530"/>
    <mergeCell ref="B4531:E4531"/>
    <mergeCell ref="B4532:E4532"/>
    <mergeCell ref="B4538:E4538"/>
    <mergeCell ref="B4539:E4539"/>
    <mergeCell ref="B4540:E4540"/>
    <mergeCell ref="B4545:E4545"/>
    <mergeCell ref="B4546:E4546"/>
    <mergeCell ref="B4547:E4547"/>
    <mergeCell ref="B4551:E4551"/>
    <mergeCell ref="B4552:E4552"/>
    <mergeCell ref="B4553:E4553"/>
    <mergeCell ref="B4562:E4562"/>
    <mergeCell ref="B4563:E4563"/>
    <mergeCell ref="B5473:E5473"/>
    <mergeCell ref="B5474:E5474"/>
    <mergeCell ref="B5475:E5475"/>
    <mergeCell ref="B5480:E5480"/>
    <mergeCell ref="B4702:E4702"/>
    <mergeCell ref="B4742:E4742"/>
    <mergeCell ref="B5557:E5557"/>
    <mergeCell ref="B5530:E5530"/>
    <mergeCell ref="B5531:E5531"/>
    <mergeCell ref="B5532:E5532"/>
    <mergeCell ref="B5539:E5539"/>
    <mergeCell ref="B5547:E5547"/>
    <mergeCell ref="B5553:E5553"/>
    <mergeCell ref="B5559:E5559"/>
    <mergeCell ref="B5565:E5565"/>
    <mergeCell ref="B4564:E4564"/>
    <mergeCell ref="B4571:E4571"/>
    <mergeCell ref="B4572:E4572"/>
    <mergeCell ref="B4573:E4573"/>
    <mergeCell ref="B4578:E4578"/>
    <mergeCell ref="B4579:E4579"/>
    <mergeCell ref="B4580:E4580"/>
    <mergeCell ref="B4585:E4585"/>
    <mergeCell ref="B4632:E4632"/>
    <mergeCell ref="B4633:E4633"/>
    <mergeCell ref="B4634:E4634"/>
    <mergeCell ref="B4639:E4639"/>
    <mergeCell ref="B4640:E4640"/>
    <mergeCell ref="B4641:E4641"/>
    <mergeCell ref="B4646:E4646"/>
    <mergeCell ref="B5494:E5494"/>
    <mergeCell ref="B5495:E5495"/>
    <mergeCell ref="B5481:E5481"/>
    <mergeCell ref="B5482:E5482"/>
    <mergeCell ref="B5486:E5486"/>
    <mergeCell ref="B5487:E5487"/>
    <mergeCell ref="B5488:E5488"/>
    <mergeCell ref="B5492:E5492"/>
    <mergeCell ref="B5684:E5684"/>
    <mergeCell ref="B5661:E5661"/>
    <mergeCell ref="B5662:E5662"/>
    <mergeCell ref="B5663:E5663"/>
    <mergeCell ref="B5667:E5667"/>
    <mergeCell ref="B5668:E5668"/>
    <mergeCell ref="B5669:E5669"/>
    <mergeCell ref="B5675:E5675"/>
    <mergeCell ref="B5571:E5571"/>
    <mergeCell ref="B5577:E5577"/>
    <mergeCell ref="B5578:E5578"/>
    <mergeCell ref="B5579:E5579"/>
    <mergeCell ref="B5584:E5584"/>
    <mergeCell ref="B5585:E5585"/>
    <mergeCell ref="B5592:E5592"/>
    <mergeCell ref="B5593:E5593"/>
    <mergeCell ref="B5594:E5594"/>
    <mergeCell ref="B5595:E5595"/>
    <mergeCell ref="B5599:E5599"/>
    <mergeCell ref="B5600:E5600"/>
    <mergeCell ref="B5602:E5602"/>
    <mergeCell ref="B5607:E5607"/>
    <mergeCell ref="B5608:E5608"/>
    <mergeCell ref="B5614:E5614"/>
    <mergeCell ref="B5615:E5615"/>
    <mergeCell ref="L5563:M5563"/>
    <mergeCell ref="L5564:M5565"/>
    <mergeCell ref="L5569:M5569"/>
    <mergeCell ref="L5662:M5663"/>
    <mergeCell ref="L5667:M5667"/>
    <mergeCell ref="L5668:M5669"/>
    <mergeCell ref="B5623:E5623"/>
    <mergeCell ref="B5637:E5637"/>
    <mergeCell ref="B5638:E5638"/>
    <mergeCell ref="B5639:E5639"/>
    <mergeCell ref="B5648:E5648"/>
    <mergeCell ref="B5649:E5649"/>
    <mergeCell ref="B5650:E5650"/>
    <mergeCell ref="B5655:E5655"/>
    <mergeCell ref="B5656:E5656"/>
    <mergeCell ref="B5657:E5657"/>
    <mergeCell ref="B5676:E5676"/>
    <mergeCell ref="B5563:E5563"/>
    <mergeCell ref="B5564:E5564"/>
    <mergeCell ref="B5569:E5569"/>
    <mergeCell ref="B5570:E5570"/>
    <mergeCell ref="L5584:M5584"/>
    <mergeCell ref="L5585:M5586"/>
    <mergeCell ref="B5586:E5586"/>
    <mergeCell ref="L5615:M5616"/>
    <mergeCell ref="B5616:E5616"/>
    <mergeCell ref="L5599:M5599"/>
    <mergeCell ref="L5600:M5601"/>
    <mergeCell ref="B5601:E5601"/>
    <mergeCell ref="L5607:M5607"/>
    <mergeCell ref="L5608:M5609"/>
    <mergeCell ref="B5609:E5609"/>
    <mergeCell ref="L5480:M5480"/>
    <mergeCell ref="L5481:M5482"/>
    <mergeCell ref="L5516:M5517"/>
    <mergeCell ref="L5521:M5521"/>
    <mergeCell ref="L5522:M5523"/>
    <mergeCell ref="L5537:M5537"/>
    <mergeCell ref="L5538:M5539"/>
    <mergeCell ref="L5545:M5545"/>
    <mergeCell ref="L5546:M5547"/>
    <mergeCell ref="L5551:M5551"/>
    <mergeCell ref="L5552:M5553"/>
    <mergeCell ref="L5557:M5557"/>
    <mergeCell ref="L5558:M5559"/>
    <mergeCell ref="B5499:E5499"/>
    <mergeCell ref="B5500:E5500"/>
    <mergeCell ref="B5501:E5501"/>
    <mergeCell ref="B5508:E5508"/>
    <mergeCell ref="B5509:E5509"/>
    <mergeCell ref="B5510:E5510"/>
    <mergeCell ref="B5515:E5515"/>
    <mergeCell ref="B5516:E5516"/>
    <mergeCell ref="B5517:E5517"/>
    <mergeCell ref="B5521:E5521"/>
    <mergeCell ref="B5522:E5522"/>
    <mergeCell ref="B5523:E5523"/>
    <mergeCell ref="B5558:E5558"/>
    <mergeCell ref="B5537:E5537"/>
    <mergeCell ref="B5538:E5538"/>
    <mergeCell ref="B5545:E5545"/>
    <mergeCell ref="B5546:E5546"/>
    <mergeCell ref="B5551:E5551"/>
    <mergeCell ref="B5552:E5552"/>
    <mergeCell ref="L5614:M5614"/>
    <mergeCell ref="L5675:M5675"/>
    <mergeCell ref="L5676:M5677"/>
    <mergeCell ref="L5681:M5681"/>
    <mergeCell ref="L5682:M5683"/>
    <mergeCell ref="L5642:L5647"/>
    <mergeCell ref="M5642:M5647"/>
    <mergeCell ref="L5648:M5648"/>
    <mergeCell ref="L5649:M5650"/>
    <mergeCell ref="L5655:M5655"/>
    <mergeCell ref="L5656:M5657"/>
    <mergeCell ref="L5661:M5661"/>
    <mergeCell ref="B5677:E5677"/>
    <mergeCell ref="B5681:E5681"/>
    <mergeCell ref="B5682:E5682"/>
    <mergeCell ref="B5683:E5683"/>
    <mergeCell ref="B4712:E4712"/>
    <mergeCell ref="B4713:E4713"/>
    <mergeCell ref="B4714:E4714"/>
    <mergeCell ref="B4720:E4720"/>
    <mergeCell ref="B4721:E4721"/>
    <mergeCell ref="B4722:E4722"/>
    <mergeCell ref="B4730:E4730"/>
    <mergeCell ref="B4731:E4731"/>
    <mergeCell ref="B4732:E4732"/>
    <mergeCell ref="L5486:M5486"/>
    <mergeCell ref="L5487:M5488"/>
    <mergeCell ref="L5492:M5492"/>
    <mergeCell ref="L5493:M5494"/>
    <mergeCell ref="L5499:M5499"/>
    <mergeCell ref="L5500:M5501"/>
    <mergeCell ref="L5515:M5515"/>
    <mergeCell ref="L5570:M5571"/>
    <mergeCell ref="B5435:E5435"/>
    <mergeCell ref="B5436:E5436"/>
    <mergeCell ref="B5441:E5441"/>
    <mergeCell ref="B5442:E5442"/>
    <mergeCell ref="B5443:E5443"/>
    <mergeCell ref="B5444:E5444"/>
    <mergeCell ref="B5448:E5448"/>
    <mergeCell ref="B5449:E5449"/>
    <mergeCell ref="B5450:E5450"/>
    <mergeCell ref="B5454:E5454"/>
    <mergeCell ref="B5455:E5455"/>
    <mergeCell ref="B5456:E5456"/>
    <mergeCell ref="B5465:E5465"/>
    <mergeCell ref="B5466:E5466"/>
    <mergeCell ref="B5467:E5467"/>
    <mergeCell ref="B4647:E4647"/>
    <mergeCell ref="B4648:E4648"/>
    <mergeCell ref="B4657:E4657"/>
    <mergeCell ref="B4658:E4658"/>
    <mergeCell ref="B4659:E4659"/>
    <mergeCell ref="B4663:E4663"/>
    <mergeCell ref="B4664:E4664"/>
    <mergeCell ref="B4665:E4665"/>
    <mergeCell ref="B4670:E4670"/>
    <mergeCell ref="B4671:E4671"/>
    <mergeCell ref="B4672:E4672"/>
    <mergeCell ref="B4693:E4693"/>
    <mergeCell ref="B4694:E4694"/>
    <mergeCell ref="B4695:E4695"/>
    <mergeCell ref="B4700:E4700"/>
    <mergeCell ref="B4701:E4701"/>
    <mergeCell ref="B4743:E4743"/>
    <mergeCell ref="B4744:E4744"/>
    <mergeCell ref="B4751:E4751"/>
    <mergeCell ref="B4752:E4752"/>
    <mergeCell ref="B4753:E4753"/>
    <mergeCell ref="B4759:E4759"/>
    <mergeCell ref="B4760:E4760"/>
    <mergeCell ref="B4761:E4761"/>
    <mergeCell ref="B4769:E4769"/>
    <mergeCell ref="B4770:E4770"/>
    <mergeCell ref="B4771:E4771"/>
    <mergeCell ref="B4775:E4775"/>
    <mergeCell ref="B4776:E4776"/>
    <mergeCell ref="B4777:E4777"/>
    <mergeCell ref="B4783:E4783"/>
    <mergeCell ref="B4817:E4817"/>
    <mergeCell ref="B4804:E4804"/>
    <mergeCell ref="B4805:E4805"/>
    <mergeCell ref="B4806:E4806"/>
    <mergeCell ref="B4811:E4811"/>
    <mergeCell ref="B4812:E4812"/>
    <mergeCell ref="B4813:E4813"/>
    <mergeCell ref="B4818:E4818"/>
    <mergeCell ref="B4819:E4819"/>
    <mergeCell ref="B4826:E4826"/>
    <mergeCell ref="B4827:E4827"/>
    <mergeCell ref="B4828:E4828"/>
    <mergeCell ref="B4833:E4833"/>
    <mergeCell ref="B4834:E4834"/>
    <mergeCell ref="B4835:E4835"/>
    <mergeCell ref="B4840:E4840"/>
    <mergeCell ref="B4841:E4841"/>
    <mergeCell ref="B4842:E4842"/>
    <mergeCell ref="B4846:E4846"/>
    <mergeCell ref="B4847:E4847"/>
    <mergeCell ref="B4848:E4848"/>
    <mergeCell ref="B4853:E4853"/>
    <mergeCell ref="B4854:E4854"/>
    <mergeCell ref="B4855:E4855"/>
    <mergeCell ref="B4861:E4861"/>
    <mergeCell ref="B4862:E4862"/>
    <mergeCell ref="B4863:E4863"/>
    <mergeCell ref="B4869:E4869"/>
    <mergeCell ref="B4870:E4870"/>
    <mergeCell ref="B4871:E4871"/>
    <mergeCell ref="B4888:E4888"/>
    <mergeCell ref="B4889:E4889"/>
    <mergeCell ref="B4890:E4890"/>
    <mergeCell ref="B4915:E4915"/>
    <mergeCell ref="B4916:E4916"/>
    <mergeCell ref="B4917:E4917"/>
    <mergeCell ref="B4923:E4923"/>
    <mergeCell ref="B4924:E4924"/>
    <mergeCell ref="B4925:E4925"/>
    <mergeCell ref="B4931:E4931"/>
    <mergeCell ref="B4932:E4932"/>
    <mergeCell ref="B4933:E4933"/>
    <mergeCell ref="B4934:E4934"/>
    <mergeCell ref="B4939:E4939"/>
    <mergeCell ref="B4940:E4940"/>
    <mergeCell ref="B4941:E4941"/>
    <mergeCell ref="B4945:E4945"/>
    <mergeCell ref="B4946:E4946"/>
    <mergeCell ref="B4947:E4947"/>
    <mergeCell ref="B4961:E4961"/>
    <mergeCell ref="B4962:E4962"/>
    <mergeCell ref="B4963:E4963"/>
    <mergeCell ref="B4970:E4970"/>
    <mergeCell ref="B4971:E4971"/>
    <mergeCell ref="B4972:E4972"/>
    <mergeCell ref="B4976:E4976"/>
    <mergeCell ref="B4977:E4977"/>
    <mergeCell ref="B4978:E4978"/>
    <mergeCell ref="B4992:E4992"/>
    <mergeCell ref="B4993:E4993"/>
    <mergeCell ref="B4994:E4994"/>
    <mergeCell ref="B5007:E5007"/>
    <mergeCell ref="B5117:E5117"/>
    <mergeCell ref="B5123:E5123"/>
    <mergeCell ref="B5124:E5124"/>
    <mergeCell ref="B5125:E5125"/>
    <mergeCell ref="B5135:E5135"/>
    <mergeCell ref="B5136:E5136"/>
    <mergeCell ref="B5137:E5137"/>
    <mergeCell ref="B5138:E5138"/>
    <mergeCell ref="B5155:E5155"/>
    <mergeCell ref="B5156:E5156"/>
    <mergeCell ref="B5157:E5157"/>
    <mergeCell ref="B5162:E5162"/>
    <mergeCell ref="B5163:E5163"/>
    <mergeCell ref="B5091:E5091"/>
    <mergeCell ref="B5092:E5092"/>
    <mergeCell ref="B5093:E5093"/>
    <mergeCell ref="B5099:E5099"/>
    <mergeCell ref="B5100:E5100"/>
    <mergeCell ref="B5101:E5101"/>
    <mergeCell ref="B5105:E5105"/>
    <mergeCell ref="B5106:E5106"/>
    <mergeCell ref="B5107:E5107"/>
    <mergeCell ref="B5115:E5115"/>
    <mergeCell ref="B5116:E5116"/>
    <mergeCell ref="B5164:E5164"/>
    <mergeCell ref="B5008:E5008"/>
    <mergeCell ref="B5009:E5009"/>
    <mergeCell ref="B5016:E5016"/>
    <mergeCell ref="B5017:E5017"/>
    <mergeCell ref="B5018:E5018"/>
    <mergeCell ref="B5022:E5022"/>
    <mergeCell ref="B5023:E5023"/>
    <mergeCell ref="B5024:E5024"/>
    <mergeCell ref="B5031:E5031"/>
    <mergeCell ref="B5032:E5032"/>
    <mergeCell ref="B5033:E5033"/>
    <mergeCell ref="B5038:E5038"/>
    <mergeCell ref="B5039:E5039"/>
    <mergeCell ref="B5040:E5040"/>
    <mergeCell ref="B5041:E5041"/>
    <mergeCell ref="B5045:E5045"/>
    <mergeCell ref="B5046:E5046"/>
    <mergeCell ref="B5047:E5047"/>
    <mergeCell ref="B5048:E5048"/>
    <mergeCell ref="B5056:E5056"/>
    <mergeCell ref="B5057:E5057"/>
    <mergeCell ref="B5058:E5058"/>
    <mergeCell ref="B5064:E5064"/>
    <mergeCell ref="B5065:E5065"/>
    <mergeCell ref="B5066:E5066"/>
    <mergeCell ref="B5071:E5071"/>
    <mergeCell ref="B5072:E5072"/>
    <mergeCell ref="B5073:E5073"/>
    <mergeCell ref="B5084:E5084"/>
    <mergeCell ref="B5085:E5085"/>
    <mergeCell ref="B5086:E5086"/>
    <mergeCell ref="B5173:E5173"/>
    <mergeCell ref="B5174:E5174"/>
    <mergeCell ref="B5175:E5175"/>
    <mergeCell ref="B5180:E5180"/>
    <mergeCell ref="B5181:E5181"/>
    <mergeCell ref="B5182:E5182"/>
    <mergeCell ref="B5188:E5188"/>
    <mergeCell ref="B5189:E5189"/>
    <mergeCell ref="B5190:E5190"/>
    <mergeCell ref="B5197:E5197"/>
    <mergeCell ref="B5198:E5198"/>
    <mergeCell ref="B5199:E5199"/>
    <mergeCell ref="B5203:E5203"/>
    <mergeCell ref="B5204:E5204"/>
    <mergeCell ref="B5205:E5205"/>
    <mergeCell ref="B5209:E5209"/>
    <mergeCell ref="B5210:E5210"/>
    <mergeCell ref="B5211:E5211"/>
    <mergeCell ref="B5216:E5216"/>
    <mergeCell ref="B5217:E5217"/>
    <mergeCell ref="B5218:E5218"/>
    <mergeCell ref="B5223:E5223"/>
    <mergeCell ref="B5224:E5224"/>
    <mergeCell ref="B5225:E5225"/>
    <mergeCell ref="B5229:E5229"/>
    <mergeCell ref="B5230:E5230"/>
    <mergeCell ref="B5231:E5231"/>
    <mergeCell ref="B5235:E5235"/>
    <mergeCell ref="B5236:E5236"/>
    <mergeCell ref="B5237:E5237"/>
    <mergeCell ref="B5243:E5243"/>
    <mergeCell ref="B5244:E5244"/>
    <mergeCell ref="B5253:E5253"/>
    <mergeCell ref="B5254:E5254"/>
    <mergeCell ref="B5343:E5343"/>
    <mergeCell ref="B5344:E5344"/>
    <mergeCell ref="B5255:E5255"/>
    <mergeCell ref="B5260:E5260"/>
    <mergeCell ref="B5261:E5261"/>
    <mergeCell ref="B5262:E5262"/>
    <mergeCell ref="B5268:E5268"/>
    <mergeCell ref="B5269:E5269"/>
    <mergeCell ref="B5270:E5270"/>
    <mergeCell ref="B5274:E5274"/>
    <mergeCell ref="B5275:E5275"/>
    <mergeCell ref="B5276:E5276"/>
    <mergeCell ref="B5281:E5281"/>
    <mergeCell ref="B5282:E5282"/>
    <mergeCell ref="B5283:E5283"/>
    <mergeCell ref="B5288:E5288"/>
    <mergeCell ref="B5289:E5289"/>
    <mergeCell ref="B5290:E5290"/>
    <mergeCell ref="B5296:E5296"/>
    <mergeCell ref="B5408:E5408"/>
    <mergeCell ref="B5409:E5409"/>
    <mergeCell ref="B5413:E5413"/>
    <mergeCell ref="B5414:E5414"/>
    <mergeCell ref="B5415:E5415"/>
    <mergeCell ref="B5419:E5419"/>
    <mergeCell ref="B5420:E5420"/>
    <mergeCell ref="B5421:E5421"/>
    <mergeCell ref="B5426:E5426"/>
    <mergeCell ref="B5348:E5348"/>
    <mergeCell ref="B5349:E5349"/>
    <mergeCell ref="B5350:E5350"/>
    <mergeCell ref="B5354:E5354"/>
    <mergeCell ref="B5355:E5355"/>
    <mergeCell ref="B5356:E5356"/>
    <mergeCell ref="B5369:E5369"/>
    <mergeCell ref="B5370:E5370"/>
    <mergeCell ref="B5371:E5371"/>
    <mergeCell ref="B5375:E5375"/>
    <mergeCell ref="B5376:E5376"/>
    <mergeCell ref="B5377:E5377"/>
    <mergeCell ref="B5381:E5381"/>
    <mergeCell ref="B5382:E5382"/>
    <mergeCell ref="B5383:E5383"/>
    <mergeCell ref="B5389:E5389"/>
    <mergeCell ref="B5390:E5390"/>
    <mergeCell ref="B518:E518"/>
    <mergeCell ref="B519:E519"/>
    <mergeCell ref="B520:E520"/>
    <mergeCell ref="B524:E524"/>
    <mergeCell ref="B525:E525"/>
    <mergeCell ref="B526:E526"/>
    <mergeCell ref="B530:E530"/>
    <mergeCell ref="B531:E531"/>
    <mergeCell ref="B532:E532"/>
    <mergeCell ref="B5391:E5391"/>
    <mergeCell ref="B5395:E5395"/>
    <mergeCell ref="B5396:E5396"/>
    <mergeCell ref="B5397:E5397"/>
    <mergeCell ref="B5401:E5401"/>
    <mergeCell ref="B5402:E5402"/>
    <mergeCell ref="B5403:E5403"/>
    <mergeCell ref="B5407:E5407"/>
    <mergeCell ref="B5297:E5297"/>
    <mergeCell ref="B5298:E5298"/>
    <mergeCell ref="B5308:E5308"/>
    <mergeCell ref="B5309:E5309"/>
    <mergeCell ref="B5310:E5310"/>
    <mergeCell ref="B5319:E5319"/>
    <mergeCell ref="B5320:E5320"/>
    <mergeCell ref="B5321:E5321"/>
    <mergeCell ref="B5326:E5326"/>
    <mergeCell ref="B5327:E5327"/>
    <mergeCell ref="B5328:E5328"/>
    <mergeCell ref="B5334:E5334"/>
    <mergeCell ref="B5335:E5335"/>
    <mergeCell ref="B5336:E5336"/>
    <mergeCell ref="B5342:E5342"/>
    <mergeCell ref="B593:E593"/>
    <mergeCell ref="B594:E594"/>
    <mergeCell ref="B595:E595"/>
    <mergeCell ref="B599:E599"/>
    <mergeCell ref="B577:E577"/>
    <mergeCell ref="B581:E581"/>
    <mergeCell ref="B582:E582"/>
    <mergeCell ref="B583:E583"/>
    <mergeCell ref="B587:E587"/>
    <mergeCell ref="B588:E588"/>
    <mergeCell ref="B589:E589"/>
    <mergeCell ref="B5427:E5427"/>
    <mergeCell ref="B5428:E5428"/>
    <mergeCell ref="B5434:E5434"/>
    <mergeCell ref="B473:E473"/>
    <mergeCell ref="B474:E474"/>
    <mergeCell ref="B478:E478"/>
    <mergeCell ref="B479:E479"/>
    <mergeCell ref="B480:E480"/>
    <mergeCell ref="B486:E486"/>
    <mergeCell ref="B487:E487"/>
    <mergeCell ref="B488:E488"/>
    <mergeCell ref="B492:E492"/>
    <mergeCell ref="B493:E493"/>
    <mergeCell ref="B494:E494"/>
    <mergeCell ref="B498:E498"/>
    <mergeCell ref="B499:E499"/>
    <mergeCell ref="B500:E500"/>
    <mergeCell ref="B504:E504"/>
    <mergeCell ref="B505:E505"/>
    <mergeCell ref="B506:E506"/>
    <mergeCell ref="B511:E511"/>
    <mergeCell ref="B600:E600"/>
    <mergeCell ref="B601:E601"/>
    <mergeCell ref="B605:E605"/>
    <mergeCell ref="B606:E606"/>
    <mergeCell ref="B607:E607"/>
    <mergeCell ref="B611:E611"/>
    <mergeCell ref="B612:E612"/>
    <mergeCell ref="B613:E613"/>
    <mergeCell ref="B631:E631"/>
    <mergeCell ref="B632:E632"/>
    <mergeCell ref="B633:E633"/>
    <mergeCell ref="B637:E637"/>
    <mergeCell ref="B638:E638"/>
    <mergeCell ref="B639:E639"/>
    <mergeCell ref="B644:E644"/>
    <mergeCell ref="B645:E645"/>
    <mergeCell ref="B646:E646"/>
    <mergeCell ref="B650:E650"/>
    <mergeCell ref="B651:E651"/>
    <mergeCell ref="B652:E652"/>
    <mergeCell ref="B657:E657"/>
    <mergeCell ref="B658:E658"/>
    <mergeCell ref="B659:E659"/>
    <mergeCell ref="B664:E664"/>
    <mergeCell ref="B665:E665"/>
    <mergeCell ref="B666:E666"/>
    <mergeCell ref="B672:E672"/>
    <mergeCell ref="B673:E673"/>
    <mergeCell ref="B674:E674"/>
    <mergeCell ref="B679:E679"/>
    <mergeCell ref="B680:E680"/>
    <mergeCell ref="B681:E681"/>
    <mergeCell ref="B686:E686"/>
    <mergeCell ref="B687:E687"/>
    <mergeCell ref="B688:E688"/>
    <mergeCell ref="B696:E696"/>
    <mergeCell ref="B697:E697"/>
    <mergeCell ref="B698:E698"/>
    <mergeCell ref="B707:E707"/>
    <mergeCell ref="B708:E708"/>
    <mergeCell ref="B709:E709"/>
    <mergeCell ref="B714:E714"/>
    <mergeCell ref="B715:E715"/>
    <mergeCell ref="B716:E716"/>
    <mergeCell ref="B721:E721"/>
    <mergeCell ref="A831:A837"/>
    <mergeCell ref="C831:C837"/>
    <mergeCell ref="D831:D837"/>
    <mergeCell ref="E831:E837"/>
    <mergeCell ref="B722:E722"/>
    <mergeCell ref="B723:E723"/>
    <mergeCell ref="B730:E730"/>
    <mergeCell ref="B731:E731"/>
    <mergeCell ref="B732:E732"/>
    <mergeCell ref="B733:E733"/>
    <mergeCell ref="B734:E734"/>
    <mergeCell ref="B741:E741"/>
    <mergeCell ref="B742:E742"/>
    <mergeCell ref="B743:E743"/>
    <mergeCell ref="B744:E744"/>
    <mergeCell ref="B745:E745"/>
    <mergeCell ref="B749:E749"/>
    <mergeCell ref="B750:E750"/>
    <mergeCell ref="B751:E751"/>
    <mergeCell ref="B752:E752"/>
    <mergeCell ref="B753:E753"/>
    <mergeCell ref="B3:E3"/>
    <mergeCell ref="B4:E4"/>
    <mergeCell ref="B5:E5"/>
    <mergeCell ref="B9:E9"/>
    <mergeCell ref="B10:E10"/>
    <mergeCell ref="B11:E11"/>
    <mergeCell ref="B15:E15"/>
    <mergeCell ref="B16:E16"/>
    <mergeCell ref="B17:E17"/>
    <mergeCell ref="B22:E22"/>
    <mergeCell ref="B23:E23"/>
    <mergeCell ref="B24:E24"/>
    <mergeCell ref="B30:E30"/>
    <mergeCell ref="B31:E31"/>
    <mergeCell ref="B32:E32"/>
    <mergeCell ref="B39:E39"/>
    <mergeCell ref="B40:E40"/>
    <mergeCell ref="B41:E41"/>
    <mergeCell ref="B49:E49"/>
    <mergeCell ref="B50:E50"/>
    <mergeCell ref="B51:E51"/>
    <mergeCell ref="B55:E55"/>
    <mergeCell ref="B56:E56"/>
    <mergeCell ref="B57:E57"/>
    <mergeCell ref="B61:E61"/>
    <mergeCell ref="B62:E62"/>
    <mergeCell ref="B63:E63"/>
    <mergeCell ref="B67:E67"/>
    <mergeCell ref="B68:E68"/>
    <mergeCell ref="B69:E69"/>
    <mergeCell ref="B75:E75"/>
    <mergeCell ref="B76:E76"/>
    <mergeCell ref="B77:E77"/>
    <mergeCell ref="B81:E81"/>
    <mergeCell ref="B117:E117"/>
    <mergeCell ref="B118:E118"/>
    <mergeCell ref="B119:E119"/>
    <mergeCell ref="B123:E123"/>
    <mergeCell ref="B124:E124"/>
    <mergeCell ref="B125:E125"/>
    <mergeCell ref="B132:E132"/>
    <mergeCell ref="B133:E133"/>
    <mergeCell ref="B134:E134"/>
    <mergeCell ref="B138:E138"/>
    <mergeCell ref="B139:E139"/>
    <mergeCell ref="B140:E140"/>
    <mergeCell ref="B157:E157"/>
    <mergeCell ref="B158:E158"/>
    <mergeCell ref="B159:E159"/>
    <mergeCell ref="B164:E164"/>
    <mergeCell ref="B165:E165"/>
    <mergeCell ref="B144:E144"/>
    <mergeCell ref="B145:E145"/>
    <mergeCell ref="B146:E146"/>
    <mergeCell ref="B82:E82"/>
    <mergeCell ref="B83:E83"/>
    <mergeCell ref="B87:E87"/>
    <mergeCell ref="B88:E88"/>
    <mergeCell ref="B89:E89"/>
    <mergeCell ref="B93:F93"/>
    <mergeCell ref="B94:F94"/>
    <mergeCell ref="B95:F95"/>
    <mergeCell ref="B99:E99"/>
    <mergeCell ref="B100:E100"/>
    <mergeCell ref="B101:E101"/>
    <mergeCell ref="B105:E105"/>
    <mergeCell ref="B106:E106"/>
    <mergeCell ref="B107:E107"/>
    <mergeCell ref="B111:E111"/>
    <mergeCell ref="B112:E112"/>
    <mergeCell ref="B113:E113"/>
    <mergeCell ref="B192:E192"/>
    <mergeCell ref="B193:E193"/>
    <mergeCell ref="B194:E194"/>
    <mergeCell ref="B202:E202"/>
    <mergeCell ref="B203:E203"/>
    <mergeCell ref="B204:E204"/>
    <mergeCell ref="B209:E209"/>
    <mergeCell ref="B240:E240"/>
    <mergeCell ref="B241:E241"/>
    <mergeCell ref="B242:E242"/>
    <mergeCell ref="B247:E247"/>
    <mergeCell ref="B248:E248"/>
    <mergeCell ref="B249:E249"/>
    <mergeCell ref="B255:E255"/>
    <mergeCell ref="B151:E151"/>
    <mergeCell ref="B152:E152"/>
    <mergeCell ref="B153:E153"/>
    <mergeCell ref="B166:E166"/>
    <mergeCell ref="B171:E171"/>
    <mergeCell ref="B172:E172"/>
    <mergeCell ref="B173:E173"/>
    <mergeCell ref="B177:E177"/>
    <mergeCell ref="B178:E178"/>
    <mergeCell ref="B179:E179"/>
    <mergeCell ref="B185:E185"/>
    <mergeCell ref="B186:E186"/>
    <mergeCell ref="B187:E187"/>
    <mergeCell ref="B256:E256"/>
    <mergeCell ref="B257:E257"/>
    <mergeCell ref="B261:E261"/>
    <mergeCell ref="B215:E215"/>
    <mergeCell ref="B216:E216"/>
    <mergeCell ref="B217:E217"/>
    <mergeCell ref="B221:E221"/>
    <mergeCell ref="B222:E222"/>
    <mergeCell ref="B223:E223"/>
    <mergeCell ref="B227:E227"/>
    <mergeCell ref="B228:E228"/>
    <mergeCell ref="B229:E229"/>
    <mergeCell ref="B234:E234"/>
    <mergeCell ref="B235:E235"/>
    <mergeCell ref="B236:E236"/>
    <mergeCell ref="B210:E210"/>
    <mergeCell ref="B211:E211"/>
    <mergeCell ref="B262:E262"/>
    <mergeCell ref="B263:E263"/>
    <mergeCell ref="B267:E267"/>
    <mergeCell ref="B268:E268"/>
    <mergeCell ref="B269:E269"/>
    <mergeCell ref="B273:E273"/>
    <mergeCell ref="B274:E274"/>
    <mergeCell ref="B275:E275"/>
    <mergeCell ref="B276:E276"/>
    <mergeCell ref="B279:E279"/>
    <mergeCell ref="B280:E280"/>
    <mergeCell ref="B281:E281"/>
    <mergeCell ref="B286:E286"/>
    <mergeCell ref="B287:E287"/>
    <mergeCell ref="B288:E288"/>
    <mergeCell ref="B292:E292"/>
    <mergeCell ref="B293:E293"/>
    <mergeCell ref="B294:E294"/>
    <mergeCell ref="B298:E298"/>
    <mergeCell ref="B299:E299"/>
    <mergeCell ref="B300:E300"/>
    <mergeCell ref="B304:E304"/>
    <mergeCell ref="B305:E305"/>
    <mergeCell ref="B306:E306"/>
    <mergeCell ref="B307:E307"/>
    <mergeCell ref="B311:E311"/>
    <mergeCell ref="B312:E312"/>
    <mergeCell ref="B313:E313"/>
    <mergeCell ref="B316:E316"/>
    <mergeCell ref="B324:E324"/>
    <mergeCell ref="B336:E336"/>
    <mergeCell ref="B338:E338"/>
    <mergeCell ref="B339:E339"/>
    <mergeCell ref="B340:E340"/>
    <mergeCell ref="B344:E344"/>
    <mergeCell ref="B345:E345"/>
    <mergeCell ref="B346:E346"/>
    <mergeCell ref="B350:E350"/>
    <mergeCell ref="B351:E351"/>
    <mergeCell ref="B352:E352"/>
    <mergeCell ref="B356:E356"/>
    <mergeCell ref="B357:E357"/>
    <mergeCell ref="B358:E358"/>
    <mergeCell ref="B362:E362"/>
    <mergeCell ref="B363:E363"/>
    <mergeCell ref="B364:E364"/>
    <mergeCell ref="B368:E368"/>
    <mergeCell ref="B369:E369"/>
    <mergeCell ref="B370:E370"/>
    <mergeCell ref="B374:E374"/>
    <mergeCell ref="B375:E375"/>
    <mergeCell ref="B376:E376"/>
    <mergeCell ref="B380:E380"/>
    <mergeCell ref="B381:E381"/>
    <mergeCell ref="B382:E382"/>
    <mergeCell ref="B386:E386"/>
    <mergeCell ref="B387:E387"/>
    <mergeCell ref="B388:E388"/>
    <mergeCell ref="B392:E392"/>
    <mergeCell ref="B393:E393"/>
    <mergeCell ref="B394:E394"/>
    <mergeCell ref="B400:E400"/>
    <mergeCell ref="B401:E401"/>
    <mergeCell ref="B402:E402"/>
    <mergeCell ref="B406:E406"/>
    <mergeCell ref="B407:E407"/>
    <mergeCell ref="B408:E408"/>
    <mergeCell ref="B413:E413"/>
    <mergeCell ref="B414:E414"/>
    <mergeCell ref="B415:E415"/>
    <mergeCell ref="B419:E419"/>
    <mergeCell ref="B420:E420"/>
    <mergeCell ref="B421:E421"/>
    <mergeCell ref="B425:E425"/>
    <mergeCell ref="B426:E426"/>
    <mergeCell ref="B427:E427"/>
    <mergeCell ref="B432:E432"/>
    <mergeCell ref="B433:E433"/>
    <mergeCell ref="B434:E434"/>
    <mergeCell ref="B439:E439"/>
    <mergeCell ref="B440:E440"/>
    <mergeCell ref="B441:E441"/>
    <mergeCell ref="B448:E448"/>
    <mergeCell ref="B449:E449"/>
    <mergeCell ref="B450:E450"/>
    <mergeCell ref="B454:E454"/>
    <mergeCell ref="B455:E455"/>
    <mergeCell ref="B456:E456"/>
    <mergeCell ref="B460:E460"/>
    <mergeCell ref="B461:E461"/>
    <mergeCell ref="B462:E462"/>
    <mergeCell ref="B466:E466"/>
    <mergeCell ref="B467:E467"/>
    <mergeCell ref="B468:E468"/>
    <mergeCell ref="B472:E472"/>
    <mergeCell ref="B563:E563"/>
    <mergeCell ref="B564:E564"/>
    <mergeCell ref="B568:E568"/>
    <mergeCell ref="B569:E569"/>
    <mergeCell ref="B570:E570"/>
    <mergeCell ref="B575:E575"/>
    <mergeCell ref="B576:E576"/>
    <mergeCell ref="B536:E536"/>
    <mergeCell ref="B537:E537"/>
    <mergeCell ref="B538:E538"/>
    <mergeCell ref="B544:E544"/>
    <mergeCell ref="B545:E545"/>
    <mergeCell ref="B546:E546"/>
    <mergeCell ref="B550:E550"/>
    <mergeCell ref="B551:E551"/>
    <mergeCell ref="B552:E552"/>
    <mergeCell ref="B556:E556"/>
    <mergeCell ref="B557:E557"/>
    <mergeCell ref="B558:E558"/>
    <mergeCell ref="B562:E562"/>
    <mergeCell ref="B512:E512"/>
    <mergeCell ref="B513:E513"/>
    <mergeCell ref="B757:E757"/>
    <mergeCell ref="B758:E758"/>
    <mergeCell ref="B759:E759"/>
    <mergeCell ref="B763:E763"/>
    <mergeCell ref="B764:E764"/>
    <mergeCell ref="B765:E765"/>
    <mergeCell ref="B770:E770"/>
    <mergeCell ref="B771:E771"/>
    <mergeCell ref="B772:E772"/>
    <mergeCell ref="B777:E777"/>
    <mergeCell ref="B778:E778"/>
    <mergeCell ref="B779:E779"/>
    <mergeCell ref="B784:E784"/>
    <mergeCell ref="B785:E785"/>
    <mergeCell ref="B786:E786"/>
    <mergeCell ref="B791:E791"/>
    <mergeCell ref="B792:E792"/>
    <mergeCell ref="B793:E793"/>
    <mergeCell ref="B800:E800"/>
    <mergeCell ref="B801:E801"/>
    <mergeCell ref="B802:E802"/>
    <mergeCell ref="B806:E806"/>
    <mergeCell ref="B807:E807"/>
    <mergeCell ref="B808:E808"/>
    <mergeCell ref="B812:E812"/>
    <mergeCell ref="B813:E813"/>
    <mergeCell ref="B814:E814"/>
    <mergeCell ref="B818:E818"/>
    <mergeCell ref="B819:E819"/>
    <mergeCell ref="B820:E820"/>
    <mergeCell ref="B826:E826"/>
    <mergeCell ref="B827:E827"/>
    <mergeCell ref="B828:E828"/>
    <mergeCell ref="F831:F837"/>
    <mergeCell ref="B838:E838"/>
    <mergeCell ref="B839:E839"/>
    <mergeCell ref="B840:E840"/>
    <mergeCell ref="B844:E844"/>
    <mergeCell ref="B845:E845"/>
    <mergeCell ref="B846:E846"/>
    <mergeCell ref="B851:E851"/>
    <mergeCell ref="B852:E852"/>
    <mergeCell ref="B853:E853"/>
    <mergeCell ref="B861:E861"/>
    <mergeCell ref="B862:E862"/>
    <mergeCell ref="B863:E863"/>
    <mergeCell ref="B867:E867"/>
    <mergeCell ref="B868:E868"/>
    <mergeCell ref="B869:E869"/>
    <mergeCell ref="B874:E874"/>
    <mergeCell ref="B875:E875"/>
    <mergeCell ref="B876:E876"/>
    <mergeCell ref="B880:E880"/>
    <mergeCell ref="B881:E881"/>
    <mergeCell ref="B882:E882"/>
    <mergeCell ref="B886:E886"/>
    <mergeCell ref="B887:E887"/>
    <mergeCell ref="B888:E888"/>
    <mergeCell ref="B892:E892"/>
    <mergeCell ref="B893:E893"/>
    <mergeCell ref="B894:E894"/>
    <mergeCell ref="B899:E899"/>
    <mergeCell ref="B900:E900"/>
    <mergeCell ref="B901:E901"/>
    <mergeCell ref="B905:E905"/>
    <mergeCell ref="B906:E906"/>
    <mergeCell ref="B907:E907"/>
    <mergeCell ref="B911:E911"/>
    <mergeCell ref="B912:E912"/>
    <mergeCell ref="B913:E913"/>
    <mergeCell ref="B921:E921"/>
    <mergeCell ref="B922:E922"/>
    <mergeCell ref="B927:E927"/>
    <mergeCell ref="B928:E928"/>
    <mergeCell ref="B929:E929"/>
    <mergeCell ref="B933:E933"/>
    <mergeCell ref="B934:E934"/>
    <mergeCell ref="B935:E935"/>
    <mergeCell ref="B939:E939"/>
    <mergeCell ref="B940:E940"/>
    <mergeCell ref="B941:E941"/>
    <mergeCell ref="B945:E945"/>
    <mergeCell ref="B946:E946"/>
    <mergeCell ref="B947:E947"/>
    <mergeCell ref="B951:E951"/>
    <mergeCell ref="B952:E952"/>
    <mergeCell ref="B953:E953"/>
    <mergeCell ref="B958:E958"/>
    <mergeCell ref="B1053:E1053"/>
    <mergeCell ref="B1054:E1054"/>
    <mergeCell ref="B1058:E1058"/>
    <mergeCell ref="B1059:E1059"/>
    <mergeCell ref="B1060:E1060"/>
    <mergeCell ref="B1065:E1065"/>
    <mergeCell ref="B1066:E1066"/>
    <mergeCell ref="B1067:E1067"/>
    <mergeCell ref="B1071:E1071"/>
    <mergeCell ref="B1072:E1072"/>
    <mergeCell ref="B1073:E1073"/>
    <mergeCell ref="B1077:E1077"/>
    <mergeCell ref="B1078:E1078"/>
    <mergeCell ref="B1079:E1079"/>
    <mergeCell ref="B999:E999"/>
    <mergeCell ref="B1003:E1003"/>
    <mergeCell ref="B1004:E1004"/>
    <mergeCell ref="B1005:E1005"/>
    <mergeCell ref="B1043:E1043"/>
    <mergeCell ref="B1044:E1044"/>
    <mergeCell ref="B1045:E1045"/>
    <mergeCell ref="B1083:E1083"/>
    <mergeCell ref="B1084:E1084"/>
    <mergeCell ref="B1085:E1085"/>
    <mergeCell ref="B1094:E1094"/>
    <mergeCell ref="B1095:E1095"/>
    <mergeCell ref="B1096:E1096"/>
    <mergeCell ref="B1100:E1100"/>
    <mergeCell ref="B1101:E1101"/>
    <mergeCell ref="B1102:E1102"/>
    <mergeCell ref="B1110:E1110"/>
    <mergeCell ref="B1111:E1111"/>
    <mergeCell ref="B1115:E1115"/>
    <mergeCell ref="B1116:E1116"/>
    <mergeCell ref="B1117:E1117"/>
    <mergeCell ref="B959:E959"/>
    <mergeCell ref="B960:E960"/>
    <mergeCell ref="B964:E964"/>
    <mergeCell ref="B965:E965"/>
    <mergeCell ref="B966:E966"/>
    <mergeCell ref="B971:E971"/>
    <mergeCell ref="B972:E972"/>
    <mergeCell ref="B973:E973"/>
    <mergeCell ref="B981:E981"/>
    <mergeCell ref="B982:E982"/>
    <mergeCell ref="B983:E983"/>
    <mergeCell ref="B984:E984"/>
    <mergeCell ref="B985:E985"/>
    <mergeCell ref="B989:E989"/>
    <mergeCell ref="B990:E990"/>
    <mergeCell ref="B991:E991"/>
    <mergeCell ref="B997:E997"/>
    <mergeCell ref="B998:E998"/>
    <mergeCell ref="A1008:A1014"/>
    <mergeCell ref="C1008:C1014"/>
    <mergeCell ref="D1008:D1014"/>
    <mergeCell ref="E1008:E1014"/>
    <mergeCell ref="F1008:F1014"/>
    <mergeCell ref="B1015:E1015"/>
    <mergeCell ref="B1016:E1016"/>
    <mergeCell ref="B1017:E1017"/>
    <mergeCell ref="B1023:E1023"/>
    <mergeCell ref="B1024:E1024"/>
    <mergeCell ref="B1025:E1025"/>
    <mergeCell ref="B1029:E1029"/>
    <mergeCell ref="B1030:E1030"/>
    <mergeCell ref="B1031:E1031"/>
    <mergeCell ref="B1036:E1036"/>
    <mergeCell ref="B1037:E1037"/>
    <mergeCell ref="B1038:E1038"/>
    <mergeCell ref="B1121:E1121"/>
    <mergeCell ref="B1122:E1122"/>
    <mergeCell ref="B1123:E1123"/>
    <mergeCell ref="B1128:E1128"/>
    <mergeCell ref="B1129:E1129"/>
    <mergeCell ref="B1130:E1130"/>
    <mergeCell ref="B1134:E1134"/>
    <mergeCell ref="B1245:E1245"/>
    <mergeCell ref="B1246:E1246"/>
    <mergeCell ref="B1250:E1250"/>
    <mergeCell ref="B1251:E1251"/>
    <mergeCell ref="B1252:E1252"/>
    <mergeCell ref="B1256:E1256"/>
    <mergeCell ref="B1257:E1257"/>
    <mergeCell ref="B1258:E1258"/>
    <mergeCell ref="B1262:E1262"/>
    <mergeCell ref="B1263:E1263"/>
    <mergeCell ref="B1217:E1217"/>
    <mergeCell ref="B1218:E1218"/>
    <mergeCell ref="B1222:E1222"/>
    <mergeCell ref="B1223:E1223"/>
    <mergeCell ref="B1224:E1224"/>
    <mergeCell ref="B1228:E1228"/>
    <mergeCell ref="B1229:E1229"/>
    <mergeCell ref="B1230:E1230"/>
    <mergeCell ref="B1235:E1235"/>
    <mergeCell ref="B1236:E1236"/>
    <mergeCell ref="B1237:E1237"/>
    <mergeCell ref="B1264:E1264"/>
    <mergeCell ref="B1268:E1268"/>
    <mergeCell ref="B1269:E1269"/>
    <mergeCell ref="B1270:E1270"/>
    <mergeCell ref="B1278:E1278"/>
    <mergeCell ref="B1279:E1279"/>
    <mergeCell ref="B1284:E1284"/>
    <mergeCell ref="B1285:E1285"/>
    <mergeCell ref="B1286:E1286"/>
    <mergeCell ref="B1291:E1291"/>
    <mergeCell ref="B1292:E1292"/>
    <mergeCell ref="B1293:E1293"/>
    <mergeCell ref="B1297:E1297"/>
    <mergeCell ref="B1298:E1298"/>
    <mergeCell ref="B1299:E1299"/>
    <mergeCell ref="B1303:E1303"/>
    <mergeCell ref="B1304:E1304"/>
    <mergeCell ref="B1305:E1305"/>
    <mergeCell ref="B1135:E1135"/>
    <mergeCell ref="B1136:E1136"/>
    <mergeCell ref="B1140:E1140"/>
    <mergeCell ref="B1141:E1141"/>
    <mergeCell ref="B1142:E1142"/>
    <mergeCell ref="B1146:E1146"/>
    <mergeCell ref="B1147:E1147"/>
    <mergeCell ref="B1148:E1148"/>
    <mergeCell ref="B1154:E1154"/>
    <mergeCell ref="B1155:E1155"/>
    <mergeCell ref="B1156:E1156"/>
    <mergeCell ref="B1165:E1165"/>
    <mergeCell ref="B1166:E1166"/>
    <mergeCell ref="B1167:E1167"/>
    <mergeCell ref="B1175:E1175"/>
    <mergeCell ref="B1176:E1176"/>
    <mergeCell ref="B1180:E1180"/>
    <mergeCell ref="B1181:E1181"/>
    <mergeCell ref="B1182:E1182"/>
    <mergeCell ref="B1187:E1187"/>
    <mergeCell ref="B1188:E1188"/>
    <mergeCell ref="B1189:E1189"/>
    <mergeCell ref="B1194:E1194"/>
    <mergeCell ref="B1195:E1195"/>
    <mergeCell ref="B1196:E1196"/>
    <mergeCell ref="B1208:E1208"/>
    <mergeCell ref="B1209:E1209"/>
    <mergeCell ref="B1210:E1210"/>
    <mergeCell ref="B1211:E1211"/>
    <mergeCell ref="B1212:E1212"/>
    <mergeCell ref="B1216:E1216"/>
    <mergeCell ref="B1309:E1309"/>
    <mergeCell ref="B1310:E1310"/>
    <mergeCell ref="B1311:E1311"/>
    <mergeCell ref="B1316:E1316"/>
    <mergeCell ref="B1317:E1317"/>
    <mergeCell ref="B1318:E1318"/>
    <mergeCell ref="B1331:E1331"/>
    <mergeCell ref="B1931:E1931"/>
    <mergeCell ref="B1932:E1932"/>
    <mergeCell ref="B1937:E1937"/>
    <mergeCell ref="B1938:E1938"/>
    <mergeCell ref="B1939:E1939"/>
    <mergeCell ref="B1945:E1945"/>
    <mergeCell ref="B1946:E1946"/>
    <mergeCell ref="B1947:E1947"/>
    <mergeCell ref="B1951:E1951"/>
    <mergeCell ref="B1952:E1952"/>
    <mergeCell ref="B1897:E1897"/>
    <mergeCell ref="B1902:E1902"/>
    <mergeCell ref="B1903:E1903"/>
    <mergeCell ref="B1904:E1904"/>
    <mergeCell ref="B1908:E1908"/>
    <mergeCell ref="B1909:E1909"/>
    <mergeCell ref="B1910:E1910"/>
    <mergeCell ref="B1914:E1914"/>
    <mergeCell ref="B1915:E1915"/>
    <mergeCell ref="B1916:E1916"/>
    <mergeCell ref="B1920:E1920"/>
    <mergeCell ref="B1921:E1921"/>
    <mergeCell ref="B1922:E1922"/>
    <mergeCell ref="B1930:E1930"/>
    <mergeCell ref="B1332:E1332"/>
    <mergeCell ref="B1953:E1953"/>
    <mergeCell ref="B1957:E1957"/>
    <mergeCell ref="B1958:E1958"/>
    <mergeCell ref="B1959:E1959"/>
    <mergeCell ref="B1832:E1832"/>
    <mergeCell ref="B1833:E1833"/>
    <mergeCell ref="B1837:E1837"/>
    <mergeCell ref="B1838:E1838"/>
    <mergeCell ref="B1839:E1839"/>
    <mergeCell ref="B1847:E1847"/>
    <mergeCell ref="B1848:E1848"/>
    <mergeCell ref="B1849:E1849"/>
    <mergeCell ref="B1853:E1853"/>
    <mergeCell ref="B1854:E1854"/>
    <mergeCell ref="B1855:E1855"/>
    <mergeCell ref="B1859:E1859"/>
    <mergeCell ref="B1860:E1860"/>
    <mergeCell ref="B1861:E1861"/>
    <mergeCell ref="B1866:E1866"/>
    <mergeCell ref="B1867:E1867"/>
    <mergeCell ref="B1868:E1868"/>
    <mergeCell ref="B1874:E1874"/>
    <mergeCell ref="B1875:E1875"/>
    <mergeCell ref="B1876:E1876"/>
    <mergeCell ref="B1880:E1880"/>
    <mergeCell ref="B1881:E1881"/>
    <mergeCell ref="B1882:E1882"/>
    <mergeCell ref="B1887:E1887"/>
    <mergeCell ref="B1888:E1888"/>
    <mergeCell ref="B1889:E1889"/>
    <mergeCell ref="B1895:E1895"/>
    <mergeCell ref="B1896:E1896"/>
    <mergeCell ref="B1965:E1965"/>
    <mergeCell ref="B1966:E1966"/>
    <mergeCell ref="B1967:E1967"/>
    <mergeCell ref="B1975:E1975"/>
    <mergeCell ref="B1976:E1976"/>
    <mergeCell ref="B1977:E1977"/>
    <mergeCell ref="B1982:E1982"/>
    <mergeCell ref="B2138:E2138"/>
    <mergeCell ref="B2139:E2139"/>
    <mergeCell ref="B2140:E2140"/>
    <mergeCell ref="B2145:E2145"/>
    <mergeCell ref="B2146:E2146"/>
    <mergeCell ref="B2147:E2147"/>
    <mergeCell ref="B2159:E2159"/>
    <mergeCell ref="B2160:E2160"/>
    <mergeCell ref="B2161:E2161"/>
    <mergeCell ref="B2165:E2165"/>
    <mergeCell ref="B2082:E2082"/>
    <mergeCell ref="B2083:E2083"/>
    <mergeCell ref="B2099:E2099"/>
    <mergeCell ref="B2100:E2100"/>
    <mergeCell ref="B2101:E2101"/>
    <mergeCell ref="B2102:E2102"/>
    <mergeCell ref="B2108:E2108"/>
    <mergeCell ref="B2109:E2109"/>
    <mergeCell ref="B2110:E2110"/>
    <mergeCell ref="B2121:E2121"/>
    <mergeCell ref="B2122:E2122"/>
    <mergeCell ref="B2123:E2123"/>
    <mergeCell ref="B2131:E2131"/>
    <mergeCell ref="B2132:E2132"/>
    <mergeCell ref="B2166:E2166"/>
    <mergeCell ref="B2167:E2167"/>
    <mergeCell ref="B2168:E2168"/>
    <mergeCell ref="B2169:E2169"/>
    <mergeCell ref="B1983:E1983"/>
    <mergeCell ref="B1984:E1984"/>
    <mergeCell ref="B2029:E2029"/>
    <mergeCell ref="B2030:E2030"/>
    <mergeCell ref="B2031:E2031"/>
    <mergeCell ref="B2032:E2032"/>
    <mergeCell ref="B2033:E2033"/>
    <mergeCell ref="B2034:E2034"/>
    <mergeCell ref="B2038:E2038"/>
    <mergeCell ref="B2039:E2039"/>
    <mergeCell ref="B2040:E2040"/>
    <mergeCell ref="B2041:E2041"/>
    <mergeCell ref="B2045:E2045"/>
    <mergeCell ref="B2046:E2046"/>
    <mergeCell ref="B2047:E2047"/>
    <mergeCell ref="B2055:E2055"/>
    <mergeCell ref="B2056:E2056"/>
    <mergeCell ref="B2057:E2057"/>
    <mergeCell ref="B2062:E2062"/>
    <mergeCell ref="B2063:E2063"/>
    <mergeCell ref="B2064:E2064"/>
    <mergeCell ref="B2069:E2069"/>
    <mergeCell ref="B2070:E2070"/>
    <mergeCell ref="B2071:E2071"/>
    <mergeCell ref="B2075:E2075"/>
    <mergeCell ref="B2076:E2076"/>
    <mergeCell ref="B2077:E2077"/>
    <mergeCell ref="B2081:E2081"/>
    <mergeCell ref="B2173:E2173"/>
    <mergeCell ref="B2174:E2174"/>
    <mergeCell ref="B2175:E2175"/>
    <mergeCell ref="B2180:E2180"/>
    <mergeCell ref="B2181:E2181"/>
    <mergeCell ref="B2182:E2182"/>
    <mergeCell ref="B2186:E2186"/>
    <mergeCell ref="B2187:E2187"/>
    <mergeCell ref="B2188:E2188"/>
    <mergeCell ref="B2192:E2192"/>
    <mergeCell ref="B2193:E2193"/>
    <mergeCell ref="B2194:E2194"/>
    <mergeCell ref="B2200:E2200"/>
    <mergeCell ref="B2201:E2201"/>
    <mergeCell ref="B2202:E2202"/>
    <mergeCell ref="B2206:E2206"/>
    <mergeCell ref="B2207:E2207"/>
    <mergeCell ref="B2208:E2208"/>
    <mergeCell ref="B2212:E2212"/>
    <mergeCell ref="B2213:E2213"/>
    <mergeCell ref="B2214:E2214"/>
    <mergeCell ref="B2218:E2218"/>
    <mergeCell ref="B2219:E2219"/>
    <mergeCell ref="B2220:E2220"/>
    <mergeCell ref="B2225:E2225"/>
    <mergeCell ref="B2226:E2226"/>
    <mergeCell ref="B2227:E2227"/>
    <mergeCell ref="B2231:E2231"/>
    <mergeCell ref="B2232:E2232"/>
    <mergeCell ref="B2233:E2233"/>
    <mergeCell ref="B2234:E2234"/>
    <mergeCell ref="B2239:E2239"/>
    <mergeCell ref="B2240:E2240"/>
    <mergeCell ref="B2241:E2241"/>
    <mergeCell ref="B2242:E2242"/>
    <mergeCell ref="B2243:E2243"/>
    <mergeCell ref="B2248:E2248"/>
    <mergeCell ref="B2249:E2249"/>
    <mergeCell ref="B2250:E2250"/>
    <mergeCell ref="B2254:E2254"/>
    <mergeCell ref="B2255:E2255"/>
    <mergeCell ref="B2256:E2256"/>
    <mergeCell ref="B2261:E2261"/>
    <mergeCell ref="B2262:E2262"/>
    <mergeCell ref="B2263:E2263"/>
    <mergeCell ref="B2267:E2267"/>
    <mergeCell ref="B2268:E2268"/>
    <mergeCell ref="B2269:E2269"/>
    <mergeCell ref="B2273:E2273"/>
    <mergeCell ref="B2274:E2274"/>
    <mergeCell ref="B2275:E2275"/>
    <mergeCell ref="B2279:E2279"/>
    <mergeCell ref="B2280:E2280"/>
    <mergeCell ref="B2281:E2281"/>
    <mergeCell ref="B2282:E2282"/>
    <mergeCell ref="B2283:E2283"/>
    <mergeCell ref="B2289:E2289"/>
    <mergeCell ref="B2290:E2290"/>
    <mergeCell ref="B2291:E2291"/>
    <mergeCell ref="B2292:E2292"/>
    <mergeCell ref="B2293:E2293"/>
    <mergeCell ref="B2299:E2299"/>
    <mergeCell ref="B2300:E2300"/>
    <mergeCell ref="B2301:E2301"/>
    <mergeCell ref="B2305:E2305"/>
    <mergeCell ref="B2306:E2306"/>
    <mergeCell ref="B2307:E2307"/>
    <mergeCell ref="B2308:E2308"/>
    <mergeCell ref="B2374:E2374"/>
    <mergeCell ref="B2375:E2375"/>
    <mergeCell ref="B2376:E2376"/>
    <mergeCell ref="B2309:E2309"/>
    <mergeCell ref="B2314:E2314"/>
    <mergeCell ref="B2315:E2315"/>
    <mergeCell ref="B2316:E2316"/>
    <mergeCell ref="B2317:E2317"/>
    <mergeCell ref="B2318:E2318"/>
    <mergeCell ref="B2319:E2319"/>
    <mergeCell ref="B2323:E2323"/>
    <mergeCell ref="B2324:E2324"/>
    <mergeCell ref="B2325:E2325"/>
    <mergeCell ref="B2330:E2330"/>
    <mergeCell ref="B2331:E2331"/>
    <mergeCell ref="B2332:E2332"/>
    <mergeCell ref="B2337:E2337"/>
    <mergeCell ref="B2338:E2338"/>
    <mergeCell ref="B2339:E2339"/>
    <mergeCell ref="B2343:E2343"/>
    <mergeCell ref="B1427:E1427"/>
    <mergeCell ref="B1428:E1428"/>
    <mergeCell ref="B1437:E1437"/>
    <mergeCell ref="B1438:E1438"/>
    <mergeCell ref="B1439:E1439"/>
    <mergeCell ref="B1444:E1444"/>
    <mergeCell ref="B1445:E1445"/>
    <mergeCell ref="B1446:E1446"/>
    <mergeCell ref="B1454:E1454"/>
    <mergeCell ref="B1455:E1455"/>
    <mergeCell ref="B1456:E1456"/>
    <mergeCell ref="B1461:E1461"/>
    <mergeCell ref="B1462:E1462"/>
    <mergeCell ref="B1463:E1463"/>
    <mergeCell ref="B1579:E1579"/>
    <mergeCell ref="B1580:E1580"/>
    <mergeCell ref="B1584:E1584"/>
    <mergeCell ref="B1512:E1512"/>
    <mergeCell ref="B1513:E1513"/>
    <mergeCell ref="B1521:E1521"/>
    <mergeCell ref="B1522:E1522"/>
    <mergeCell ref="B1523:E1523"/>
    <mergeCell ref="B1528:E1528"/>
    <mergeCell ref="B1529:E1529"/>
    <mergeCell ref="B1530:E1530"/>
    <mergeCell ref="B1534:E1534"/>
    <mergeCell ref="B1535:E1535"/>
    <mergeCell ref="B1536:E1536"/>
    <mergeCell ref="B1540:E1540"/>
    <mergeCell ref="B1541:E1541"/>
    <mergeCell ref="B1542:E1542"/>
    <mergeCell ref="B1546:E1546"/>
    <mergeCell ref="B1333:E1333"/>
    <mergeCell ref="B1337:E1337"/>
    <mergeCell ref="B1338:E1338"/>
    <mergeCell ref="B1339:E1339"/>
    <mergeCell ref="B1343:E1343"/>
    <mergeCell ref="B1344:E1344"/>
    <mergeCell ref="B1345:E1345"/>
    <mergeCell ref="B1349:E1349"/>
    <mergeCell ref="B1350:E1350"/>
    <mergeCell ref="B1351:E1351"/>
    <mergeCell ref="B1355:E1355"/>
    <mergeCell ref="B1359:E1359"/>
    <mergeCell ref="B1360:E1360"/>
    <mergeCell ref="B1361:E1361"/>
    <mergeCell ref="B1365:E1365"/>
    <mergeCell ref="B1366:E1366"/>
    <mergeCell ref="B1367:E1367"/>
    <mergeCell ref="B1371:E1371"/>
    <mergeCell ref="B1372:E1372"/>
    <mergeCell ref="B1373:E1373"/>
    <mergeCell ref="B1379:E1379"/>
    <mergeCell ref="B1380:E1380"/>
    <mergeCell ref="B1381:E1381"/>
    <mergeCell ref="B1385:E1385"/>
    <mergeCell ref="B1386:E1386"/>
    <mergeCell ref="B1387:E1387"/>
    <mergeCell ref="B1393:E1393"/>
    <mergeCell ref="B1394:E1394"/>
    <mergeCell ref="B1395:E1395"/>
    <mergeCell ref="B1399:E1399"/>
    <mergeCell ref="B1400:E1400"/>
    <mergeCell ref="B1401:E1401"/>
    <mergeCell ref="B1405:E1405"/>
    <mergeCell ref="B1406:E1406"/>
    <mergeCell ref="B1407:E1407"/>
    <mergeCell ref="B1411:E1411"/>
    <mergeCell ref="B1412:E1412"/>
    <mergeCell ref="B1413:E1413"/>
    <mergeCell ref="B1421:E1421"/>
    <mergeCell ref="B1422:E1422"/>
    <mergeCell ref="B1426:E1426"/>
    <mergeCell ref="B1468:E1468"/>
    <mergeCell ref="B1469:E1469"/>
    <mergeCell ref="B1470:E1470"/>
    <mergeCell ref="B1474:E1474"/>
    <mergeCell ref="B1475:E1475"/>
    <mergeCell ref="B1476:E1476"/>
    <mergeCell ref="B1480:E1480"/>
    <mergeCell ref="B1571:E1571"/>
    <mergeCell ref="B1572:E1572"/>
    <mergeCell ref="B1578:E1578"/>
    <mergeCell ref="B1481:E1481"/>
    <mergeCell ref="B1482:E1482"/>
    <mergeCell ref="B1486:E1486"/>
    <mergeCell ref="B1487:E1487"/>
    <mergeCell ref="B1488:E1488"/>
    <mergeCell ref="B1492:E1492"/>
    <mergeCell ref="B1493:E1493"/>
    <mergeCell ref="B1494:E1494"/>
    <mergeCell ref="B1499:E1499"/>
    <mergeCell ref="B1500:E1500"/>
    <mergeCell ref="B1501:E1501"/>
    <mergeCell ref="B1505:E1505"/>
    <mergeCell ref="B1506:E1506"/>
    <mergeCell ref="B1507:E1507"/>
    <mergeCell ref="B1511:E1511"/>
    <mergeCell ref="B1547:E1547"/>
    <mergeCell ref="B1548:E1548"/>
    <mergeCell ref="B1552:E1552"/>
    <mergeCell ref="B1553:E1553"/>
    <mergeCell ref="B1554:E1554"/>
    <mergeCell ref="B1558:E1558"/>
    <mergeCell ref="B1647:E1647"/>
    <mergeCell ref="B1674:E1674"/>
    <mergeCell ref="B1675:E1675"/>
    <mergeCell ref="B1676:E1676"/>
    <mergeCell ref="B1680:E1680"/>
    <mergeCell ref="B1681:E1681"/>
    <mergeCell ref="B1682:E1682"/>
    <mergeCell ref="B1688:E1688"/>
    <mergeCell ref="B1689:E1689"/>
    <mergeCell ref="B1690:E1690"/>
    <mergeCell ref="B1710:E1710"/>
    <mergeCell ref="B1695:E1695"/>
    <mergeCell ref="B1696:E1696"/>
    <mergeCell ref="B1720:E1720"/>
    <mergeCell ref="B1721:E1721"/>
    <mergeCell ref="B1722:E1722"/>
    <mergeCell ref="B1559:E1559"/>
    <mergeCell ref="B1560:E1560"/>
    <mergeCell ref="B1564:E1564"/>
    <mergeCell ref="B1565:E1565"/>
    <mergeCell ref="B1566:E1566"/>
    <mergeCell ref="B1570:E1570"/>
    <mergeCell ref="B1620:E1620"/>
    <mergeCell ref="B1621:E1621"/>
    <mergeCell ref="B1622:E1622"/>
    <mergeCell ref="B1626:E1626"/>
    <mergeCell ref="B1627:E1627"/>
    <mergeCell ref="B1628:E1628"/>
    <mergeCell ref="B1638:E1638"/>
    <mergeCell ref="B1639:E1639"/>
    <mergeCell ref="B1640:E1640"/>
    <mergeCell ref="B1645:E1645"/>
    <mergeCell ref="B1646:E1646"/>
    <mergeCell ref="B1585:E1585"/>
    <mergeCell ref="B1586:E1586"/>
    <mergeCell ref="B1592:E1592"/>
    <mergeCell ref="B1593:E1593"/>
    <mergeCell ref="B1594:E1594"/>
    <mergeCell ref="B1598:E1598"/>
    <mergeCell ref="B1599:E1599"/>
    <mergeCell ref="B1600:E1600"/>
    <mergeCell ref="B1694:E1694"/>
    <mergeCell ref="B1742:E1742"/>
    <mergeCell ref="B1747:E1747"/>
    <mergeCell ref="B1748:E1748"/>
    <mergeCell ref="B1749:E1749"/>
    <mergeCell ref="B1754:E1754"/>
    <mergeCell ref="B1817:E1817"/>
    <mergeCell ref="B1818:E1818"/>
    <mergeCell ref="B1819:E1819"/>
    <mergeCell ref="B1825:E1825"/>
    <mergeCell ref="B1826:E1826"/>
    <mergeCell ref="B1827:E1827"/>
    <mergeCell ref="B1831:E1831"/>
    <mergeCell ref="B2391:E2391"/>
    <mergeCell ref="B2392:E2392"/>
    <mergeCell ref="B1702:E1702"/>
    <mergeCell ref="B1703:E1703"/>
    <mergeCell ref="B1704:E1704"/>
    <mergeCell ref="B1708:E1708"/>
    <mergeCell ref="B1709:E1709"/>
    <mergeCell ref="B1726:E1726"/>
    <mergeCell ref="B1727:E1727"/>
    <mergeCell ref="B1728:E1728"/>
    <mergeCell ref="B1734:E1734"/>
    <mergeCell ref="B1735:E1735"/>
    <mergeCell ref="B1736:E1736"/>
    <mergeCell ref="B1740:E1740"/>
    <mergeCell ref="B1741:E1741"/>
    <mergeCell ref="B2382:E2382"/>
    <mergeCell ref="B2383:E2383"/>
    <mergeCell ref="B1714:E1714"/>
    <mergeCell ref="B1715:E1715"/>
    <mergeCell ref="B1716:E1716"/>
    <mergeCell ref="B2393:E2393"/>
    <mergeCell ref="B2399:E2399"/>
    <mergeCell ref="B2400:E2400"/>
    <mergeCell ref="B1764:E1764"/>
    <mergeCell ref="B1778:E1778"/>
    <mergeCell ref="B1779:E1779"/>
    <mergeCell ref="B1780:E1780"/>
    <mergeCell ref="B1793:E1793"/>
    <mergeCell ref="B1794:E1794"/>
    <mergeCell ref="B1795:E1795"/>
    <mergeCell ref="B1809:E1809"/>
    <mergeCell ref="B1810:E1810"/>
    <mergeCell ref="B1811:E1811"/>
    <mergeCell ref="B1755:E1755"/>
    <mergeCell ref="B1756:E1756"/>
    <mergeCell ref="B1762:E1762"/>
    <mergeCell ref="B1763:E1763"/>
    <mergeCell ref="B2381:E2381"/>
    <mergeCell ref="B2344:E2344"/>
    <mergeCell ref="B2345:E2345"/>
    <mergeCell ref="B2349:E2349"/>
    <mergeCell ref="B2350:E2350"/>
    <mergeCell ref="B2351:E2351"/>
    <mergeCell ref="B2355:E2355"/>
    <mergeCell ref="B2356:E2356"/>
    <mergeCell ref="B2357:E2357"/>
    <mergeCell ref="B2361:E2361"/>
    <mergeCell ref="B2362:E2362"/>
    <mergeCell ref="B2363:E2363"/>
    <mergeCell ref="B2368:E2368"/>
    <mergeCell ref="B2369:E2369"/>
    <mergeCell ref="B2370:E2370"/>
    <mergeCell ref="B2401:E2401"/>
    <mergeCell ref="B2405:E2405"/>
    <mergeCell ref="B2406:E2406"/>
    <mergeCell ref="B2407:E2407"/>
    <mergeCell ref="B2412:E2412"/>
    <mergeCell ref="B2413:E2413"/>
    <mergeCell ref="B2414:E2414"/>
    <mergeCell ref="B2418:E2418"/>
    <mergeCell ref="B2419:E2419"/>
    <mergeCell ref="B2420:E2420"/>
    <mergeCell ref="B2426:E2426"/>
    <mergeCell ref="B2427:E2427"/>
    <mergeCell ref="B2428:E2428"/>
    <mergeCell ref="B2437:E2437"/>
    <mergeCell ref="B2438:E2438"/>
    <mergeCell ref="B2439:E2439"/>
    <mergeCell ref="B2443:E2443"/>
    <mergeCell ref="B2499:E2499"/>
    <mergeCell ref="B2500:E2500"/>
    <mergeCell ref="B2501:E2501"/>
    <mergeCell ref="B2505:E2505"/>
    <mergeCell ref="B2506:E2506"/>
    <mergeCell ref="B2507:E2507"/>
    <mergeCell ref="B2511:E2511"/>
    <mergeCell ref="B2512:E2512"/>
    <mergeCell ref="B2513:E2513"/>
    <mergeCell ref="B2517:E2517"/>
    <mergeCell ref="B2444:E2444"/>
    <mergeCell ref="B2445:E2445"/>
    <mergeCell ref="B2449:E2449"/>
    <mergeCell ref="B2450:E2450"/>
    <mergeCell ref="B2451:E2451"/>
    <mergeCell ref="B2457:E2457"/>
    <mergeCell ref="B2458:E2458"/>
    <mergeCell ref="B2459:E2459"/>
    <mergeCell ref="B2465:E2465"/>
    <mergeCell ref="B2466:E2466"/>
    <mergeCell ref="B2467:E2467"/>
    <mergeCell ref="B2471:E2471"/>
    <mergeCell ref="B2472:E2472"/>
    <mergeCell ref="B2473:E2473"/>
    <mergeCell ref="B2491:E2491"/>
    <mergeCell ref="B2492:E2492"/>
    <mergeCell ref="B2493:E2493"/>
  </mergeCells>
  <hyperlinks>
    <hyperlink ref="L5478" r:id="rId1" xr:uid="{00000000-0004-0000-0500-000000000000}"/>
    <hyperlink ref="L5606" r:id="rId2" xr:uid="{00000000-0004-0000-0500-000001000000}"/>
  </hyperlinks>
  <pageMargins left="0.7" right="0.7" top="0.75" bottom="0.75" header="0" footer="0"/>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Z1000"/>
  <sheetViews>
    <sheetView workbookViewId="0">
      <selection activeCell="B15" sqref="B15"/>
    </sheetView>
  </sheetViews>
  <sheetFormatPr defaultColWidth="14.42578125" defaultRowHeight="15" customHeight="1" x14ac:dyDescent="0.25"/>
  <cols>
    <col min="1" max="1" width="3.5703125" style="268" customWidth="1"/>
    <col min="2" max="2" width="62" style="268" customWidth="1"/>
    <col min="3" max="3" width="10" style="268" customWidth="1"/>
    <col min="4" max="4" width="26.5703125" style="268" customWidth="1"/>
    <col min="5" max="26" width="8.7109375" style="268" customWidth="1"/>
    <col min="27" max="16384" width="14.42578125" style="268"/>
  </cols>
  <sheetData>
    <row r="1" spans="1:26" x14ac:dyDescent="0.25">
      <c r="A1" s="360" t="s">
        <v>0</v>
      </c>
      <c r="B1" s="361"/>
      <c r="C1" s="365" t="s">
        <v>1</v>
      </c>
      <c r="D1" s="361"/>
      <c r="F1" s="269" t="s">
        <v>2</v>
      </c>
      <c r="G1" s="365"/>
      <c r="H1" s="361"/>
      <c r="I1" s="361"/>
    </row>
    <row r="2" spans="1:26" x14ac:dyDescent="0.25">
      <c r="A2" s="365" t="s">
        <v>44</v>
      </c>
      <c r="B2" s="361"/>
      <c r="C2" s="366" t="s">
        <v>5</v>
      </c>
      <c r="D2" s="361"/>
      <c r="F2" s="270">
        <v>783</v>
      </c>
      <c r="G2" s="366" t="str">
        <f>IF('DAFTAR NO DO'!C:C='DO LAMA'!$F$2,"&lt;-- NOMOR SUDAH DIPAKAI!","&lt;--NOMOR BELUM DIPAKAI!")</f>
        <v>&lt;--NOMOR BELUM DIPAKAI!</v>
      </c>
      <c r="H2" s="361"/>
      <c r="I2" s="361"/>
    </row>
    <row r="3" spans="1:26" x14ac:dyDescent="0.25">
      <c r="A3" s="361" t="str">
        <f>IF(A2&lt;&gt;"",VLOOKUP($A$2,'Daftar PT'!A1:C29,2,0),"")</f>
        <v>Jl. Pulau Bawean, KIM II Kec.Percut Sei Tuan</v>
      </c>
      <c r="B3" s="361"/>
      <c r="C3" s="360" t="s">
        <v>6</v>
      </c>
      <c r="D3" s="361"/>
      <c r="E3" s="267"/>
      <c r="G3" s="360"/>
      <c r="H3" s="361"/>
      <c r="I3" s="361"/>
    </row>
    <row r="4" spans="1:26" x14ac:dyDescent="0.25">
      <c r="A4" s="361" t="str">
        <f>IF(A2&lt;&gt;"",VLOOKUP($A$2,'Daftar PT'!A1:C29,3,0),"")</f>
        <v>Medan - Indonesia</v>
      </c>
      <c r="B4" s="361"/>
      <c r="C4" s="3" t="s">
        <v>2199</v>
      </c>
      <c r="D4" s="271" t="str">
        <f>F2&amp;"/DO/API/"&amp;TEXT(D5,"mm")&amp;"/"&amp;TEXT(D5,"yy")</f>
        <v>783/DO/API/05/24</v>
      </c>
      <c r="E4" s="267"/>
      <c r="G4" s="360"/>
      <c r="H4" s="361"/>
      <c r="I4" s="361"/>
    </row>
    <row r="5" spans="1:26" x14ac:dyDescent="0.25">
      <c r="A5" s="259"/>
      <c r="B5" s="259"/>
      <c r="C5" s="3" t="s">
        <v>2200</v>
      </c>
      <c r="D5" s="272">
        <v>45414</v>
      </c>
      <c r="E5" s="267"/>
      <c r="F5" s="360"/>
      <c r="G5" s="361"/>
      <c r="H5" s="361"/>
    </row>
    <row r="6" spans="1:26" x14ac:dyDescent="0.25">
      <c r="A6" s="273"/>
      <c r="B6" s="273"/>
      <c r="C6" s="3" t="s">
        <v>2201</v>
      </c>
      <c r="D6" s="271">
        <v>9090</v>
      </c>
      <c r="E6" s="267"/>
      <c r="F6" s="360"/>
      <c r="G6" s="361"/>
      <c r="H6" s="361"/>
    </row>
    <row r="7" spans="1:26" ht="6" customHeight="1" x14ac:dyDescent="0.25">
      <c r="A7" s="259"/>
      <c r="B7" s="259"/>
      <c r="C7" s="259"/>
    </row>
    <row r="8" spans="1:26" ht="15.75" x14ac:dyDescent="0.3">
      <c r="A8" s="362" t="s">
        <v>2202</v>
      </c>
      <c r="B8" s="363"/>
      <c r="C8" s="363"/>
      <c r="D8" s="363"/>
    </row>
    <row r="9" spans="1:26" ht="30" x14ac:dyDescent="0.25">
      <c r="A9" s="274" t="s">
        <v>14</v>
      </c>
      <c r="B9" s="274" t="s">
        <v>15</v>
      </c>
      <c r="C9" s="275" t="s">
        <v>16</v>
      </c>
      <c r="D9" s="275" t="s">
        <v>17</v>
      </c>
    </row>
    <row r="10" spans="1:26" x14ac:dyDescent="0.25">
      <c r="A10" s="276">
        <v>1</v>
      </c>
      <c r="B10" s="277"/>
      <c r="C10" s="276">
        <v>6</v>
      </c>
      <c r="D10" s="274" t="s">
        <v>260</v>
      </c>
    </row>
    <row r="11" spans="1:26" x14ac:dyDescent="0.25">
      <c r="A11" s="274"/>
      <c r="B11" s="278"/>
      <c r="C11" s="279"/>
      <c r="D11" s="280"/>
    </row>
    <row r="12" spans="1:26" x14ac:dyDescent="0.25">
      <c r="A12" s="274"/>
      <c r="B12" s="278"/>
      <c r="C12" s="279"/>
      <c r="D12" s="280"/>
    </row>
    <row r="13" spans="1:26" x14ac:dyDescent="0.25">
      <c r="A13" s="3"/>
      <c r="B13" s="259"/>
      <c r="C13" s="281"/>
      <c r="D13" s="282"/>
    </row>
    <row r="14" spans="1:26" x14ac:dyDescent="0.25">
      <c r="A14" s="3"/>
      <c r="B14" s="271"/>
      <c r="C14" s="281"/>
      <c r="D14" s="282"/>
      <c r="E14" s="259"/>
      <c r="F14" s="259" t="str">
        <f>SUBSTITUTE(F16,"/"," ")</f>
        <v>KIP PO NT 24 00363</v>
      </c>
      <c r="G14" s="259"/>
      <c r="H14" s="259"/>
      <c r="I14" s="259"/>
      <c r="J14" s="259"/>
      <c r="K14" s="259"/>
      <c r="L14" s="259"/>
      <c r="M14" s="259"/>
      <c r="N14" s="259"/>
      <c r="O14" s="259"/>
      <c r="P14" s="259"/>
      <c r="Q14" s="259"/>
      <c r="R14" s="259"/>
      <c r="S14" s="259"/>
      <c r="T14" s="259"/>
      <c r="U14" s="259"/>
      <c r="V14" s="259"/>
      <c r="W14" s="259"/>
      <c r="X14" s="259"/>
      <c r="Y14" s="259"/>
      <c r="Z14" s="259"/>
    </row>
    <row r="15" spans="1:26" x14ac:dyDescent="0.25">
      <c r="A15" s="3"/>
      <c r="B15" s="271"/>
      <c r="C15" s="281"/>
      <c r="D15" s="282"/>
      <c r="E15" s="259"/>
      <c r="F15" s="259"/>
      <c r="G15" s="259"/>
      <c r="H15" s="259"/>
      <c r="I15" s="259"/>
      <c r="J15" s="259"/>
      <c r="K15" s="259"/>
      <c r="L15" s="259"/>
      <c r="M15" s="259"/>
      <c r="N15" s="259"/>
      <c r="O15" s="259"/>
      <c r="P15" s="259"/>
      <c r="Q15" s="259"/>
      <c r="R15" s="259"/>
      <c r="S15" s="259"/>
      <c r="T15" s="259"/>
      <c r="U15" s="259"/>
      <c r="V15" s="259"/>
      <c r="W15" s="259"/>
      <c r="X15" s="259"/>
      <c r="Y15" s="259"/>
      <c r="Z15" s="259"/>
    </row>
    <row r="16" spans="1:26" ht="45" x14ac:dyDescent="0.25">
      <c r="A16" s="3"/>
      <c r="B16" s="271"/>
      <c r="C16" s="281"/>
      <c r="D16" s="282"/>
      <c r="E16" s="259"/>
      <c r="F16" s="259" t="s">
        <v>2203</v>
      </c>
      <c r="G16" s="259"/>
      <c r="H16" s="259"/>
      <c r="I16" s="259"/>
      <c r="J16" s="259"/>
      <c r="K16" s="259"/>
      <c r="L16" s="259"/>
      <c r="M16" s="259"/>
      <c r="N16" s="259"/>
      <c r="O16" s="259"/>
      <c r="P16" s="259"/>
      <c r="Q16" s="259"/>
      <c r="R16" s="259"/>
      <c r="S16" s="259"/>
      <c r="T16" s="259"/>
      <c r="U16" s="259"/>
      <c r="V16" s="259"/>
      <c r="W16" s="259"/>
      <c r="X16" s="259"/>
      <c r="Y16" s="259"/>
      <c r="Z16" s="259"/>
    </row>
    <row r="17" spans="1:26" x14ac:dyDescent="0.25">
      <c r="A17" s="3"/>
      <c r="B17" s="271"/>
      <c r="C17" s="281"/>
      <c r="D17" s="282"/>
      <c r="E17" s="259"/>
      <c r="F17" s="259"/>
      <c r="G17" s="259"/>
      <c r="H17" s="259"/>
      <c r="I17" s="259"/>
      <c r="J17" s="259"/>
      <c r="K17" s="259"/>
      <c r="L17" s="259"/>
      <c r="M17" s="259"/>
      <c r="N17" s="259"/>
      <c r="O17" s="259"/>
      <c r="P17" s="259"/>
      <c r="Q17" s="259"/>
      <c r="R17" s="259"/>
      <c r="S17" s="259"/>
      <c r="T17" s="259"/>
      <c r="U17" s="259"/>
      <c r="V17" s="259"/>
      <c r="W17" s="259"/>
      <c r="X17" s="259"/>
      <c r="Y17" s="259"/>
      <c r="Z17" s="259"/>
    </row>
    <row r="18" spans="1:26" x14ac:dyDescent="0.25">
      <c r="A18" s="3"/>
      <c r="B18" s="187"/>
      <c r="C18" s="281"/>
      <c r="D18" s="282"/>
      <c r="E18" s="259"/>
      <c r="F18" s="259"/>
      <c r="G18" s="259"/>
      <c r="H18" s="259"/>
      <c r="I18" s="259"/>
      <c r="J18" s="259"/>
      <c r="K18" s="259"/>
      <c r="L18" s="259"/>
      <c r="M18" s="259"/>
      <c r="N18" s="259"/>
      <c r="O18" s="259"/>
      <c r="P18" s="259"/>
      <c r="Q18" s="259"/>
      <c r="R18" s="259"/>
      <c r="S18" s="259"/>
      <c r="T18" s="259"/>
      <c r="U18" s="259"/>
      <c r="V18" s="259"/>
      <c r="W18" s="259"/>
      <c r="X18" s="259"/>
      <c r="Y18" s="259"/>
      <c r="Z18" s="259"/>
    </row>
    <row r="19" spans="1:26" x14ac:dyDescent="0.25">
      <c r="A19" s="3"/>
      <c r="B19" s="187"/>
      <c r="C19" s="283"/>
      <c r="D19" s="284"/>
    </row>
    <row r="20" spans="1:26" x14ac:dyDescent="0.25">
      <c r="A20" s="3"/>
    </row>
    <row r="21" spans="1:26" ht="15.75" customHeight="1" x14ac:dyDescent="0.25">
      <c r="A21" s="283"/>
      <c r="B21" s="267" t="s">
        <v>23</v>
      </c>
      <c r="C21" s="364" t="s">
        <v>24</v>
      </c>
      <c r="D21" s="361"/>
    </row>
    <row r="22" spans="1:26" ht="15.75" customHeight="1" x14ac:dyDescent="0.25">
      <c r="A22" s="3"/>
      <c r="B22" s="267"/>
      <c r="C22" s="271"/>
      <c r="D22" s="271"/>
    </row>
    <row r="23" spans="1:26" ht="15.75" customHeight="1" x14ac:dyDescent="0.25">
      <c r="A23" s="267"/>
      <c r="B23" s="267"/>
      <c r="C23" s="271"/>
      <c r="D23" s="271"/>
    </row>
    <row r="24" spans="1:26" ht="15.75" customHeight="1" x14ac:dyDescent="0.25">
      <c r="B24" s="267"/>
      <c r="C24" s="364" t="s">
        <v>25</v>
      </c>
      <c r="D24" s="361"/>
    </row>
    <row r="25" spans="1:26" ht="15.75" customHeight="1" x14ac:dyDescent="0.25"/>
    <row r="26" spans="1:26" ht="15.75" customHeight="1" x14ac:dyDescent="0.25"/>
    <row r="27" spans="1:26" ht="15.75" customHeight="1" x14ac:dyDescent="0.25"/>
    <row r="28" spans="1:26" ht="15.75" customHeight="1" x14ac:dyDescent="0.25"/>
    <row r="29" spans="1:26" ht="15.75" customHeight="1" x14ac:dyDescent="0.25"/>
    <row r="30" spans="1:26" ht="15.75" customHeight="1" x14ac:dyDescent="0.25"/>
    <row r="31" spans="1:26" ht="15.75" customHeight="1" x14ac:dyDescent="0.25"/>
    <row r="32" spans="1:2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6">
    <mergeCell ref="F6:H6"/>
    <mergeCell ref="A8:D8"/>
    <mergeCell ref="C21:D21"/>
    <mergeCell ref="C24:D24"/>
    <mergeCell ref="A1:B1"/>
    <mergeCell ref="C1:D1"/>
    <mergeCell ref="G1:I1"/>
    <mergeCell ref="A2:B2"/>
    <mergeCell ref="C2:D2"/>
    <mergeCell ref="A3:B3"/>
    <mergeCell ref="C3:D3"/>
    <mergeCell ref="G2:I2"/>
    <mergeCell ref="G3:I3"/>
    <mergeCell ref="A4:B4"/>
    <mergeCell ref="G4:I4"/>
    <mergeCell ref="F5:H5"/>
  </mergeCells>
  <conditionalFormatting sqref="B14:B18">
    <cfRule type="expression" dxfId="0" priority="1">
      <formula>UPPER($B$10:$B$18)</formula>
    </cfRule>
  </conditionalFormatting>
  <printOptions horizontalCentered="1"/>
  <pageMargins left="0.25" right="0.25" top="0.25" bottom="0.25" header="0" footer="0"/>
  <pageSetup orientation="portrait" r:id="rId1"/>
  <headerFooter>
    <oddHeader>&amp;L</oddHeader>
  </headerFooter>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'Daftar PT'!$A$2:$A$7</xm:f>
          </x14:formula1>
          <xm:sqref>A2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2EF9B-9C3A-478A-923D-5DF9540B37D2}">
  <sheetPr codeName="Sheet7"/>
  <dimension ref="B6:K13"/>
  <sheetViews>
    <sheetView workbookViewId="0">
      <selection activeCell="J6" sqref="J6"/>
    </sheetView>
  </sheetViews>
  <sheetFormatPr defaultRowHeight="15" x14ac:dyDescent="0.25"/>
  <cols>
    <col min="9" max="9" width="27.7109375" bestFit="1" customWidth="1"/>
    <col min="10" max="10" width="53.5703125" bestFit="1" customWidth="1"/>
    <col min="11" max="11" width="68.140625" bestFit="1" customWidth="1"/>
  </cols>
  <sheetData>
    <row r="6" spans="2:11" ht="120" x14ac:dyDescent="0.25">
      <c r="B6" s="218">
        <v>5</v>
      </c>
      <c r="C6" s="217" t="s">
        <v>3221</v>
      </c>
      <c r="D6" s="236">
        <v>10</v>
      </c>
      <c r="E6" s="218" t="s">
        <v>19</v>
      </c>
      <c r="I6" s="314" t="s">
        <v>4003</v>
      </c>
    </row>
    <row r="7" spans="2:11" ht="165" x14ac:dyDescent="0.25">
      <c r="B7" s="218">
        <v>6</v>
      </c>
      <c r="C7" s="217" t="s">
        <v>3222</v>
      </c>
      <c r="D7" s="236">
        <v>100</v>
      </c>
      <c r="E7" s="218" t="s">
        <v>19</v>
      </c>
      <c r="I7" t="s">
        <v>4</v>
      </c>
      <c r="J7" t="s">
        <v>226</v>
      </c>
      <c r="K7" t="s">
        <v>227</v>
      </c>
    </row>
    <row r="8" spans="2:11" x14ac:dyDescent="0.25">
      <c r="I8" t="s">
        <v>2298</v>
      </c>
      <c r="J8" t="s">
        <v>2300</v>
      </c>
      <c r="K8" t="s">
        <v>2374</v>
      </c>
    </row>
    <row r="9" spans="2:11" x14ac:dyDescent="0.25">
      <c r="I9" t="s">
        <v>2302</v>
      </c>
      <c r="J9" t="s">
        <v>2304</v>
      </c>
      <c r="K9" t="s">
        <v>2305</v>
      </c>
    </row>
    <row r="10" spans="2:11" x14ac:dyDescent="0.25">
      <c r="I10" t="s">
        <v>2623</v>
      </c>
      <c r="J10" t="s">
        <v>2624</v>
      </c>
      <c r="K10" t="s">
        <v>2625</v>
      </c>
    </row>
    <row r="11" spans="2:11" x14ac:dyDescent="0.25">
      <c r="I11" t="s">
        <v>2766</v>
      </c>
      <c r="J11" t="s">
        <v>2767</v>
      </c>
      <c r="K11" t="s">
        <v>2768</v>
      </c>
    </row>
    <row r="12" spans="2:11" x14ac:dyDescent="0.25">
      <c r="I12" t="s">
        <v>2833</v>
      </c>
      <c r="J12" t="s">
        <v>2624</v>
      </c>
      <c r="K12" t="s">
        <v>2834</v>
      </c>
    </row>
    <row r="13" spans="2:11" x14ac:dyDescent="0.25">
      <c r="I13" t="s">
        <v>2987</v>
      </c>
      <c r="J13" t="s">
        <v>2985</v>
      </c>
      <c r="K13" t="s">
        <v>2986</v>
      </c>
    </row>
  </sheetData>
  <conditionalFormatting sqref="B6:B7">
    <cfRule type="cellIs" dxfId="38" priority="1" operator="notEqual">
      <formula>""</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C2022-6033-464C-BF0B-0F510B1DB7AE}">
  <sheetPr codeName="Sheet8"/>
  <dimension ref="C4:P27"/>
  <sheetViews>
    <sheetView topLeftCell="H1" zoomScale="85" zoomScaleNormal="85" workbookViewId="0">
      <selection activeCell="P17" sqref="C17:P27"/>
    </sheetView>
  </sheetViews>
  <sheetFormatPr defaultRowHeight="15" x14ac:dyDescent="0.25"/>
  <cols>
    <col min="3" max="3" width="24.85546875" bestFit="1" customWidth="1"/>
    <col min="4" max="4" width="10.42578125" bestFit="1" customWidth="1"/>
    <col min="5" max="5" width="27.85546875" bestFit="1" customWidth="1"/>
    <col min="6" max="6" width="58.28515625" bestFit="1" customWidth="1"/>
    <col min="10" max="10" width="9.85546875" bestFit="1" customWidth="1"/>
    <col min="11" max="11" width="24.5703125" bestFit="1" customWidth="1"/>
    <col min="12" max="12" width="23" bestFit="1" customWidth="1"/>
    <col min="13" max="13" width="11.7109375" bestFit="1" customWidth="1"/>
    <col min="14" max="14" width="9" bestFit="1" customWidth="1"/>
    <col min="15" max="15" width="14.42578125" bestFit="1" customWidth="1"/>
    <col min="16" max="16" width="27" bestFit="1" customWidth="1"/>
  </cols>
  <sheetData>
    <row r="4" spans="3:16" ht="47.25" x14ac:dyDescent="0.25">
      <c r="C4" s="285" t="s">
        <v>3367</v>
      </c>
      <c r="D4" s="286" t="s">
        <v>3368</v>
      </c>
      <c r="E4" s="287" t="s">
        <v>3369</v>
      </c>
      <c r="F4" s="287" t="s">
        <v>3370</v>
      </c>
      <c r="G4" s="287" t="s">
        <v>3371</v>
      </c>
      <c r="H4" s="287" t="s">
        <v>3372</v>
      </c>
      <c r="I4" s="287" t="s">
        <v>3373</v>
      </c>
      <c r="J4" s="286" t="s">
        <v>3374</v>
      </c>
      <c r="K4" s="288" t="s">
        <v>3375</v>
      </c>
      <c r="L4" s="287" t="s">
        <v>3376</v>
      </c>
      <c r="M4" s="287" t="s">
        <v>3377</v>
      </c>
      <c r="N4" s="289" t="s">
        <v>3378</v>
      </c>
      <c r="O4" s="297" t="s">
        <v>3396</v>
      </c>
      <c r="P4" s="297" t="s">
        <v>3398</v>
      </c>
    </row>
    <row r="5" spans="3:16" ht="15.75" x14ac:dyDescent="0.25">
      <c r="C5" s="290" t="s">
        <v>2923</v>
      </c>
      <c r="D5" s="291">
        <v>45907</v>
      </c>
      <c r="E5" s="292" t="s">
        <v>3379</v>
      </c>
      <c r="F5" s="292" t="s">
        <v>3380</v>
      </c>
      <c r="G5" s="293">
        <v>10</v>
      </c>
      <c r="H5" s="293">
        <v>10</v>
      </c>
      <c r="I5" s="292" t="s">
        <v>285</v>
      </c>
      <c r="J5" s="292" t="s">
        <v>3381</v>
      </c>
      <c r="K5" s="292" t="s">
        <v>3382</v>
      </c>
      <c r="L5" s="292" t="s">
        <v>3383</v>
      </c>
      <c r="M5" s="293" t="s">
        <v>3384</v>
      </c>
      <c r="N5" s="294">
        <v>68</v>
      </c>
      <c r="O5" s="296" t="s">
        <v>3393</v>
      </c>
      <c r="P5" s="296" t="s">
        <v>3394</v>
      </c>
    </row>
    <row r="6" spans="3:16" ht="15.75" x14ac:dyDescent="0.25">
      <c r="C6" s="290" t="s">
        <v>2923</v>
      </c>
      <c r="D6" s="291">
        <v>45907</v>
      </c>
      <c r="E6" s="292" t="s">
        <v>3379</v>
      </c>
      <c r="F6" s="292" t="s">
        <v>3385</v>
      </c>
      <c r="G6" s="293">
        <v>10</v>
      </c>
      <c r="H6" s="293">
        <v>10</v>
      </c>
      <c r="I6" s="292" t="s">
        <v>285</v>
      </c>
      <c r="J6" s="292" t="s">
        <v>3381</v>
      </c>
      <c r="K6" s="292" t="s">
        <v>3382</v>
      </c>
      <c r="L6" s="292" t="s">
        <v>3383</v>
      </c>
      <c r="M6" s="293" t="s">
        <v>3384</v>
      </c>
      <c r="N6" s="294">
        <v>68</v>
      </c>
      <c r="O6" s="296" t="s">
        <v>3393</v>
      </c>
      <c r="P6" s="295" t="s">
        <v>3395</v>
      </c>
    </row>
    <row r="7" spans="3:16" ht="15.75" x14ac:dyDescent="0.25">
      <c r="C7" s="290" t="s">
        <v>2923</v>
      </c>
      <c r="D7" s="291">
        <v>45907</v>
      </c>
      <c r="E7" s="292" t="s">
        <v>3379</v>
      </c>
      <c r="F7" s="292" t="s">
        <v>3386</v>
      </c>
      <c r="G7" s="293">
        <v>10</v>
      </c>
      <c r="H7" s="293">
        <v>10</v>
      </c>
      <c r="I7" s="292" t="s">
        <v>285</v>
      </c>
      <c r="J7" s="292" t="s">
        <v>3381</v>
      </c>
      <c r="K7" s="292" t="s">
        <v>3382</v>
      </c>
      <c r="L7" s="292" t="s">
        <v>3383</v>
      </c>
      <c r="M7" s="293" t="s">
        <v>3384</v>
      </c>
      <c r="N7" s="294">
        <v>68</v>
      </c>
      <c r="O7" s="296" t="s">
        <v>3393</v>
      </c>
      <c r="P7" s="295" t="s">
        <v>3395</v>
      </c>
    </row>
    <row r="8" spans="3:16" ht="15.75" x14ac:dyDescent="0.25">
      <c r="C8" s="290" t="s">
        <v>2923</v>
      </c>
      <c r="D8" s="291">
        <v>45907</v>
      </c>
      <c r="E8" s="292" t="s">
        <v>3379</v>
      </c>
      <c r="F8" s="292" t="s">
        <v>3387</v>
      </c>
      <c r="G8" s="293">
        <v>20</v>
      </c>
      <c r="H8" s="293">
        <v>20</v>
      </c>
      <c r="I8" s="292" t="s">
        <v>329</v>
      </c>
      <c r="J8" s="292" t="s">
        <v>3381</v>
      </c>
      <c r="K8" s="292" t="s">
        <v>3382</v>
      </c>
      <c r="L8" s="292" t="s">
        <v>3383</v>
      </c>
      <c r="M8" s="293" t="s">
        <v>3384</v>
      </c>
      <c r="N8" s="294">
        <v>68</v>
      </c>
      <c r="O8" s="296" t="s">
        <v>3393</v>
      </c>
    </row>
    <row r="9" spans="3:16" ht="15.75" x14ac:dyDescent="0.25">
      <c r="C9" s="290" t="s">
        <v>2923</v>
      </c>
      <c r="D9" s="291">
        <v>45907</v>
      </c>
      <c r="E9" s="292" t="s">
        <v>3379</v>
      </c>
      <c r="F9" s="292" t="s">
        <v>3387</v>
      </c>
      <c r="G9" s="293">
        <v>10</v>
      </c>
      <c r="H9" s="293">
        <v>10</v>
      </c>
      <c r="I9" s="292" t="s">
        <v>329</v>
      </c>
      <c r="J9" s="292" t="s">
        <v>3381</v>
      </c>
      <c r="K9" s="292" t="s">
        <v>3382</v>
      </c>
      <c r="L9" s="292" t="s">
        <v>3383</v>
      </c>
      <c r="M9" s="293" t="s">
        <v>3384</v>
      </c>
      <c r="N9" s="294">
        <v>68</v>
      </c>
      <c r="O9" s="296" t="s">
        <v>3393</v>
      </c>
      <c r="P9" s="296" t="s">
        <v>3397</v>
      </c>
    </row>
    <row r="10" spans="3:16" ht="15.75" x14ac:dyDescent="0.25">
      <c r="C10" s="290" t="s">
        <v>2923</v>
      </c>
      <c r="D10" s="291">
        <v>45907</v>
      </c>
      <c r="E10" s="292" t="s">
        <v>3379</v>
      </c>
      <c r="F10" s="292" t="s">
        <v>3388</v>
      </c>
      <c r="G10" s="293">
        <v>10</v>
      </c>
      <c r="H10" s="293">
        <v>10</v>
      </c>
      <c r="I10" s="292" t="s">
        <v>19</v>
      </c>
      <c r="J10" s="292" t="s">
        <v>3381</v>
      </c>
      <c r="K10" s="292" t="s">
        <v>3382</v>
      </c>
      <c r="L10" s="292" t="s">
        <v>3383</v>
      </c>
      <c r="M10" s="293" t="s">
        <v>3384</v>
      </c>
      <c r="N10" s="294">
        <v>68</v>
      </c>
      <c r="O10" s="296" t="s">
        <v>3393</v>
      </c>
      <c r="P10" s="295" t="s">
        <v>3395</v>
      </c>
    </row>
    <row r="11" spans="3:16" ht="15.75" x14ac:dyDescent="0.25">
      <c r="C11" s="290" t="s">
        <v>2923</v>
      </c>
      <c r="D11" s="291">
        <v>45907</v>
      </c>
      <c r="E11" s="292" t="s">
        <v>3379</v>
      </c>
      <c r="F11" s="292" t="s">
        <v>3389</v>
      </c>
      <c r="G11" s="293">
        <v>10</v>
      </c>
      <c r="H11" s="293">
        <v>10</v>
      </c>
      <c r="I11" s="292" t="s">
        <v>19</v>
      </c>
      <c r="J11" s="292" t="s">
        <v>3381</v>
      </c>
      <c r="K11" s="292" t="s">
        <v>3382</v>
      </c>
      <c r="L11" s="292" t="s">
        <v>3383</v>
      </c>
      <c r="M11" s="293" t="s">
        <v>3384</v>
      </c>
      <c r="N11" s="294">
        <v>68</v>
      </c>
      <c r="O11" s="296" t="s">
        <v>3393</v>
      </c>
      <c r="P11" s="295" t="s">
        <v>3395</v>
      </c>
    </row>
    <row r="12" spans="3:16" ht="15.75" x14ac:dyDescent="0.25">
      <c r="C12" s="290" t="s">
        <v>2923</v>
      </c>
      <c r="D12" s="291">
        <v>45907</v>
      </c>
      <c r="E12" s="292" t="s">
        <v>3379</v>
      </c>
      <c r="F12" s="292" t="s">
        <v>3390</v>
      </c>
      <c r="G12" s="293">
        <v>5</v>
      </c>
      <c r="H12" s="293">
        <v>5</v>
      </c>
      <c r="I12" s="292" t="s">
        <v>19</v>
      </c>
      <c r="J12" s="292" t="s">
        <v>3381</v>
      </c>
      <c r="K12" s="292" t="s">
        <v>3382</v>
      </c>
      <c r="L12" s="292" t="s">
        <v>3383</v>
      </c>
      <c r="M12" s="293" t="s">
        <v>3384</v>
      </c>
      <c r="N12" s="294">
        <v>68</v>
      </c>
      <c r="O12" s="296" t="s">
        <v>3393</v>
      </c>
      <c r="P12" s="295" t="s">
        <v>3395</v>
      </c>
    </row>
    <row r="13" spans="3:16" ht="15.75" x14ac:dyDescent="0.25">
      <c r="C13" s="290" t="s">
        <v>2923</v>
      </c>
      <c r="D13" s="291">
        <v>45907</v>
      </c>
      <c r="E13" s="292" t="s">
        <v>3379</v>
      </c>
      <c r="F13" s="292" t="s">
        <v>3391</v>
      </c>
      <c r="G13" s="293">
        <v>5</v>
      </c>
      <c r="H13" s="293">
        <v>5</v>
      </c>
      <c r="I13" s="292" t="s">
        <v>19</v>
      </c>
      <c r="J13" s="292" t="s">
        <v>3381</v>
      </c>
      <c r="K13" s="292" t="s">
        <v>3382</v>
      </c>
      <c r="L13" s="292" t="s">
        <v>3383</v>
      </c>
      <c r="M13" s="293" t="s">
        <v>3384</v>
      </c>
      <c r="N13" s="294">
        <v>68</v>
      </c>
      <c r="O13" s="296" t="s">
        <v>3393</v>
      </c>
      <c r="P13" s="295" t="s">
        <v>3395</v>
      </c>
    </row>
    <row r="14" spans="3:16" ht="15.75" x14ac:dyDescent="0.25">
      <c r="C14" s="290" t="s">
        <v>2923</v>
      </c>
      <c r="D14" s="291">
        <v>45907</v>
      </c>
      <c r="E14" s="292" t="s">
        <v>3379</v>
      </c>
      <c r="F14" s="292" t="s">
        <v>3392</v>
      </c>
      <c r="G14" s="293">
        <v>5</v>
      </c>
      <c r="H14" s="293">
        <v>5</v>
      </c>
      <c r="I14" s="292" t="s">
        <v>19</v>
      </c>
      <c r="J14" s="292" t="s">
        <v>3381</v>
      </c>
      <c r="K14" s="292" t="s">
        <v>3382</v>
      </c>
      <c r="L14" s="292" t="s">
        <v>3383</v>
      </c>
      <c r="M14" s="293" t="s">
        <v>3384</v>
      </c>
      <c r="N14" s="294">
        <v>68</v>
      </c>
      <c r="O14" s="296" t="s">
        <v>3393</v>
      </c>
      <c r="P14" s="295" t="s">
        <v>3395</v>
      </c>
    </row>
    <row r="17" spans="3:16" ht="47.25" x14ac:dyDescent="0.25">
      <c r="C17" s="285" t="s">
        <v>3367</v>
      </c>
      <c r="D17" s="286" t="s">
        <v>3368</v>
      </c>
      <c r="E17" s="287" t="s">
        <v>3369</v>
      </c>
      <c r="F17" s="287" t="s">
        <v>3370</v>
      </c>
      <c r="G17" s="287" t="s">
        <v>3371</v>
      </c>
      <c r="H17" s="287" t="s">
        <v>3372</v>
      </c>
      <c r="I17" s="287" t="s">
        <v>3373</v>
      </c>
      <c r="J17" s="286" t="s">
        <v>3374</v>
      </c>
      <c r="K17" s="288" t="s">
        <v>3375</v>
      </c>
      <c r="L17" s="287" t="s">
        <v>3376</v>
      </c>
      <c r="M17" s="287" t="s">
        <v>3377</v>
      </c>
      <c r="N17" s="289" t="s">
        <v>3378</v>
      </c>
      <c r="O17" s="297" t="s">
        <v>3396</v>
      </c>
      <c r="P17" s="297" t="s">
        <v>3398</v>
      </c>
    </row>
    <row r="18" spans="3:16" ht="15.75" x14ac:dyDescent="0.25">
      <c r="C18" s="290" t="s">
        <v>2923</v>
      </c>
      <c r="D18" s="291">
        <v>45907</v>
      </c>
      <c r="E18" s="292" t="s">
        <v>3379</v>
      </c>
      <c r="F18" s="292" t="s">
        <v>3380</v>
      </c>
      <c r="G18" s="293">
        <v>10</v>
      </c>
      <c r="H18" s="293">
        <v>10</v>
      </c>
      <c r="I18" s="292" t="s">
        <v>285</v>
      </c>
      <c r="J18" s="292" t="s">
        <v>3381</v>
      </c>
      <c r="K18" s="292" t="s">
        <v>3382</v>
      </c>
      <c r="L18" s="292" t="s">
        <v>3383</v>
      </c>
      <c r="M18" s="293" t="s">
        <v>3384</v>
      </c>
      <c r="N18" s="294">
        <v>68</v>
      </c>
      <c r="O18" s="296" t="s">
        <v>3393</v>
      </c>
      <c r="P18" s="295" t="s">
        <v>3399</v>
      </c>
    </row>
    <row r="19" spans="3:16" ht="15.75" x14ac:dyDescent="0.25">
      <c r="C19" s="290" t="s">
        <v>2923</v>
      </c>
      <c r="D19" s="291">
        <v>45907</v>
      </c>
      <c r="E19" s="292" t="s">
        <v>3379</v>
      </c>
      <c r="F19" s="292" t="s">
        <v>3385</v>
      </c>
      <c r="G19" s="293">
        <v>10</v>
      </c>
      <c r="H19" s="293">
        <v>10</v>
      </c>
      <c r="I19" s="292" t="s">
        <v>285</v>
      </c>
      <c r="J19" s="292" t="s">
        <v>3381</v>
      </c>
      <c r="K19" s="292" t="s">
        <v>3382</v>
      </c>
      <c r="L19" s="292" t="s">
        <v>3383</v>
      </c>
      <c r="M19" s="293" t="s">
        <v>3384</v>
      </c>
      <c r="N19" s="294">
        <v>68</v>
      </c>
      <c r="O19" s="296" t="s">
        <v>3393</v>
      </c>
      <c r="P19" s="295" t="s">
        <v>3395</v>
      </c>
    </row>
    <row r="20" spans="3:16" ht="15.75" x14ac:dyDescent="0.25">
      <c r="C20" s="290" t="s">
        <v>2923</v>
      </c>
      <c r="D20" s="291">
        <v>45907</v>
      </c>
      <c r="E20" s="292" t="s">
        <v>3379</v>
      </c>
      <c r="F20" s="292" t="s">
        <v>3386</v>
      </c>
      <c r="G20" s="293">
        <v>10</v>
      </c>
      <c r="H20" s="293">
        <v>10</v>
      </c>
      <c r="I20" s="292" t="s">
        <v>285</v>
      </c>
      <c r="J20" s="292" t="s">
        <v>3381</v>
      </c>
      <c r="K20" s="292" t="s">
        <v>3382</v>
      </c>
      <c r="L20" s="292" t="s">
        <v>3383</v>
      </c>
      <c r="M20" s="293" t="s">
        <v>3384</v>
      </c>
      <c r="N20" s="294">
        <v>68</v>
      </c>
      <c r="O20" s="296" t="s">
        <v>3393</v>
      </c>
      <c r="P20" s="295" t="s">
        <v>3395</v>
      </c>
    </row>
    <row r="21" spans="3:16" ht="15.75" x14ac:dyDescent="0.25">
      <c r="C21" s="290" t="s">
        <v>2923</v>
      </c>
      <c r="D21" s="291">
        <v>45907</v>
      </c>
      <c r="E21" s="292" t="s">
        <v>3379</v>
      </c>
      <c r="F21" s="292" t="s">
        <v>3387</v>
      </c>
      <c r="G21" s="293">
        <v>20</v>
      </c>
      <c r="H21" s="293">
        <v>20</v>
      </c>
      <c r="I21" s="292" t="s">
        <v>329</v>
      </c>
      <c r="J21" s="292" t="s">
        <v>3381</v>
      </c>
      <c r="K21" s="292" t="s">
        <v>3382</v>
      </c>
      <c r="L21" s="292" t="s">
        <v>3383</v>
      </c>
      <c r="M21" s="293" t="s">
        <v>3384</v>
      </c>
      <c r="N21" s="294">
        <v>68</v>
      </c>
      <c r="O21" s="296" t="s">
        <v>3393</v>
      </c>
      <c r="P21" s="298" t="s">
        <v>3399</v>
      </c>
    </row>
    <row r="22" spans="3:16" ht="15.75" x14ac:dyDescent="0.25">
      <c r="C22" s="290" t="s">
        <v>2923</v>
      </c>
      <c r="D22" s="291">
        <v>45907</v>
      </c>
      <c r="E22" s="292" t="s">
        <v>3379</v>
      </c>
      <c r="F22" s="292" t="s">
        <v>3387</v>
      </c>
      <c r="G22" s="293">
        <v>10</v>
      </c>
      <c r="H22" s="293">
        <v>10</v>
      </c>
      <c r="I22" s="292" t="s">
        <v>329</v>
      </c>
      <c r="J22" s="292" t="s">
        <v>3381</v>
      </c>
      <c r="K22" s="292" t="s">
        <v>3382</v>
      </c>
      <c r="L22" s="292" t="s">
        <v>3383</v>
      </c>
      <c r="M22" s="293" t="s">
        <v>3384</v>
      </c>
      <c r="N22" s="294">
        <v>68</v>
      </c>
      <c r="O22" s="296" t="s">
        <v>3393</v>
      </c>
      <c r="P22" s="295" t="s">
        <v>3397</v>
      </c>
    </row>
    <row r="23" spans="3:16" ht="15.75" x14ac:dyDescent="0.25">
      <c r="C23" s="290" t="s">
        <v>2923</v>
      </c>
      <c r="D23" s="291">
        <v>45907</v>
      </c>
      <c r="E23" s="292" t="s">
        <v>3379</v>
      </c>
      <c r="F23" s="292" t="s">
        <v>3388</v>
      </c>
      <c r="G23" s="293">
        <v>10</v>
      </c>
      <c r="H23" s="293">
        <v>10</v>
      </c>
      <c r="I23" s="292" t="s">
        <v>19</v>
      </c>
      <c r="J23" s="292" t="s">
        <v>3381</v>
      </c>
      <c r="K23" s="292" t="s">
        <v>3382</v>
      </c>
      <c r="L23" s="292" t="s">
        <v>3383</v>
      </c>
      <c r="M23" s="293" t="s">
        <v>3384</v>
      </c>
      <c r="N23" s="294">
        <v>68</v>
      </c>
      <c r="O23" s="296" t="s">
        <v>3393</v>
      </c>
      <c r="P23" s="295" t="s">
        <v>3395</v>
      </c>
    </row>
    <row r="24" spans="3:16" ht="15.75" x14ac:dyDescent="0.25">
      <c r="C24" s="290" t="s">
        <v>2923</v>
      </c>
      <c r="D24" s="291">
        <v>45907</v>
      </c>
      <c r="E24" s="292" t="s">
        <v>3379</v>
      </c>
      <c r="F24" s="292" t="s">
        <v>3389</v>
      </c>
      <c r="G24" s="293">
        <v>10</v>
      </c>
      <c r="H24" s="293">
        <v>10</v>
      </c>
      <c r="I24" s="292" t="s">
        <v>19</v>
      </c>
      <c r="J24" s="292" t="s">
        <v>3381</v>
      </c>
      <c r="K24" s="292" t="s">
        <v>3382</v>
      </c>
      <c r="L24" s="292" t="s">
        <v>3383</v>
      </c>
      <c r="M24" s="293" t="s">
        <v>3384</v>
      </c>
      <c r="N24" s="294">
        <v>68</v>
      </c>
      <c r="O24" s="296" t="s">
        <v>3393</v>
      </c>
      <c r="P24" s="295" t="s">
        <v>3395</v>
      </c>
    </row>
    <row r="25" spans="3:16" ht="15.75" x14ac:dyDescent="0.25">
      <c r="C25" s="290" t="s">
        <v>2923</v>
      </c>
      <c r="D25" s="291">
        <v>45907</v>
      </c>
      <c r="E25" s="292" t="s">
        <v>3379</v>
      </c>
      <c r="F25" s="292" t="s">
        <v>3390</v>
      </c>
      <c r="G25" s="293">
        <v>5</v>
      </c>
      <c r="H25" s="293">
        <v>5</v>
      </c>
      <c r="I25" s="292" t="s">
        <v>19</v>
      </c>
      <c r="J25" s="292" t="s">
        <v>3381</v>
      </c>
      <c r="K25" s="292" t="s">
        <v>3382</v>
      </c>
      <c r="L25" s="292" t="s">
        <v>3383</v>
      </c>
      <c r="M25" s="293" t="s">
        <v>3384</v>
      </c>
      <c r="N25" s="294">
        <v>68</v>
      </c>
      <c r="O25" s="296" t="s">
        <v>3393</v>
      </c>
      <c r="P25" s="295" t="s">
        <v>3395</v>
      </c>
    </row>
    <row r="26" spans="3:16" ht="15.75" x14ac:dyDescent="0.25">
      <c r="C26" s="290" t="s">
        <v>2923</v>
      </c>
      <c r="D26" s="291">
        <v>45907</v>
      </c>
      <c r="E26" s="292" t="s">
        <v>3379</v>
      </c>
      <c r="F26" s="292" t="s">
        <v>3391</v>
      </c>
      <c r="G26" s="293">
        <v>5</v>
      </c>
      <c r="H26" s="293">
        <v>5</v>
      </c>
      <c r="I26" s="292" t="s">
        <v>19</v>
      </c>
      <c r="J26" s="292" t="s">
        <v>3381</v>
      </c>
      <c r="K26" s="292" t="s">
        <v>3382</v>
      </c>
      <c r="L26" s="292" t="s">
        <v>3383</v>
      </c>
      <c r="M26" s="293" t="s">
        <v>3384</v>
      </c>
      <c r="N26" s="294">
        <v>68</v>
      </c>
      <c r="O26" s="296" t="s">
        <v>3393</v>
      </c>
      <c r="P26" s="295" t="s">
        <v>3395</v>
      </c>
    </row>
    <row r="27" spans="3:16" ht="15.75" x14ac:dyDescent="0.25">
      <c r="C27" s="290" t="s">
        <v>2923</v>
      </c>
      <c r="D27" s="291">
        <v>45907</v>
      </c>
      <c r="E27" s="292" t="s">
        <v>3379</v>
      </c>
      <c r="F27" s="292" t="s">
        <v>3392</v>
      </c>
      <c r="G27" s="293">
        <v>5</v>
      </c>
      <c r="H27" s="293">
        <v>5</v>
      </c>
      <c r="I27" s="292" t="s">
        <v>19</v>
      </c>
      <c r="J27" s="292" t="s">
        <v>3381</v>
      </c>
      <c r="K27" s="292" t="s">
        <v>3382</v>
      </c>
      <c r="L27" s="292" t="s">
        <v>3383</v>
      </c>
      <c r="M27" s="293" t="s">
        <v>3384</v>
      </c>
      <c r="N27" s="294">
        <v>68</v>
      </c>
      <c r="O27" s="296" t="s">
        <v>3393</v>
      </c>
      <c r="P27" s="295" t="s">
        <v>3395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vt:lpstr>
      <vt:lpstr>DAFTAR NO DO</vt:lpstr>
      <vt:lpstr>Daftar PT</vt:lpstr>
      <vt:lpstr>info ekspedisi agro</vt:lpstr>
      <vt:lpstr>DAFTAR</vt:lpstr>
      <vt:lpstr>DO LAMA</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Burning Ore</dc:creator>
  <cp:lastModifiedBy>Burning Ore</cp:lastModifiedBy>
  <cp:lastPrinted>2026-03-26T04:15:34Z</cp:lastPrinted>
  <dcterms:created xsi:type="dcterms:W3CDTF">2024-04-27T06:36:37Z</dcterms:created>
  <dcterms:modified xsi:type="dcterms:W3CDTF">2026-03-26T10:41:50Z</dcterms:modified>
</cp:coreProperties>
</file>